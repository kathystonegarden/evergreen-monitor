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SGG.old\Documents\Evergreen\sgg-monitor\data\"/>
    </mc:Choice>
  </mc:AlternateContent>
  <xr:revisionPtr revIDLastSave="0" documentId="13_ncr:1_{8F6CC447-A370-43D8-9375-6363B8E0C012}" xr6:coauthVersionLast="47" xr6:coauthVersionMax="47" xr10:uidLastSave="{00000000-0000-0000-0000-000000000000}"/>
  <bookViews>
    <workbookView xWindow="38280" yWindow="-7545" windowWidth="15330" windowHeight="10770" tabRatio="928" activeTab="2" xr2:uid="{00000000-000D-0000-FFFF-FFFF00000000}"/>
  </bookViews>
  <sheets>
    <sheet name="fund_performance" sheetId="1" r:id="rId1"/>
    <sheet name="fund_metadata" sheetId="2" r:id="rId2"/>
    <sheet name="pitchbook_tri_index" sheetId="3" r:id="rId3"/>
  </sheets>
  <externalReferences>
    <externalReference r:id="rId4"/>
  </externalReferences>
  <definedNames>
    <definedName name="__FDS_HYPERLINK_TOGGLE_STATE__" hidden="1">"ON"</definedName>
    <definedName name="_DLX1.USE">#REF!</definedName>
    <definedName name="_Regression_Int">1</definedName>
    <definedName name="_xlcn.WorksheetConnection_2022Q1PitchBookGlobalMADeals.xlsxTable11" hidden="1">#REF!</definedName>
    <definedName name="_xlcn.WorksheetConnection_2022Q1PitchBookGlobalMADeals.xlsxTable41" hidden="1">Table4</definedName>
    <definedName name="_xlcn.WorksheetConnection_Deal_FlowABO" hidden="1">#REF!</definedName>
    <definedName name="a">#REF!</definedName>
    <definedName name="aa">#REF!</definedName>
    <definedName name="aaa">INDEX(#REF!,COUNTA(#REF!)-#REF!+1):INDEX(#REF!,COUNTA(#REF!))</definedName>
    <definedName name="abc" hidden="1">39545.6064814815</definedName>
    <definedName name="ac">#REF!</definedName>
    <definedName name="asdfasdfasdfasdfasdfasdf">INDEX(#REF!,COUNTA(#REF!)-#REF!+1):INDEX(#REF!,COUNTA(#REF!))</definedName>
    <definedName name="b">#REF!</definedName>
    <definedName name="BHYDailyYield">OFFSET(#REF!,COUNTA(#REF!)-1,0,-254,1)</definedName>
    <definedName name="BLoansDailyYield">OFFSET(#REF!,COUNTA(#REF!)-1,0,-254,1)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ond_Swap_Date">OFFSET(#REF!,COUNTA(#REF!)-1,0,-96,1)</definedName>
    <definedName name="Bond_Swap_Worst">OFFSET(#REF!,COUNTA(#REF!)-1,0,-96,1)</definedName>
    <definedName name="BR">#REF!</definedName>
    <definedName name="Business_Stat_Hist">OFFSET(#REF!,0,0,COUNTA(#REF!),5)</definedName>
    <definedName name="Ccy">#REF!</definedName>
    <definedName name="Chart_2">#REF!</definedName>
    <definedName name="Chart_3" hidden="1">#REF!</definedName>
    <definedName name="Chart_3_1" hidden="1">#REF!</definedName>
    <definedName name="CHART_8" hidden="1">41578.5393981481</definedName>
    <definedName name="CHART_9a">#REF!</definedName>
    <definedName name="CHART_9b" hidden="1">41578.5393981481</definedName>
    <definedName name="CHART1">#REF!</definedName>
    <definedName name="CHART10">#REF!</definedName>
    <definedName name="Chart100">#REF!</definedName>
    <definedName name="chart11">#REF!</definedName>
    <definedName name="CHART12">#REF!</definedName>
    <definedName name="CHART13">#REF!</definedName>
    <definedName name="CHART14">#REF!</definedName>
    <definedName name="CHART15">#REF!</definedName>
    <definedName name="CHART16">#REF!</definedName>
    <definedName name="Chart1x" hidden="1">Table4</definedName>
    <definedName name="CHART2">#REF!</definedName>
    <definedName name="Chart2x">INDEX(#REF!,COUNTA(#REF!)-#REF!+1):INDEX(#REF!,COUNTA(#REF!))</definedName>
    <definedName name="CHART3">#REF!</definedName>
    <definedName name="Chart3x">#N/A</definedName>
    <definedName name="CHART4">#REF!</definedName>
    <definedName name="CHART5">#REF!</definedName>
    <definedName name="CHART6">#REF!</definedName>
    <definedName name="CHART7">#REF!</definedName>
    <definedName name="CHART8">#REF!</definedName>
    <definedName name="CHART9">#REF!</definedName>
    <definedName name="CHART9a">#REF!</definedName>
    <definedName name="CIQWBGuid" hidden="1">"d5c96f1c-0b8a-4f1d-9499-e87469d8b72c"</definedName>
    <definedName name="CIQWBGuid_1" hidden="1">"36eab537-9225-4c46-85ab-05c18190aca1"</definedName>
    <definedName name="CIQWBGuid_1_1" hidden="1">"Calendar.xls"</definedName>
    <definedName name="CIQWBGuid_1_1_1" hidden="1">"36eab537-9225-4c46-85ab-05c18190aca1"</definedName>
    <definedName name="CIQWBGuid_2" hidden="1">"HY stats.xls"</definedName>
    <definedName name="CIQWBGuid_2_1" hidden="1">"HY stats.xls"</definedName>
    <definedName name="CIQWBGuid_3" hidden="1">"LIPPER 2014 shared version.xls"</definedName>
    <definedName name="CIQWBGuid_4" hidden="1">"eb115120-dfd8-4ab1-a371-267a4654e132"</definedName>
    <definedName name="CIQWBInfo" hidden="1">"{ ""CIQVersion"":""9.45.614.5792"" }"</definedName>
    <definedName name="clean_spreads">#REF!</definedName>
    <definedName name="CLPercent">INDEX(#REF!,COUNTA(#REF!)-#REF!+1):INDEX(#REF!,COUNTA(#REF!))</definedName>
    <definedName name="CLpercentYR">INDEX(#REF!,COUNTA(#REF!)-#REF!+1):INDEX(#REF!,COUNTA(#REF!))</definedName>
    <definedName name="CLQTR">#REF!</definedName>
    <definedName name="CLVolMN">#REF!</definedName>
    <definedName name="CLVolume">INDEX(#REF!,COUNTA(#REF!)-#REF!+1):INDEX(#REF!,COUNTA(#REF!))</definedName>
    <definedName name="CLVolumeYR">INDEX(#REF!,COUNTA(#REF!)-#REF!+1):INDEX(#REF!,COUNTA(#REF!))</definedName>
    <definedName name="CommercialExAIGMetrics">#REF!</definedName>
    <definedName name="Copyright">#REF!</definedName>
    <definedName name="CopyrightAnalytics">#REF!</definedName>
    <definedName name="CreatedFor">#REF!</definedName>
    <definedName name="CreatedForTitle">#REF!</definedName>
    <definedName name="CS_ALL">OFFSET(#REF!, COUNTA(#REF!)-1,0,-13,1)</definedName>
    <definedName name="CS_LBO">OFFSET(#REF!, COUNTA(#REF!)-1,0,-13,1)</definedName>
    <definedName name="CS_MA">OFFSET(#REF!, COUNTA(#REF!)-1,0,-13,1)</definedName>
    <definedName name="CS_Period">OFFSET(#REF!, COUNTA(#REF!)-1,0,-13,1)</definedName>
    <definedName name="Currency_Table">OFFSET(#REF!,0,0,COUNTA(#REF!)-1,5)</definedName>
    <definedName name="Currency_Table2">OFFSET(#REF!,0,0,COUNTA(#REF!)-1,5)</definedName>
    <definedName name="Currency_Table3">OFFSET(#REF!,0,0,COUNTA(#REF!)-1,5)</definedName>
    <definedName name="CurrencyInput">#REF!</definedName>
    <definedName name="d">#REF!</definedName>
    <definedName name="dasdfasdfasdf">INDEX(#REF!,COUNTA(#REF!)-#REF!+1):INDEX(#REF!,COUNTA(#REF!))</definedName>
    <definedName name="Date">OFFSET(#REF!,COUNTA(#REF!)-1,0,-47,1)</definedName>
    <definedName name="DateHY">OFFSET(#REF!,COUNTA(#REF!)-1,0,-254,1)</definedName>
    <definedName name="DateLoans">OFFSET(#REF!,COUNTA(#REF!)-3,0,-61,1)</definedName>
    <definedName name="Daterange">INDEX(#REF!,COUNTA(#REF!)-#REF!+1):INDEX(#REF!,COUNTA(#REF!))</definedName>
    <definedName name="Daterangebonds">INDEX(#REF!,COUNTA(#REF!)-#REF!+1):INDEX(#REF!,COUNTA(#REF!))</definedName>
    <definedName name="DaterangebondsYR">INDEX(#REF!,COUNTA(#REF!)-#REF!+1):INDEX(#REF!,COUNTA(#REF!))</definedName>
    <definedName name="DaterangeCL">INDEX(#REF!,COUNTA(#REF!)-#REF!+1):INDEX(#REF!,COUNTA(#REF!))</definedName>
    <definedName name="DaterangeCLYR">INDEX(#REF!,COUNTA(#REF!)-#REF!+1):INDEX(#REF!,COUNTA(#REF!))</definedName>
    <definedName name="DATERANGEEURO">INDEX(#REF!,COUNTA(#REF!)-#REF!+1):INDEX(#REF!,COUNTA(#REF!))</definedName>
    <definedName name="DATERANGEEURO_YR">INDEX(#REF!,COUNTA(#REF!)-#REF!+1):INDEX(#REF!,COUNTA(#REF!))</definedName>
    <definedName name="DaterangeMA">INDEX(#REF!,COUNTA(#REF!)-#REF!+1):INDEX(#REF!,COUNTA(#REF!))</definedName>
    <definedName name="DateRangeMAYR">INDEX(#REF!,COUNTA(#REF!)-#REF!+1):INDEX(#REF!,COUNTA(#REF!))</definedName>
    <definedName name="DaterangeMM">INDEX(#REF!,COUNTA(#REF!)-#REF!+1):INDEX(#REF!,COUNTA(#REF!))</definedName>
    <definedName name="DaterangeMMYR">INDEX(#REF!,COUNTA(#REF!)-#REF!+1):INDEX(#REF!,COUNTA(#REF!))</definedName>
    <definedName name="DateRangeSLTL">INDEX(#REF!,COUNTA(#REF!)-#REF!+1):INDEX(#REF!,COUNTA(#REF!))</definedName>
    <definedName name="DATERANGESLTL_YR">INDEX(#REF!,COUNTA(#REF!)-#REF!+1):INDEX(#REF!,COUNTA(#REF!))</definedName>
    <definedName name="DaterangeSP">INDEX(#REF!,COUNTA(#REF!)-#REF!+1):INDEX(#REF!,COUNTA(#REF!))</definedName>
    <definedName name="daterangeSPYR">INDEX(#REF!,COUNTA(#REF!)-#REF!+1):INDEX(#REF!,COUNTA(#REF!))</definedName>
    <definedName name="DaterangeYR">INDEX(#REF!,COUNTA(#REF!)-#REF!+1):INDEX(#REF!,COUNTA(#REF!))</definedName>
    <definedName name="Dates_B_and_BB">OFFSET(#REF!,COUNTA(#REF!)-3,0,-61,1)</definedName>
    <definedName name="Dates_CovLite">OFFSET(#REF!,COUNT(#REF!)-1,0,-61,1)</definedName>
    <definedName name="Dates_FL_SL">OFFSET(#REF!,COUNT(#REF!)-1,0,-61,1)</definedName>
    <definedName name="Dates_FL_SL_B">OFFSET(#REF!,COUNT(#REF!)-1,0,-61,1)</definedName>
    <definedName name="Dates_LC">OFFSET(#REF!,COUNT(#REF!)-1,0,-61,1)</definedName>
    <definedName name="dd">#REF!</definedName>
    <definedName name="de">INDEX(#REF!,COUNTA(#REF!)-#REF!+1):INDEX(#REF!,COUNTA(#REF!))</definedName>
    <definedName name="Deal_Flow_New">OFFSET(#REF!,0,0,COUNTA(#REF!)-1,COUNTA(#REF!))</definedName>
    <definedName name="Deal_Flow_New2">OFFSET(#REF!,0,0,COUNTA(#REF!)-1,COUNTA(#REF!))</definedName>
    <definedName name="Deal_Types">OFFSET(#REF!,0,0,COUNTA(#REF!),6)</definedName>
    <definedName name="Denominator">#REF!</definedName>
    <definedName name="DLX1.USE">#REF!</definedName>
    <definedName name="DownloadedOn">#REF!</definedName>
    <definedName name="DownlodedOn">#REF!</definedName>
    <definedName name="dsBlueHeaderTitle">#REF!</definedName>
    <definedName name="dynamic">OFFSET(#REF!,,,COUNTA(#REF!),COUNTA(#REF!))</definedName>
    <definedName name="DynamicPipe">OFFSET(#REF!,,,COUNTA(#REF!),COUNTA(#REF!))</definedName>
    <definedName name="DynamicPipeline">OFFSET(#REF!,,,COUNTA(#REF!),COUNTA(#REF!))</definedName>
    <definedName name="EuroDynamic">OFFSET(#REF!,0,0,COUNTA(#REF!)-1,COUNTA(#REF!)+1)</definedName>
    <definedName name="EUROIVOLUME">INDEX(#REF!,COUNTA(#REF!)-#REF!+1):INDEX(#REF!,COUNTA(#REF!))</definedName>
    <definedName name="EUROIVOLUME_YR">INDEX(#REF!,COUNTA(#REF!)-#REF!+1):INDEX(#REF!,COUNTA(#REF!))</definedName>
    <definedName name="EUROPRVOLUME">INDEX(#REF!,COUNTA(#REF!)-#REF!+1):INDEX(#REF!,COUNTA(#REF!))</definedName>
    <definedName name="EUROPRVOLUME_YR">INDEX(#REF!,COUNTA(#REF!)-#REF!+1):INDEX(#REF!,COUNTA(#REF!))</definedName>
    <definedName name="EUROQTR">#REF!</definedName>
    <definedName name="EUROVOL">#REF!</definedName>
    <definedName name="EUROVOLUMEMN">#REF!</definedName>
    <definedName name="EUROVOLYR">#REF!</definedName>
    <definedName name="ExitYear">OFFSET(#REF!,0,0,COUNTA(#REF!)-1,8)</definedName>
    <definedName name="Extrap_Lookup">OFFSET(#REF!,0,0,COUNTA(#REF!)-1,COUNTA(#REF!)-2)</definedName>
    <definedName name="Extrap_Lookup2">OFFSET(#REF!,0,0,COUNTA(#REF!)-1,COUNTA(#REF!)-2)</definedName>
    <definedName name="Financing_Status">OFFSET(#REF!,0,0,COUNTA(#REF!),2)</definedName>
    <definedName name="flData">#REF!</definedName>
    <definedName name="flDataBottom">#REF!</definedName>
    <definedName name="flow" hidden="1">"LIPPER 2014 shared version.xls"</definedName>
    <definedName name="Formatted">INDEX(#REF!,COUNTA(#REF!)-#REF!+1):INDEX(#REF!,COUNTA(#REF!))</definedName>
    <definedName name="Former_Investor">OFFSET(#REF!,0,0,COUNTA(#REF!),1)</definedName>
    <definedName name="Forward_Calendar_Date">OFFSET(#REF!, COUNTA(#REF!)-1,0,-53,1)</definedName>
    <definedName name="Forward_Calendar_Volume">OFFSET(#REF!, COUNTA(#REF!)-1,0,-53,1)</definedName>
    <definedName name="fsdgsdf">#REF!</definedName>
    <definedName name="Fundraising_Data">OFFSET(#REF!,0,0,COUNTA(#REF!)-1,COUNTA(#REF!))</definedName>
    <definedName name="g">#REF!</definedName>
    <definedName name="gfdsgdf">#REF!</definedName>
    <definedName name="ggg">INDEX(#REF!,COUNTA(#REF!)-#REF!+1):INDEX(#REF!,COUNTA(#REF!))</definedName>
    <definedName name="gghjh">#REF!</definedName>
    <definedName name="gh">INDEX(#REF!,COUNTA(#REF!)-#REF!+1):INDEX(#REF!,COUNTA(#REF!))</definedName>
    <definedName name="gsdfgs">#REF!</definedName>
    <definedName name="gsdfsd">#REF!</definedName>
    <definedName name="gsdgsd">#REF!</definedName>
    <definedName name="h" hidden="1">"LIPPER 2014 shared version.xls"</definedName>
    <definedName name="HYdaily">OFFSET(#REF!,COUNTA(#REF!)-1,0,-254,1)</definedName>
    <definedName name="HYQTR">#REF!</definedName>
    <definedName name="HYVolMN">#REF!</definedName>
    <definedName name="HYVolumeYR">#REF!</definedName>
    <definedName name="Imputed">OFFSET(#REF!,COUNTA(#REF!)-1,0,-47,1)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"hexion"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42233.8803240741</definedName>
    <definedName name="IQ_NAMES_REVISION_DATE__1" hidden="1">41578.8845486111</definedName>
    <definedName name="IQ_NAMES_REVISION_DATE__1_1" hidden="1">43038.5379513889</definedName>
    <definedName name="IQ_NAMES_REVISION_DATE__1_1_1" hidden="1">41578.8845486111</definedName>
    <definedName name="IQ_NAMES_REVISION_DATE__1_1_1_1" hidden="1">43038.5379513889</definedName>
    <definedName name="IQ_NAMES_REVISION_DATE__1_1_1_1_1" hidden="1">41578.8845486111</definedName>
    <definedName name="IQ_NAMES_REVISION_DATE__1_1_2" hidden="1">43858.8338425926</definedName>
    <definedName name="IQ_NAMES_REVISION_DATE__1_2" hidden="1">41578.5393981481</definedName>
    <definedName name="IQ_NAMES_REVISION_DATE__2" hidden="1">41578.5393981481</definedName>
    <definedName name="IQ_NAMES_REVISION_DATE__2_1" hidden="1">41578.8845486111</definedName>
    <definedName name="IQ_NAMES_REVISION_DATE__3" hidden="1">42493.0614351852</definedName>
    <definedName name="IQ_NAMES_REVISION_DATE__3_1" hidden="1">42493.0614351852</definedName>
    <definedName name="IQ_NAMES_REVISION_DATE__4" hidden="1">43858.8338425926</definedName>
    <definedName name="IQ_NAMES_REVISION_DATE__4_1" hidden="1">43857.5293865741</definedName>
    <definedName name="IQ_NAMES_REVISION_DATE__5" hidden="1">43700.5408564815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"c5615"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_REUT" hidden="1">"c5375"</definedName>
    <definedName name="IQ_NI_GW_GUIDANCE" hidden="1">"c4471"</definedName>
    <definedName name="IQ_NI_GW_HIGH_EST_REUT" hidden="1">"c5377"</definedName>
    <definedName name="IQ_NI_GW_HIGH_GUIDANCE" hidden="1">"c4178"</definedName>
    <definedName name="IQ_NI_GW_LOW_EST_REUT" hidden="1">"c5378"</definedName>
    <definedName name="IQ_NI_GW_LOW_GUIDANCE" hidden="1">"c4218"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" hidden="1">39545.6064814815</definedName>
    <definedName name="IQ_REVISION_DATE_" hidden="1">39545.6064814815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volumeMM">INDEX(#REF!,COUNTA(#REF!)-#REF!+1):INDEX(#REF!,COUNTA(#REF!))</definedName>
    <definedName name="IvolumeMMYR">INDEX(#REF!,COUNTA(#REF!)-#REF!+1):INDEX(#REF!,COUNTA(#REF!))</definedName>
    <definedName name="IvolumeSP">INDEX(#REF!,COUNTA(#REF!)-#REF!+1):INDEX(#REF!,COUNTA(#REF!))</definedName>
    <definedName name="ivolumeSPYR">INDEX(#REF!,COUNTA(#REF!)-#REF!+1):INDEX(#REF!,COUNTA(#REF!))</definedName>
    <definedName name="k">INDEX(#REF!,COUNTA(#REF!)-#REF!+1):INDEX(#REF!,COUNTA(#REF!))</definedName>
    <definedName name="l">INDEX(#REF!,COUNTA(#REF!)-#REF!+1):INDEX(#REF!,COUNTA(#REF!))</definedName>
    <definedName name="LastCell">#REF!</definedName>
    <definedName name="loanvolume">INDEX(#REF!,COUNTA(#REF!)-#REF!+1):INDEX(#REF!,COUNTA(#REF!))</definedName>
    <definedName name="LoanYieldDaily">OFFSET(#REF!,COUNTA(#REF!)-1,0,-254,1)</definedName>
    <definedName name="LTMAmount">OFFSET(#REF!,COUNTA(#REF!)-1,0,-47,1)</definedName>
    <definedName name="LTMCount">OFFSET(#REF!,COUNTA(#REF!)-1,0,-47,1)</definedName>
    <definedName name="MAIVolume">INDEX(#REF!,COUNTA(#REF!)-#REF!+1):INDEX(#REF!,COUNTA(#REF!))</definedName>
    <definedName name="MAIVolumeYR">INDEX(#REF!,COUNTA(#REF!)-#REF!+1):INDEX(#REF!,COUNTA(#REF!))</definedName>
    <definedName name="MAPRVol">INDEX(#REF!,COUNTA(#REF!)-#REF!+1):INDEX(#REF!,COUNTA(#REF!))</definedName>
    <definedName name="MAPRVolYR">INDEX(#REF!,COUNTA(#REF!)-#REF!+1):INDEX(#REF!,COUNTA(#REF!))</definedName>
    <definedName name="MAQTR">#REF!</definedName>
    <definedName name="MMQTR">#REF!</definedName>
    <definedName name="MMVolMN">#REF!</definedName>
    <definedName name="MMVolumeYR">#REF!</definedName>
    <definedName name="NUMBERQTR">#REF!</definedName>
    <definedName name="o">#REF!</definedName>
    <definedName name="ok">OFFSET(#REF!,0,0,COUNTA(#REF!)-1,COUNTA(#REF!)-2)</definedName>
    <definedName name="Ownership_Status">OFFSET(#REF!,0,0,COUNTA(#REF!),2)</definedName>
    <definedName name="p">OFFSET(#REF!,0,0,COUNTA(#REF!),COUNTA(#REF!))</definedName>
    <definedName name="Page_20_18_29">OFFSET(#REF!,0,0,COUNTA(#REF!)-17)</definedName>
    <definedName name="Page_20_30_39">OFFSET(#REF!,0,0,COUNTA(#REF!)-17)</definedName>
    <definedName name="Page_20_40_49">OFFSET(#REF!,0,0,COUNTA(#REF!)-17)</definedName>
    <definedName name="Page_20_50_59">OFFSET(#REF!,0,0,COUNTA(#REF!)-17)</definedName>
    <definedName name="Page_20_60_69">OFFSET(#REF!,0,0,COUNTA(#REF!)-17)</definedName>
    <definedName name="Page_20_70plus">OFFSET(#REF!,0,0,COUNTA(#REF!)-17)</definedName>
    <definedName name="Page_22_18">OFFSET(#REF!,0,0,COUNTA(#REF!)-13)</definedName>
    <definedName name="Page_22_30">OFFSET(#REF!,0,0,COUNTA(#REF!)-13)</definedName>
    <definedName name="Page_22_40">OFFSET(#REF!,0,0,COUNTA(#REF!)-13)</definedName>
    <definedName name="Page_22_50">OFFSET(#REF!,0,0,COUNTA(#REF!)-13)</definedName>
    <definedName name="Page_22_60">OFFSET(#REF!,0,0,COUNTA(#REF!)-13)</definedName>
    <definedName name="Page_22_70">OFFSET(#REF!,0,0,COUNTA(#REF!)-13)</definedName>
    <definedName name="Page_22_Date">OFFSET(#REF!,0,0,COUNTA(#REF!)-15)</definedName>
    <definedName name="Page_23_18">OFFSET(#REF!,0,0,COUNTA(#REF!)-13)</definedName>
    <definedName name="Page_23_30">OFFSET(#REF!,0,0,COUNTA(#REF!)-13)</definedName>
    <definedName name="Page_23_40">OFFSET(#REF!,0,0,COUNTA(#REF!)-13)</definedName>
    <definedName name="Page_23_50">OFFSET(#REF!,0,0,COUNTA(#REF!)-13)</definedName>
    <definedName name="Page_23_60">OFFSET(#REF!,0,0,COUNTA(#REF!)-13)</definedName>
    <definedName name="Page_23_70">OFFSET(#REF!,0,0,COUNTA(#REF!)-13)</definedName>
    <definedName name="Page_23_Date">OFFSET(#REF!,0,0,COUNTA(#REF!)-15)</definedName>
    <definedName name="Page_24_18">OFFSET(#REF!,0,0,COUNTA(#REF!)-13)</definedName>
    <definedName name="Page_24_30">OFFSET(#REF!,0,0,COUNTA(#REF!)-13)</definedName>
    <definedName name="Page_24_40">OFFSET(#REF!,0,0,COUNTA(#REF!)-13)</definedName>
    <definedName name="Page_24_50">OFFSET(#REF!,0,0,COUNTA(#REF!)-13)</definedName>
    <definedName name="Page_24_60">OFFSET(#REF!,0,0,COUNTA(#REF!)-13)</definedName>
    <definedName name="Page_24_70">OFFSET(#REF!,0,0,COUNTA(#REF!)-13)</definedName>
    <definedName name="Page_24_Date">OFFSET(#REF!,0,0,COUNTA(#REF!)-15)</definedName>
    <definedName name="Page_25_18">OFFSET(#REF!,0,0,COUNTA(#REF!)-13)</definedName>
    <definedName name="Page_25_30">OFFSET(#REF!,0,0,COUNTA(#REF!)-13)</definedName>
    <definedName name="Page_25_40">OFFSET(#REF!,0,0,COUNTA(#REF!)-13)</definedName>
    <definedName name="Page_25_50">OFFSET(#REF!,0,0,COUNTA(#REF!)-13)</definedName>
    <definedName name="Page_25_60">OFFSET(#REF!,0,0,COUNTA(#REF!)-13)</definedName>
    <definedName name="Page_25_70">OFFSET(#REF!,0,0,COUNTA(#REF!)-13)</definedName>
    <definedName name="Page_25_all">OFFSET(#REF!,0,0,COUNTA(#REF!)-13)</definedName>
    <definedName name="Page_25_Date">OFFSET(#REF!,0,0,COUNTA(#REF!)-15)</definedName>
    <definedName name="Page_26_18">OFFSET(#REF!,0,0,COUNTA(#REF!)-13)</definedName>
    <definedName name="Page_26_30">OFFSET(#REF!,0,0,COUNTA(#REF!)-13)</definedName>
    <definedName name="Page_26_40">OFFSET(#REF!,0,0,COUNTA(#REF!)-13)</definedName>
    <definedName name="Page_26_50">OFFSET(#REF!,0,0,COUNTA(#REF!)-13)</definedName>
    <definedName name="Page_26_60">OFFSET(#REF!,0,0,COUNTA(#REF!)-13)</definedName>
    <definedName name="Page_26_70">OFFSET(#REF!,0,0,COUNTA(#REF!)-13)</definedName>
    <definedName name="Page_26_all">OFFSET(#REF!,0,0,COUNTA(#REF!)-13)</definedName>
    <definedName name="Page_26_Date">OFFSET(#REF!,0,0,COUNTA(#REF!)-15)</definedName>
    <definedName name="Page_27_18">OFFSET(#REF!,0,0,COUNTA(#REF!)-13)</definedName>
    <definedName name="Page_27_30">OFFSET(#REF!,0,0,COUNTA(#REF!)-13)</definedName>
    <definedName name="Page_27_40">OFFSET(#REF!,0,0,COUNTA(#REF!)-13)</definedName>
    <definedName name="Page_27_50">OFFSET(#REF!,0,0,COUNTA(#REF!)-13)</definedName>
    <definedName name="Page_27_60">OFFSET(#REF!,0,0,COUNTA(#REF!)-13)</definedName>
    <definedName name="Page_27_70">OFFSET(#REF!,0,0,COUNTA(#REF!)-13)</definedName>
    <definedName name="Page_27_all">OFFSET(#REF!,0,0,COUNTA(#REF!)-13)</definedName>
    <definedName name="Page_27_Date">OFFSET(#REF!,0,0,COUNTA(#REF!)-15)</definedName>
    <definedName name="Page_28_18">OFFSET(#REF!,0,0,COUNTA(#REF!)-17)</definedName>
    <definedName name="Page_28_30">OFFSET(#REF!,0,0,COUNTA(#REF!)-17)</definedName>
    <definedName name="Page_28_40">OFFSET(#REF!,0,0,COUNTA(#REF!)-17)</definedName>
    <definedName name="Page_28_50">OFFSET(#REF!,0,0,COUNTA(#REF!)-17)</definedName>
    <definedName name="Page_28_all">OFFSET(#REF!,0,0,COUNTA(#REF!)-17)</definedName>
    <definedName name="Page_28_Date">OFFSET(#REF!,0,0,COUNTA(#REF!)-15)</definedName>
    <definedName name="Page_29_18">OFFSET(#REF!,0,0,COUNTA(#REF!)-13)</definedName>
    <definedName name="Page_29_30">OFFSET(#REF!,0,0,COUNTA(#REF!)-13)</definedName>
    <definedName name="Page_29_40">OFFSET(#REF!,0,0,COUNTA(#REF!)-13)</definedName>
    <definedName name="Page_29_50">OFFSET(#REF!,0,0,COUNTA(#REF!)-13)</definedName>
    <definedName name="Page_29_60">OFFSET(#REF!,0,0,COUNTA(#REF!)-13)</definedName>
    <definedName name="Page_29_70">OFFSET(#REF!,0,0,COUNTA(#REF!)-13)</definedName>
    <definedName name="Page_29_Date">OFFSET(#REF!,0,0,COUNTA(#REF!)-15)</definedName>
    <definedName name="Page_30_18">OFFSET(#REF!,0,0,COUNTA(#REF!)-13)</definedName>
    <definedName name="Page_30_30">OFFSET(#REF!,0,0,COUNTA(#REF!)-13)</definedName>
    <definedName name="Page_30_40">OFFSET(#REF!,0,0,COUNTA(#REF!)-13)</definedName>
    <definedName name="Page_30_50">OFFSET(#REF!,0,0,COUNTA(#REF!)-13)</definedName>
    <definedName name="Page_30_60">OFFSET(#REF!,0,0,COUNTA(#REF!)-13)</definedName>
    <definedName name="Page_30_70">OFFSET(#REF!,0,0,COUNTA(#REF!)-13)</definedName>
    <definedName name="Page_30_Date">OFFSET(#REF!,0,0,COUNTA(#REF!)-15)</definedName>
    <definedName name="Page10_CCavailable">OFFSET(#REF!,0,0,COUNTA(#REF!)+65)</definedName>
    <definedName name="Page10_CCbalance">OFFSET(#REF!,0,0,COUNTA(#REF!)+65)</definedName>
    <definedName name="Page10_CClimit">OFFSET(#REF!,0,0,COUNTA(#REF!)+65)</definedName>
    <definedName name="Page10_Date">OFFSET(#REF!,0,0,COUNTA(#REF!)+63)</definedName>
    <definedName name="Page10_HELOC">OFFSET(#REF!,0,0,COUNTA(#REF!)+65)</definedName>
    <definedName name="Page10_HELOCavailable">OFFSET(#REF!,0,0,COUNTA(#REF!)+65)</definedName>
    <definedName name="Page10_HELOClimit">OFFSET(#REF!,0,0,COUNTA(#REF!)+65)</definedName>
    <definedName name="Page11_120">OFFSET(#REF!,0,0,COUNTA(#REF!)-1)</definedName>
    <definedName name="Page11_30">OFFSET(#REF!,0,0,COUNTA(#REF!)-1)</definedName>
    <definedName name="Page11_60">OFFSET(#REF!,0,0,COUNTA(#REF!)-1)</definedName>
    <definedName name="Page11_90">OFFSET(#REF!,0,0,COUNTA(#REF!)-1)</definedName>
    <definedName name="Page11_Current">OFFSET(#REF!,0,0,COUNTA(#REF!)-1)</definedName>
    <definedName name="Page11_Date">OFFSET(#REF!,0,0,COUNTA(#REF!)-3)</definedName>
    <definedName name="Page11_SD">OFFSET(#REF!,0,0,COUNTA(#REF!)-1)</definedName>
    <definedName name="Page12_Auto">OFFSET(#REF!,0,0,COUNTA(#REF!)-1)</definedName>
    <definedName name="Page12_CC">OFFSET(#REF!,0,0,COUNTA(#REF!)-1)</definedName>
    <definedName name="Page12_Date">OFFSET(#REF!,0,0,COUNTA(#REF!)-3)</definedName>
    <definedName name="Page12_HELOC">OFFSET(#REF!,0,0,COUNTA(#REF!)-1)</definedName>
    <definedName name="Page12_Mortgage">OFFSET(#REF!,0,0,COUNTA(#REF!)-1)</definedName>
    <definedName name="Page12_Other">OFFSET(#REF!,0,0,COUNTA(#REF!)-1)</definedName>
    <definedName name="Page12_SL">OFFSET(#REF!,0,0,COUNTA(#REF!)-1)</definedName>
    <definedName name="Page13_Auto">OFFSET(#REF!,0,0,COUNTA(#REF!)-1)</definedName>
    <definedName name="Page13_CC">OFFSET(#REF!,0,0,COUNTA(#REF!)-1)</definedName>
    <definedName name="Page13_Date">OFFSET(#REF!,0,0,COUNTA(#REF!)-4)</definedName>
    <definedName name="Page13_HELOC">OFFSET(#REF!,0,0,COUNTA(#REF!)-2)</definedName>
    <definedName name="Page13_Mortgage">OFFSET(#REF!,0,0,COUNTA(#REF!)-1)</definedName>
    <definedName name="Page13_Other">OFFSET(#REF!,0,0,COUNTA(#REF!)-1)</definedName>
    <definedName name="Page13_SL">OFFSET(#REF!,0,0,COUNTA(#REF!)+3)</definedName>
    <definedName name="Page14_Auto">OFFSET(#REF!,0,0,COUNTA(#REF!)-1)</definedName>
    <definedName name="Page14_CC">OFFSET(#REF!,0,0,COUNTA(#REF!)-1)</definedName>
    <definedName name="Page14_Date">OFFSET(#REF!,0,0,COUNTA(#REF!)-4)</definedName>
    <definedName name="Page14_HELOC">OFFSET(#REF!,0,0,COUNTA(#REF!)-2)</definedName>
    <definedName name="Page14_Mortgage">OFFSET(#REF!,0,0,COUNTA(#REF!)-1)</definedName>
    <definedName name="Page14_Other">OFFSET(#REF!,0,0,COUNTA(#REF!)-1)</definedName>
    <definedName name="Page14_SL">OFFSET(#REF!,0,0,COUNTA(#REF!)+3)</definedName>
    <definedName name="Page15_3060">OFFSET(#REF!,0,0,COUNTA(#REF!)-1)</definedName>
    <definedName name="Page15_90">OFFSET(#REF!,0,0,COUNTA(#REF!)-1)</definedName>
    <definedName name="Page15_Date">OFFSET(#REF!,0,0,COUNTA(#REF!)-3)</definedName>
    <definedName name="Page16_90">OFFSET(#REF!,0,0,COUNTA(#REF!)-1)</definedName>
    <definedName name="Page16_Current">OFFSET(#REF!,0,0,COUNTA(#REF!)-1)</definedName>
    <definedName name="Page16_Date">OFFSET(#REF!,0,0,COUNTA(#REF!)-3)</definedName>
    <definedName name="Page17" hidden="1">#REF!</definedName>
    <definedName name="Page17_Bankruptcy">OFFSET(#REF!,0,0,COUNTA(#REF!)-1)</definedName>
    <definedName name="Page17_Date">OFFSET(#REF!,0,0,COUNTA(#REF!)-3)</definedName>
    <definedName name="Page17_Foreclosure">OFFSET(#REF!,0,0,COUNTA(#REF!)-1)</definedName>
    <definedName name="Page18_avgcollection">OFFSET(#REF!,0,0,COUNTA(#REF!)-1)</definedName>
    <definedName name="Page18_Date">OFFSET(#REF!,0,0,COUNTA(#REF!)-3)</definedName>
    <definedName name="Page18_numcollection">OFFSET(#REF!,0,0,COUNTA(#REF!)-1)</definedName>
    <definedName name="Page20_Date">OFFSET(#REF!,0,0,COUNTA(#REF!)-19)</definedName>
    <definedName name="Page21_Age">OFFSET(#REF!,0,0,1,COUNTA(#REF!))</definedName>
    <definedName name="Page21_Auto">OFFSET(#REF!,0,0,1,COUNTA(#REF!))</definedName>
    <definedName name="Page21_CC">OFFSET(#REF!,0,0,1,COUNTA(#REF!))</definedName>
    <definedName name="Page21_HELOC">OFFSET(#REF!,0,0,1,COUNTA(#REF!))</definedName>
    <definedName name="Page21_Mortgage">OFFSET(#REF!,0,0,1,COUNTA(#REF!))</definedName>
    <definedName name="Page21_Other">OFFSET(#REF!,0,0,1,COUNTA(#REF!))</definedName>
    <definedName name="Page21_SL">OFFSET(#REF!,0,0,1,COUNTA(#REF!))</definedName>
    <definedName name="Page3_Auto">OFFSET(#REF!,0,0,COUNTA(#REF!)-1)</definedName>
    <definedName name="Page3_CC">OFFSET(#REF!,0,0,COUNTA(#REF!)-1)</definedName>
    <definedName name="Page3_Date">OFFSET(#REF!,0,0,COUNTA(#REF!)-1)</definedName>
    <definedName name="Page3_HELOC">OFFSET(#REF!,0,0,COUNTA(#REF!)-1)</definedName>
    <definedName name="Page3_Mortgage">OFFSET(#REF!,0,0,COUNTA(#REF!)-1)</definedName>
    <definedName name="Page3_Other">OFFSET(#REF!,0,0,COUNTA(#REF!)-1)</definedName>
    <definedName name="Page3_SL">OFFSET(#REF!,0,0,COUNTA(#REF!)-1)</definedName>
    <definedName name="Page3_Total">OFFSET(#REF!,0,0,COUNTA(#REF!)-1)</definedName>
    <definedName name="Page32_All">OFFSET(#REF!,0,0,1,COUNTA(#REF!))</definedName>
    <definedName name="Page32_AZ">OFFSET(#REF!,0,0,1,COUNTA(#REF!))</definedName>
    <definedName name="Page32_CA">OFFSET(#REF!,0,0,1,COUNTA(#REF!))</definedName>
    <definedName name="Page32_Date">OFFSET(#REF!,0,0,1,COUNTA(#REF!))</definedName>
    <definedName name="Page32_FL">OFFSET(#REF!,0,0,1,COUNTA(#REF!))</definedName>
    <definedName name="Page32_IL">OFFSET(#REF!,0,0,1,COUNTA(#REF!))</definedName>
    <definedName name="Page32_MI">OFFSET(#REF!,0,0,1,COUNTA(#REF!))</definedName>
    <definedName name="Page32_NJ">OFFSET(#REF!,0,0,1,COUNTA(#REF!))</definedName>
    <definedName name="Page32_NV">OFFSET(#REF!,0,0,1,COUNTA(#REF!))</definedName>
    <definedName name="Page32_NY">OFFSET(#REF!,0,0,1,COUNTA(#REF!))</definedName>
    <definedName name="Page32_OH">OFFSET(#REF!,0,0,1,COUNTA(#REF!))</definedName>
    <definedName name="Page32_PA">OFFSET(#REF!,0,0,1,COUNTA(#REF!))</definedName>
    <definedName name="Page32_TX">OFFSET(#REF!,0,0,1,COUNTA(#REF!))</definedName>
    <definedName name="Page33_Auto">OFFSET(#REF!,0,0,COUNTA(#REF!)-1)</definedName>
    <definedName name="Page33_CC">OFFSET(#REF!,0,0,COUNTA(#REF!)-1)</definedName>
    <definedName name="Page33_HELOC">OFFSET(#REF!,0,0,COUNTA(#REF!)-1)</definedName>
    <definedName name="Page33_Mortgage">OFFSET(#REF!,0,0,COUNTA(#REF!)-1)</definedName>
    <definedName name="Page33_Other">OFFSET(#REF!,0,0,COUNTA(#REF!)-1)</definedName>
    <definedName name="Page33_SL">OFFSET(#REF!,0,0,COUNTA(#REF!)-1)</definedName>
    <definedName name="Page33_State">OFFSET(#REF!,0,0,COUNTA(#REF!)-5)</definedName>
    <definedName name="Page34_120">OFFSET(#REF!,0,0,COUNTA(#REF!)-1)</definedName>
    <definedName name="Page34_30">OFFSET(#REF!,0,0,COUNTA(#REF!)-1)</definedName>
    <definedName name="Page34_60">OFFSET(#REF!,0,0,COUNTA(#REF!)-1)</definedName>
    <definedName name="Page34_90">OFFSET(#REF!,0,0,COUNTA(#REF!)-1)</definedName>
    <definedName name="Page34_Current">OFFSET(#REF!,0,0,COUNTA(#REF!)-1)</definedName>
    <definedName name="Page34_Severe">OFFSET(#REF!,0,0,COUNTA(#REF!)-1)</definedName>
    <definedName name="Page34_State">OFFSET(#REF!,0,0,COUNTA(#REF!)-5)</definedName>
    <definedName name="Page35_All">OFFSET(#REF!,0,0,1,COUNTA(#REF!))</definedName>
    <definedName name="Page35_AZ">OFFSET(#REF!,0,0,1,COUNTA(#REF!))</definedName>
    <definedName name="Page35_CA">OFFSET(#REF!,0,0,1,COUNTA(#REF!))</definedName>
    <definedName name="Page35_Date">OFFSET(#REF!,0,0,1,COUNTA(#REF!))</definedName>
    <definedName name="Page35_FL">OFFSET(#REF!,0,0,1,COUNTA(#REF!))</definedName>
    <definedName name="Page35_IL">OFFSET(#REF!,0,0,1,COUNTA(#REF!))</definedName>
    <definedName name="Page35_MI">OFFSET(#REF!,0,0,1,COUNTA(#REF!))</definedName>
    <definedName name="Page35_NJ">OFFSET(#REF!,0,0,1,COUNTA(#REF!))</definedName>
    <definedName name="Page35_NV">OFFSET(#REF!,0,0,1,COUNTA(#REF!))</definedName>
    <definedName name="Page35_NY">OFFSET(#REF!,0,0,1,COUNTA(#REF!))</definedName>
    <definedName name="Page35_OH">OFFSET(#REF!,0,0,1,COUNTA(#REF!))</definedName>
    <definedName name="Page35_PA">OFFSET(#REF!,0,0,1,COUNTA(#REF!))</definedName>
    <definedName name="Page35_TX">OFFSET(#REF!,0,0,1,COUNTA(#REF!))</definedName>
    <definedName name="Page36_All">OFFSET(#REF!,0,0,1,COUNTA(#REF!))</definedName>
    <definedName name="Page36_AZ">OFFSET(#REF!,0,0,1,COUNTA(#REF!))</definedName>
    <definedName name="Page36_CA">OFFSET(#REF!,0,0,1,COUNTA(#REF!))</definedName>
    <definedName name="Page36_Date">OFFSET(#REF!,0,0,1,COUNTA(#REF!))</definedName>
    <definedName name="Page36_FL">OFFSET(#REF!,0,0,1,COUNTA(#REF!))</definedName>
    <definedName name="Page36_IL">OFFSET(#REF!,0,0,1,COUNTA(#REF!))</definedName>
    <definedName name="Page36_MI">OFFSET(#REF!,0,0,1,COUNTA(#REF!))</definedName>
    <definedName name="Page36_NJ">OFFSET(#REF!,0,0,1,COUNTA(#REF!))</definedName>
    <definedName name="Page36_NV">OFFSET(#REF!,0,0,1,COUNTA(#REF!))</definedName>
    <definedName name="Page36_NY">OFFSET(#REF!,0,0,1,COUNTA(#REF!))</definedName>
    <definedName name="Page36_OH">OFFSET(#REF!,0,0,1,COUNTA(#REF!))</definedName>
    <definedName name="Page36_PA">OFFSET(#REF!,0,0,1,COUNTA(#REF!))</definedName>
    <definedName name="Page36_TX">OFFSET(#REF!,0,0,1,COUNTA(#REF!))</definedName>
    <definedName name="Page37_AZ">OFFSET(#REF!,0,0,1,COUNTA(#REF!))</definedName>
    <definedName name="Page37_CA">OFFSET(#REF!,0,0,1,COUNTA(#REF!))</definedName>
    <definedName name="Page37_Date">OFFSET(#REF!,0,0,1,COUNTA(#REF!))</definedName>
    <definedName name="Page37_FL">OFFSET(#REF!,0,0,1,COUNTA(#REF!))</definedName>
    <definedName name="Page37_IL">OFFSET(#REF!,0,0,1,COUNTA(#REF!))</definedName>
    <definedName name="Page37_MI">OFFSET(#REF!,0,0,1,COUNTA(#REF!))</definedName>
    <definedName name="Page37_NJ">OFFSET(#REF!,0,0,1,COUNTA(#REF!))</definedName>
    <definedName name="Page37_NV">OFFSET(#REF!,0,0,1,COUNTA(#REF!))</definedName>
    <definedName name="Page37_NY">OFFSET(#REF!,0,0,1,COUNTA(#REF!))</definedName>
    <definedName name="Page37_OH">OFFSET(#REF!,0,0,1,COUNTA(#REF!))</definedName>
    <definedName name="Page37_PA">OFFSET(#REF!,0,0,1,COUNTA(#REF!))</definedName>
    <definedName name="Page37_TX">OFFSET(#REF!,0,0,1,COUNTA(#REF!))</definedName>
    <definedName name="Page37_US">OFFSET(#REF!,0,0,1,COUNTA(#REF!))</definedName>
    <definedName name="Page38_AZ">OFFSET(#REF!,0,0,1,COUNTA(#REF!))</definedName>
    <definedName name="Page38_CA">OFFSET(#REF!,0,0,1,COUNTA(#REF!))</definedName>
    <definedName name="Page38_Date">OFFSET(#REF!,0,0,1,COUNTA(#REF!))</definedName>
    <definedName name="Page38_FL">OFFSET(#REF!,0,0,1,COUNTA(#REF!))</definedName>
    <definedName name="Page38_IL">OFFSET(#REF!,0,0,1,COUNTA(#REF!))</definedName>
    <definedName name="Page38_MI">OFFSET(#REF!,0,0,1,COUNTA(#REF!))</definedName>
    <definedName name="Page38_NJ">OFFSET(#REF!,0,0,1,COUNTA(#REF!))</definedName>
    <definedName name="Page38_NV">OFFSET(#REF!,0,0,1,COUNTA(#REF!))</definedName>
    <definedName name="Page38_NY">OFFSET(#REF!,0,0,1,COUNTA(#REF!))</definedName>
    <definedName name="Page38_OH">OFFSET(#REF!,0,0,1,COUNTA(#REF!))</definedName>
    <definedName name="Page38_PA">OFFSET(#REF!,0,0,1,COUNTA(#REF!))</definedName>
    <definedName name="Page38_TX">OFFSET(#REF!,0,0,1,COUNTA(#REF!))</definedName>
    <definedName name="Page38_US">OFFSET(#REF!,0,0,1,COUNTA(#REF!))</definedName>
    <definedName name="Page39_ALL">OFFSET(#REF!,0,0,1,COUNTA(#REF!))</definedName>
    <definedName name="Page39_AZ">OFFSET(#REF!,0,0,1,COUNTA(#REF!))</definedName>
    <definedName name="Page39_CA">OFFSET(#REF!,0,0,1,COUNTA(#REF!))</definedName>
    <definedName name="Page39_Date">OFFSET(#REF!,0,0,1,COUNTA(#REF!))</definedName>
    <definedName name="Page39_FL">OFFSET(#REF!,0,0,1,COUNTA(#REF!))</definedName>
    <definedName name="Page39_IL">OFFSET(#REF!,0,0,1,COUNTA(#REF!))</definedName>
    <definedName name="Page39_MI">OFFSET(#REF!,0,0,1,COUNTA(#REF!))</definedName>
    <definedName name="Page39_NJ">OFFSET(#REF!,0,0,1,COUNTA(#REF!))</definedName>
    <definedName name="Page39_NV">OFFSET(#REF!,0,0,1,COUNTA(#REF!))</definedName>
    <definedName name="Page39_NY">OFFSET(#REF!,0,0,1,COUNTA(#REF!))</definedName>
    <definedName name="Page39_OH">OFFSET(#REF!,0,0,1,COUNTA(#REF!))</definedName>
    <definedName name="Page39_PA">OFFSET(#REF!,0,0,1,COUNTA(#REF!))</definedName>
    <definedName name="Page39_TX">OFFSET(#REF!,0,0,1,COUNTA(#REF!))</definedName>
    <definedName name="Page4_Auto">OFFSET(#REF!,0,0,COUNTA(#REF!)-1)</definedName>
    <definedName name="Page4_CC">OFFSET(#REF!,0,0,COUNTA(#REF!)-1)</definedName>
    <definedName name="Page4_Date">OFFSET(#REF!,0,0,COUNTA(#REF!)-1)</definedName>
    <definedName name="Page4_HELOC">OFFSET(#REF!,0,0,COUNTA(#REF!)-1)</definedName>
    <definedName name="Page4_Mortgage">OFFSET(#REF!,0,0,COUNTA(#REF!)-1)</definedName>
    <definedName name="Page40_ALL">OFFSET(#REF!,0,0,1,COUNTA(#REF!))</definedName>
    <definedName name="Page40_AZ">OFFSET(#REF!,0,0,1,COUNTA(#REF!))</definedName>
    <definedName name="Page40_CA">OFFSET(#REF!,0,0,1,COUNTA(#REF!))</definedName>
    <definedName name="Page40_Date">OFFSET(#REF!,0,0,1,COUNTA(#REF!))</definedName>
    <definedName name="Page40_FL">OFFSET(#REF!,0,0,1,COUNTA(#REF!))</definedName>
    <definedName name="Page40_IL">OFFSET(#REF!,0,0,1,COUNTA(#REF!))</definedName>
    <definedName name="Page40_MI">OFFSET(#REF!,0,0,1,COUNTA(#REF!))</definedName>
    <definedName name="Page40_NJ">OFFSET(#REF!,0,0,1,COUNTA(#REF!))</definedName>
    <definedName name="Page40_NV">OFFSET(#REF!,0,0,1,COUNTA(#REF!))</definedName>
    <definedName name="Page40_NY">OFFSET(#REF!,0,0,1,COUNTA(#REF!))</definedName>
    <definedName name="Page40_OH">OFFSET(#REF!,0,0,1,COUNTA(#REF!))</definedName>
    <definedName name="Page40_PA">OFFSET(#REF!,0,0,1,COUNTA(#REF!))</definedName>
    <definedName name="Page40_TX">OFFSET(#REF!,0,0,1,COUNTA(#REF!))</definedName>
    <definedName name="Page5_Closed">OFFSET(#REF!,0,0,COUNTA(#REF!)-1)</definedName>
    <definedName name="Page5_Date">OFFSET(#REF!,0,0,COUNTA(#REF!)-3)</definedName>
    <definedName name="Page5_Inquiry">OFFSET(#REF!,0,0,COUNTA(#REF!)-1)</definedName>
    <definedName name="Page5_Open">OFFSET(#REF!,0,0,COUNTA(#REF!)-1)</definedName>
    <definedName name="Page6_620">OFFSET(#REF!,0,0,COUNTA(#REF!)-1)</definedName>
    <definedName name="Page6_620to659">OFFSET(#REF!,0,0,COUNTA(#REF!)-1)</definedName>
    <definedName name="Page6_660to719">OFFSET(#REF!,0,0,COUNTA(#REF!)-1)</definedName>
    <definedName name="Page6_720to759">OFFSET(#REF!,0,0,COUNTA(#REF!)-1)</definedName>
    <definedName name="Page6_760">OFFSET(#REF!,0,0,COUNTA(#REF!)-1)</definedName>
    <definedName name="Page6_Date">OFFSET(#REF!,0,0,COUNTA(#REF!)-3)</definedName>
    <definedName name="Page7_10th">OFFSET(#REF!,0,0,COUNTA(#REF!)-16)</definedName>
    <definedName name="Page7_25th">OFFSET(#REF!,0,0,COUNTA(#REF!)-16)</definedName>
    <definedName name="Page7_Date">OFFSET(#REF!,0,0,COUNTA(#REF!)-17)</definedName>
    <definedName name="Page7_Median">OFFSET(#REF!,0,0,COUNTA(#REF!)-16)</definedName>
    <definedName name="Page8_620">OFFSET(#REF!,0,0,COUNTA(#REF!)-1)</definedName>
    <definedName name="Page8_620to659">OFFSET(#REF!,0,0,COUNTA(#REF!)-1)</definedName>
    <definedName name="Page8_660to719">OFFSET(#REF!,0,0,COUNTA(#REF!)-1)</definedName>
    <definedName name="Page8_720to759">OFFSET(#REF!,0,0,COUNTA(#REF!)-1)</definedName>
    <definedName name="Page8_760">OFFSET(#REF!,0,0,COUNTA(#REF!)-1)</definedName>
    <definedName name="Page8_Date">OFFSET(#REF!,0,0,COUNTA(#REF!)-3)</definedName>
    <definedName name="Page9_10th">OFFSET(#REF!,0,0,COUNTA(#REF!)-16)</definedName>
    <definedName name="Page9_25th">OFFSET(#REF!,0,0,COUNTA(#REF!)-16)</definedName>
    <definedName name="Page9_Date">OFFSET(#REF!,0,0,COUNTA(#REF!)-17)</definedName>
    <definedName name="Page9_Median">OFFSET(#REF!,0,0,COUNTA(#REF!)-17)</definedName>
    <definedName name="PRvolume">INDEX(#REF!,COUNTA(#REF!)-#REF!+1):INDEX(#REF!,COUNTA(#REF!))</definedName>
    <definedName name="PRvolumeMM">INDEX(#REF!,COUNTA(#REF!)-#REF!+1):INDEX(#REF!,COUNTA(#REF!))</definedName>
    <definedName name="PRVolumeMMYR">INDEX(#REF!,COUNTA(#REF!)-#REF!+1):INDEX(#REF!,COUNTA(#REF!))</definedName>
    <definedName name="PRvolumeSP">INDEX(#REF!,COUNTA(#REF!)-#REF!+1):INDEX(#REF!,COUNTA(#REF!))</definedName>
    <definedName name="PRVolumeSPYR">INDEX(#REF!,COUNTA(#REF!)-#REF!+1):INDEX(#REF!,COUNTA(#REF!))</definedName>
    <definedName name="PRvolumeYR">INDEX(#REF!,COUNTA(#REF!)-#REF!+1):INDEX(#REF!,COUNTA(#REF!))</definedName>
    <definedName name="ptData1">#REF!</definedName>
    <definedName name="ptData2">#REF!</definedName>
    <definedName name="ptHeader1">#REF!</definedName>
    <definedName name="ptHeader2">#REF!</definedName>
    <definedName name="ptHeader3">#REF!</definedName>
    <definedName name="q">#REF!</definedName>
    <definedName name="sd">INDEX(#REF!,COUNTA(#REF!)-#REF!+1):INDEX(#REF!,COUNTA(#REF!))</definedName>
    <definedName name="sdf">#REF!</definedName>
    <definedName name="SearchCriteria">#REF!</definedName>
    <definedName name="SearchCriteriaType">#REF!</definedName>
    <definedName name="Securedvolume">INDEX(#REF!,COUNTA(#REF!)-#REF!+1):INDEX(#REF!,COUNTA(#REF!))</definedName>
    <definedName name="securedvolumeYR">INDEX(#REF!,COUNTA(#REF!)-#REF!+1):INDEX(#REF!,COUNTA(#REF!))</definedName>
    <definedName name="selectedchart">CHOOSE(#REF!,CHART1,CHART2,CHART3,CHART4,CHART5,CHART6,CHART7,CHART8,CHART9,CHART10,chart11,CHART12,CHART13,CHART14,CHART15,CHART16)</definedName>
    <definedName name="selectedchart1">CHOOSE(#REF!,CHART1,CHART2,CHART9a,CHART4,CHART5,CHART6,CHART7,CHART_9a,CHART9,CHART10,chart11,CHART12,CHART13,CHART14,CHART15,CHART16)</definedName>
    <definedName name="SLTLPERCENT">INDEX(#REF!,COUNTA(#REF!)-#REF!+1):INDEX(#REF!,COUNTA(#REF!))</definedName>
    <definedName name="SLTLPERCENT_YR">INDEX(#REF!,COUNTA(#REF!)-#REF!+1):INDEX(#REF!,COUNTA(#REF!))</definedName>
    <definedName name="SLTLQTR">#REF!</definedName>
    <definedName name="SLTLVOL">INDEX(#REF!,COUNTA(#REF!)-#REF!+1):INDEX(#REF!,COUNTA(#REF!))</definedName>
    <definedName name="SLTLVOLUME_YR">INDEX(#REF!,COUNTA(#REF!)-#REF!+1):INDEX(#REF!,COUNTA(#REF!))</definedName>
    <definedName name="SLTLVOLUMEMN">#REF!</definedName>
    <definedName name="SLTLVOLYR">#REF!</definedName>
    <definedName name="SPVolMN">#REF!</definedName>
    <definedName name="SPVOLQTR">#REF!</definedName>
    <definedName name="SPVolumeYR">#REF!</definedName>
    <definedName name="SPWS_WBID">"D59E1A16-371E-4D0F-A93D-481B765CD67C"</definedName>
    <definedName name="Stats">INDEX(#REF!,COUNTA(#REF!)-#REF!+1):INDEX(#REF!,COUNTA(#REF!))</definedName>
    <definedName name="STM_100">OFFSET(#REF!,COUNTA(#REF!)-1,0,-61,1)</definedName>
    <definedName name="STM_ALL">OFFSET(#REF!,COUNTA(#REF!)-1,0,-61,1)</definedName>
    <definedName name="STM_B">OFFSET(#REF!,COUNTA(#REF!)-1,0,-61,1)</definedName>
    <definedName name="STM_BB">OFFSET(#REF!,COUNTA(#REF!)-1,0,-61,1)</definedName>
    <definedName name="STM_CovHeavy">OFFSET(#REF!,COUNT(#REF!)-1,0,-61,1)</definedName>
    <definedName name="STM_CovLite">OFFSET(#REF!,COUNT(#REF!)-1,0,-61,1)</definedName>
    <definedName name="STM_FL">OFFSET(#REF!,COUNT(#REF!)-1,0,-61,1)</definedName>
    <definedName name="STM_FL_B">OFFSET(#REF!,COUNT(#REF!)-1,0,-61,1)</definedName>
    <definedName name="STM_LC">OFFSET(#REF!,COUNT(#REF!)-1,0,-61,1)</definedName>
    <definedName name="STM_MM">OFFSET(#REF!,COUNT(#REF!)-1,0,-61,1)</definedName>
    <definedName name="STM_SL">OFFSET(#REF!,COUNT(#REF!)-1,0,-61,1)</definedName>
    <definedName name="STM_SL_B">OFFSET(#REF!,COUNT(#REF!)-1,0,-61,1)</definedName>
    <definedName name="subvolume">INDEX(#REF!,COUNTA(#REF!)-#REF!+1):INDEX(#REF!,COUNTA(#REF!))</definedName>
    <definedName name="subvolumeYR">INDEX(#REF!,COUNTA(#REF!)-#REF!+1):INDEX(#REF!,COUNTA(#REF!))</definedName>
    <definedName name="test">#REF!</definedName>
    <definedName name="test2">#REF!</definedName>
    <definedName name="unsecvolume">INDEX(#REF!,COUNTA(#REF!)-#REF!+1):INDEX(#REF!,COUNTA(#REF!))</definedName>
    <definedName name="unsecvolumeYR">INDEX(#REF!,COUNTA(#REF!)-#REF!+1):INDEX(#REF!,COUNTA(#REF!))</definedName>
    <definedName name="USDynamic">OFFSET(#REF!,0,0,COUNTA(#REF!),COUNTA(#REF!))</definedName>
    <definedName name="valSelOption">#REF!</definedName>
    <definedName name="vol">#REF!</definedName>
    <definedName name="VolbyCCRYR">#REF!</definedName>
    <definedName name="VolbyIndYR">#REF!</definedName>
    <definedName name="VolbypurpYR">#REF!</definedName>
    <definedName name="VolMN">#REF!</definedName>
    <definedName name="VOLUMEQTR">#REF!</definedName>
    <definedName name="volumerange">INDEX(#REF!,COUNTA(#REF!)-#REF!+1):INDEX(#REF!,COUNTA(#REF!))</definedName>
    <definedName name="volumerange1">INDEX(#REF!,COUNTA(#REF!)-#REF!+1):INDEX(#REF!,COUNTA(#REF!))</definedName>
    <definedName name="VolumerangeYR">INDEX(#REF!,COUNTA(#REF!)-#REF!+1):INDEX(#REF!,COUNTA(#REF!))</definedName>
    <definedName name="VolumeYR">#REF!</definedName>
    <definedName name="x" hidden="1">Table4</definedName>
    <definedName name="xdg">OFFSET(#REF!,0,0,COUNTA(#REF!)-1,COUNTA(#REF!)-2)</definedName>
    <definedName name="YTMBHY">OFFSET(#REF!,COUNTA(#REF!)-1,0,-758,1)</definedName>
    <definedName name="YTMBL">OFFSET(#REF!,COUNTA(#REF!)-1,0,-758,1)</definedName>
    <definedName name="YTMDateHY">OFFSET(#REF!,COUNTA(#REF!)-1,0,-758,1)</definedName>
    <definedName name="YTMHY">OFFSET(#REF!,COUNTA(#REF!)-1,0,-758,1)</definedName>
    <definedName name="YTMLLY">OFFSET(#REF!,COUNTA(#REF!)-1,0,-758,1)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56" i="1" l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C555" i="1"/>
  <c r="AB555" i="1"/>
  <c r="AC554" i="1"/>
  <c r="AB554" i="1"/>
  <c r="AC553" i="1"/>
  <c r="AB553" i="1"/>
  <c r="AC552" i="1"/>
  <c r="AB552" i="1"/>
  <c r="AC551" i="1"/>
  <c r="AB551" i="1"/>
  <c r="AC550" i="1"/>
  <c r="AB550" i="1"/>
  <c r="AC549" i="1"/>
  <c r="AB549" i="1"/>
  <c r="AC548" i="1"/>
  <c r="AB548" i="1"/>
  <c r="AC547" i="1"/>
  <c r="AB547" i="1"/>
  <c r="AC546" i="1"/>
  <c r="AB546" i="1"/>
  <c r="AC545" i="1"/>
  <c r="AB545" i="1"/>
  <c r="AC544" i="1"/>
  <c r="AB544" i="1"/>
  <c r="AC543" i="1"/>
  <c r="AB543" i="1"/>
  <c r="AC542" i="1"/>
  <c r="AB542" i="1"/>
  <c r="AC541" i="1"/>
  <c r="AB541" i="1"/>
  <c r="AC540" i="1"/>
  <c r="AB540" i="1"/>
  <c r="AC539" i="1"/>
  <c r="AB539" i="1"/>
  <c r="AC538" i="1"/>
  <c r="AB538" i="1"/>
  <c r="AC537" i="1"/>
  <c r="AB537" i="1"/>
  <c r="AC536" i="1"/>
  <c r="AB536" i="1"/>
  <c r="AC535" i="1"/>
  <c r="AB535" i="1"/>
  <c r="AB480" i="1"/>
  <c r="AC480" i="1"/>
  <c r="AB481" i="1"/>
  <c r="AC481" i="1"/>
  <c r="AB482" i="1"/>
  <c r="AC482" i="1"/>
  <c r="AB483" i="1"/>
  <c r="AC483" i="1"/>
  <c r="AB484" i="1"/>
  <c r="AC484" i="1"/>
  <c r="AB485" i="1"/>
  <c r="AC485" i="1"/>
  <c r="AB486" i="1"/>
  <c r="AC486" i="1"/>
  <c r="AB487" i="1"/>
  <c r="AC487" i="1"/>
  <c r="AB488" i="1"/>
  <c r="AC488" i="1"/>
  <c r="AB489" i="1"/>
  <c r="AC489" i="1"/>
  <c r="AB490" i="1"/>
  <c r="AC490" i="1"/>
  <c r="AB491" i="1"/>
  <c r="AC491" i="1"/>
  <c r="AB492" i="1"/>
  <c r="AC492" i="1"/>
  <c r="AB493" i="1"/>
  <c r="AC493" i="1"/>
  <c r="AB494" i="1"/>
  <c r="AC494" i="1"/>
  <c r="AB495" i="1"/>
  <c r="AC495" i="1"/>
  <c r="AB496" i="1"/>
  <c r="AC496" i="1"/>
  <c r="AB497" i="1"/>
  <c r="AC497" i="1"/>
  <c r="AB498" i="1"/>
  <c r="AC498" i="1"/>
  <c r="AB499" i="1"/>
  <c r="AC499" i="1"/>
  <c r="AB500" i="1"/>
  <c r="AC500" i="1"/>
  <c r="AB501" i="1"/>
  <c r="AC501" i="1"/>
  <c r="AB502" i="1"/>
  <c r="AC502" i="1"/>
  <c r="AB503" i="1"/>
  <c r="AC503" i="1"/>
  <c r="AB504" i="1"/>
  <c r="AC504" i="1"/>
  <c r="AB505" i="1"/>
  <c r="AC505" i="1"/>
  <c r="AB506" i="1"/>
  <c r="AC506" i="1"/>
  <c r="AB507" i="1"/>
  <c r="AC507" i="1"/>
  <c r="AB508" i="1"/>
  <c r="AC508" i="1"/>
  <c r="AB509" i="1"/>
  <c r="AC509" i="1"/>
  <c r="AB510" i="1"/>
  <c r="AC510" i="1"/>
  <c r="AB511" i="1"/>
  <c r="AC511" i="1"/>
  <c r="AB512" i="1"/>
  <c r="AC512" i="1"/>
  <c r="AB513" i="1"/>
  <c r="AC513" i="1"/>
  <c r="AB514" i="1"/>
  <c r="AC514" i="1"/>
  <c r="AB515" i="1"/>
  <c r="AC515" i="1"/>
  <c r="AB516" i="1"/>
  <c r="AC516" i="1"/>
  <c r="AB517" i="1"/>
  <c r="AC517" i="1"/>
  <c r="AB518" i="1"/>
  <c r="AC518" i="1"/>
  <c r="AB519" i="1"/>
  <c r="AC519" i="1"/>
  <c r="AB520" i="1"/>
  <c r="AC520" i="1"/>
  <c r="AB521" i="1"/>
  <c r="AC521" i="1"/>
  <c r="AB522" i="1"/>
  <c r="AC522" i="1"/>
  <c r="AB523" i="1"/>
  <c r="AC523" i="1"/>
  <c r="AB524" i="1"/>
  <c r="AC524" i="1"/>
  <c r="AB525" i="1"/>
  <c r="AC525" i="1"/>
  <c r="AB526" i="1"/>
  <c r="AC526" i="1"/>
  <c r="AB527" i="1"/>
  <c r="AC527" i="1"/>
  <c r="AB528" i="1"/>
  <c r="AC528" i="1"/>
  <c r="AB529" i="1"/>
  <c r="AC529" i="1"/>
  <c r="AB530" i="1"/>
  <c r="AC530" i="1"/>
  <c r="AB531" i="1"/>
  <c r="AC531" i="1"/>
  <c r="AB532" i="1"/>
  <c r="AC532" i="1"/>
  <c r="AB533" i="1"/>
  <c r="AC533" i="1"/>
  <c r="AB534" i="1"/>
  <c r="AC534" i="1"/>
  <c r="AC479" i="1"/>
  <c r="AB479" i="1"/>
  <c r="AC478" i="1"/>
  <c r="AB478" i="1"/>
  <c r="AC477" i="1"/>
  <c r="AB477" i="1"/>
  <c r="AC476" i="1"/>
  <c r="AB476" i="1"/>
  <c r="AC475" i="1"/>
  <c r="AB475" i="1"/>
  <c r="AC474" i="1"/>
  <c r="AB474" i="1"/>
  <c r="AC473" i="1"/>
  <c r="AB473" i="1"/>
  <c r="AC472" i="1"/>
  <c r="AB472" i="1"/>
  <c r="AC471" i="1"/>
  <c r="AB471" i="1"/>
  <c r="AC470" i="1"/>
  <c r="AB470" i="1"/>
  <c r="AC469" i="1"/>
  <c r="AB469" i="1"/>
  <c r="AC468" i="1"/>
  <c r="AB468" i="1"/>
  <c r="AC467" i="1"/>
  <c r="AB467" i="1"/>
  <c r="AC466" i="1"/>
  <c r="AB466" i="1"/>
  <c r="AC465" i="1"/>
  <c r="AB465" i="1"/>
  <c r="AC464" i="1"/>
  <c r="AB464" i="1"/>
  <c r="AC463" i="1"/>
  <c r="AB463" i="1"/>
  <c r="AC462" i="1"/>
  <c r="AB462" i="1"/>
  <c r="AC461" i="1"/>
  <c r="AB461" i="1"/>
  <c r="AC460" i="1"/>
  <c r="AB460" i="1"/>
  <c r="AC459" i="1"/>
  <c r="AB459" i="1"/>
  <c r="AC458" i="1"/>
  <c r="AB458" i="1"/>
  <c r="AC457" i="1"/>
  <c r="AB457" i="1"/>
  <c r="AC456" i="1"/>
  <c r="AB456" i="1"/>
  <c r="AC455" i="1"/>
  <c r="AB455" i="1"/>
  <c r="AC454" i="1"/>
  <c r="AB454" i="1"/>
  <c r="AC453" i="1"/>
  <c r="AB453" i="1"/>
  <c r="AC452" i="1"/>
  <c r="AB452" i="1"/>
  <c r="AC451" i="1"/>
  <c r="AB451" i="1"/>
  <c r="AC450" i="1"/>
  <c r="AB450" i="1"/>
  <c r="AC449" i="1"/>
  <c r="AB449" i="1"/>
  <c r="AC448" i="1"/>
  <c r="AB448" i="1"/>
  <c r="AC447" i="1"/>
  <c r="AB447" i="1"/>
  <c r="AC446" i="1"/>
  <c r="AB446" i="1"/>
  <c r="AC445" i="1"/>
  <c r="AB445" i="1"/>
  <c r="AC444" i="1"/>
  <c r="AB444" i="1"/>
  <c r="AC443" i="1"/>
  <c r="AB443" i="1"/>
  <c r="AC442" i="1"/>
  <c r="AB442" i="1"/>
  <c r="AC441" i="1"/>
  <c r="AB441" i="1"/>
  <c r="AC440" i="1"/>
  <c r="AB440" i="1"/>
  <c r="AC439" i="1"/>
  <c r="AB439" i="1"/>
  <c r="AC438" i="1"/>
  <c r="AB438" i="1"/>
  <c r="AC437" i="1"/>
  <c r="AB437" i="1"/>
  <c r="AC436" i="1"/>
  <c r="AB436" i="1"/>
  <c r="AC435" i="1"/>
  <c r="AB435" i="1"/>
  <c r="AC434" i="1"/>
  <c r="AB434" i="1"/>
  <c r="AC433" i="1"/>
  <c r="AB433" i="1"/>
  <c r="AC432" i="1"/>
  <c r="AB432" i="1"/>
  <c r="AC431" i="1"/>
  <c r="AB431" i="1"/>
  <c r="AC430" i="1"/>
  <c r="AB430" i="1"/>
  <c r="AC429" i="1"/>
  <c r="AB429" i="1"/>
  <c r="AC428" i="1"/>
  <c r="AB428" i="1"/>
  <c r="AC427" i="1"/>
  <c r="AB427" i="1"/>
  <c r="AC426" i="1"/>
  <c r="AB426" i="1"/>
  <c r="AC425" i="1"/>
  <c r="AB425" i="1"/>
  <c r="AC424" i="1"/>
  <c r="AB424" i="1"/>
  <c r="AC423" i="1"/>
  <c r="AB423" i="1"/>
  <c r="AC422" i="1"/>
  <c r="AB422" i="1"/>
  <c r="AC421" i="1"/>
  <c r="AB421" i="1"/>
  <c r="AC420" i="1"/>
  <c r="AB420" i="1"/>
  <c r="AC419" i="1"/>
  <c r="AB419" i="1"/>
  <c r="AC418" i="1"/>
  <c r="AB418" i="1"/>
  <c r="AC417" i="1"/>
  <c r="AB417" i="1"/>
  <c r="AC416" i="1"/>
  <c r="AB416" i="1"/>
  <c r="AC415" i="1"/>
  <c r="AB415" i="1"/>
  <c r="AC414" i="1"/>
  <c r="AB414" i="1"/>
  <c r="AC413" i="1"/>
  <c r="AB413" i="1"/>
  <c r="AC412" i="1"/>
  <c r="AB412" i="1"/>
  <c r="AC411" i="1"/>
  <c r="AB411" i="1"/>
  <c r="AC410" i="1"/>
  <c r="AB410" i="1"/>
  <c r="AC409" i="1"/>
  <c r="AB409" i="1"/>
  <c r="AC408" i="1"/>
  <c r="AB408" i="1"/>
  <c r="AC407" i="1"/>
  <c r="AB407" i="1"/>
  <c r="AC406" i="1"/>
  <c r="AB406" i="1"/>
  <c r="AC405" i="1"/>
  <c r="AB405" i="1"/>
  <c r="AC404" i="1"/>
  <c r="AB404" i="1"/>
  <c r="AC403" i="1"/>
  <c r="AB403" i="1"/>
  <c r="AC402" i="1"/>
  <c r="AB402" i="1"/>
  <c r="AC401" i="1"/>
  <c r="AB401" i="1"/>
  <c r="AC400" i="1"/>
  <c r="AB400" i="1"/>
  <c r="AC399" i="1"/>
  <c r="AB399" i="1"/>
  <c r="AC398" i="1"/>
  <c r="AB398" i="1"/>
  <c r="AC397" i="1"/>
  <c r="AB397" i="1"/>
  <c r="AC396" i="1"/>
  <c r="AB396" i="1"/>
  <c r="AC395" i="1"/>
  <c r="AB395" i="1"/>
  <c r="AC394" i="1"/>
  <c r="AB394" i="1"/>
  <c r="AC393" i="1"/>
  <c r="AB393" i="1"/>
  <c r="AC392" i="1"/>
  <c r="AB392" i="1"/>
  <c r="AC391" i="1"/>
  <c r="AB391" i="1"/>
  <c r="AC390" i="1"/>
  <c r="AB390" i="1"/>
  <c r="AC389" i="1"/>
  <c r="AB389" i="1"/>
  <c r="AC388" i="1"/>
  <c r="AB388" i="1"/>
  <c r="AC387" i="1"/>
  <c r="AB387" i="1"/>
  <c r="AC386" i="1"/>
  <c r="AB386" i="1"/>
  <c r="AC385" i="1"/>
  <c r="AB385" i="1"/>
  <c r="AC384" i="1"/>
  <c r="AB384" i="1"/>
  <c r="AC383" i="1"/>
  <c r="AB383" i="1"/>
  <c r="AC382" i="1"/>
  <c r="AB382" i="1"/>
  <c r="AC381" i="1"/>
  <c r="AB381" i="1"/>
  <c r="AC380" i="1"/>
  <c r="AB380" i="1"/>
  <c r="AC379" i="1"/>
  <c r="AB379" i="1"/>
  <c r="AC378" i="1"/>
  <c r="AB378" i="1"/>
  <c r="AC377" i="1"/>
  <c r="AB377" i="1"/>
  <c r="AC376" i="1"/>
  <c r="AB376" i="1"/>
  <c r="AC375" i="1"/>
  <c r="AB375" i="1"/>
  <c r="AC374" i="1"/>
  <c r="AB374" i="1"/>
  <c r="AC373" i="1"/>
  <c r="AB373" i="1"/>
  <c r="AC372" i="1"/>
  <c r="AB372" i="1"/>
  <c r="AC371" i="1"/>
  <c r="AB371" i="1"/>
  <c r="AC370" i="1"/>
  <c r="AB370" i="1"/>
  <c r="AC369" i="1"/>
  <c r="AB369" i="1"/>
  <c r="AC368" i="1"/>
  <c r="AB368" i="1"/>
  <c r="AC367" i="1"/>
  <c r="AB367" i="1"/>
  <c r="AC366" i="1"/>
  <c r="AB366" i="1"/>
  <c r="AC365" i="1"/>
  <c r="AB365" i="1"/>
  <c r="AC364" i="1"/>
  <c r="AB364" i="1"/>
  <c r="AC363" i="1"/>
  <c r="AB363" i="1"/>
  <c r="AC362" i="1"/>
  <c r="AB362" i="1"/>
  <c r="AC361" i="1"/>
  <c r="AB361" i="1"/>
  <c r="AC360" i="1"/>
  <c r="AB360" i="1"/>
  <c r="AC359" i="1"/>
  <c r="AB359" i="1"/>
  <c r="AC358" i="1"/>
  <c r="AB358" i="1"/>
  <c r="AC357" i="1"/>
  <c r="AB357" i="1"/>
  <c r="AC356" i="1"/>
  <c r="AB356" i="1"/>
  <c r="AC355" i="1"/>
  <c r="AB355" i="1"/>
  <c r="AC354" i="1"/>
  <c r="AB354" i="1"/>
  <c r="AC353" i="1"/>
  <c r="AB353" i="1"/>
  <c r="AC352" i="1"/>
  <c r="AB352" i="1"/>
  <c r="AC351" i="1"/>
  <c r="AB351" i="1"/>
  <c r="AC350" i="1"/>
  <c r="AB350" i="1"/>
  <c r="AC349" i="1"/>
  <c r="AB349" i="1"/>
  <c r="AC348" i="1"/>
  <c r="AB348" i="1"/>
  <c r="AC347" i="1"/>
  <c r="AB347" i="1"/>
  <c r="AC346" i="1"/>
  <c r="AB346" i="1"/>
  <c r="AC345" i="1"/>
  <c r="AB345" i="1"/>
  <c r="AC344" i="1"/>
  <c r="AB344" i="1"/>
  <c r="AC343" i="1"/>
  <c r="AB343" i="1"/>
  <c r="AC342" i="1"/>
  <c r="AB342" i="1"/>
  <c r="AC341" i="1"/>
  <c r="AB341" i="1"/>
  <c r="AC340" i="1"/>
  <c r="AB340" i="1"/>
  <c r="AC339" i="1"/>
  <c r="AB339" i="1"/>
  <c r="AC338" i="1"/>
  <c r="AB338" i="1"/>
  <c r="AC337" i="1"/>
  <c r="AB337" i="1"/>
  <c r="AC336" i="1"/>
  <c r="AB336" i="1"/>
  <c r="AC335" i="1"/>
  <c r="AB335" i="1"/>
  <c r="AC334" i="1"/>
  <c r="AB334" i="1"/>
  <c r="AC333" i="1"/>
  <c r="AB333" i="1"/>
  <c r="AC332" i="1"/>
  <c r="AB332" i="1"/>
  <c r="AC331" i="1"/>
  <c r="AB331" i="1"/>
  <c r="AC330" i="1"/>
  <c r="AB330" i="1"/>
  <c r="AC329" i="1"/>
  <c r="AB329" i="1"/>
  <c r="AC328" i="1"/>
  <c r="AB328" i="1"/>
  <c r="AC327" i="1"/>
  <c r="AB327" i="1"/>
  <c r="AC326" i="1"/>
  <c r="AB326" i="1"/>
  <c r="AC325" i="1"/>
  <c r="AB325" i="1"/>
  <c r="AC324" i="1"/>
  <c r="AB324" i="1"/>
  <c r="AC323" i="1"/>
  <c r="AB323" i="1"/>
  <c r="AC322" i="1"/>
  <c r="AB322" i="1"/>
  <c r="AC321" i="1"/>
  <c r="AB321" i="1"/>
  <c r="AC320" i="1"/>
  <c r="AB320" i="1"/>
  <c r="AC319" i="1"/>
  <c r="AB319" i="1"/>
  <c r="AC318" i="1"/>
  <c r="AB318" i="1"/>
  <c r="AC317" i="1"/>
  <c r="AB317" i="1"/>
  <c r="AC316" i="1"/>
  <c r="AB316" i="1"/>
  <c r="AC315" i="1"/>
  <c r="AB315" i="1"/>
  <c r="AC314" i="1"/>
  <c r="AB314" i="1"/>
  <c r="AC313" i="1"/>
  <c r="AB313" i="1"/>
  <c r="AC312" i="1"/>
  <c r="AB312" i="1"/>
  <c r="AC311" i="1"/>
  <c r="AB311" i="1"/>
  <c r="AC310" i="1"/>
  <c r="AB310" i="1"/>
  <c r="AC309" i="1"/>
  <c r="AB309" i="1"/>
  <c r="AC308" i="1"/>
  <c r="AB308" i="1"/>
  <c r="AC307" i="1"/>
  <c r="AB307" i="1"/>
  <c r="AC306" i="1"/>
  <c r="AB306" i="1"/>
  <c r="AC305" i="1"/>
  <c r="AB305" i="1"/>
  <c r="AC304" i="1"/>
  <c r="AB304" i="1"/>
  <c r="AC303" i="1"/>
  <c r="AB303" i="1"/>
  <c r="AC302" i="1"/>
  <c r="AB302" i="1"/>
  <c r="AC301" i="1"/>
  <c r="AB301" i="1"/>
  <c r="AC300" i="1"/>
  <c r="AB300" i="1"/>
  <c r="AC299" i="1"/>
  <c r="AB299" i="1"/>
  <c r="AC298" i="1"/>
  <c r="AB298" i="1"/>
  <c r="AC297" i="1"/>
  <c r="AB297" i="1"/>
  <c r="AC296" i="1"/>
  <c r="AB296" i="1"/>
  <c r="AC295" i="1"/>
  <c r="AB295" i="1"/>
  <c r="AC294" i="1"/>
  <c r="AB294" i="1"/>
  <c r="AC293" i="1"/>
  <c r="AB293" i="1"/>
  <c r="AC292" i="1"/>
  <c r="AB292" i="1"/>
  <c r="AC291" i="1"/>
  <c r="AB291" i="1"/>
  <c r="AC290" i="1"/>
  <c r="AB290" i="1"/>
  <c r="AC289" i="1"/>
  <c r="AB289" i="1"/>
  <c r="AC288" i="1"/>
  <c r="AB288" i="1"/>
  <c r="AC287" i="1"/>
  <c r="AB287" i="1"/>
  <c r="AC286" i="1"/>
  <c r="AB286" i="1"/>
  <c r="AC285" i="1"/>
  <c r="AB285" i="1"/>
  <c r="AC284" i="1"/>
  <c r="AB284" i="1"/>
  <c r="AC283" i="1"/>
  <c r="AB283" i="1"/>
  <c r="AC282" i="1"/>
  <c r="AB282" i="1"/>
  <c r="AC281" i="1"/>
  <c r="AB281" i="1"/>
  <c r="AC280" i="1"/>
  <c r="AB280" i="1"/>
  <c r="AC279" i="1"/>
  <c r="AB279" i="1"/>
  <c r="AC278" i="1"/>
  <c r="AB278" i="1"/>
  <c r="AC277" i="1"/>
  <c r="AB277" i="1"/>
  <c r="AC276" i="1"/>
  <c r="AB276" i="1"/>
  <c r="AC275" i="1"/>
  <c r="AB275" i="1"/>
  <c r="AC274" i="1"/>
  <c r="AB274" i="1"/>
  <c r="AC273" i="1"/>
  <c r="AB273" i="1"/>
  <c r="AC272" i="1"/>
  <c r="AB272" i="1"/>
  <c r="AC271" i="1"/>
  <c r="AB271" i="1"/>
  <c r="AC270" i="1"/>
  <c r="AB270" i="1"/>
  <c r="AC269" i="1"/>
  <c r="AB269" i="1"/>
  <c r="AC268" i="1"/>
  <c r="AB268" i="1"/>
  <c r="AC267" i="1"/>
  <c r="AB267" i="1"/>
  <c r="AC266" i="1"/>
  <c r="AB266" i="1"/>
  <c r="AC265" i="1"/>
  <c r="AB265" i="1"/>
  <c r="AC264" i="1"/>
  <c r="AB264" i="1"/>
  <c r="AC263" i="1"/>
  <c r="AB263" i="1"/>
  <c r="AC262" i="1"/>
  <c r="AB262" i="1"/>
  <c r="AC261" i="1"/>
  <c r="AB261" i="1"/>
  <c r="AC260" i="1"/>
  <c r="AB260" i="1"/>
  <c r="AC259" i="1"/>
  <c r="AB259" i="1"/>
  <c r="AC258" i="1"/>
  <c r="AB258" i="1"/>
  <c r="AC257" i="1"/>
  <c r="AB257" i="1"/>
  <c r="AC256" i="1"/>
  <c r="AB256" i="1"/>
  <c r="AC255" i="1"/>
  <c r="AB255" i="1"/>
  <c r="AC254" i="1"/>
  <c r="AB254" i="1"/>
  <c r="AC253" i="1"/>
  <c r="AB253" i="1"/>
  <c r="AC252" i="1"/>
  <c r="AB252" i="1"/>
  <c r="AC251" i="1"/>
  <c r="AB251" i="1"/>
  <c r="AC250" i="1"/>
  <c r="AB250" i="1"/>
  <c r="AC249" i="1"/>
  <c r="AB249" i="1"/>
  <c r="AC248" i="1"/>
  <c r="AB248" i="1"/>
  <c r="AC247" i="1"/>
  <c r="AB247" i="1"/>
  <c r="AC246" i="1"/>
  <c r="AB246" i="1"/>
  <c r="AC245" i="1"/>
  <c r="AB245" i="1"/>
  <c r="AC244" i="1"/>
  <c r="AB244" i="1"/>
  <c r="AC243" i="1"/>
  <c r="AB243" i="1"/>
  <c r="AC242" i="1"/>
  <c r="AB242" i="1"/>
  <c r="AC241" i="1"/>
  <c r="AB241" i="1"/>
  <c r="AC240" i="1"/>
  <c r="AB240" i="1"/>
  <c r="AC239" i="1"/>
  <c r="AB239" i="1"/>
  <c r="AC238" i="1"/>
  <c r="AB238" i="1"/>
  <c r="AC237" i="1"/>
  <c r="AB237" i="1"/>
  <c r="AC236" i="1"/>
  <c r="AB236" i="1"/>
  <c r="AC235" i="1"/>
  <c r="AB235" i="1"/>
  <c r="AC234" i="1"/>
  <c r="AB234" i="1"/>
  <c r="AC233" i="1"/>
  <c r="AB233" i="1"/>
  <c r="AC232" i="1"/>
  <c r="AB232" i="1"/>
  <c r="AC231" i="1"/>
  <c r="AB231" i="1"/>
  <c r="AC230" i="1"/>
  <c r="AB230" i="1"/>
  <c r="AC229" i="1"/>
  <c r="AB229" i="1"/>
  <c r="AC228" i="1"/>
  <c r="AB228" i="1"/>
  <c r="AC227" i="1"/>
  <c r="AB227" i="1"/>
  <c r="AC226" i="1"/>
  <c r="AB226" i="1"/>
  <c r="AC225" i="1"/>
  <c r="AB225" i="1"/>
  <c r="AC224" i="1"/>
  <c r="AB224" i="1"/>
  <c r="AC223" i="1"/>
  <c r="AB223" i="1"/>
  <c r="AC222" i="1"/>
  <c r="AB222" i="1"/>
  <c r="AC221" i="1"/>
  <c r="AB221" i="1"/>
  <c r="AC220" i="1"/>
  <c r="AB220" i="1"/>
  <c r="AC219" i="1"/>
  <c r="AB219" i="1"/>
  <c r="AC218" i="1"/>
  <c r="AB218" i="1"/>
  <c r="AC217" i="1"/>
  <c r="AB217" i="1"/>
  <c r="AC216" i="1"/>
  <c r="AB216" i="1"/>
  <c r="AC215" i="1"/>
  <c r="AB215" i="1"/>
  <c r="AC214" i="1"/>
  <c r="AB214" i="1"/>
  <c r="AC213" i="1"/>
  <c r="AB213" i="1"/>
  <c r="AC212" i="1"/>
  <c r="AB212" i="1"/>
  <c r="AC211" i="1"/>
  <c r="AB211" i="1"/>
  <c r="AC210" i="1"/>
  <c r="AB210" i="1"/>
  <c r="AC209" i="1"/>
  <c r="AB209" i="1"/>
  <c r="AC208" i="1"/>
  <c r="AB208" i="1"/>
  <c r="AC207" i="1"/>
  <c r="AB207" i="1"/>
  <c r="AC206" i="1"/>
  <c r="AB206" i="1"/>
  <c r="AC205" i="1"/>
  <c r="AB205" i="1"/>
  <c r="AC204" i="1"/>
  <c r="AB204" i="1"/>
  <c r="AC203" i="1"/>
  <c r="AB203" i="1"/>
  <c r="AC202" i="1"/>
  <c r="AB202" i="1"/>
  <c r="AC201" i="1"/>
  <c r="AB201" i="1"/>
  <c r="AC200" i="1"/>
  <c r="AB200" i="1"/>
  <c r="AC199" i="1"/>
  <c r="AB199" i="1"/>
  <c r="AC198" i="1"/>
  <c r="AB198" i="1"/>
  <c r="AC197" i="1"/>
  <c r="AB197" i="1"/>
  <c r="AC196" i="1"/>
  <c r="AB196" i="1"/>
  <c r="AC195" i="1"/>
  <c r="AB195" i="1"/>
  <c r="AC194" i="1"/>
  <c r="AB194" i="1"/>
  <c r="AC193" i="1"/>
  <c r="AB193" i="1"/>
  <c r="AC192" i="1"/>
  <c r="AB192" i="1"/>
  <c r="AC191" i="1"/>
  <c r="AB191" i="1"/>
  <c r="AC190" i="1"/>
  <c r="AB190" i="1"/>
  <c r="AC189" i="1"/>
  <c r="AB189" i="1"/>
  <c r="AC188" i="1"/>
  <c r="AB188" i="1"/>
  <c r="AC187" i="1"/>
  <c r="AB187" i="1"/>
  <c r="AC186" i="1"/>
  <c r="AB186" i="1"/>
  <c r="AC185" i="1"/>
  <c r="AB185" i="1"/>
  <c r="AC184" i="1"/>
  <c r="AB184" i="1"/>
  <c r="AC183" i="1"/>
  <c r="AB183" i="1"/>
  <c r="AC182" i="1"/>
  <c r="AB182" i="1"/>
  <c r="AC181" i="1"/>
  <c r="AB181" i="1"/>
  <c r="AC180" i="1"/>
  <c r="AB180" i="1"/>
  <c r="AC179" i="1"/>
  <c r="AB179" i="1"/>
  <c r="AC178" i="1"/>
  <c r="AB178" i="1"/>
  <c r="AC177" i="1"/>
  <c r="AB177" i="1"/>
  <c r="AC176" i="1"/>
  <c r="AB176" i="1"/>
  <c r="AC175" i="1"/>
  <c r="AB175" i="1"/>
  <c r="AC174" i="1"/>
  <c r="AB174" i="1"/>
  <c r="AC173" i="1"/>
  <c r="AB173" i="1"/>
  <c r="AC172" i="1"/>
  <c r="AB172" i="1"/>
  <c r="AC171" i="1"/>
  <c r="AB171" i="1"/>
  <c r="AC170" i="1"/>
  <c r="AB170" i="1"/>
  <c r="AC169" i="1"/>
  <c r="AB169" i="1"/>
  <c r="AC168" i="1"/>
  <c r="AB168" i="1"/>
  <c r="AC167" i="1"/>
  <c r="AB167" i="1"/>
  <c r="AC166" i="1"/>
  <c r="AB166" i="1"/>
  <c r="AC165" i="1"/>
  <c r="AB165" i="1"/>
  <c r="AC164" i="1"/>
  <c r="AB164" i="1"/>
  <c r="AC163" i="1"/>
  <c r="AB163" i="1"/>
  <c r="AC162" i="1"/>
  <c r="AB162" i="1"/>
  <c r="AC161" i="1"/>
  <c r="AB161" i="1"/>
  <c r="AC160" i="1"/>
  <c r="AB160" i="1"/>
  <c r="AC159" i="1"/>
  <c r="AB159" i="1"/>
  <c r="AC158" i="1"/>
  <c r="AB158" i="1"/>
  <c r="AC157" i="1"/>
  <c r="AB157" i="1"/>
  <c r="AC156" i="1"/>
  <c r="AB156" i="1"/>
  <c r="AC155" i="1"/>
  <c r="AB155" i="1"/>
  <c r="AC154" i="1"/>
  <c r="AB154" i="1"/>
  <c r="AC153" i="1"/>
  <c r="AB153" i="1"/>
  <c r="AC152" i="1"/>
  <c r="AB152" i="1"/>
  <c r="AC151" i="1"/>
  <c r="AB151" i="1"/>
  <c r="AC150" i="1"/>
  <c r="AB150" i="1"/>
  <c r="AC149" i="1"/>
  <c r="AB149" i="1"/>
  <c r="AC148" i="1"/>
  <c r="AB148" i="1"/>
  <c r="AC147" i="1"/>
  <c r="AB147" i="1"/>
  <c r="AC146" i="1"/>
  <c r="AB146" i="1"/>
  <c r="AC145" i="1"/>
  <c r="AB145" i="1"/>
  <c r="AC144" i="1"/>
  <c r="AB144" i="1"/>
  <c r="AC143" i="1"/>
  <c r="AB143" i="1"/>
  <c r="AC142" i="1"/>
  <c r="AB142" i="1"/>
  <c r="AC141" i="1"/>
  <c r="AB141" i="1"/>
  <c r="AC140" i="1"/>
  <c r="AB140" i="1"/>
  <c r="AC139" i="1"/>
  <c r="AB139" i="1"/>
  <c r="AC138" i="1"/>
  <c r="AB138" i="1"/>
  <c r="AC137" i="1"/>
  <c r="AB137" i="1"/>
  <c r="AC136" i="1"/>
  <c r="AB136" i="1"/>
  <c r="AC135" i="1"/>
  <c r="AB135" i="1"/>
  <c r="AC134" i="1"/>
  <c r="AB134" i="1"/>
  <c r="AC133" i="1"/>
  <c r="AB133" i="1"/>
  <c r="AC132" i="1"/>
  <c r="AB132" i="1"/>
  <c r="AC131" i="1"/>
  <c r="AB131" i="1"/>
  <c r="AC130" i="1"/>
  <c r="AB130" i="1"/>
  <c r="AC129" i="1"/>
  <c r="AB129" i="1"/>
  <c r="AC128" i="1"/>
  <c r="AB128" i="1"/>
  <c r="AC127" i="1"/>
  <c r="AB127" i="1"/>
  <c r="AC126" i="1"/>
  <c r="AB126" i="1"/>
  <c r="AC125" i="1"/>
  <c r="AB125" i="1"/>
  <c r="AC124" i="1"/>
  <c r="AB124" i="1"/>
  <c r="AC123" i="1"/>
  <c r="AB123" i="1"/>
  <c r="AC122" i="1"/>
  <c r="AB122" i="1"/>
  <c r="AC121" i="1"/>
  <c r="AB121" i="1"/>
  <c r="AC120" i="1"/>
  <c r="AB120" i="1"/>
  <c r="AC119" i="1"/>
  <c r="AB119" i="1"/>
  <c r="AC118" i="1"/>
  <c r="AB118" i="1"/>
  <c r="AC117" i="1"/>
  <c r="AB117" i="1"/>
  <c r="AC116" i="1"/>
  <c r="AB116" i="1"/>
  <c r="AC115" i="1"/>
  <c r="AB115" i="1"/>
  <c r="AC114" i="1"/>
  <c r="AB114" i="1"/>
  <c r="AC113" i="1"/>
  <c r="AB113" i="1"/>
  <c r="AC112" i="1"/>
  <c r="AB112" i="1"/>
  <c r="AC111" i="1"/>
  <c r="AB111" i="1"/>
  <c r="AC110" i="1"/>
  <c r="AB110" i="1"/>
  <c r="AC109" i="1"/>
  <c r="AB109" i="1"/>
  <c r="AC108" i="1"/>
  <c r="AB108" i="1"/>
  <c r="AC107" i="1"/>
  <c r="AB107" i="1"/>
  <c r="AC106" i="1"/>
  <c r="AB106" i="1"/>
  <c r="AC105" i="1"/>
  <c r="AB105" i="1"/>
  <c r="AC104" i="1"/>
  <c r="AB104" i="1"/>
  <c r="AC103" i="1"/>
  <c r="AB103" i="1"/>
  <c r="AC102" i="1"/>
  <c r="AB102" i="1"/>
  <c r="AC101" i="1"/>
  <c r="AB101" i="1"/>
  <c r="AC100" i="1"/>
  <c r="AB100" i="1"/>
  <c r="AC99" i="1"/>
  <c r="AB99" i="1"/>
  <c r="AC98" i="1"/>
  <c r="AB98" i="1"/>
  <c r="AC97" i="1"/>
  <c r="AB97" i="1"/>
  <c r="AC96" i="1"/>
  <c r="AB96" i="1"/>
  <c r="AC95" i="1"/>
  <c r="AB95" i="1"/>
  <c r="AC94" i="1"/>
  <c r="AB94" i="1"/>
  <c r="AC93" i="1"/>
  <c r="AB93" i="1"/>
  <c r="AC92" i="1"/>
  <c r="AB92" i="1"/>
  <c r="AC91" i="1"/>
  <c r="AB91" i="1"/>
  <c r="AC90" i="1"/>
  <c r="AB90" i="1"/>
  <c r="AC89" i="1"/>
  <c r="AB89" i="1"/>
  <c r="AC88" i="1"/>
  <c r="AB88" i="1"/>
  <c r="AC87" i="1"/>
  <c r="AB87" i="1"/>
  <c r="AC86" i="1"/>
  <c r="AB86" i="1"/>
  <c r="AC85" i="1"/>
  <c r="AB85" i="1"/>
  <c r="AC84" i="1"/>
  <c r="AB84" i="1"/>
  <c r="AC83" i="1"/>
  <c r="AB83" i="1"/>
  <c r="AC82" i="1"/>
  <c r="AB82" i="1"/>
  <c r="AC81" i="1"/>
  <c r="AB81" i="1"/>
  <c r="AC80" i="1"/>
  <c r="AB80" i="1"/>
  <c r="AC79" i="1"/>
  <c r="AB79" i="1"/>
  <c r="AC78" i="1"/>
  <c r="AB78" i="1"/>
  <c r="AC77" i="1"/>
  <c r="AB77" i="1"/>
  <c r="AC76" i="1"/>
  <c r="AB76" i="1"/>
  <c r="AC75" i="1"/>
  <c r="AB75" i="1"/>
  <c r="AC74" i="1"/>
  <c r="AB74" i="1"/>
  <c r="AC73" i="1"/>
  <c r="AB73" i="1"/>
  <c r="AC72" i="1"/>
  <c r="AB72" i="1"/>
  <c r="AC71" i="1"/>
  <c r="AB71" i="1"/>
  <c r="AC70" i="1"/>
  <c r="AB70" i="1"/>
  <c r="AC69" i="1"/>
  <c r="AB69" i="1"/>
  <c r="AC68" i="1"/>
  <c r="AB68" i="1"/>
  <c r="AC67" i="1"/>
  <c r="AB67" i="1"/>
  <c r="AC66" i="1"/>
  <c r="AB66" i="1"/>
  <c r="AC65" i="1"/>
  <c r="AB65" i="1"/>
  <c r="AC64" i="1"/>
  <c r="AB64" i="1"/>
  <c r="AC63" i="1"/>
  <c r="AB63" i="1"/>
  <c r="AC62" i="1"/>
  <c r="AB62" i="1"/>
  <c r="AC61" i="1"/>
  <c r="AB61" i="1"/>
  <c r="AC60" i="1"/>
  <c r="AB60" i="1"/>
  <c r="AC59" i="1"/>
  <c r="AB59" i="1"/>
  <c r="AC58" i="1"/>
  <c r="AB58" i="1"/>
  <c r="AC57" i="1"/>
  <c r="AB57" i="1"/>
  <c r="AC56" i="1"/>
  <c r="AB56" i="1"/>
  <c r="AC55" i="1"/>
  <c r="AB55" i="1"/>
  <c r="AC54" i="1"/>
  <c r="AB54" i="1"/>
  <c r="AC53" i="1"/>
  <c r="AB53" i="1"/>
  <c r="AC52" i="1"/>
  <c r="AB52" i="1"/>
  <c r="AC51" i="1"/>
  <c r="AB51" i="1"/>
  <c r="AC50" i="1"/>
  <c r="AB50" i="1"/>
  <c r="AC49" i="1"/>
  <c r="AB49" i="1"/>
  <c r="AC48" i="1"/>
  <c r="AB48" i="1"/>
  <c r="AC47" i="1"/>
  <c r="AB47" i="1"/>
  <c r="AC46" i="1"/>
  <c r="AB46" i="1"/>
  <c r="AC45" i="1"/>
  <c r="AB45" i="1"/>
  <c r="AC44" i="1"/>
  <c r="AB44" i="1"/>
  <c r="AC43" i="1"/>
  <c r="AB43" i="1"/>
  <c r="AC42" i="1"/>
  <c r="AB42" i="1"/>
  <c r="AC41" i="1"/>
  <c r="AB41" i="1"/>
  <c r="AC40" i="1"/>
  <c r="AB40" i="1"/>
  <c r="AC39" i="1"/>
  <c r="AB39" i="1"/>
  <c r="AC38" i="1"/>
  <c r="AB38" i="1"/>
  <c r="AC37" i="1"/>
  <c r="AB37" i="1"/>
  <c r="AC36" i="1"/>
  <c r="AB36" i="1"/>
  <c r="AC35" i="1"/>
  <c r="AB35" i="1"/>
  <c r="AC34" i="1"/>
  <c r="AB34" i="1"/>
  <c r="AC33" i="1"/>
  <c r="AB33" i="1"/>
  <c r="AC32" i="1"/>
  <c r="AB32" i="1"/>
  <c r="AC31" i="1"/>
  <c r="AB31" i="1"/>
  <c r="AC30" i="1"/>
  <c r="AB30" i="1"/>
  <c r="AC29" i="1"/>
  <c r="AB29" i="1"/>
  <c r="AC28" i="1"/>
  <c r="AB28" i="1"/>
  <c r="AC27" i="1"/>
  <c r="AB27" i="1"/>
  <c r="AC26" i="1"/>
  <c r="AB26" i="1"/>
  <c r="AC25" i="1"/>
  <c r="AB25" i="1"/>
  <c r="AC24" i="1"/>
  <c r="AB24" i="1"/>
  <c r="AC23" i="1"/>
  <c r="AB23" i="1"/>
  <c r="AC22" i="1"/>
  <c r="AB22" i="1"/>
  <c r="AC21" i="1"/>
  <c r="AB21" i="1"/>
  <c r="AC20" i="1"/>
  <c r="AB20" i="1"/>
  <c r="AC19" i="1"/>
  <c r="AB19" i="1"/>
  <c r="AC18" i="1"/>
  <c r="AB18" i="1"/>
  <c r="AC17" i="1"/>
  <c r="AB17" i="1"/>
  <c r="AC16" i="1"/>
  <c r="AB16" i="1"/>
  <c r="AC15" i="1"/>
  <c r="AB15" i="1"/>
  <c r="AC14" i="1"/>
  <c r="AB14" i="1"/>
  <c r="AC13" i="1"/>
  <c r="AB13" i="1"/>
  <c r="AC12" i="1"/>
  <c r="AB12" i="1"/>
  <c r="AC11" i="1"/>
  <c r="AB11" i="1"/>
  <c r="AC10" i="1"/>
  <c r="AB10" i="1"/>
  <c r="AC9" i="1"/>
  <c r="AB9" i="1"/>
  <c r="AC8" i="1"/>
  <c r="AB8" i="1"/>
  <c r="AC7" i="1"/>
  <c r="AB7" i="1"/>
  <c r="AC6" i="1"/>
  <c r="AB6" i="1"/>
  <c r="AC5" i="1"/>
  <c r="AB5" i="1"/>
  <c r="AC4" i="1"/>
  <c r="AB4" i="1"/>
  <c r="AC3" i="1"/>
  <c r="AB3" i="1"/>
  <c r="AC2" i="1"/>
  <c r="AB2" i="1"/>
</calcChain>
</file>

<file path=xl/sharedStrings.xml><?xml version="1.0" encoding="utf-8"?>
<sst xmlns="http://schemas.openxmlformats.org/spreadsheetml/2006/main" count="1984" uniqueCount="126">
  <si>
    <t>fund_id</t>
  </si>
  <si>
    <t>fund_name</t>
  </si>
  <si>
    <t>ticker</t>
  </si>
  <si>
    <t>month_end</t>
  </si>
  <si>
    <t>nav</t>
  </si>
  <si>
    <t>nav_per_share</t>
  </si>
  <si>
    <t>monthly_return</t>
  </si>
  <si>
    <t>cik</t>
  </si>
  <si>
    <t>fund_type</t>
  </si>
  <si>
    <t>yfinance_link</t>
  </si>
  <si>
    <t>share_class</t>
  </si>
  <si>
    <t>expense_ratio</t>
  </si>
  <si>
    <t>sec_name</t>
  </si>
  <si>
    <t>direct_statement_name</t>
  </si>
  <si>
    <t>icapital_name</t>
  </si>
  <si>
    <t>ms_name</t>
  </si>
  <si>
    <t>website_link</t>
  </si>
  <si>
    <t>Bow River Evergreen PE</t>
  </si>
  <si>
    <t>Carlyle Alpinvest</t>
  </si>
  <si>
    <t>Cliffwater</t>
  </si>
  <si>
    <t>Coller Secondaries</t>
  </si>
  <si>
    <t>Stepstone PC Income</t>
  </si>
  <si>
    <t>Stepstone Private Markets</t>
  </si>
  <si>
    <t>Stepstone PV/Growth</t>
  </si>
  <si>
    <t>AMG Pantheon</t>
  </si>
  <si>
    <t>Hamilton Lane</t>
  </si>
  <si>
    <t>JPMF</t>
  </si>
  <si>
    <t>FLEX</t>
  </si>
  <si>
    <t>Tender</t>
  </si>
  <si>
    <t>Interval</t>
  </si>
  <si>
    <t>https://www.bowriverevergreen.com/</t>
  </si>
  <si>
    <t>https://www.carlyle.com/capm</t>
  </si>
  <si>
    <t>https://www.cliffwaterfunds.com/celfx</t>
  </si>
  <si>
    <t>https://cspef.com/</t>
  </si>
  <si>
    <t>https://www.stepstonegroup.com/what-we-do/solutions-services/private-wealth-solutions/crdex/</t>
  </si>
  <si>
    <t>https://www.stepstonegroup.com/what-we-do/solutions-services/private-wealth-solutions/sprim/</t>
  </si>
  <si>
    <t>https://www.stepstonegroup.com/what-we-do/solutions-services/private-wealth-solutions/spring/</t>
  </si>
  <si>
    <t>https://www.pantheon.com/private-wealth-overview/amg-pantheon-fund/</t>
  </si>
  <si>
    <t>https://www.flexpe.com</t>
  </si>
  <si>
    <t>https://www.hamiltonlane.com/en-us/strategies/evergreen/us-private-wealth/private-assets-fund</t>
  </si>
  <si>
    <t>https://am.jpmorgan.com/us/en/asset-management/adv/products/jpmorgan-private-markets-fund-i-48130f306</t>
  </si>
  <si>
    <t>Class I</t>
  </si>
  <si>
    <t>Class 3</t>
  </si>
  <si>
    <t>EVERX</t>
  </si>
  <si>
    <t>XCPIX</t>
  </si>
  <si>
    <t>CELFX</t>
  </si>
  <si>
    <t>CRDEX</t>
  </si>
  <si>
    <t>XPMIX</t>
  </si>
  <si>
    <t>XSPIX</t>
  </si>
  <si>
    <t>XPEIX</t>
  </si>
  <si>
    <t>XHLIX</t>
  </si>
  <si>
    <t>Bow River Capital Evergreen Fund</t>
  </si>
  <si>
    <t>Carlyle AlpInvest Private Markets Fund</t>
  </si>
  <si>
    <t>Cliffwater Enhanced Lending Fund</t>
  </si>
  <si>
    <t>Coller Secondaries Private Equity Opportunities Fund</t>
  </si>
  <si>
    <t>StepStone Private Credit Income Fund</t>
  </si>
  <si>
    <t>StepStone Private Markets</t>
  </si>
  <si>
    <t>StepStone Private Venture and Growth Fund</t>
  </si>
  <si>
    <t>Franklin Lexington Private Markets Fund</t>
  </si>
  <si>
    <t>Hamilton Lane Private Assets Fund</t>
  </si>
  <si>
    <t>JPMorgan Private Markets Fund</t>
  </si>
  <si>
    <t>BOW RIVER CAP EVERGREEN FD CL I</t>
  </si>
  <si>
    <t>Carlyle Alphinvest Prvte Mrkts I</t>
  </si>
  <si>
    <t>CLIFFWATER ENHANCED LENDING FUND CL I</t>
  </si>
  <si>
    <t>STEPSTONE PRIVATE CREDIT INCOME FD CL I</t>
  </si>
  <si>
    <t>STEPSTONE PRIVATE MARKETS I</t>
  </si>
  <si>
    <t>STEPSTONE PRIVATE VENTURE AND GROWTH FD CL I</t>
  </si>
  <si>
    <t>AMG PANTHEON FUND, LLC ESC</t>
  </si>
  <si>
    <t>FLEX - CLASS I ESC</t>
  </si>
  <si>
    <t>HAMILTON LANE PAF (I) ESC</t>
  </si>
  <si>
    <t>JPMF CLASS I ESC</t>
  </si>
  <si>
    <t>AMG PANTHEON FUND CLASS 3</t>
  </si>
  <si>
    <t>HAMILTON LANE PVT ASSET FUND CL I</t>
  </si>
  <si>
    <t>JPMORGAN PRIVATE MARKETS FUND - I</t>
  </si>
  <si>
    <t>https://finance.yahoo.com/quote/EVERX/</t>
  </si>
  <si>
    <t>https://finance.yahoo.com/quote/XCPIX/</t>
  </si>
  <si>
    <t>https://finance.yahoo.com/quote/CELFX/</t>
  </si>
  <si>
    <t>https://finance.yahoo.com/quote/CRDEX/history/</t>
  </si>
  <si>
    <t>https://finance.yahoo.com/quote/XPMIX/</t>
  </si>
  <si>
    <t>https://finance.yahoo.com/quote/XSPIX/</t>
  </si>
  <si>
    <t>https://finance.yahoo.com/quote/XHLIX/</t>
  </si>
  <si>
    <t>gp_count</t>
  </si>
  <si>
    <t>nav_source</t>
  </si>
  <si>
    <t>nav_per_share_source</t>
  </si>
  <si>
    <t>monthly_return_source</t>
  </si>
  <si>
    <t>gp_count_source</t>
  </si>
  <si>
    <t>distributions_per_share</t>
  </si>
  <si>
    <t>gav</t>
  </si>
  <si>
    <t>gav_source</t>
  </si>
  <si>
    <t>pitchbook</t>
  </si>
  <si>
    <t>distributions_per_share_source</t>
  </si>
  <si>
    <t>strategy</t>
  </si>
  <si>
    <t>shares_owned</t>
  </si>
  <si>
    <t>sgg_nav</t>
  </si>
  <si>
    <t>shares_owned_source</t>
  </si>
  <si>
    <t>sgg_nav_source</t>
  </si>
  <si>
    <t>sgg_holding</t>
  </si>
  <si>
    <t>y</t>
  </si>
  <si>
    <t>sgg_purchases</t>
  </si>
  <si>
    <t>sgg_purchases_source</t>
  </si>
  <si>
    <t>sgg_redemptions</t>
  </si>
  <si>
    <t>sgg_distributions</t>
  </si>
  <si>
    <t>sgg_redemptions_source</t>
  </si>
  <si>
    <t>sgg_distributions_source</t>
  </si>
  <si>
    <t>black diamond</t>
  </si>
  <si>
    <t>direct fund statement</t>
  </si>
  <si>
    <t>icapital</t>
  </si>
  <si>
    <t>morgan stanley statement</t>
  </si>
  <si>
    <t>yfinance</t>
  </si>
  <si>
    <t>shares_outstanding</t>
  </si>
  <si>
    <t>shares_outstanding_source</t>
  </si>
  <si>
    <t>share_class_count</t>
  </si>
  <si>
    <t>nport_portfolio_count</t>
  </si>
  <si>
    <t>management_fee</t>
  </si>
  <si>
    <t>class_inception_date</t>
  </si>
  <si>
    <t>private_equity</t>
  </si>
  <si>
    <t>private_credit</t>
  </si>
  <si>
    <t>secondaries</t>
  </si>
  <si>
    <t>venture</t>
  </si>
  <si>
    <t>AMG Pantheon Fund, LLC</t>
  </si>
  <si>
    <t>N-CSRS</t>
  </si>
  <si>
    <t>N-CSR</t>
  </si>
  <si>
    <t>factsheet</t>
  </si>
  <si>
    <t>incentve_fee</t>
  </si>
  <si>
    <t>repurchases_liquidity</t>
  </si>
  <si>
    <t>pitchbook_index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</si>
</sst>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10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0" fontId="2" fillId="0" borderId="0" xfId="2"/>
    <xf numFmtId="10" fontId="0" fillId="0" borderId="0" xfId="3" applyNumberFormat="1" applyFont="1"/>
    <xf numFmtId="9" fontId="0" fillId="0" borderId="0" xfId="0" applyNumberFormat="1"/>
    <xf numFmtId="164" fontId="0" fillId="0" borderId="0" xfId="0" applyNumberFormat="1"/>
  </cellXfs>
  <cellStyles count="4">
    <cellStyle name="Hyperlink" xfId="2" builtinId="8"/>
    <cellStyle name="Normal" xfId="0" builtinId="0"/>
    <cellStyle name="Normal 2" xfId="1" xr:uid="{9056FB7C-326A-4195-865F-19F0531EFADC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GG.old\Documents\Evergreen\sgg-monitor\data\pitchbook_tri_index.xlsx" TargetMode="External"/><Relationship Id="rId1" Type="http://schemas.openxmlformats.org/officeDocument/2006/relationships/externalLinkPath" Target="pitchbook_tri_inde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tchbook_tri_index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86E397-AA5D-4BFA-A7EB-602BD369575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db1ca48-9233-4e56-9617-6895de6225f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epstonegroup.com/what-we-do/solutions-services/private-wealth-solutions/sprim/" TargetMode="External"/><Relationship Id="rId13" Type="http://schemas.openxmlformats.org/officeDocument/2006/relationships/hyperlink" Target="https://am.jpmorgan.com/us/en/asset-management/adv/products/jpmorgan-private-markets-fund-i-48130f306" TargetMode="External"/><Relationship Id="rId3" Type="http://schemas.openxmlformats.org/officeDocument/2006/relationships/hyperlink" Target="https://www.bowriverevergreen.com/" TargetMode="External"/><Relationship Id="rId7" Type="http://schemas.openxmlformats.org/officeDocument/2006/relationships/hyperlink" Target="https://www.stepstonegroup.com/what-we-do/solutions-services/private-wealth-solutions/crdex/" TargetMode="External"/><Relationship Id="rId12" Type="http://schemas.openxmlformats.org/officeDocument/2006/relationships/hyperlink" Target="https://www.hamiltonlane.com/en-us/strategies/evergreen/us-private-wealth/private-assets-fund" TargetMode="External"/><Relationship Id="rId2" Type="http://schemas.openxmlformats.org/officeDocument/2006/relationships/hyperlink" Target="https://finance.yahoo.com/quote/XSPIX/" TargetMode="External"/><Relationship Id="rId1" Type="http://schemas.openxmlformats.org/officeDocument/2006/relationships/hyperlink" Target="https://finance.yahoo.com/quote/CELFX/" TargetMode="External"/><Relationship Id="rId6" Type="http://schemas.openxmlformats.org/officeDocument/2006/relationships/hyperlink" Target="https://cspef.com/" TargetMode="External"/><Relationship Id="rId11" Type="http://schemas.openxmlformats.org/officeDocument/2006/relationships/hyperlink" Target="https://www.flexpe.com/" TargetMode="External"/><Relationship Id="rId5" Type="http://schemas.openxmlformats.org/officeDocument/2006/relationships/hyperlink" Target="https://www.cliffwaterfunds.com/celfx" TargetMode="External"/><Relationship Id="rId10" Type="http://schemas.openxmlformats.org/officeDocument/2006/relationships/hyperlink" Target="https://www.pantheon.com/private-wealth-overview/amg-pantheon-fund/" TargetMode="External"/><Relationship Id="rId4" Type="http://schemas.openxmlformats.org/officeDocument/2006/relationships/hyperlink" Target="https://www.carlyle.com/capm" TargetMode="External"/><Relationship Id="rId9" Type="http://schemas.openxmlformats.org/officeDocument/2006/relationships/hyperlink" Target="https://www.stepstonegroup.com/what-we-do/solutions-services/private-wealth-solutions/sp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1"/>
  <sheetViews>
    <sheetView topLeftCell="A540" zoomScale="67" zoomScaleNormal="115" workbookViewId="0">
      <selection activeCell="M550" sqref="M550"/>
    </sheetView>
  </sheetViews>
  <sheetFormatPr defaultRowHeight="15" x14ac:dyDescent="0.25"/>
  <cols>
    <col min="2" max="2" width="13" bestFit="1" customWidth="1"/>
    <col min="3" max="3" width="14.85546875" bestFit="1" customWidth="1"/>
    <col min="4" max="4" width="14.42578125" bestFit="1" customWidth="1"/>
    <col min="5" max="5" width="15.42578125" bestFit="1" customWidth="1"/>
    <col min="6" max="6" width="11.28515625" customWidth="1"/>
    <col min="7" max="7" width="14.140625" bestFit="1" customWidth="1"/>
    <col min="8" max="8" width="14.140625" customWidth="1"/>
    <col min="9" max="9" width="22.5703125" bestFit="1" customWidth="1"/>
    <col min="10" max="10" width="29.7109375" bestFit="1" customWidth="1"/>
    <col min="11" max="12" width="22.28515625" customWidth="1"/>
    <col min="13" max="13" width="23.42578125" bestFit="1" customWidth="1"/>
    <col min="14" max="14" width="12.7109375" bestFit="1" customWidth="1"/>
    <col min="15" max="15" width="10.85546875" bestFit="1" customWidth="1"/>
    <col min="16" max="16" width="18.5703125" bestFit="1" customWidth="1"/>
    <col min="17" max="17" width="25.7109375" bestFit="1" customWidth="1"/>
    <col min="18" max="18" width="14" bestFit="1" customWidth="1"/>
    <col min="19" max="19" width="21" bestFit="1" customWidth="1"/>
    <col min="20" max="20" width="13.85546875" bestFit="1" customWidth="1"/>
    <col min="21" max="21" width="20.85546875" bestFit="1" customWidth="1"/>
    <col min="22" max="22" width="16.42578125" bestFit="1" customWidth="1"/>
    <col min="23" max="23" width="24.5703125" bestFit="1" customWidth="1"/>
    <col min="24" max="24" width="16.28515625" bestFit="1" customWidth="1"/>
    <col min="25" max="25" width="23.42578125" bestFit="1" customWidth="1"/>
    <col min="27" max="27" width="16.140625" bestFit="1" customWidth="1"/>
    <col min="28" max="28" width="26.7109375" bestFit="1" customWidth="1"/>
    <col min="29" max="29" width="15" bestFit="1" customWidth="1"/>
  </cols>
  <sheetData>
    <row r="1" spans="1:29" x14ac:dyDescent="0.25">
      <c r="A1" t="s">
        <v>0</v>
      </c>
      <c r="B1" t="s">
        <v>3</v>
      </c>
      <c r="C1" t="s">
        <v>93</v>
      </c>
      <c r="D1" t="s">
        <v>95</v>
      </c>
      <c r="E1" t="s">
        <v>4</v>
      </c>
      <c r="F1" t="s">
        <v>82</v>
      </c>
      <c r="G1" t="s">
        <v>5</v>
      </c>
      <c r="H1" t="s">
        <v>83</v>
      </c>
      <c r="I1" t="s">
        <v>86</v>
      </c>
      <c r="J1" t="s">
        <v>90</v>
      </c>
      <c r="K1" t="s">
        <v>6</v>
      </c>
      <c r="L1" t="s">
        <v>84</v>
      </c>
      <c r="M1" t="s">
        <v>112</v>
      </c>
      <c r="N1" t="s">
        <v>87</v>
      </c>
      <c r="O1" t="s">
        <v>88</v>
      </c>
      <c r="P1" t="s">
        <v>109</v>
      </c>
      <c r="Q1" t="s">
        <v>110</v>
      </c>
      <c r="R1" t="s">
        <v>92</v>
      </c>
      <c r="S1" t="s">
        <v>94</v>
      </c>
      <c r="T1" t="s">
        <v>98</v>
      </c>
      <c r="U1" t="s">
        <v>99</v>
      </c>
      <c r="V1" t="s">
        <v>100</v>
      </c>
      <c r="W1" t="s">
        <v>102</v>
      </c>
      <c r="X1" t="s">
        <v>101</v>
      </c>
      <c r="Y1" t="s">
        <v>103</v>
      </c>
      <c r="Z1" t="s">
        <v>81</v>
      </c>
      <c r="AA1" t="s">
        <v>85</v>
      </c>
      <c r="AB1" t="s">
        <v>1</v>
      </c>
      <c r="AC1" t="s">
        <v>91</v>
      </c>
    </row>
    <row r="2" spans="1:29" x14ac:dyDescent="0.25">
      <c r="A2">
        <v>1</v>
      </c>
      <c r="B2" s="3">
        <v>46173</v>
      </c>
      <c r="E2" s="4"/>
      <c r="G2" s="5">
        <v>55.56</v>
      </c>
      <c r="H2" t="s">
        <v>89</v>
      </c>
      <c r="K2" s="2"/>
      <c r="N2" s="4"/>
      <c r="AB2" t="str">
        <f>IFERROR(VLOOKUP($A2,fund_metadata!$A:$P,2,FALSE),"")</f>
        <v>Bow River Evergreen PE</v>
      </c>
      <c r="AC2" t="str">
        <f>IFERROR(VLOOKUP($A2,fund_metadata!$A:$P,16,FALSE),"")</f>
        <v>private_equity</v>
      </c>
    </row>
    <row r="3" spans="1:29" x14ac:dyDescent="0.25">
      <c r="A3">
        <v>1</v>
      </c>
      <c r="B3" s="3">
        <v>46142</v>
      </c>
      <c r="C3">
        <v>5132009.82</v>
      </c>
      <c r="D3" t="s">
        <v>104</v>
      </c>
      <c r="E3" s="4">
        <v>1240000000</v>
      </c>
      <c r="F3" t="s">
        <v>89</v>
      </c>
      <c r="G3" s="5">
        <v>55.17</v>
      </c>
      <c r="H3" t="s">
        <v>89</v>
      </c>
      <c r="K3" s="2">
        <v>3.3999999999999998E-3</v>
      </c>
      <c r="L3" t="s">
        <v>89</v>
      </c>
      <c r="N3" s="4"/>
      <c r="AB3" t="str">
        <f>IFERROR(VLOOKUP($A3,fund_metadata!$A:$P,2,FALSE),"")</f>
        <v>Bow River Evergreen PE</v>
      </c>
      <c r="AC3" t="str">
        <f>IFERROR(VLOOKUP($A3,fund_metadata!$A:$P,16,FALSE),"")</f>
        <v>private_equity</v>
      </c>
    </row>
    <row r="4" spans="1:29" x14ac:dyDescent="0.25">
      <c r="A4">
        <v>1</v>
      </c>
      <c r="B4" s="3">
        <v>46112</v>
      </c>
      <c r="C4">
        <v>5114594.58</v>
      </c>
      <c r="D4" t="s">
        <v>105</v>
      </c>
      <c r="E4" s="4">
        <v>1220000000</v>
      </c>
      <c r="F4" t="s">
        <v>89</v>
      </c>
      <c r="G4" s="5">
        <v>54.98</v>
      </c>
      <c r="H4" t="s">
        <v>89</v>
      </c>
      <c r="K4" s="2">
        <v>3.8999999999999998E-3</v>
      </c>
      <c r="L4" t="s">
        <v>89</v>
      </c>
      <c r="M4">
        <v>198</v>
      </c>
      <c r="N4" s="4"/>
      <c r="R4">
        <v>93030.179000000004</v>
      </c>
      <c r="S4" t="s">
        <v>105</v>
      </c>
      <c r="T4">
        <v>0</v>
      </c>
      <c r="U4" t="s">
        <v>105</v>
      </c>
      <c r="V4">
        <v>0</v>
      </c>
      <c r="W4" t="s">
        <v>105</v>
      </c>
      <c r="X4">
        <v>0</v>
      </c>
      <c r="Y4" t="s">
        <v>105</v>
      </c>
      <c r="AB4" t="str">
        <f>IFERROR(VLOOKUP($A4,fund_metadata!$A:$P,2,FALSE),"")</f>
        <v>Bow River Evergreen PE</v>
      </c>
      <c r="AC4" t="str">
        <f>IFERROR(VLOOKUP($A4,fund_metadata!$A:$P,16,FALSE),"")</f>
        <v>private_equity</v>
      </c>
    </row>
    <row r="5" spans="1:29" x14ac:dyDescent="0.25">
      <c r="A5">
        <v>1</v>
      </c>
      <c r="B5" s="3">
        <v>46081</v>
      </c>
      <c r="C5">
        <v>5094704.72</v>
      </c>
      <c r="D5" t="s">
        <v>105</v>
      </c>
      <c r="E5" s="4">
        <v>1190000000</v>
      </c>
      <c r="F5" t="s">
        <v>89</v>
      </c>
      <c r="G5" s="5">
        <v>54.76</v>
      </c>
      <c r="H5" t="s">
        <v>89</v>
      </c>
      <c r="K5" s="2">
        <v>6.8999999999999999E-3</v>
      </c>
      <c r="L5" t="s">
        <v>89</v>
      </c>
      <c r="N5" s="4"/>
      <c r="R5">
        <v>93030.179000000004</v>
      </c>
      <c r="S5" t="s">
        <v>105</v>
      </c>
      <c r="T5">
        <v>0</v>
      </c>
      <c r="U5" t="s">
        <v>105</v>
      </c>
      <c r="V5">
        <v>0</v>
      </c>
      <c r="W5" t="s">
        <v>105</v>
      </c>
      <c r="X5">
        <v>0</v>
      </c>
      <c r="Y5" t="s">
        <v>105</v>
      </c>
      <c r="AB5" t="str">
        <f>IFERROR(VLOOKUP($A5,fund_metadata!$A:$P,2,FALSE),"")</f>
        <v>Bow River Evergreen PE</v>
      </c>
      <c r="AC5" t="str">
        <f>IFERROR(VLOOKUP($A5,fund_metadata!$A:$P,16,FALSE),"")</f>
        <v>private_equity</v>
      </c>
    </row>
    <row r="6" spans="1:29" x14ac:dyDescent="0.25">
      <c r="A6">
        <v>1</v>
      </c>
      <c r="B6" s="3">
        <v>46053</v>
      </c>
      <c r="C6">
        <v>5059902.13</v>
      </c>
      <c r="D6" t="s">
        <v>105</v>
      </c>
      <c r="E6" s="4">
        <v>1160000000</v>
      </c>
      <c r="F6" t="s">
        <v>89</v>
      </c>
      <c r="G6" s="5">
        <v>54.39</v>
      </c>
      <c r="H6" t="s">
        <v>89</v>
      </c>
      <c r="K6" s="2">
        <v>1.2E-2</v>
      </c>
      <c r="L6" t="s">
        <v>89</v>
      </c>
      <c r="N6" s="4"/>
      <c r="R6">
        <v>93030.179000000004</v>
      </c>
      <c r="S6" t="s">
        <v>105</v>
      </c>
      <c r="T6">
        <v>5000000</v>
      </c>
      <c r="U6" t="s">
        <v>105</v>
      </c>
      <c r="V6">
        <v>0</v>
      </c>
      <c r="W6" t="s">
        <v>105</v>
      </c>
      <c r="X6">
        <v>0</v>
      </c>
      <c r="Y6" t="s">
        <v>105</v>
      </c>
      <c r="AB6" t="str">
        <f>IFERROR(VLOOKUP($A6,fund_metadata!$A:$P,2,FALSE),"")</f>
        <v>Bow River Evergreen PE</v>
      </c>
      <c r="AC6" t="str">
        <f>IFERROR(VLOOKUP($A6,fund_metadata!$A:$P,16,FALSE),"")</f>
        <v>private_equity</v>
      </c>
    </row>
    <row r="7" spans="1:29" x14ac:dyDescent="0.25">
      <c r="A7">
        <v>1</v>
      </c>
      <c r="B7" s="3">
        <v>46022</v>
      </c>
      <c r="E7" s="4">
        <v>1120000000</v>
      </c>
      <c r="F7" t="s">
        <v>89</v>
      </c>
      <c r="G7" s="5">
        <v>53.75</v>
      </c>
      <c r="H7" t="s">
        <v>89</v>
      </c>
      <c r="K7" s="2">
        <v>-1.1299999999999999E-2</v>
      </c>
      <c r="L7" t="s">
        <v>89</v>
      </c>
      <c r="M7">
        <v>185</v>
      </c>
      <c r="N7" s="4"/>
      <c r="AB7" t="str">
        <f>IFERROR(VLOOKUP($A7,fund_metadata!$A:$P,2,FALSE),"")</f>
        <v>Bow River Evergreen PE</v>
      </c>
      <c r="AC7" t="str">
        <f>IFERROR(VLOOKUP($A7,fund_metadata!$A:$P,16,FALSE),"")</f>
        <v>private_equity</v>
      </c>
    </row>
    <row r="8" spans="1:29" x14ac:dyDescent="0.25">
      <c r="A8">
        <v>1</v>
      </c>
      <c r="B8" s="3">
        <v>45991</v>
      </c>
      <c r="E8" s="4">
        <v>1090000000</v>
      </c>
      <c r="F8" t="s">
        <v>89</v>
      </c>
      <c r="G8" s="5">
        <v>54.36</v>
      </c>
      <c r="H8" t="s">
        <v>89</v>
      </c>
      <c r="K8" s="2">
        <v>3.1899999999999998E-2</v>
      </c>
      <c r="L8" t="s">
        <v>89</v>
      </c>
      <c r="N8" s="4"/>
      <c r="AB8" t="str">
        <f>IFERROR(VLOOKUP($A8,fund_metadata!$A:$P,2,FALSE),"")</f>
        <v>Bow River Evergreen PE</v>
      </c>
      <c r="AC8" t="str">
        <f>IFERROR(VLOOKUP($A8,fund_metadata!$A:$P,16,FALSE),"")</f>
        <v>private_equity</v>
      </c>
    </row>
    <row r="9" spans="1:29" x14ac:dyDescent="0.25">
      <c r="A9">
        <v>1</v>
      </c>
      <c r="B9" s="3">
        <v>45961</v>
      </c>
      <c r="E9" s="4">
        <v>1050000000</v>
      </c>
      <c r="F9" t="s">
        <v>89</v>
      </c>
      <c r="G9" s="5">
        <v>52.68</v>
      </c>
      <c r="H9" t="s">
        <v>89</v>
      </c>
      <c r="K9" s="2">
        <v>1.2500000000000001E-2</v>
      </c>
      <c r="L9" t="s">
        <v>89</v>
      </c>
      <c r="N9" s="4"/>
      <c r="AB9" t="str">
        <f>IFERROR(VLOOKUP($A9,fund_metadata!$A:$P,2,FALSE),"")</f>
        <v>Bow River Evergreen PE</v>
      </c>
      <c r="AC9" t="str">
        <f>IFERROR(VLOOKUP($A9,fund_metadata!$A:$P,16,FALSE),"")</f>
        <v>private_equity</v>
      </c>
    </row>
    <row r="10" spans="1:29" x14ac:dyDescent="0.25">
      <c r="A10">
        <v>1</v>
      </c>
      <c r="B10" s="3">
        <v>45930</v>
      </c>
      <c r="E10" s="4">
        <v>1000000000</v>
      </c>
      <c r="F10" t="s">
        <v>89</v>
      </c>
      <c r="G10" s="5">
        <v>52.03</v>
      </c>
      <c r="H10" t="s">
        <v>89</v>
      </c>
      <c r="K10" s="2">
        <v>6.6E-3</v>
      </c>
      <c r="L10" t="s">
        <v>89</v>
      </c>
      <c r="M10">
        <v>176</v>
      </c>
      <c r="N10" s="4">
        <v>1040000000</v>
      </c>
      <c r="O10" t="s">
        <v>89</v>
      </c>
      <c r="P10">
        <v>18405421</v>
      </c>
      <c r="Q10" t="s">
        <v>120</v>
      </c>
      <c r="AB10" t="str">
        <f>IFERROR(VLOOKUP($A10,fund_metadata!$A:$P,2,FALSE),"")</f>
        <v>Bow River Evergreen PE</v>
      </c>
      <c r="AC10" t="str">
        <f>IFERROR(VLOOKUP($A10,fund_metadata!$A:$P,16,FALSE),"")</f>
        <v>private_equity</v>
      </c>
    </row>
    <row r="11" spans="1:29" x14ac:dyDescent="0.25">
      <c r="A11">
        <v>1</v>
      </c>
      <c r="B11" s="3">
        <v>45900</v>
      </c>
      <c r="E11" s="4">
        <v>942530000</v>
      </c>
      <c r="F11" t="s">
        <v>89</v>
      </c>
      <c r="G11" s="5">
        <v>51.69</v>
      </c>
      <c r="H11" t="s">
        <v>89</v>
      </c>
      <c r="K11" s="2">
        <v>1.9099999999999999E-2</v>
      </c>
      <c r="L11" t="s">
        <v>89</v>
      </c>
      <c r="N11" s="4"/>
      <c r="AB11" t="str">
        <f>IFERROR(VLOOKUP($A11,fund_metadata!$A:$P,2,FALSE),"")</f>
        <v>Bow River Evergreen PE</v>
      </c>
      <c r="AC11" t="str">
        <f>IFERROR(VLOOKUP($A11,fund_metadata!$A:$P,16,FALSE),"")</f>
        <v>private_equity</v>
      </c>
    </row>
    <row r="12" spans="1:29" x14ac:dyDescent="0.25">
      <c r="A12">
        <v>1</v>
      </c>
      <c r="B12" s="3">
        <v>45869</v>
      </c>
      <c r="E12" s="4">
        <v>894140000</v>
      </c>
      <c r="F12" t="s">
        <v>89</v>
      </c>
      <c r="G12" s="5">
        <v>50.72</v>
      </c>
      <c r="H12" t="s">
        <v>89</v>
      </c>
      <c r="K12" s="2">
        <v>-2E-3</v>
      </c>
      <c r="L12" t="s">
        <v>89</v>
      </c>
      <c r="N12" s="4"/>
      <c r="AB12" t="str">
        <f>IFERROR(VLOOKUP($A12,fund_metadata!$A:$P,2,FALSE),"")</f>
        <v>Bow River Evergreen PE</v>
      </c>
      <c r="AC12" t="str">
        <f>IFERROR(VLOOKUP($A12,fund_metadata!$A:$P,16,FALSE),"")</f>
        <v>private_equity</v>
      </c>
    </row>
    <row r="13" spans="1:29" x14ac:dyDescent="0.25">
      <c r="A13">
        <v>1</v>
      </c>
      <c r="B13" s="3">
        <v>45838</v>
      </c>
      <c r="E13" s="4">
        <v>849670000</v>
      </c>
      <c r="F13" t="s">
        <v>89</v>
      </c>
      <c r="G13" s="5">
        <v>50.82</v>
      </c>
      <c r="H13" t="s">
        <v>89</v>
      </c>
      <c r="I13">
        <v>0</v>
      </c>
      <c r="J13" t="s">
        <v>108</v>
      </c>
      <c r="K13" s="2">
        <v>4.0000000000000002E-4</v>
      </c>
      <c r="L13" t="s">
        <v>89</v>
      </c>
      <c r="M13">
        <v>157</v>
      </c>
      <c r="N13" s="4"/>
      <c r="AB13" t="str">
        <f>IFERROR(VLOOKUP($A13,fund_metadata!$A:$P,2,FALSE),"")</f>
        <v>Bow River Evergreen PE</v>
      </c>
      <c r="AC13" t="str">
        <f>IFERROR(VLOOKUP($A13,fund_metadata!$A:$P,16,FALSE),"")</f>
        <v>private_equity</v>
      </c>
    </row>
    <row r="14" spans="1:29" x14ac:dyDescent="0.25">
      <c r="A14">
        <v>1</v>
      </c>
      <c r="B14" s="3">
        <v>45808</v>
      </c>
      <c r="E14" s="4">
        <v>826540000</v>
      </c>
      <c r="F14" t="s">
        <v>89</v>
      </c>
      <c r="G14" s="5">
        <v>50.8</v>
      </c>
      <c r="H14" t="s">
        <v>89</v>
      </c>
      <c r="I14">
        <v>0</v>
      </c>
      <c r="J14" t="s">
        <v>108</v>
      </c>
      <c r="K14" s="2">
        <v>1.4200000000000001E-2</v>
      </c>
      <c r="L14" t="s">
        <v>89</v>
      </c>
      <c r="N14" s="4"/>
      <c r="AB14" t="str">
        <f>IFERROR(VLOOKUP($A14,fund_metadata!$A:$P,2,FALSE),"")</f>
        <v>Bow River Evergreen PE</v>
      </c>
      <c r="AC14" t="str">
        <f>IFERROR(VLOOKUP($A14,fund_metadata!$A:$P,16,FALSE),"")</f>
        <v>private_equity</v>
      </c>
    </row>
    <row r="15" spans="1:29" x14ac:dyDescent="0.25">
      <c r="A15">
        <v>1</v>
      </c>
      <c r="B15" s="3">
        <v>45777</v>
      </c>
      <c r="E15" s="4">
        <v>807000000</v>
      </c>
      <c r="F15" t="s">
        <v>89</v>
      </c>
      <c r="G15" s="5">
        <v>50.09</v>
      </c>
      <c r="H15" t="s">
        <v>89</v>
      </c>
      <c r="I15">
        <v>0</v>
      </c>
      <c r="J15" t="s">
        <v>108</v>
      </c>
      <c r="K15" s="2">
        <v>8.0999999999999996E-3</v>
      </c>
      <c r="L15" t="s">
        <v>89</v>
      </c>
      <c r="N15" s="4"/>
      <c r="AB15" t="str">
        <f>IFERROR(VLOOKUP($A15,fund_metadata!$A:$P,2,FALSE),"")</f>
        <v>Bow River Evergreen PE</v>
      </c>
      <c r="AC15" t="str">
        <f>IFERROR(VLOOKUP($A15,fund_metadata!$A:$P,16,FALSE),"")</f>
        <v>private_equity</v>
      </c>
    </row>
    <row r="16" spans="1:29" x14ac:dyDescent="0.25">
      <c r="A16">
        <v>1</v>
      </c>
      <c r="B16" s="3">
        <v>45747</v>
      </c>
      <c r="E16" s="4">
        <v>774220000</v>
      </c>
      <c r="F16" t="s">
        <v>89</v>
      </c>
      <c r="G16" s="5">
        <v>49.69</v>
      </c>
      <c r="H16" t="s">
        <v>89</v>
      </c>
      <c r="I16">
        <v>0</v>
      </c>
      <c r="J16" t="s">
        <v>108</v>
      </c>
      <c r="K16" s="2">
        <v>1.8200000000000001E-2</v>
      </c>
      <c r="L16" t="s">
        <v>89</v>
      </c>
      <c r="M16">
        <v>147</v>
      </c>
      <c r="N16" s="4">
        <v>817800000</v>
      </c>
      <c r="O16" t="s">
        <v>89</v>
      </c>
      <c r="P16">
        <v>14550293</v>
      </c>
      <c r="Q16" t="s">
        <v>121</v>
      </c>
      <c r="AB16" t="str">
        <f>IFERROR(VLOOKUP($A16,fund_metadata!$A:$P,2,FALSE),"")</f>
        <v>Bow River Evergreen PE</v>
      </c>
      <c r="AC16" t="str">
        <f>IFERROR(VLOOKUP($A16,fund_metadata!$A:$P,16,FALSE),"")</f>
        <v>private_equity</v>
      </c>
    </row>
    <row r="17" spans="1:29" x14ac:dyDescent="0.25">
      <c r="A17">
        <v>1</v>
      </c>
      <c r="B17" s="3">
        <v>45716</v>
      </c>
      <c r="E17" s="4">
        <v>735550000</v>
      </c>
      <c r="F17" t="s">
        <v>89</v>
      </c>
      <c r="G17" s="5">
        <v>48.8</v>
      </c>
      <c r="H17" t="s">
        <v>89</v>
      </c>
      <c r="I17">
        <v>0</v>
      </c>
      <c r="J17" t="s">
        <v>108</v>
      </c>
      <c r="K17" s="2">
        <v>2.1499999999999998E-2</v>
      </c>
      <c r="L17" t="s">
        <v>89</v>
      </c>
      <c r="N17" s="4"/>
      <c r="AB17" t="str">
        <f>IFERROR(VLOOKUP($A17,fund_metadata!$A:$P,2,FALSE),"")</f>
        <v>Bow River Evergreen PE</v>
      </c>
      <c r="AC17" t="str">
        <f>IFERROR(VLOOKUP($A17,fund_metadata!$A:$P,16,FALSE),"")</f>
        <v>private_equity</v>
      </c>
    </row>
    <row r="18" spans="1:29" x14ac:dyDescent="0.25">
      <c r="A18">
        <v>1</v>
      </c>
      <c r="B18" s="3">
        <v>45688</v>
      </c>
      <c r="E18" s="4">
        <v>701580000</v>
      </c>
      <c r="F18" t="s">
        <v>89</v>
      </c>
      <c r="G18" s="5">
        <v>47.77</v>
      </c>
      <c r="H18" t="s">
        <v>89</v>
      </c>
      <c r="I18">
        <v>0</v>
      </c>
      <c r="J18" t="s">
        <v>108</v>
      </c>
      <c r="K18" s="2">
        <v>5.0000000000000001E-3</v>
      </c>
      <c r="L18" t="s">
        <v>89</v>
      </c>
      <c r="N18" s="4"/>
      <c r="AB18" t="str">
        <f>IFERROR(VLOOKUP($A18,fund_metadata!$A:$P,2,FALSE),"")</f>
        <v>Bow River Evergreen PE</v>
      </c>
      <c r="AC18" t="str">
        <f>IFERROR(VLOOKUP($A18,fund_metadata!$A:$P,16,FALSE),"")</f>
        <v>private_equity</v>
      </c>
    </row>
    <row r="19" spans="1:29" x14ac:dyDescent="0.25">
      <c r="A19">
        <v>1</v>
      </c>
      <c r="B19" s="3">
        <v>45657</v>
      </c>
      <c r="E19" s="4">
        <v>669420000</v>
      </c>
      <c r="F19" t="s">
        <v>89</v>
      </c>
      <c r="G19" s="5">
        <v>47.54</v>
      </c>
      <c r="H19" t="s">
        <v>89</v>
      </c>
      <c r="I19">
        <v>1.137</v>
      </c>
      <c r="J19" t="s">
        <v>108</v>
      </c>
      <c r="K19" s="2">
        <v>4.0000000000000001E-3</v>
      </c>
      <c r="L19" t="s">
        <v>89</v>
      </c>
      <c r="M19">
        <v>142</v>
      </c>
      <c r="N19" s="4"/>
      <c r="AB19" t="str">
        <f>IFERROR(VLOOKUP($A19,fund_metadata!$A:$P,2,FALSE),"")</f>
        <v>Bow River Evergreen PE</v>
      </c>
      <c r="AC19" t="str">
        <f>IFERROR(VLOOKUP($A19,fund_metadata!$A:$P,16,FALSE),"")</f>
        <v>private_equity</v>
      </c>
    </row>
    <row r="20" spans="1:29" x14ac:dyDescent="0.25">
      <c r="A20">
        <v>1</v>
      </c>
      <c r="B20" s="3">
        <v>45626</v>
      </c>
      <c r="E20" s="4">
        <v>658210000</v>
      </c>
      <c r="F20" t="s">
        <v>89</v>
      </c>
      <c r="G20" s="5">
        <v>48.48</v>
      </c>
      <c r="H20" t="s">
        <v>89</v>
      </c>
      <c r="I20">
        <v>0</v>
      </c>
      <c r="J20" t="s">
        <v>108</v>
      </c>
      <c r="K20" s="2">
        <v>1.15E-2</v>
      </c>
      <c r="L20" t="s">
        <v>89</v>
      </c>
      <c r="N20" s="4"/>
      <c r="AB20" t="str">
        <f>IFERROR(VLOOKUP($A20,fund_metadata!$A:$P,2,FALSE),"")</f>
        <v>Bow River Evergreen PE</v>
      </c>
      <c r="AC20" t="str">
        <f>IFERROR(VLOOKUP($A20,fund_metadata!$A:$P,16,FALSE),"")</f>
        <v>private_equity</v>
      </c>
    </row>
    <row r="21" spans="1:29" x14ac:dyDescent="0.25">
      <c r="A21">
        <v>1</v>
      </c>
      <c r="B21" s="3">
        <v>45596</v>
      </c>
      <c r="E21" s="4">
        <v>633880000</v>
      </c>
      <c r="F21" t="s">
        <v>89</v>
      </c>
      <c r="G21" s="5">
        <v>47.94</v>
      </c>
      <c r="H21" t="s">
        <v>89</v>
      </c>
      <c r="I21">
        <v>0</v>
      </c>
      <c r="J21" t="s">
        <v>108</v>
      </c>
      <c r="K21" s="2">
        <v>2.8E-3</v>
      </c>
      <c r="L21" t="s">
        <v>89</v>
      </c>
      <c r="N21" s="4"/>
      <c r="AB21" t="str">
        <f>IFERROR(VLOOKUP($A21,fund_metadata!$A:$P,2,FALSE),"")</f>
        <v>Bow River Evergreen PE</v>
      </c>
      <c r="AC21" t="str">
        <f>IFERROR(VLOOKUP($A21,fund_metadata!$A:$P,16,FALSE),"")</f>
        <v>private_equity</v>
      </c>
    </row>
    <row r="22" spans="1:29" x14ac:dyDescent="0.25">
      <c r="A22">
        <v>1</v>
      </c>
      <c r="B22" s="3">
        <v>45565</v>
      </c>
      <c r="E22" s="4">
        <v>617640000</v>
      </c>
      <c r="F22" t="s">
        <v>89</v>
      </c>
      <c r="G22" s="5">
        <v>47.8</v>
      </c>
      <c r="H22" t="s">
        <v>89</v>
      </c>
      <c r="I22">
        <v>0</v>
      </c>
      <c r="J22" t="s">
        <v>108</v>
      </c>
      <c r="K22" s="2">
        <v>1.1900000000000001E-2</v>
      </c>
      <c r="L22" t="s">
        <v>89</v>
      </c>
      <c r="M22">
        <v>131</v>
      </c>
      <c r="N22" s="4">
        <v>632440000</v>
      </c>
      <c r="O22" t="s">
        <v>89</v>
      </c>
      <c r="P22">
        <v>12219603</v>
      </c>
      <c r="Q22" t="s">
        <v>120</v>
      </c>
      <c r="AB22" t="str">
        <f>IFERROR(VLOOKUP($A22,fund_metadata!$A:$P,2,FALSE),"")</f>
        <v>Bow River Evergreen PE</v>
      </c>
      <c r="AC22" t="str">
        <f>IFERROR(VLOOKUP($A22,fund_metadata!$A:$P,16,FALSE),"")</f>
        <v>private_equity</v>
      </c>
    </row>
    <row r="23" spans="1:29" x14ac:dyDescent="0.25">
      <c r="A23">
        <v>1</v>
      </c>
      <c r="B23" s="3">
        <v>45535</v>
      </c>
      <c r="E23" s="4">
        <v>600190000</v>
      </c>
      <c r="F23" t="s">
        <v>89</v>
      </c>
      <c r="G23" s="5">
        <v>47.24</v>
      </c>
      <c r="H23" t="s">
        <v>89</v>
      </c>
      <c r="I23">
        <v>0</v>
      </c>
      <c r="J23" t="s">
        <v>108</v>
      </c>
      <c r="K23" s="2">
        <v>2.9000000000000001E-2</v>
      </c>
      <c r="L23" t="s">
        <v>89</v>
      </c>
      <c r="N23" s="4"/>
      <c r="AB23" t="str">
        <f>IFERROR(VLOOKUP($A23,fund_metadata!$A:$P,2,FALSE),"")</f>
        <v>Bow River Evergreen PE</v>
      </c>
      <c r="AC23" t="str">
        <f>IFERROR(VLOOKUP($A23,fund_metadata!$A:$P,16,FALSE),"")</f>
        <v>private_equity</v>
      </c>
    </row>
    <row r="24" spans="1:29" x14ac:dyDescent="0.25">
      <c r="A24">
        <v>1</v>
      </c>
      <c r="B24" s="3">
        <v>45504</v>
      </c>
      <c r="E24" s="4">
        <v>565090000</v>
      </c>
      <c r="F24" t="s">
        <v>89</v>
      </c>
      <c r="G24" s="5">
        <v>45.9</v>
      </c>
      <c r="H24" t="s">
        <v>89</v>
      </c>
      <c r="I24">
        <v>0</v>
      </c>
      <c r="J24" t="s">
        <v>108</v>
      </c>
      <c r="K24" s="2">
        <v>1.1000000000000001E-3</v>
      </c>
      <c r="L24" t="s">
        <v>89</v>
      </c>
      <c r="N24" s="4"/>
      <c r="AB24" t="str">
        <f>IFERROR(VLOOKUP($A24,fund_metadata!$A:$P,2,FALSE),"")</f>
        <v>Bow River Evergreen PE</v>
      </c>
      <c r="AC24" t="str">
        <f>IFERROR(VLOOKUP($A24,fund_metadata!$A:$P,16,FALSE),"")</f>
        <v>private_equity</v>
      </c>
    </row>
    <row r="25" spans="1:29" x14ac:dyDescent="0.25">
      <c r="A25">
        <v>1</v>
      </c>
      <c r="B25" s="3">
        <v>45473</v>
      </c>
      <c r="E25" s="4">
        <v>552750000</v>
      </c>
      <c r="F25" t="s">
        <v>89</v>
      </c>
      <c r="G25" s="5">
        <v>45.85</v>
      </c>
      <c r="H25" t="s">
        <v>89</v>
      </c>
      <c r="I25">
        <v>0</v>
      </c>
      <c r="J25" t="s">
        <v>108</v>
      </c>
      <c r="K25" s="2">
        <v>4.0000000000000002E-4</v>
      </c>
      <c r="L25" t="s">
        <v>89</v>
      </c>
      <c r="M25">
        <v>121</v>
      </c>
      <c r="N25" s="4"/>
      <c r="AB25" t="str">
        <f>IFERROR(VLOOKUP($A25,fund_metadata!$A:$P,2,FALSE),"")</f>
        <v>Bow River Evergreen PE</v>
      </c>
      <c r="AC25" t="str">
        <f>IFERROR(VLOOKUP($A25,fund_metadata!$A:$P,16,FALSE),"")</f>
        <v>private_equity</v>
      </c>
    </row>
    <row r="26" spans="1:29" x14ac:dyDescent="0.25">
      <c r="A26">
        <v>1</v>
      </c>
      <c r="B26" s="3">
        <v>45443</v>
      </c>
      <c r="E26" s="4">
        <v>530130000</v>
      </c>
      <c r="F26" t="s">
        <v>89</v>
      </c>
      <c r="G26" s="5">
        <v>45.83</v>
      </c>
      <c r="H26" t="s">
        <v>89</v>
      </c>
      <c r="K26" s="2">
        <v>2.12E-2</v>
      </c>
      <c r="L26" t="s">
        <v>89</v>
      </c>
      <c r="N26" s="4"/>
      <c r="AB26" t="str">
        <f>IFERROR(VLOOKUP($A26,fund_metadata!$A:$P,2,FALSE),"")</f>
        <v>Bow River Evergreen PE</v>
      </c>
      <c r="AC26" t="str">
        <f>IFERROR(VLOOKUP($A26,fund_metadata!$A:$P,16,FALSE),"")</f>
        <v>private_equity</v>
      </c>
    </row>
    <row r="27" spans="1:29" x14ac:dyDescent="0.25">
      <c r="A27">
        <v>1</v>
      </c>
      <c r="B27" s="3">
        <v>45412</v>
      </c>
      <c r="E27" s="4">
        <v>509290000</v>
      </c>
      <c r="F27" t="s">
        <v>89</v>
      </c>
      <c r="G27" s="5">
        <v>44.88</v>
      </c>
      <c r="H27" t="s">
        <v>89</v>
      </c>
      <c r="K27" s="2">
        <v>1.34E-2</v>
      </c>
      <c r="L27" t="s">
        <v>89</v>
      </c>
      <c r="N27" s="4"/>
      <c r="AB27" t="str">
        <f>IFERROR(VLOOKUP($A27,fund_metadata!$A:$P,2,FALSE),"")</f>
        <v>Bow River Evergreen PE</v>
      </c>
      <c r="AC27" t="str">
        <f>IFERROR(VLOOKUP($A27,fund_metadata!$A:$P,16,FALSE),"")</f>
        <v>private_equity</v>
      </c>
    </row>
    <row r="28" spans="1:29" x14ac:dyDescent="0.25">
      <c r="A28">
        <v>1</v>
      </c>
      <c r="B28" s="3">
        <v>45382</v>
      </c>
      <c r="E28" s="4">
        <v>486790000</v>
      </c>
      <c r="F28" t="s">
        <v>89</v>
      </c>
      <c r="G28" s="5">
        <v>44.29</v>
      </c>
      <c r="H28" t="s">
        <v>89</v>
      </c>
      <c r="K28" s="2">
        <v>8.2000000000000007E-3</v>
      </c>
      <c r="L28" t="s">
        <v>89</v>
      </c>
      <c r="M28">
        <v>112</v>
      </c>
      <c r="N28" s="4">
        <v>519920000</v>
      </c>
      <c r="O28" t="s">
        <v>89</v>
      </c>
      <c r="P28">
        <v>10327322</v>
      </c>
      <c r="Q28" t="s">
        <v>121</v>
      </c>
      <c r="AB28" t="str">
        <f>IFERROR(VLOOKUP($A28,fund_metadata!$A:$P,2,FALSE),"")</f>
        <v>Bow River Evergreen PE</v>
      </c>
      <c r="AC28" t="str">
        <f>IFERROR(VLOOKUP($A28,fund_metadata!$A:$P,16,FALSE),"")</f>
        <v>private_equity</v>
      </c>
    </row>
    <row r="29" spans="1:29" x14ac:dyDescent="0.25">
      <c r="A29">
        <v>1</v>
      </c>
      <c r="B29" s="3">
        <v>45351</v>
      </c>
      <c r="E29" s="4">
        <v>476530000</v>
      </c>
      <c r="F29" t="s">
        <v>89</v>
      </c>
      <c r="G29" s="5">
        <v>43.93</v>
      </c>
      <c r="H29" t="s">
        <v>89</v>
      </c>
      <c r="K29" s="2">
        <v>1.3100000000000001E-2</v>
      </c>
      <c r="L29" t="s">
        <v>89</v>
      </c>
      <c r="N29" s="4"/>
      <c r="AB29" t="str">
        <f>IFERROR(VLOOKUP($A29,fund_metadata!$A:$P,2,FALSE),"")</f>
        <v>Bow River Evergreen PE</v>
      </c>
      <c r="AC29" t="str">
        <f>IFERROR(VLOOKUP($A29,fund_metadata!$A:$P,16,FALSE),"")</f>
        <v>private_equity</v>
      </c>
    </row>
    <row r="30" spans="1:29" x14ac:dyDescent="0.25">
      <c r="A30">
        <v>1</v>
      </c>
      <c r="B30" s="3">
        <v>45322</v>
      </c>
      <c r="E30" s="4">
        <v>459740000</v>
      </c>
      <c r="F30" t="s">
        <v>89</v>
      </c>
      <c r="G30" s="5">
        <v>43.36</v>
      </c>
      <c r="H30" t="s">
        <v>89</v>
      </c>
      <c r="K30" s="2">
        <v>-2.0000000000000001E-4</v>
      </c>
      <c r="L30" t="s">
        <v>89</v>
      </c>
      <c r="N30" s="4"/>
      <c r="AB30" t="str">
        <f>IFERROR(VLOOKUP($A30,fund_metadata!$A:$P,2,FALSE),"")</f>
        <v>Bow River Evergreen PE</v>
      </c>
      <c r="AC30" t="str">
        <f>IFERROR(VLOOKUP($A30,fund_metadata!$A:$P,16,FALSE),"")</f>
        <v>private_equity</v>
      </c>
    </row>
    <row r="31" spans="1:29" x14ac:dyDescent="0.25">
      <c r="A31">
        <v>1</v>
      </c>
      <c r="B31" s="3">
        <v>45291</v>
      </c>
      <c r="E31" s="4">
        <v>446350000</v>
      </c>
      <c r="F31" t="s">
        <v>89</v>
      </c>
      <c r="G31" s="5">
        <v>43.37</v>
      </c>
      <c r="H31" t="s">
        <v>89</v>
      </c>
      <c r="K31" s="2">
        <v>1.8E-3</v>
      </c>
      <c r="L31" t="s">
        <v>89</v>
      </c>
      <c r="M31">
        <v>106</v>
      </c>
      <c r="N31" s="4"/>
      <c r="AB31" t="str">
        <f>IFERROR(VLOOKUP($A31,fund_metadata!$A:$P,2,FALSE),"")</f>
        <v>Bow River Evergreen PE</v>
      </c>
      <c r="AC31" t="str">
        <f>IFERROR(VLOOKUP($A31,fund_metadata!$A:$P,16,FALSE),"")</f>
        <v>private_equity</v>
      </c>
    </row>
    <row r="32" spans="1:29" x14ac:dyDescent="0.25">
      <c r="A32">
        <v>1</v>
      </c>
      <c r="B32" s="3">
        <v>45260</v>
      </c>
      <c r="E32" s="4">
        <v>438230000</v>
      </c>
      <c r="F32" t="s">
        <v>89</v>
      </c>
      <c r="G32" s="5">
        <v>43.98</v>
      </c>
      <c r="H32" t="s">
        <v>89</v>
      </c>
      <c r="K32" s="2">
        <v>1.2E-2</v>
      </c>
      <c r="L32" t="s">
        <v>89</v>
      </c>
      <c r="N32" s="4"/>
      <c r="AB32" t="str">
        <f>IFERROR(VLOOKUP($A32,fund_metadata!$A:$P,2,FALSE),"")</f>
        <v>Bow River Evergreen PE</v>
      </c>
      <c r="AC32" t="str">
        <f>IFERROR(VLOOKUP($A32,fund_metadata!$A:$P,16,FALSE),"")</f>
        <v>private_equity</v>
      </c>
    </row>
    <row r="33" spans="1:29" x14ac:dyDescent="0.25">
      <c r="A33">
        <v>1</v>
      </c>
      <c r="B33" s="3">
        <v>45230</v>
      </c>
      <c r="E33" s="4">
        <v>427670000</v>
      </c>
      <c r="F33" t="s">
        <v>89</v>
      </c>
      <c r="G33" s="5">
        <v>43.45</v>
      </c>
      <c r="H33" t="s">
        <v>89</v>
      </c>
      <c r="K33" s="2">
        <v>3.7100000000000001E-2</v>
      </c>
      <c r="L33" t="s">
        <v>89</v>
      </c>
      <c r="N33" s="4"/>
      <c r="AB33" t="str">
        <f>IFERROR(VLOOKUP($A33,fund_metadata!$A:$P,2,FALSE),"")</f>
        <v>Bow River Evergreen PE</v>
      </c>
      <c r="AC33" t="str">
        <f>IFERROR(VLOOKUP($A33,fund_metadata!$A:$P,16,FALSE),"")</f>
        <v>private_equity</v>
      </c>
    </row>
    <row r="34" spans="1:29" x14ac:dyDescent="0.25">
      <c r="A34">
        <v>1</v>
      </c>
      <c r="B34" s="3">
        <v>45199</v>
      </c>
      <c r="E34" s="4">
        <v>400100000</v>
      </c>
      <c r="F34" t="s">
        <v>89</v>
      </c>
      <c r="G34" s="5">
        <v>41.9</v>
      </c>
      <c r="H34" t="s">
        <v>89</v>
      </c>
      <c r="K34" s="2">
        <v>-2.3E-3</v>
      </c>
      <c r="L34" t="s">
        <v>89</v>
      </c>
      <c r="M34">
        <v>105</v>
      </c>
      <c r="N34" s="4">
        <v>412100000</v>
      </c>
      <c r="O34" t="s">
        <v>89</v>
      </c>
      <c r="P34">
        <v>8965808</v>
      </c>
      <c r="Q34" t="s">
        <v>120</v>
      </c>
      <c r="AB34" t="str">
        <f>IFERROR(VLOOKUP($A34,fund_metadata!$A:$P,2,FALSE),"")</f>
        <v>Bow River Evergreen PE</v>
      </c>
      <c r="AC34" t="str">
        <f>IFERROR(VLOOKUP($A34,fund_metadata!$A:$P,16,FALSE),"")</f>
        <v>private_equity</v>
      </c>
    </row>
    <row r="35" spans="1:29" x14ac:dyDescent="0.25">
      <c r="A35">
        <v>1</v>
      </c>
      <c r="B35" s="3">
        <v>45169</v>
      </c>
      <c r="E35" s="4">
        <v>395660000</v>
      </c>
      <c r="F35" t="s">
        <v>89</v>
      </c>
      <c r="G35" s="5">
        <v>42</v>
      </c>
      <c r="H35" t="s">
        <v>89</v>
      </c>
      <c r="K35" s="2">
        <v>2.06E-2</v>
      </c>
      <c r="L35" t="s">
        <v>89</v>
      </c>
      <c r="N35" s="4"/>
      <c r="AB35" t="str">
        <f>IFERROR(VLOOKUP($A35,fund_metadata!$A:$P,2,FALSE),"")</f>
        <v>Bow River Evergreen PE</v>
      </c>
      <c r="AC35" t="str">
        <f>IFERROR(VLOOKUP($A35,fund_metadata!$A:$P,16,FALSE),"")</f>
        <v>private_equity</v>
      </c>
    </row>
    <row r="36" spans="1:29" x14ac:dyDescent="0.25">
      <c r="A36">
        <v>1</v>
      </c>
      <c r="B36" s="3">
        <v>45138</v>
      </c>
      <c r="E36" s="4">
        <v>380550000</v>
      </c>
      <c r="F36" t="s">
        <v>89</v>
      </c>
      <c r="G36" s="5">
        <v>41.15</v>
      </c>
      <c r="H36" t="s">
        <v>89</v>
      </c>
      <c r="K36" s="2">
        <v>1.1299999999999999E-2</v>
      </c>
      <c r="L36" t="s">
        <v>89</v>
      </c>
      <c r="N36" s="4"/>
      <c r="AB36" t="str">
        <f>IFERROR(VLOOKUP($A36,fund_metadata!$A:$P,2,FALSE),"")</f>
        <v>Bow River Evergreen PE</v>
      </c>
      <c r="AC36" t="str">
        <f>IFERROR(VLOOKUP($A36,fund_metadata!$A:$P,16,FALSE),"")</f>
        <v>private_equity</v>
      </c>
    </row>
    <row r="37" spans="1:29" x14ac:dyDescent="0.25">
      <c r="A37">
        <v>1</v>
      </c>
      <c r="B37" s="3">
        <v>45107</v>
      </c>
      <c r="E37" s="4">
        <v>369270000</v>
      </c>
      <c r="F37" t="s">
        <v>89</v>
      </c>
      <c r="G37" s="5">
        <v>40.69</v>
      </c>
      <c r="H37" t="s">
        <v>89</v>
      </c>
      <c r="K37" s="2">
        <v>6.7999999999999996E-3</v>
      </c>
      <c r="L37" t="s">
        <v>89</v>
      </c>
      <c r="M37">
        <v>98</v>
      </c>
      <c r="N37" s="4"/>
      <c r="AB37" t="str">
        <f>IFERROR(VLOOKUP($A37,fund_metadata!$A:$P,2,FALSE),"")</f>
        <v>Bow River Evergreen PE</v>
      </c>
      <c r="AC37" t="str">
        <f>IFERROR(VLOOKUP($A37,fund_metadata!$A:$P,16,FALSE),"")</f>
        <v>private_equity</v>
      </c>
    </row>
    <row r="38" spans="1:29" x14ac:dyDescent="0.25">
      <c r="A38">
        <v>1</v>
      </c>
      <c r="B38" s="3">
        <v>45077</v>
      </c>
      <c r="E38" s="4">
        <v>357990000</v>
      </c>
      <c r="F38" t="s">
        <v>89</v>
      </c>
      <c r="G38" s="5">
        <v>40.409999999999997</v>
      </c>
      <c r="H38" t="s">
        <v>89</v>
      </c>
      <c r="K38" s="2">
        <v>2.0000000000000001E-4</v>
      </c>
      <c r="L38" t="s">
        <v>89</v>
      </c>
      <c r="N38" s="4"/>
      <c r="AB38" t="str">
        <f>IFERROR(VLOOKUP($A38,fund_metadata!$A:$P,2,FALSE),"")</f>
        <v>Bow River Evergreen PE</v>
      </c>
      <c r="AC38" t="str">
        <f>IFERROR(VLOOKUP($A38,fund_metadata!$A:$P,16,FALSE),"")</f>
        <v>private_equity</v>
      </c>
    </row>
    <row r="39" spans="1:29" x14ac:dyDescent="0.25">
      <c r="A39">
        <v>1</v>
      </c>
      <c r="B39" s="3">
        <v>45046</v>
      </c>
      <c r="E39" s="4">
        <v>352740000</v>
      </c>
      <c r="F39" t="s">
        <v>89</v>
      </c>
      <c r="G39" s="5">
        <v>40.409999999999997</v>
      </c>
      <c r="H39" t="s">
        <v>89</v>
      </c>
      <c r="K39" s="2">
        <v>7.7999999999999996E-3</v>
      </c>
      <c r="L39" t="s">
        <v>89</v>
      </c>
      <c r="N39" s="4"/>
      <c r="AB39" t="str">
        <f>IFERROR(VLOOKUP($A39,fund_metadata!$A:$P,2,FALSE),"")</f>
        <v>Bow River Evergreen PE</v>
      </c>
      <c r="AC39" t="str">
        <f>IFERROR(VLOOKUP($A39,fund_metadata!$A:$P,16,FALSE),"")</f>
        <v>private_equity</v>
      </c>
    </row>
    <row r="40" spans="1:29" x14ac:dyDescent="0.25">
      <c r="A40">
        <v>1</v>
      </c>
      <c r="B40" s="3">
        <v>45016</v>
      </c>
      <c r="E40" s="4">
        <v>341380000</v>
      </c>
      <c r="F40" t="s">
        <v>89</v>
      </c>
      <c r="G40" s="5">
        <v>40.090000000000003</v>
      </c>
      <c r="H40" t="s">
        <v>89</v>
      </c>
      <c r="K40" s="2">
        <v>3.8E-3</v>
      </c>
      <c r="L40" t="s">
        <v>89</v>
      </c>
      <c r="M40">
        <v>98</v>
      </c>
      <c r="N40" s="4">
        <v>353810000</v>
      </c>
      <c r="O40" t="s">
        <v>89</v>
      </c>
      <c r="AB40" t="str">
        <f>IFERROR(VLOOKUP($A40,fund_metadata!$A:$P,2,FALSE),"")</f>
        <v>Bow River Evergreen PE</v>
      </c>
      <c r="AC40" t="str">
        <f>IFERROR(VLOOKUP($A40,fund_metadata!$A:$P,16,FALSE),"")</f>
        <v>private_equity</v>
      </c>
    </row>
    <row r="41" spans="1:29" x14ac:dyDescent="0.25">
      <c r="A41">
        <v>1</v>
      </c>
      <c r="B41" s="3">
        <v>44985</v>
      </c>
      <c r="E41" s="4">
        <v>325700000</v>
      </c>
      <c r="F41" t="s">
        <v>89</v>
      </c>
      <c r="G41" s="5">
        <v>39.94</v>
      </c>
      <c r="H41" t="s">
        <v>89</v>
      </c>
      <c r="K41" s="2">
        <v>1.41E-2</v>
      </c>
      <c r="L41" t="s">
        <v>89</v>
      </c>
      <c r="N41" s="4"/>
      <c r="AB41" t="str">
        <f>IFERROR(VLOOKUP($A41,fund_metadata!$A:$P,2,FALSE),"")</f>
        <v>Bow River Evergreen PE</v>
      </c>
      <c r="AC41" t="str">
        <f>IFERROR(VLOOKUP($A41,fund_metadata!$A:$P,16,FALSE),"")</f>
        <v>private_equity</v>
      </c>
    </row>
    <row r="42" spans="1:29" x14ac:dyDescent="0.25">
      <c r="A42">
        <v>1</v>
      </c>
      <c r="B42" s="3">
        <v>44957</v>
      </c>
      <c r="E42" s="4">
        <v>314370000</v>
      </c>
      <c r="F42" t="s">
        <v>89</v>
      </c>
      <c r="G42" s="5">
        <v>39.39</v>
      </c>
      <c r="H42" t="s">
        <v>89</v>
      </c>
      <c r="K42" s="2">
        <v>1E-4</v>
      </c>
      <c r="L42" t="s">
        <v>89</v>
      </c>
      <c r="N42" s="4"/>
      <c r="AB42" t="str">
        <f>IFERROR(VLOOKUP($A42,fund_metadata!$A:$P,2,FALSE),"")</f>
        <v>Bow River Evergreen PE</v>
      </c>
      <c r="AC42" t="str">
        <f>IFERROR(VLOOKUP($A42,fund_metadata!$A:$P,16,FALSE),"")</f>
        <v>private_equity</v>
      </c>
    </row>
    <row r="43" spans="1:29" x14ac:dyDescent="0.25">
      <c r="A43">
        <v>1</v>
      </c>
      <c r="B43" s="3">
        <v>44926</v>
      </c>
      <c r="E43" s="4">
        <v>299140000</v>
      </c>
      <c r="F43" t="s">
        <v>89</v>
      </c>
      <c r="G43" s="5">
        <v>39.39</v>
      </c>
      <c r="H43" t="s">
        <v>89</v>
      </c>
      <c r="K43" s="2">
        <v>8.0999999999999996E-3</v>
      </c>
      <c r="L43" t="s">
        <v>89</v>
      </c>
      <c r="M43">
        <v>96</v>
      </c>
      <c r="N43" s="4"/>
      <c r="AB43" t="str">
        <f>IFERROR(VLOOKUP($A43,fund_metadata!$A:$P,2,FALSE),"")</f>
        <v>Bow River Evergreen PE</v>
      </c>
      <c r="AC43" t="str">
        <f>IFERROR(VLOOKUP($A43,fund_metadata!$A:$P,16,FALSE),"")</f>
        <v>private_equity</v>
      </c>
    </row>
    <row r="44" spans="1:29" x14ac:dyDescent="0.25">
      <c r="A44">
        <v>1</v>
      </c>
      <c r="B44" s="3">
        <v>44895</v>
      </c>
      <c r="E44" s="4">
        <v>296020000</v>
      </c>
      <c r="F44" t="s">
        <v>89</v>
      </c>
      <c r="G44" s="5">
        <v>40.18</v>
      </c>
      <c r="H44" t="s">
        <v>89</v>
      </c>
      <c r="K44" s="2">
        <v>1.0699999999999999E-2</v>
      </c>
      <c r="L44" t="s">
        <v>89</v>
      </c>
      <c r="N44" s="4"/>
      <c r="AB44" t="str">
        <f>IFERROR(VLOOKUP($A44,fund_metadata!$A:$P,2,FALSE),"")</f>
        <v>Bow River Evergreen PE</v>
      </c>
      <c r="AC44" t="str">
        <f>IFERROR(VLOOKUP($A44,fund_metadata!$A:$P,16,FALSE),"")</f>
        <v>private_equity</v>
      </c>
    </row>
    <row r="45" spans="1:29" x14ac:dyDescent="0.25">
      <c r="A45">
        <v>1</v>
      </c>
      <c r="B45" s="3">
        <v>44865</v>
      </c>
      <c r="E45" s="4">
        <v>286020000</v>
      </c>
      <c r="F45" t="s">
        <v>89</v>
      </c>
      <c r="G45" s="5">
        <v>39.75</v>
      </c>
      <c r="H45" t="s">
        <v>89</v>
      </c>
      <c r="K45" s="2">
        <v>-3.0000000000000001E-3</v>
      </c>
      <c r="L45" t="s">
        <v>89</v>
      </c>
      <c r="N45" s="4"/>
      <c r="AB45" t="str">
        <f>IFERROR(VLOOKUP($A45,fund_metadata!$A:$P,2,FALSE),"")</f>
        <v>Bow River Evergreen PE</v>
      </c>
      <c r="AC45" t="str">
        <f>IFERROR(VLOOKUP($A45,fund_metadata!$A:$P,16,FALSE),"")</f>
        <v>private_equity</v>
      </c>
    </row>
    <row r="46" spans="1:29" x14ac:dyDescent="0.25">
      <c r="A46">
        <v>1</v>
      </c>
      <c r="B46" s="3">
        <v>44834</v>
      </c>
      <c r="E46" s="4">
        <v>279610000</v>
      </c>
      <c r="F46" t="s">
        <v>89</v>
      </c>
      <c r="G46" s="5">
        <v>39.869999999999997</v>
      </c>
      <c r="H46" t="s">
        <v>89</v>
      </c>
      <c r="K46" s="2">
        <v>-1.8E-3</v>
      </c>
      <c r="L46" t="s">
        <v>89</v>
      </c>
      <c r="M46">
        <v>88</v>
      </c>
      <c r="N46" s="4">
        <v>292180000</v>
      </c>
      <c r="O46" t="s">
        <v>89</v>
      </c>
      <c r="P46">
        <v>6459606</v>
      </c>
      <c r="Q46" t="s">
        <v>120</v>
      </c>
      <c r="AB46" t="str">
        <f>IFERROR(VLOOKUP($A46,fund_metadata!$A:$P,2,FALSE),"")</f>
        <v>Bow River Evergreen PE</v>
      </c>
      <c r="AC46" t="str">
        <f>IFERROR(VLOOKUP($A46,fund_metadata!$A:$P,16,FALSE),"")</f>
        <v>private_equity</v>
      </c>
    </row>
    <row r="47" spans="1:29" x14ac:dyDescent="0.25">
      <c r="A47">
        <v>1</v>
      </c>
      <c r="B47" s="3">
        <v>44804</v>
      </c>
      <c r="E47" s="4">
        <v>269150000</v>
      </c>
      <c r="F47" t="s">
        <v>89</v>
      </c>
      <c r="G47" s="5">
        <v>39.94</v>
      </c>
      <c r="H47" t="s">
        <v>89</v>
      </c>
      <c r="K47" s="2">
        <v>4.4999999999999997E-3</v>
      </c>
      <c r="L47" t="s">
        <v>89</v>
      </c>
      <c r="N47" s="4"/>
      <c r="AB47" t="str">
        <f>IFERROR(VLOOKUP($A47,fund_metadata!$A:$P,2,FALSE),"")</f>
        <v>Bow River Evergreen PE</v>
      </c>
      <c r="AC47" t="str">
        <f>IFERROR(VLOOKUP($A47,fund_metadata!$A:$P,16,FALSE),"")</f>
        <v>private_equity</v>
      </c>
    </row>
    <row r="48" spans="1:29" x14ac:dyDescent="0.25">
      <c r="A48">
        <v>1</v>
      </c>
      <c r="B48" s="3">
        <v>44773</v>
      </c>
      <c r="E48" s="4">
        <v>257890000</v>
      </c>
      <c r="F48" t="s">
        <v>89</v>
      </c>
      <c r="G48" s="5">
        <v>39.76</v>
      </c>
      <c r="H48" t="s">
        <v>89</v>
      </c>
      <c r="K48" s="2">
        <v>-3.8999999999999998E-3</v>
      </c>
      <c r="L48" t="s">
        <v>89</v>
      </c>
      <c r="N48" s="4"/>
      <c r="AB48" t="str">
        <f>IFERROR(VLOOKUP($A48,fund_metadata!$A:$P,2,FALSE),"")</f>
        <v>Bow River Evergreen PE</v>
      </c>
      <c r="AC48" t="str">
        <f>IFERROR(VLOOKUP($A48,fund_metadata!$A:$P,16,FALSE),"")</f>
        <v>private_equity</v>
      </c>
    </row>
    <row r="49" spans="1:29" x14ac:dyDescent="0.25">
      <c r="A49">
        <v>1</v>
      </c>
      <c r="B49" s="3">
        <v>44742</v>
      </c>
      <c r="E49" s="4">
        <v>247830000</v>
      </c>
      <c r="F49" t="s">
        <v>89</v>
      </c>
      <c r="G49" s="5">
        <v>39.92</v>
      </c>
      <c r="H49" t="s">
        <v>89</v>
      </c>
      <c r="K49" s="2">
        <v>-5.3E-3</v>
      </c>
      <c r="L49" t="s">
        <v>89</v>
      </c>
      <c r="M49">
        <v>79</v>
      </c>
      <c r="N49" s="4"/>
      <c r="AB49" t="str">
        <f>IFERROR(VLOOKUP($A49,fund_metadata!$A:$P,2,FALSE),"")</f>
        <v>Bow River Evergreen PE</v>
      </c>
      <c r="AC49" t="str">
        <f>IFERROR(VLOOKUP($A49,fund_metadata!$A:$P,16,FALSE),"")</f>
        <v>private_equity</v>
      </c>
    </row>
    <row r="50" spans="1:29" x14ac:dyDescent="0.25">
      <c r="A50">
        <v>1</v>
      </c>
      <c r="B50" s="3">
        <v>44712</v>
      </c>
      <c r="E50" s="4">
        <v>238290000</v>
      </c>
      <c r="F50" t="s">
        <v>89</v>
      </c>
      <c r="G50" s="5">
        <v>40.130000000000003</v>
      </c>
      <c r="H50" t="s">
        <v>89</v>
      </c>
      <c r="K50" s="2">
        <v>1.14E-2</v>
      </c>
      <c r="L50" t="s">
        <v>89</v>
      </c>
      <c r="N50" s="4"/>
      <c r="AB50" t="str">
        <f>IFERROR(VLOOKUP($A50,fund_metadata!$A:$P,2,FALSE),"")</f>
        <v>Bow River Evergreen PE</v>
      </c>
      <c r="AC50" t="str">
        <f>IFERROR(VLOOKUP($A50,fund_metadata!$A:$P,16,FALSE),"")</f>
        <v>private_equity</v>
      </c>
    </row>
    <row r="51" spans="1:29" x14ac:dyDescent="0.25">
      <c r="A51">
        <v>1</v>
      </c>
      <c r="B51" s="3">
        <v>44681</v>
      </c>
      <c r="E51" s="4">
        <v>227980000</v>
      </c>
      <c r="F51" t="s">
        <v>89</v>
      </c>
      <c r="G51" s="5">
        <v>39.68</v>
      </c>
      <c r="H51" t="s">
        <v>89</v>
      </c>
      <c r="K51" s="2">
        <v>4.4999999999999997E-3</v>
      </c>
      <c r="L51" t="s">
        <v>89</v>
      </c>
      <c r="N51" s="4"/>
      <c r="AB51" t="str">
        <f>IFERROR(VLOOKUP($A51,fund_metadata!$A:$P,2,FALSE),"")</f>
        <v>Bow River Evergreen PE</v>
      </c>
      <c r="AC51" t="str">
        <f>IFERROR(VLOOKUP($A51,fund_metadata!$A:$P,16,FALSE),"")</f>
        <v>private_equity</v>
      </c>
    </row>
    <row r="52" spans="1:29" x14ac:dyDescent="0.25">
      <c r="A52">
        <v>1</v>
      </c>
      <c r="B52" s="3">
        <v>44651</v>
      </c>
      <c r="E52" s="4">
        <v>217280000</v>
      </c>
      <c r="F52" t="s">
        <v>89</v>
      </c>
      <c r="G52" s="5">
        <v>39.5</v>
      </c>
      <c r="H52" t="s">
        <v>89</v>
      </c>
      <c r="K52" s="2">
        <v>2.3199999999999998E-2</v>
      </c>
      <c r="L52" t="s">
        <v>89</v>
      </c>
      <c r="M52">
        <v>64</v>
      </c>
      <c r="N52" s="4">
        <v>230020000</v>
      </c>
      <c r="O52" t="s">
        <v>89</v>
      </c>
      <c r="P52">
        <v>5341595</v>
      </c>
      <c r="Q52" t="s">
        <v>121</v>
      </c>
      <c r="AB52" t="str">
        <f>IFERROR(VLOOKUP($A52,fund_metadata!$A:$P,2,FALSE),"")</f>
        <v>Bow River Evergreen PE</v>
      </c>
      <c r="AC52" t="str">
        <f>IFERROR(VLOOKUP($A52,fund_metadata!$A:$P,16,FALSE),"")</f>
        <v>private_equity</v>
      </c>
    </row>
    <row r="53" spans="1:29" x14ac:dyDescent="0.25">
      <c r="A53">
        <v>1</v>
      </c>
      <c r="B53" s="3">
        <v>44620</v>
      </c>
      <c r="E53" s="4">
        <v>206170000</v>
      </c>
      <c r="F53" t="s">
        <v>89</v>
      </c>
      <c r="G53" s="5">
        <v>38.6</v>
      </c>
      <c r="H53" t="s">
        <v>89</v>
      </c>
      <c r="K53" s="2">
        <v>1.5699999999999999E-2</v>
      </c>
      <c r="L53" t="s">
        <v>89</v>
      </c>
      <c r="N53" s="4"/>
      <c r="AB53" t="str">
        <f>IFERROR(VLOOKUP($A53,fund_metadata!$A:$P,2,FALSE),"")</f>
        <v>Bow River Evergreen PE</v>
      </c>
      <c r="AC53" t="str">
        <f>IFERROR(VLOOKUP($A53,fund_metadata!$A:$P,16,FALSE),"")</f>
        <v>private_equity</v>
      </c>
    </row>
    <row r="54" spans="1:29" x14ac:dyDescent="0.25">
      <c r="A54">
        <v>1</v>
      </c>
      <c r="B54" s="3">
        <v>44592</v>
      </c>
      <c r="E54" s="4">
        <v>191620000</v>
      </c>
      <c r="F54" t="s">
        <v>89</v>
      </c>
      <c r="G54" s="5">
        <v>38.01</v>
      </c>
      <c r="H54" t="s">
        <v>89</v>
      </c>
      <c r="K54" s="2">
        <v>-9.7000000000000003E-3</v>
      </c>
      <c r="L54" t="s">
        <v>89</v>
      </c>
      <c r="N54" s="4"/>
      <c r="AB54" t="str">
        <f>IFERROR(VLOOKUP($A54,fund_metadata!$A:$P,2,FALSE),"")</f>
        <v>Bow River Evergreen PE</v>
      </c>
      <c r="AC54" t="str">
        <f>IFERROR(VLOOKUP($A54,fund_metadata!$A:$P,16,FALSE),"")</f>
        <v>private_equity</v>
      </c>
    </row>
    <row r="55" spans="1:29" x14ac:dyDescent="0.25">
      <c r="A55">
        <v>1</v>
      </c>
      <c r="B55" s="3">
        <v>44561</v>
      </c>
      <c r="E55" s="4">
        <v>181180000</v>
      </c>
      <c r="F55" t="s">
        <v>89</v>
      </c>
      <c r="G55" s="5">
        <v>38.380000000000003</v>
      </c>
      <c r="H55" t="s">
        <v>89</v>
      </c>
      <c r="K55" s="2">
        <v>6.3E-3</v>
      </c>
      <c r="L55" t="s">
        <v>89</v>
      </c>
      <c r="M55">
        <v>53</v>
      </c>
      <c r="N55" s="4"/>
      <c r="AB55" t="str">
        <f>IFERROR(VLOOKUP($A55,fund_metadata!$A:$P,2,FALSE),"")</f>
        <v>Bow River Evergreen PE</v>
      </c>
      <c r="AC55" t="str">
        <f>IFERROR(VLOOKUP($A55,fund_metadata!$A:$P,16,FALSE),"")</f>
        <v>private_equity</v>
      </c>
    </row>
    <row r="56" spans="1:29" x14ac:dyDescent="0.25">
      <c r="A56">
        <v>1</v>
      </c>
      <c r="B56" s="3">
        <v>44530</v>
      </c>
      <c r="E56" s="4">
        <v>172670000</v>
      </c>
      <c r="F56" t="s">
        <v>89</v>
      </c>
      <c r="G56" s="5">
        <v>38.409999999999997</v>
      </c>
      <c r="H56" t="s">
        <v>89</v>
      </c>
      <c r="K56" s="2">
        <v>4.4900000000000002E-2</v>
      </c>
      <c r="L56" t="s">
        <v>89</v>
      </c>
      <c r="N56" s="4"/>
      <c r="AB56" t="str">
        <f>IFERROR(VLOOKUP($A56,fund_metadata!$A:$P,2,FALSE),"")</f>
        <v>Bow River Evergreen PE</v>
      </c>
      <c r="AC56" t="str">
        <f>IFERROR(VLOOKUP($A56,fund_metadata!$A:$P,16,FALSE),"")</f>
        <v>private_equity</v>
      </c>
    </row>
    <row r="57" spans="1:29" x14ac:dyDescent="0.25">
      <c r="A57">
        <v>1</v>
      </c>
      <c r="B57" s="3">
        <v>44500</v>
      </c>
      <c r="E57" s="4">
        <v>152780000</v>
      </c>
      <c r="F57" t="s">
        <v>89</v>
      </c>
      <c r="G57" s="5">
        <v>36.76</v>
      </c>
      <c r="H57" t="s">
        <v>89</v>
      </c>
      <c r="K57" s="2">
        <v>4.0000000000000002E-4</v>
      </c>
      <c r="L57" t="s">
        <v>89</v>
      </c>
      <c r="N57" s="4"/>
      <c r="AB57" t="str">
        <f>IFERROR(VLOOKUP($A57,fund_metadata!$A:$P,2,FALSE),"")</f>
        <v>Bow River Evergreen PE</v>
      </c>
      <c r="AC57" t="str">
        <f>IFERROR(VLOOKUP($A57,fund_metadata!$A:$P,16,FALSE),"")</f>
        <v>private_equity</v>
      </c>
    </row>
    <row r="58" spans="1:29" x14ac:dyDescent="0.25">
      <c r="A58">
        <v>1</v>
      </c>
      <c r="B58" s="3">
        <v>44469</v>
      </c>
      <c r="E58" s="4">
        <v>150110000</v>
      </c>
      <c r="F58" t="s">
        <v>89</v>
      </c>
      <c r="G58" s="5">
        <v>36.75</v>
      </c>
      <c r="H58" t="s">
        <v>89</v>
      </c>
      <c r="K58" s="2">
        <v>2.0400000000000001E-2</v>
      </c>
      <c r="L58" t="s">
        <v>89</v>
      </c>
      <c r="M58">
        <v>46</v>
      </c>
      <c r="N58" s="4"/>
      <c r="P58">
        <v>4085205</v>
      </c>
      <c r="Q58" t="s">
        <v>120</v>
      </c>
      <c r="AB58" t="str">
        <f>IFERROR(VLOOKUP($A58,fund_metadata!$A:$P,2,FALSE),"")</f>
        <v>Bow River Evergreen PE</v>
      </c>
      <c r="AC58" t="str">
        <f>IFERROR(VLOOKUP($A58,fund_metadata!$A:$P,16,FALSE),"")</f>
        <v>private_equity</v>
      </c>
    </row>
    <row r="59" spans="1:29" x14ac:dyDescent="0.25">
      <c r="A59">
        <v>1</v>
      </c>
      <c r="B59" s="3">
        <v>44439</v>
      </c>
      <c r="E59" s="4">
        <v>141200000</v>
      </c>
      <c r="F59" t="s">
        <v>89</v>
      </c>
      <c r="G59" s="5">
        <v>36.01</v>
      </c>
      <c r="H59" t="s">
        <v>89</v>
      </c>
      <c r="K59" s="2">
        <v>4.3200000000000002E-2</v>
      </c>
      <c r="L59" t="s">
        <v>89</v>
      </c>
      <c r="N59" s="4"/>
      <c r="AB59" t="str">
        <f>IFERROR(VLOOKUP($A59,fund_metadata!$A:$P,2,FALSE),"")</f>
        <v>Bow River Evergreen PE</v>
      </c>
      <c r="AC59" t="str">
        <f>IFERROR(VLOOKUP($A59,fund_metadata!$A:$P,16,FALSE),"")</f>
        <v>private_equity</v>
      </c>
    </row>
    <row r="60" spans="1:29" x14ac:dyDescent="0.25">
      <c r="A60">
        <v>1</v>
      </c>
      <c r="B60" s="3">
        <v>44408</v>
      </c>
      <c r="E60" s="4">
        <v>131660000</v>
      </c>
      <c r="F60" t="s">
        <v>89</v>
      </c>
      <c r="G60" s="5">
        <v>34.520000000000003</v>
      </c>
      <c r="H60" t="s">
        <v>89</v>
      </c>
      <c r="K60" s="2">
        <v>0.02</v>
      </c>
      <c r="L60" t="s">
        <v>89</v>
      </c>
      <c r="N60" s="4"/>
      <c r="AB60" t="str">
        <f>IFERROR(VLOOKUP($A60,fund_metadata!$A:$P,2,FALSE),"")</f>
        <v>Bow River Evergreen PE</v>
      </c>
      <c r="AC60" t="str">
        <f>IFERROR(VLOOKUP($A60,fund_metadata!$A:$P,16,FALSE),"")</f>
        <v>private_equity</v>
      </c>
    </row>
    <row r="61" spans="1:29" x14ac:dyDescent="0.25">
      <c r="A61">
        <v>1</v>
      </c>
      <c r="B61" s="3">
        <v>44377</v>
      </c>
      <c r="E61" s="4">
        <v>127850000</v>
      </c>
      <c r="F61" t="s">
        <v>89</v>
      </c>
      <c r="G61" s="5">
        <v>33.840000000000003</v>
      </c>
      <c r="H61" t="s">
        <v>89</v>
      </c>
      <c r="K61" s="2">
        <v>2.4199999999999999E-2</v>
      </c>
      <c r="L61" t="s">
        <v>89</v>
      </c>
      <c r="M61">
        <v>40</v>
      </c>
      <c r="N61" s="4"/>
      <c r="AB61" t="str">
        <f>IFERROR(VLOOKUP($A61,fund_metadata!$A:$P,2,FALSE),"")</f>
        <v>Bow River Evergreen PE</v>
      </c>
      <c r="AC61" t="str">
        <f>IFERROR(VLOOKUP($A61,fund_metadata!$A:$P,16,FALSE),"")</f>
        <v>private_equity</v>
      </c>
    </row>
    <row r="62" spans="1:29" x14ac:dyDescent="0.25">
      <c r="A62">
        <v>1</v>
      </c>
      <c r="B62" s="3">
        <v>44347</v>
      </c>
      <c r="E62" s="4"/>
      <c r="G62" s="5">
        <v>33.04</v>
      </c>
      <c r="H62" t="s">
        <v>89</v>
      </c>
      <c r="K62" s="2">
        <v>3.9399999999999998E-2</v>
      </c>
      <c r="L62" t="s">
        <v>89</v>
      </c>
      <c r="N62" s="4"/>
      <c r="AB62" t="str">
        <f>IFERROR(VLOOKUP($A62,fund_metadata!$A:$P,2,FALSE),"")</f>
        <v>Bow River Evergreen PE</v>
      </c>
      <c r="AC62" t="str">
        <f>IFERROR(VLOOKUP($A62,fund_metadata!$A:$P,16,FALSE),"")</f>
        <v>private_equity</v>
      </c>
    </row>
    <row r="63" spans="1:29" x14ac:dyDescent="0.25">
      <c r="A63">
        <v>1</v>
      </c>
      <c r="B63" s="3">
        <v>44316</v>
      </c>
      <c r="E63" s="4"/>
      <c r="G63" s="5">
        <v>31.79</v>
      </c>
      <c r="H63" t="s">
        <v>89</v>
      </c>
      <c r="K63" s="2">
        <v>6.9999999999999999E-4</v>
      </c>
      <c r="L63" t="s">
        <v>89</v>
      </c>
      <c r="N63" s="4"/>
      <c r="AB63" t="str">
        <f>IFERROR(VLOOKUP($A63,fund_metadata!$A:$P,2,FALSE),"")</f>
        <v>Bow River Evergreen PE</v>
      </c>
      <c r="AC63" t="str">
        <f>IFERROR(VLOOKUP($A63,fund_metadata!$A:$P,16,FALSE),"")</f>
        <v>private_equity</v>
      </c>
    </row>
    <row r="64" spans="1:29" x14ac:dyDescent="0.25">
      <c r="A64">
        <v>1</v>
      </c>
      <c r="B64" s="3">
        <v>44286</v>
      </c>
      <c r="E64" s="4"/>
      <c r="G64" s="5">
        <v>31.77</v>
      </c>
      <c r="H64" t="s">
        <v>89</v>
      </c>
      <c r="K64" s="2">
        <v>1.8599999999999998E-2</v>
      </c>
      <c r="L64" t="s">
        <v>89</v>
      </c>
      <c r="M64">
        <v>32</v>
      </c>
      <c r="N64" s="4"/>
      <c r="P64">
        <v>2869318</v>
      </c>
      <c r="Q64" t="s">
        <v>121</v>
      </c>
      <c r="AB64" t="str">
        <f>IFERROR(VLOOKUP($A64,fund_metadata!$A:$P,2,FALSE),"")</f>
        <v>Bow River Evergreen PE</v>
      </c>
      <c r="AC64" t="str">
        <f>IFERROR(VLOOKUP($A64,fund_metadata!$A:$P,16,FALSE),"")</f>
        <v>private_equity</v>
      </c>
    </row>
    <row r="65" spans="1:29" x14ac:dyDescent="0.25">
      <c r="A65">
        <v>1</v>
      </c>
      <c r="B65" s="3">
        <v>44255</v>
      </c>
      <c r="E65" s="4"/>
      <c r="G65" s="5">
        <v>31.19</v>
      </c>
      <c r="H65" t="s">
        <v>89</v>
      </c>
      <c r="K65" s="2">
        <v>2.64E-2</v>
      </c>
      <c r="L65" t="s">
        <v>89</v>
      </c>
      <c r="N65" s="4"/>
      <c r="AB65" t="str">
        <f>IFERROR(VLOOKUP($A65,fund_metadata!$A:$P,2,FALSE),"")</f>
        <v>Bow River Evergreen PE</v>
      </c>
      <c r="AC65" t="str">
        <f>IFERROR(VLOOKUP($A65,fund_metadata!$A:$P,16,FALSE),"")</f>
        <v>private_equity</v>
      </c>
    </row>
    <row r="66" spans="1:29" x14ac:dyDescent="0.25">
      <c r="A66">
        <v>1</v>
      </c>
      <c r="B66" s="3">
        <v>44227</v>
      </c>
      <c r="E66" s="4"/>
      <c r="G66" s="5">
        <v>30.39</v>
      </c>
      <c r="H66" t="s">
        <v>89</v>
      </c>
      <c r="K66" s="2">
        <v>2.7300000000000001E-2</v>
      </c>
      <c r="L66" t="s">
        <v>89</v>
      </c>
      <c r="N66" s="4"/>
      <c r="AB66" t="str">
        <f>IFERROR(VLOOKUP($A66,fund_metadata!$A:$P,2,FALSE),"")</f>
        <v>Bow River Evergreen PE</v>
      </c>
      <c r="AC66" t="str">
        <f>IFERROR(VLOOKUP($A66,fund_metadata!$A:$P,16,FALSE),"")</f>
        <v>private_equity</v>
      </c>
    </row>
    <row r="67" spans="1:29" x14ac:dyDescent="0.25">
      <c r="A67">
        <v>1</v>
      </c>
      <c r="B67" s="3">
        <v>44196</v>
      </c>
      <c r="E67" s="4"/>
      <c r="G67" s="5">
        <v>29.58</v>
      </c>
      <c r="H67" t="s">
        <v>89</v>
      </c>
      <c r="K67" s="2">
        <v>-8.0000000000000004E-4</v>
      </c>
      <c r="L67" t="s">
        <v>89</v>
      </c>
      <c r="N67" s="4"/>
      <c r="AB67" t="str">
        <f>IFERROR(VLOOKUP($A67,fund_metadata!$A:$P,2,FALSE),"")</f>
        <v>Bow River Evergreen PE</v>
      </c>
      <c r="AC67" t="str">
        <f>IFERROR(VLOOKUP($A67,fund_metadata!$A:$P,16,FALSE),"")</f>
        <v>private_equity</v>
      </c>
    </row>
    <row r="68" spans="1:29" x14ac:dyDescent="0.25">
      <c r="A68">
        <v>1</v>
      </c>
      <c r="B68" s="3">
        <v>44165</v>
      </c>
      <c r="E68" s="4"/>
      <c r="G68" s="5">
        <v>29.6</v>
      </c>
      <c r="H68" t="s">
        <v>89</v>
      </c>
      <c r="K68" s="2">
        <v>1.18E-2</v>
      </c>
      <c r="L68" t="s">
        <v>89</v>
      </c>
      <c r="N68" s="4"/>
      <c r="AB68" t="str">
        <f>IFERROR(VLOOKUP($A68,fund_metadata!$A:$P,2,FALSE),"")</f>
        <v>Bow River Evergreen PE</v>
      </c>
      <c r="AC68" t="str">
        <f>IFERROR(VLOOKUP($A68,fund_metadata!$A:$P,16,FALSE),"")</f>
        <v>private_equity</v>
      </c>
    </row>
    <row r="69" spans="1:29" x14ac:dyDescent="0.25">
      <c r="A69">
        <v>1</v>
      </c>
      <c r="B69" s="3">
        <v>44135</v>
      </c>
      <c r="E69" s="4"/>
      <c r="G69" s="5">
        <v>29.26</v>
      </c>
      <c r="H69" t="s">
        <v>89</v>
      </c>
      <c r="K69" s="2">
        <v>1E-4</v>
      </c>
      <c r="L69" t="s">
        <v>89</v>
      </c>
      <c r="N69" s="4"/>
      <c r="AB69" t="str">
        <f>IFERROR(VLOOKUP($A69,fund_metadata!$A:$P,2,FALSE),"")</f>
        <v>Bow River Evergreen PE</v>
      </c>
      <c r="AC69" t="str">
        <f>IFERROR(VLOOKUP($A69,fund_metadata!$A:$P,16,FALSE),"")</f>
        <v>private_equity</v>
      </c>
    </row>
    <row r="70" spans="1:29" x14ac:dyDescent="0.25">
      <c r="A70">
        <v>1</v>
      </c>
      <c r="B70" s="3">
        <v>44104</v>
      </c>
      <c r="E70" s="4"/>
      <c r="G70" s="5">
        <v>29.26</v>
      </c>
      <c r="H70" t="s">
        <v>89</v>
      </c>
      <c r="K70" s="2">
        <v>1.49E-2</v>
      </c>
      <c r="L70" t="s">
        <v>89</v>
      </c>
      <c r="N70" s="4"/>
      <c r="AB70" t="str">
        <f>IFERROR(VLOOKUP($A70,fund_metadata!$A:$P,2,FALSE),"")</f>
        <v>Bow River Evergreen PE</v>
      </c>
      <c r="AC70" t="str">
        <f>IFERROR(VLOOKUP($A70,fund_metadata!$A:$P,16,FALSE),"")</f>
        <v>private_equity</v>
      </c>
    </row>
    <row r="71" spans="1:29" x14ac:dyDescent="0.25">
      <c r="A71">
        <v>1</v>
      </c>
      <c r="B71" s="3">
        <v>44074</v>
      </c>
      <c r="E71" s="4"/>
      <c r="G71" s="5">
        <v>28.83</v>
      </c>
      <c r="H71" t="s">
        <v>89</v>
      </c>
      <c r="K71" s="2">
        <v>1.6000000000000001E-3</v>
      </c>
      <c r="L71" t="s">
        <v>89</v>
      </c>
      <c r="N71" s="4"/>
      <c r="AB71" t="str">
        <f>IFERROR(VLOOKUP($A71,fund_metadata!$A:$P,2,FALSE),"")</f>
        <v>Bow River Evergreen PE</v>
      </c>
      <c r="AC71" t="str">
        <f>IFERROR(VLOOKUP($A71,fund_metadata!$A:$P,16,FALSE),"")</f>
        <v>private_equity</v>
      </c>
    </row>
    <row r="72" spans="1:29" x14ac:dyDescent="0.25">
      <c r="A72">
        <v>1</v>
      </c>
      <c r="B72" s="3">
        <v>44043</v>
      </c>
      <c r="E72" s="4"/>
      <c r="G72" s="5">
        <v>28.78</v>
      </c>
      <c r="H72" t="s">
        <v>89</v>
      </c>
      <c r="K72" s="2">
        <v>2.5999999999999999E-3</v>
      </c>
      <c r="L72" t="s">
        <v>89</v>
      </c>
      <c r="N72" s="4"/>
      <c r="AB72" t="str">
        <f>IFERROR(VLOOKUP($A72,fund_metadata!$A:$P,2,FALSE),"")</f>
        <v>Bow River Evergreen PE</v>
      </c>
      <c r="AC72" t="str">
        <f>IFERROR(VLOOKUP($A72,fund_metadata!$A:$P,16,FALSE),"")</f>
        <v>private_equity</v>
      </c>
    </row>
    <row r="73" spans="1:29" x14ac:dyDescent="0.25">
      <c r="A73">
        <v>1</v>
      </c>
      <c r="B73" s="3">
        <v>44012</v>
      </c>
      <c r="E73" s="4"/>
      <c r="G73" s="5">
        <v>28.71</v>
      </c>
      <c r="H73" t="s">
        <v>89</v>
      </c>
      <c r="K73" s="2">
        <v>0.1024</v>
      </c>
      <c r="L73" t="s">
        <v>89</v>
      </c>
      <c r="N73" s="4"/>
      <c r="AB73" t="str">
        <f>IFERROR(VLOOKUP($A73,fund_metadata!$A:$P,2,FALSE),"")</f>
        <v>Bow River Evergreen PE</v>
      </c>
      <c r="AC73" t="str">
        <f>IFERROR(VLOOKUP($A73,fund_metadata!$A:$P,16,FALSE),"")</f>
        <v>private_equity</v>
      </c>
    </row>
    <row r="74" spans="1:29" x14ac:dyDescent="0.25">
      <c r="A74">
        <v>1</v>
      </c>
      <c r="B74" s="3">
        <v>43982</v>
      </c>
      <c r="E74" s="4"/>
      <c r="G74" s="5">
        <v>26.04</v>
      </c>
      <c r="H74" t="s">
        <v>89</v>
      </c>
      <c r="K74" s="2"/>
      <c r="N74" s="4"/>
      <c r="AB74" t="str">
        <f>IFERROR(VLOOKUP($A74,fund_metadata!$A:$P,2,FALSE),"")</f>
        <v>Bow River Evergreen PE</v>
      </c>
      <c r="AC74" t="str">
        <f>IFERROR(VLOOKUP($A74,fund_metadata!$A:$P,16,FALSE),"")</f>
        <v>private_equity</v>
      </c>
    </row>
    <row r="75" spans="1:29" x14ac:dyDescent="0.25">
      <c r="A75">
        <v>8</v>
      </c>
      <c r="B75" s="3">
        <v>46173</v>
      </c>
      <c r="E75" s="4"/>
      <c r="G75" s="5"/>
      <c r="I75" s="5"/>
      <c r="K75" s="2"/>
      <c r="N75" s="4"/>
      <c r="AB75" t="str">
        <f>IFERROR(VLOOKUP($A75,fund_metadata!$A:$P,2,FALSE),"")</f>
        <v>AMG Pantheon</v>
      </c>
      <c r="AC75" t="str">
        <f>IFERROR(VLOOKUP($A75,fund_metadata!$A:$P,16,FALSE),"")</f>
        <v>secondaries</v>
      </c>
    </row>
    <row r="76" spans="1:29" x14ac:dyDescent="0.25">
      <c r="A76">
        <v>8</v>
      </c>
      <c r="B76" s="3">
        <v>46142</v>
      </c>
      <c r="E76" s="4"/>
      <c r="G76" s="5">
        <v>28.53</v>
      </c>
      <c r="H76" t="s">
        <v>89</v>
      </c>
      <c r="I76" s="5"/>
      <c r="K76" s="2">
        <v>1.1299999999999999E-2</v>
      </c>
      <c r="L76" t="s">
        <v>89</v>
      </c>
      <c r="N76" s="4"/>
      <c r="AB76" t="str">
        <f>IFERROR(VLOOKUP($A76,fund_metadata!$A:$P,2,FALSE),"")</f>
        <v>AMG Pantheon</v>
      </c>
      <c r="AC76" t="str">
        <f>IFERROR(VLOOKUP($A76,fund_metadata!$A:$P,16,FALSE),"")</f>
        <v>secondaries</v>
      </c>
    </row>
    <row r="77" spans="1:29" x14ac:dyDescent="0.25">
      <c r="A77">
        <v>8</v>
      </c>
      <c r="B77" s="3">
        <v>46112</v>
      </c>
      <c r="C77">
        <v>9989376.7799999993</v>
      </c>
      <c r="D77" t="s">
        <v>106</v>
      </c>
      <c r="E77" s="4"/>
      <c r="G77" s="5">
        <v>28.21</v>
      </c>
      <c r="H77" t="s">
        <v>89</v>
      </c>
      <c r="I77" s="5"/>
      <c r="K77" s="2">
        <v>-3.8999999999999998E-3</v>
      </c>
      <c r="L77" t="s">
        <v>89</v>
      </c>
      <c r="M77">
        <v>1</v>
      </c>
      <c r="N77" s="4"/>
      <c r="R77">
        <v>354107.64899999998</v>
      </c>
      <c r="S77" t="s">
        <v>106</v>
      </c>
      <c r="T77">
        <v>0</v>
      </c>
      <c r="U77" t="s">
        <v>107</v>
      </c>
      <c r="V77">
        <v>0</v>
      </c>
      <c r="W77" t="s">
        <v>107</v>
      </c>
      <c r="X77">
        <v>0</v>
      </c>
      <c r="Y77" t="s">
        <v>107</v>
      </c>
      <c r="AB77" t="str">
        <f>IFERROR(VLOOKUP($A77,fund_metadata!$A:$P,2,FALSE),"")</f>
        <v>AMG Pantheon</v>
      </c>
      <c r="AC77" t="str">
        <f>IFERROR(VLOOKUP($A77,fund_metadata!$A:$P,16,FALSE),"")</f>
        <v>secondaries</v>
      </c>
    </row>
    <row r="78" spans="1:29" x14ac:dyDescent="0.25">
      <c r="A78">
        <v>8</v>
      </c>
      <c r="B78" s="3">
        <v>46081</v>
      </c>
      <c r="C78">
        <v>10028328.619999999</v>
      </c>
      <c r="D78" t="s">
        <v>106</v>
      </c>
      <c r="E78" s="4"/>
      <c r="G78" s="5">
        <v>28.32</v>
      </c>
      <c r="H78" t="s">
        <v>89</v>
      </c>
      <c r="I78" s="5"/>
      <c r="K78" s="2">
        <v>6.7999999999999996E-3</v>
      </c>
      <c r="L78" t="s">
        <v>89</v>
      </c>
      <c r="N78" s="4"/>
      <c r="R78">
        <v>354107.64899999998</v>
      </c>
      <c r="S78" t="s">
        <v>106</v>
      </c>
      <c r="T78">
        <v>0</v>
      </c>
      <c r="U78" t="s">
        <v>107</v>
      </c>
      <c r="V78">
        <v>0</v>
      </c>
      <c r="W78" t="s">
        <v>107</v>
      </c>
      <c r="X78">
        <v>0</v>
      </c>
      <c r="Y78" t="s">
        <v>107</v>
      </c>
      <c r="AB78" t="str">
        <f>IFERROR(VLOOKUP($A78,fund_metadata!$A:$P,2,FALSE),"")</f>
        <v>AMG Pantheon</v>
      </c>
      <c r="AC78" t="str">
        <f>IFERROR(VLOOKUP($A78,fund_metadata!$A:$P,16,FALSE),"")</f>
        <v>secondaries</v>
      </c>
    </row>
    <row r="79" spans="1:29" x14ac:dyDescent="0.25">
      <c r="A79">
        <v>8</v>
      </c>
      <c r="B79" s="3">
        <v>46053</v>
      </c>
      <c r="C79">
        <v>9961048.1699999999</v>
      </c>
      <c r="D79" t="s">
        <v>106</v>
      </c>
      <c r="E79" s="4"/>
      <c r="G79" s="5">
        <v>28.13</v>
      </c>
      <c r="H79" t="s">
        <v>89</v>
      </c>
      <c r="I79" s="5"/>
      <c r="K79" s="2">
        <v>-3.8999999999999998E-3</v>
      </c>
      <c r="L79" t="s">
        <v>89</v>
      </c>
      <c r="N79" s="4"/>
      <c r="R79">
        <v>354107.64899999998</v>
      </c>
      <c r="S79" t="s">
        <v>106</v>
      </c>
      <c r="T79">
        <v>10000000</v>
      </c>
      <c r="U79" t="s">
        <v>107</v>
      </c>
      <c r="V79">
        <v>0</v>
      </c>
      <c r="W79" t="s">
        <v>107</v>
      </c>
      <c r="X79">
        <v>0</v>
      </c>
      <c r="Y79" t="s">
        <v>107</v>
      </c>
      <c r="AB79" t="str">
        <f>IFERROR(VLOOKUP($A79,fund_metadata!$A:$P,2,FALSE),"")</f>
        <v>AMG Pantheon</v>
      </c>
      <c r="AC79" t="str">
        <f>IFERROR(VLOOKUP($A79,fund_metadata!$A:$P,16,FALSE),"")</f>
        <v>secondaries</v>
      </c>
    </row>
    <row r="80" spans="1:29" x14ac:dyDescent="0.25">
      <c r="A80">
        <v>8</v>
      </c>
      <c r="B80" s="3">
        <v>46022</v>
      </c>
      <c r="C80">
        <v>10000000</v>
      </c>
      <c r="D80" t="s">
        <v>104</v>
      </c>
      <c r="E80" s="4"/>
      <c r="G80" s="5">
        <v>28.24</v>
      </c>
      <c r="H80" t="s">
        <v>89</v>
      </c>
      <c r="I80" s="5"/>
      <c r="K80" s="2">
        <v>1.2E-2</v>
      </c>
      <c r="L80" t="s">
        <v>89</v>
      </c>
      <c r="M80">
        <v>1</v>
      </c>
      <c r="N80" s="4"/>
      <c r="AB80" t="str">
        <f>IFERROR(VLOOKUP($A80,fund_metadata!$A:$P,2,FALSE),"")</f>
        <v>AMG Pantheon</v>
      </c>
      <c r="AC80" t="str">
        <f>IFERROR(VLOOKUP($A80,fund_metadata!$A:$P,16,FALSE),"")</f>
        <v>secondaries</v>
      </c>
    </row>
    <row r="81" spans="1:29" x14ac:dyDescent="0.25">
      <c r="A81">
        <v>8</v>
      </c>
      <c r="B81" s="3">
        <v>45991</v>
      </c>
      <c r="E81" s="4"/>
      <c r="G81" s="5">
        <v>28.53</v>
      </c>
      <c r="H81" t="s">
        <v>89</v>
      </c>
      <c r="I81" s="5"/>
      <c r="K81" s="2">
        <v>4.1999999999999997E-3</v>
      </c>
      <c r="L81" t="s">
        <v>89</v>
      </c>
      <c r="N81" s="4"/>
      <c r="AB81" t="str">
        <f>IFERROR(VLOOKUP($A81,fund_metadata!$A:$P,2,FALSE),"")</f>
        <v>AMG Pantheon</v>
      </c>
      <c r="AC81" t="str">
        <f>IFERROR(VLOOKUP($A81,fund_metadata!$A:$P,16,FALSE),"")</f>
        <v>secondaries</v>
      </c>
    </row>
    <row r="82" spans="1:29" x14ac:dyDescent="0.25">
      <c r="A82">
        <v>8</v>
      </c>
      <c r="B82" s="3">
        <v>45961</v>
      </c>
      <c r="E82" s="4"/>
      <c r="G82" s="5">
        <v>28.41</v>
      </c>
      <c r="H82" t="s">
        <v>89</v>
      </c>
      <c r="I82" s="5"/>
      <c r="K82" s="2">
        <v>-8.3999999999999995E-3</v>
      </c>
      <c r="L82" t="s">
        <v>89</v>
      </c>
      <c r="N82" s="4"/>
      <c r="AB82" t="str">
        <f>IFERROR(VLOOKUP($A82,fund_metadata!$A:$P,2,FALSE),"")</f>
        <v>AMG Pantheon</v>
      </c>
      <c r="AC82" t="str">
        <f>IFERROR(VLOOKUP($A82,fund_metadata!$A:$P,16,FALSE),"")</f>
        <v>secondaries</v>
      </c>
    </row>
    <row r="83" spans="1:29" x14ac:dyDescent="0.25">
      <c r="A83">
        <v>8</v>
      </c>
      <c r="B83" s="3">
        <v>45930</v>
      </c>
      <c r="E83" s="4">
        <v>5980000000</v>
      </c>
      <c r="F83" t="s">
        <v>89</v>
      </c>
      <c r="G83" s="5">
        <v>28.65</v>
      </c>
      <c r="H83" t="s">
        <v>89</v>
      </c>
      <c r="I83" s="5"/>
      <c r="K83" s="2">
        <v>4.1999999999999997E-3</v>
      </c>
      <c r="L83" t="s">
        <v>89</v>
      </c>
      <c r="M83">
        <v>1</v>
      </c>
      <c r="N83" s="4">
        <v>6160000000</v>
      </c>
      <c r="O83" t="s">
        <v>89</v>
      </c>
      <c r="P83">
        <v>47539435</v>
      </c>
      <c r="Q83" t="s">
        <v>120</v>
      </c>
      <c r="AB83" t="str">
        <f>IFERROR(VLOOKUP($A83,fund_metadata!$A:$P,2,FALSE),"")</f>
        <v>AMG Pantheon</v>
      </c>
      <c r="AC83" t="str">
        <f>IFERROR(VLOOKUP($A83,fund_metadata!$A:$P,16,FALSE),"")</f>
        <v>secondaries</v>
      </c>
    </row>
    <row r="84" spans="1:29" x14ac:dyDescent="0.25">
      <c r="A84">
        <v>8</v>
      </c>
      <c r="B84" s="3">
        <v>45900</v>
      </c>
      <c r="E84" s="4"/>
      <c r="G84" s="5">
        <v>28.53</v>
      </c>
      <c r="H84" t="s">
        <v>89</v>
      </c>
      <c r="I84" s="5"/>
      <c r="K84" s="2">
        <v>2.8E-3</v>
      </c>
      <c r="L84" t="s">
        <v>89</v>
      </c>
      <c r="N84" s="4"/>
      <c r="AB84" t="str">
        <f>IFERROR(VLOOKUP($A84,fund_metadata!$A:$P,2,FALSE),"")</f>
        <v>AMG Pantheon</v>
      </c>
      <c r="AC84" t="str">
        <f>IFERROR(VLOOKUP($A84,fund_metadata!$A:$P,16,FALSE),"")</f>
        <v>secondaries</v>
      </c>
    </row>
    <row r="85" spans="1:29" x14ac:dyDescent="0.25">
      <c r="A85">
        <v>8</v>
      </c>
      <c r="B85" s="3">
        <v>45869</v>
      </c>
      <c r="E85" s="4"/>
      <c r="G85" s="5">
        <v>28.45</v>
      </c>
      <c r="H85" t="s">
        <v>89</v>
      </c>
      <c r="I85" s="5"/>
      <c r="K85" s="2">
        <v>0</v>
      </c>
      <c r="L85" t="s">
        <v>89</v>
      </c>
      <c r="N85" s="4"/>
      <c r="AB85" t="str">
        <f>IFERROR(VLOOKUP($A85,fund_metadata!$A:$P,2,FALSE),"")</f>
        <v>AMG Pantheon</v>
      </c>
      <c r="AC85" t="str">
        <f>IFERROR(VLOOKUP($A85,fund_metadata!$A:$P,16,FALSE),"")</f>
        <v>secondaries</v>
      </c>
    </row>
    <row r="86" spans="1:29" x14ac:dyDescent="0.25">
      <c r="A86">
        <v>8</v>
      </c>
      <c r="B86" s="3">
        <v>45838</v>
      </c>
      <c r="E86" s="4"/>
      <c r="G86" s="5">
        <v>28.45</v>
      </c>
      <c r="H86" t="s">
        <v>89</v>
      </c>
      <c r="I86" s="5"/>
      <c r="K86" s="2">
        <v>3.6799999999999999E-2</v>
      </c>
      <c r="L86" t="s">
        <v>89</v>
      </c>
      <c r="M86">
        <v>1</v>
      </c>
      <c r="N86" s="4"/>
      <c r="AB86" t="str">
        <f>IFERROR(VLOOKUP($A86,fund_metadata!$A:$P,2,FALSE),"")</f>
        <v>AMG Pantheon</v>
      </c>
      <c r="AC86" t="str">
        <f>IFERROR(VLOOKUP($A86,fund_metadata!$A:$P,16,FALSE),"")</f>
        <v>secondaries</v>
      </c>
    </row>
    <row r="87" spans="1:29" x14ac:dyDescent="0.25">
      <c r="A87">
        <v>8</v>
      </c>
      <c r="B87" s="3">
        <v>45808</v>
      </c>
      <c r="E87" s="4"/>
      <c r="G87" s="5">
        <v>27.44</v>
      </c>
      <c r="H87" t="s">
        <v>89</v>
      </c>
      <c r="I87" s="5"/>
      <c r="K87" s="2">
        <v>2.8899999999999999E-2</v>
      </c>
      <c r="L87" t="s">
        <v>89</v>
      </c>
      <c r="N87" s="4"/>
      <c r="AB87" t="str">
        <f>IFERROR(VLOOKUP($A87,fund_metadata!$A:$P,2,FALSE),"")</f>
        <v>AMG Pantheon</v>
      </c>
      <c r="AC87" t="str">
        <f>IFERROR(VLOOKUP($A87,fund_metadata!$A:$P,16,FALSE),"")</f>
        <v>secondaries</v>
      </c>
    </row>
    <row r="88" spans="1:29" x14ac:dyDescent="0.25">
      <c r="A88">
        <v>8</v>
      </c>
      <c r="B88" s="3">
        <v>45777</v>
      </c>
      <c r="E88" s="4"/>
      <c r="G88" s="5">
        <v>26.67</v>
      </c>
      <c r="H88" t="s">
        <v>89</v>
      </c>
      <c r="I88" s="5"/>
      <c r="K88" s="2">
        <v>1.7899999999999999E-2</v>
      </c>
      <c r="L88" t="s">
        <v>89</v>
      </c>
      <c r="N88" s="4"/>
      <c r="AB88" t="str">
        <f>IFERROR(VLOOKUP($A88,fund_metadata!$A:$P,2,FALSE),"")</f>
        <v>AMG Pantheon</v>
      </c>
      <c r="AC88" t="str">
        <f>IFERROR(VLOOKUP($A88,fund_metadata!$A:$P,16,FALSE),"")</f>
        <v>secondaries</v>
      </c>
    </row>
    <row r="89" spans="1:29" x14ac:dyDescent="0.25">
      <c r="A89">
        <v>8</v>
      </c>
      <c r="B89" s="3">
        <v>45747</v>
      </c>
      <c r="E89" s="4">
        <v>4840000000</v>
      </c>
      <c r="F89" t="s">
        <v>89</v>
      </c>
      <c r="G89" s="5">
        <v>26.2</v>
      </c>
      <c r="H89" t="s">
        <v>89</v>
      </c>
      <c r="I89" s="5"/>
      <c r="K89" s="2">
        <v>-1.6500000000000001E-2</v>
      </c>
      <c r="L89" t="s">
        <v>89</v>
      </c>
      <c r="M89">
        <v>1</v>
      </c>
      <c r="N89" s="4">
        <v>5160000000</v>
      </c>
      <c r="O89" t="s">
        <v>89</v>
      </c>
      <c r="P89">
        <v>41331380</v>
      </c>
      <c r="Q89" t="s">
        <v>121</v>
      </c>
      <c r="AB89" t="str">
        <f>IFERROR(VLOOKUP($A89,fund_metadata!$A:$P,2,FALSE),"")</f>
        <v>AMG Pantheon</v>
      </c>
      <c r="AC89" t="str">
        <f>IFERROR(VLOOKUP($A89,fund_metadata!$A:$P,16,FALSE),"")</f>
        <v>secondaries</v>
      </c>
    </row>
    <row r="90" spans="1:29" x14ac:dyDescent="0.25">
      <c r="A90">
        <v>8</v>
      </c>
      <c r="B90" s="3">
        <v>45716</v>
      </c>
      <c r="E90" s="4"/>
      <c r="G90" s="5">
        <v>26.64</v>
      </c>
      <c r="H90" t="s">
        <v>89</v>
      </c>
      <c r="I90" s="5"/>
      <c r="K90" s="2">
        <v>-3.1600000000000003E-2</v>
      </c>
      <c r="L90" t="s">
        <v>89</v>
      </c>
      <c r="N90" s="4"/>
      <c r="AB90" t="str">
        <f>IFERROR(VLOOKUP($A90,fund_metadata!$A:$P,2,FALSE),"")</f>
        <v>AMG Pantheon</v>
      </c>
      <c r="AC90" t="str">
        <f>IFERROR(VLOOKUP($A90,fund_metadata!$A:$P,16,FALSE),"")</f>
        <v>secondaries</v>
      </c>
    </row>
    <row r="91" spans="1:29" x14ac:dyDescent="0.25">
      <c r="A91">
        <v>8</v>
      </c>
      <c r="B91" s="3">
        <v>45688</v>
      </c>
      <c r="E91" s="4"/>
      <c r="G91" s="5">
        <v>27.51</v>
      </c>
      <c r="H91" t="s">
        <v>89</v>
      </c>
      <c r="I91" s="5"/>
      <c r="K91" s="2">
        <v>1.8499999999999999E-2</v>
      </c>
      <c r="L91" t="s">
        <v>89</v>
      </c>
      <c r="N91" s="4"/>
      <c r="AB91" t="str">
        <f>IFERROR(VLOOKUP($A91,fund_metadata!$A:$P,2,FALSE),"")</f>
        <v>AMG Pantheon</v>
      </c>
      <c r="AC91" t="str">
        <f>IFERROR(VLOOKUP($A91,fund_metadata!$A:$P,16,FALSE),"")</f>
        <v>secondaries</v>
      </c>
    </row>
    <row r="92" spans="1:29" x14ac:dyDescent="0.25">
      <c r="A92">
        <v>8</v>
      </c>
      <c r="B92" s="3">
        <v>45657</v>
      </c>
      <c r="E92" s="4"/>
      <c r="G92" s="5">
        <v>27.01</v>
      </c>
      <c r="H92" t="s">
        <v>89</v>
      </c>
      <c r="I92" s="5"/>
      <c r="K92" s="2">
        <v>9.1000000000000004E-3</v>
      </c>
      <c r="L92" t="s">
        <v>89</v>
      </c>
      <c r="M92">
        <v>1</v>
      </c>
      <c r="N92" s="4"/>
      <c r="AB92" t="str">
        <f>IFERROR(VLOOKUP($A92,fund_metadata!$A:$P,2,FALSE),"")</f>
        <v>AMG Pantheon</v>
      </c>
      <c r="AC92" t="str">
        <f>IFERROR(VLOOKUP($A92,fund_metadata!$A:$P,16,FALSE),"")</f>
        <v>secondaries</v>
      </c>
    </row>
    <row r="93" spans="1:29" x14ac:dyDescent="0.25">
      <c r="A93">
        <v>8</v>
      </c>
      <c r="B93" s="3">
        <v>45626</v>
      </c>
      <c r="E93" s="4"/>
      <c r="G93" s="5">
        <v>27.01</v>
      </c>
      <c r="H93" t="s">
        <v>89</v>
      </c>
      <c r="I93" s="5"/>
      <c r="K93" s="2">
        <v>4.4999999999999997E-3</v>
      </c>
      <c r="L93" t="s">
        <v>89</v>
      </c>
      <c r="N93" s="4"/>
      <c r="AB93" t="str">
        <f>IFERROR(VLOOKUP($A93,fund_metadata!$A:$P,2,FALSE),"")</f>
        <v>AMG Pantheon</v>
      </c>
      <c r="AC93" t="str">
        <f>IFERROR(VLOOKUP($A93,fund_metadata!$A:$P,16,FALSE),"")</f>
        <v>secondaries</v>
      </c>
    </row>
    <row r="94" spans="1:29" x14ac:dyDescent="0.25">
      <c r="A94">
        <v>8</v>
      </c>
      <c r="B94" s="3">
        <v>45596</v>
      </c>
      <c r="E94" s="4"/>
      <c r="G94" s="5">
        <v>26.89</v>
      </c>
      <c r="H94" t="s">
        <v>89</v>
      </c>
      <c r="I94" s="5"/>
      <c r="K94" s="2">
        <v>-3.0000000000000001E-3</v>
      </c>
      <c r="L94" t="s">
        <v>89</v>
      </c>
      <c r="N94" s="4"/>
      <c r="AB94" t="str">
        <f>IFERROR(VLOOKUP($A94,fund_metadata!$A:$P,2,FALSE),"")</f>
        <v>AMG Pantheon</v>
      </c>
      <c r="AC94" t="str">
        <f>IFERROR(VLOOKUP($A94,fund_metadata!$A:$P,16,FALSE),"")</f>
        <v>secondaries</v>
      </c>
    </row>
    <row r="95" spans="1:29" x14ac:dyDescent="0.25">
      <c r="A95">
        <v>8</v>
      </c>
      <c r="B95" s="3">
        <v>45565</v>
      </c>
      <c r="E95" s="4">
        <v>4140000000</v>
      </c>
      <c r="F95" t="s">
        <v>89</v>
      </c>
      <c r="G95" s="5">
        <v>26.97</v>
      </c>
      <c r="H95" t="s">
        <v>89</v>
      </c>
      <c r="I95" s="5"/>
      <c r="K95" s="2">
        <v>4.7399999999999998E-2</v>
      </c>
      <c r="L95" t="s">
        <v>89</v>
      </c>
      <c r="M95">
        <v>1</v>
      </c>
      <c r="N95" s="4">
        <v>4340000000</v>
      </c>
      <c r="O95" t="s">
        <v>89</v>
      </c>
      <c r="P95">
        <v>33303668</v>
      </c>
      <c r="Q95" t="s">
        <v>120</v>
      </c>
      <c r="AB95" t="str">
        <f>IFERROR(VLOOKUP($A95,fund_metadata!$A:$P,2,FALSE),"")</f>
        <v>AMG Pantheon</v>
      </c>
      <c r="AC95" t="str">
        <f>IFERROR(VLOOKUP($A95,fund_metadata!$A:$P,16,FALSE),"")</f>
        <v>secondaries</v>
      </c>
    </row>
    <row r="96" spans="1:29" x14ac:dyDescent="0.25">
      <c r="A96">
        <v>8</v>
      </c>
      <c r="B96" s="3">
        <v>45535</v>
      </c>
      <c r="E96" s="4"/>
      <c r="G96" s="5">
        <v>25.75</v>
      </c>
      <c r="H96" t="s">
        <v>89</v>
      </c>
      <c r="I96" s="5"/>
      <c r="K96" s="2">
        <v>3.0999999999999999E-3</v>
      </c>
      <c r="L96" t="s">
        <v>89</v>
      </c>
      <c r="N96" s="4"/>
      <c r="AB96" t="str">
        <f>IFERROR(VLOOKUP($A96,fund_metadata!$A:$P,2,FALSE),"")</f>
        <v>AMG Pantheon</v>
      </c>
      <c r="AC96" t="str">
        <f>IFERROR(VLOOKUP($A96,fund_metadata!$A:$P,16,FALSE),"")</f>
        <v>secondaries</v>
      </c>
    </row>
    <row r="97" spans="1:29" x14ac:dyDescent="0.25">
      <c r="A97">
        <v>8</v>
      </c>
      <c r="B97" s="3">
        <v>45504</v>
      </c>
      <c r="E97" s="4"/>
      <c r="G97" s="5">
        <v>25.67</v>
      </c>
      <c r="H97" t="s">
        <v>89</v>
      </c>
      <c r="I97" s="5"/>
      <c r="K97" s="2">
        <v>3.09E-2</v>
      </c>
      <c r="L97" t="s">
        <v>89</v>
      </c>
      <c r="N97" s="4"/>
      <c r="AB97" t="str">
        <f>IFERROR(VLOOKUP($A97,fund_metadata!$A:$P,2,FALSE),"")</f>
        <v>AMG Pantheon</v>
      </c>
      <c r="AC97" t="str">
        <f>IFERROR(VLOOKUP($A97,fund_metadata!$A:$P,16,FALSE),"")</f>
        <v>secondaries</v>
      </c>
    </row>
    <row r="98" spans="1:29" x14ac:dyDescent="0.25">
      <c r="A98">
        <v>8</v>
      </c>
      <c r="B98" s="3">
        <v>45473</v>
      </c>
      <c r="E98" s="4"/>
      <c r="G98" s="5">
        <v>24.9</v>
      </c>
      <c r="H98" t="s">
        <v>89</v>
      </c>
      <c r="I98" s="5"/>
      <c r="K98" s="2">
        <v>1.72E-2</v>
      </c>
      <c r="L98" t="s">
        <v>89</v>
      </c>
      <c r="M98">
        <v>1</v>
      </c>
      <c r="N98" s="4"/>
      <c r="AB98" t="str">
        <f>IFERROR(VLOOKUP($A98,fund_metadata!$A:$P,2,FALSE),"")</f>
        <v>AMG Pantheon</v>
      </c>
      <c r="AC98" t="str">
        <f>IFERROR(VLOOKUP($A98,fund_metadata!$A:$P,16,FALSE),"")</f>
        <v>secondaries</v>
      </c>
    </row>
    <row r="99" spans="1:29" x14ac:dyDescent="0.25">
      <c r="A99">
        <v>8</v>
      </c>
      <c r="B99" s="3">
        <v>45443</v>
      </c>
      <c r="E99" s="4"/>
      <c r="G99" s="5">
        <v>24.48</v>
      </c>
      <c r="H99" t="s">
        <v>89</v>
      </c>
      <c r="I99" s="5"/>
      <c r="K99" s="2">
        <v>2.2100000000000002E-2</v>
      </c>
      <c r="L99" t="s">
        <v>89</v>
      </c>
      <c r="N99" s="4"/>
      <c r="AB99" t="str">
        <f>IFERROR(VLOOKUP($A99,fund_metadata!$A:$P,2,FALSE),"")</f>
        <v>AMG Pantheon</v>
      </c>
      <c r="AC99" t="str">
        <f>IFERROR(VLOOKUP($A99,fund_metadata!$A:$P,16,FALSE),"")</f>
        <v>secondaries</v>
      </c>
    </row>
    <row r="100" spans="1:29" x14ac:dyDescent="0.25">
      <c r="A100">
        <v>8</v>
      </c>
      <c r="B100" s="3">
        <v>45412</v>
      </c>
      <c r="E100" s="4"/>
      <c r="G100" s="5">
        <v>23.95</v>
      </c>
      <c r="H100" t="s">
        <v>89</v>
      </c>
      <c r="I100" s="5"/>
      <c r="K100" s="2">
        <v>-6.6E-3</v>
      </c>
      <c r="L100" t="s">
        <v>89</v>
      </c>
      <c r="N100" s="4"/>
      <c r="AB100" t="str">
        <f>IFERROR(VLOOKUP($A100,fund_metadata!$A:$P,2,FALSE),"")</f>
        <v>AMG Pantheon</v>
      </c>
      <c r="AC100" t="str">
        <f>IFERROR(VLOOKUP($A100,fund_metadata!$A:$P,16,FALSE),"")</f>
        <v>secondaries</v>
      </c>
    </row>
    <row r="101" spans="1:29" x14ac:dyDescent="0.25">
      <c r="A101">
        <v>8</v>
      </c>
      <c r="B101" s="3">
        <v>45382</v>
      </c>
      <c r="E101" s="4">
        <v>3050000000</v>
      </c>
      <c r="F101" t="s">
        <v>89</v>
      </c>
      <c r="G101" s="5">
        <v>24.11</v>
      </c>
      <c r="H101" t="s">
        <v>89</v>
      </c>
      <c r="I101" s="5"/>
      <c r="K101" s="2">
        <v>-8.0000000000000004E-4</v>
      </c>
      <c r="L101" t="s">
        <v>89</v>
      </c>
      <c r="M101">
        <v>1</v>
      </c>
      <c r="N101" s="4">
        <v>3280000000</v>
      </c>
      <c r="O101" t="s">
        <v>89</v>
      </c>
      <c r="P101">
        <v>27632376</v>
      </c>
      <c r="Q101" t="s">
        <v>121</v>
      </c>
      <c r="AB101" t="str">
        <f>IFERROR(VLOOKUP($A101,fund_metadata!$A:$P,2,FALSE),"")</f>
        <v>AMG Pantheon</v>
      </c>
      <c r="AC101" t="str">
        <f>IFERROR(VLOOKUP($A101,fund_metadata!$A:$P,16,FALSE),"")</f>
        <v>secondaries</v>
      </c>
    </row>
    <row r="102" spans="1:29" x14ac:dyDescent="0.25">
      <c r="A102">
        <v>8</v>
      </c>
      <c r="B102" s="3">
        <v>45351</v>
      </c>
      <c r="E102" s="4"/>
      <c r="G102" s="5">
        <v>24.13</v>
      </c>
      <c r="H102" t="s">
        <v>89</v>
      </c>
      <c r="I102" s="5"/>
      <c r="K102" s="2">
        <v>1.5599999999999999E-2</v>
      </c>
      <c r="L102" t="s">
        <v>89</v>
      </c>
      <c r="N102" s="4"/>
      <c r="AB102" t="str">
        <f>IFERROR(VLOOKUP($A102,fund_metadata!$A:$P,2,FALSE),"")</f>
        <v>AMG Pantheon</v>
      </c>
      <c r="AC102" t="str">
        <f>IFERROR(VLOOKUP($A102,fund_metadata!$A:$P,16,FALSE),"")</f>
        <v>secondaries</v>
      </c>
    </row>
    <row r="103" spans="1:29" x14ac:dyDescent="0.25">
      <c r="A103">
        <v>8</v>
      </c>
      <c r="B103" s="3">
        <v>45322</v>
      </c>
      <c r="E103" s="4"/>
      <c r="G103" s="5">
        <v>23.76</v>
      </c>
      <c r="H103" t="s">
        <v>89</v>
      </c>
      <c r="I103" s="5"/>
      <c r="K103" s="2">
        <v>-2.5000000000000001E-3</v>
      </c>
      <c r="L103" t="s">
        <v>89</v>
      </c>
      <c r="N103" s="4"/>
      <c r="AB103" t="str">
        <f>IFERROR(VLOOKUP($A103,fund_metadata!$A:$P,2,FALSE),"")</f>
        <v>AMG Pantheon</v>
      </c>
      <c r="AC103" t="str">
        <f>IFERROR(VLOOKUP($A103,fund_metadata!$A:$P,16,FALSE),"")</f>
        <v>secondaries</v>
      </c>
    </row>
    <row r="104" spans="1:29" x14ac:dyDescent="0.25">
      <c r="A104">
        <v>8</v>
      </c>
      <c r="B104" s="3">
        <v>45291</v>
      </c>
      <c r="E104" s="4"/>
      <c r="G104" s="5">
        <v>23.82</v>
      </c>
      <c r="H104" t="s">
        <v>89</v>
      </c>
      <c r="I104" s="5"/>
      <c r="K104" s="2">
        <v>1.6799999999999999E-2</v>
      </c>
      <c r="L104" t="s">
        <v>89</v>
      </c>
      <c r="M104">
        <v>1</v>
      </c>
      <c r="N104" s="4"/>
      <c r="AB104" t="str">
        <f>IFERROR(VLOOKUP($A104,fund_metadata!$A:$P,2,FALSE),"")</f>
        <v>AMG Pantheon</v>
      </c>
      <c r="AC104" t="str">
        <f>IFERROR(VLOOKUP($A104,fund_metadata!$A:$P,16,FALSE),"")</f>
        <v>secondaries</v>
      </c>
    </row>
    <row r="105" spans="1:29" x14ac:dyDescent="0.25">
      <c r="A105">
        <v>8</v>
      </c>
      <c r="B105" s="3">
        <v>45260</v>
      </c>
      <c r="E105" s="4"/>
      <c r="G105" s="5">
        <v>23.59</v>
      </c>
      <c r="H105" t="s">
        <v>89</v>
      </c>
      <c r="I105" s="5"/>
      <c r="K105" s="2">
        <v>3.3300000000000003E-2</v>
      </c>
      <c r="L105" t="s">
        <v>89</v>
      </c>
      <c r="N105" s="4"/>
      <c r="AB105" t="str">
        <f>IFERROR(VLOOKUP($A105,fund_metadata!$A:$P,2,FALSE),"")</f>
        <v>AMG Pantheon</v>
      </c>
      <c r="AC105" t="str">
        <f>IFERROR(VLOOKUP($A105,fund_metadata!$A:$P,16,FALSE),"")</f>
        <v>secondaries</v>
      </c>
    </row>
    <row r="106" spans="1:29" x14ac:dyDescent="0.25">
      <c r="A106">
        <v>8</v>
      </c>
      <c r="B106" s="3">
        <v>45230</v>
      </c>
      <c r="E106" s="4"/>
      <c r="G106" s="5">
        <v>22.83</v>
      </c>
      <c r="H106" t="s">
        <v>89</v>
      </c>
      <c r="I106" s="5"/>
      <c r="K106" s="2">
        <v>-1.2500000000000001E-2</v>
      </c>
      <c r="L106" t="s">
        <v>89</v>
      </c>
      <c r="N106" s="4"/>
      <c r="AB106" t="str">
        <f>IFERROR(VLOOKUP($A106,fund_metadata!$A:$P,2,FALSE),"")</f>
        <v>AMG Pantheon</v>
      </c>
      <c r="AC106" t="str">
        <f>IFERROR(VLOOKUP($A106,fund_metadata!$A:$P,16,FALSE),"")</f>
        <v>secondaries</v>
      </c>
    </row>
    <row r="107" spans="1:29" x14ac:dyDescent="0.25">
      <c r="A107">
        <v>8</v>
      </c>
      <c r="B107" s="3">
        <v>45199</v>
      </c>
      <c r="E107" s="4">
        <v>2280000000</v>
      </c>
      <c r="F107" t="s">
        <v>89</v>
      </c>
      <c r="G107" s="5">
        <v>23.12</v>
      </c>
      <c r="H107" t="s">
        <v>89</v>
      </c>
      <c r="I107" s="5"/>
      <c r="K107" s="2">
        <v>8.3000000000000001E-3</v>
      </c>
      <c r="L107" t="s">
        <v>89</v>
      </c>
      <c r="M107">
        <v>1</v>
      </c>
      <c r="N107" s="4">
        <v>2420000000</v>
      </c>
      <c r="O107" t="s">
        <v>89</v>
      </c>
      <c r="P107">
        <v>23441677</v>
      </c>
      <c r="Q107" t="s">
        <v>120</v>
      </c>
      <c r="AB107" t="str">
        <f>IFERROR(VLOOKUP($A107,fund_metadata!$A:$P,2,FALSE),"")</f>
        <v>AMG Pantheon</v>
      </c>
      <c r="AC107" t="str">
        <f>IFERROR(VLOOKUP($A107,fund_metadata!$A:$P,16,FALSE),"")</f>
        <v>secondaries</v>
      </c>
    </row>
    <row r="108" spans="1:29" x14ac:dyDescent="0.25">
      <c r="A108">
        <v>8</v>
      </c>
      <c r="B108" s="3">
        <v>45169</v>
      </c>
      <c r="E108" s="4"/>
      <c r="G108" s="5">
        <v>22.93</v>
      </c>
      <c r="H108" t="s">
        <v>89</v>
      </c>
      <c r="I108" s="5"/>
      <c r="K108" s="2">
        <v>6.1000000000000004E-3</v>
      </c>
      <c r="L108" t="s">
        <v>89</v>
      </c>
      <c r="N108" s="4"/>
      <c r="AB108" t="str">
        <f>IFERROR(VLOOKUP($A108,fund_metadata!$A:$P,2,FALSE),"")</f>
        <v>AMG Pantheon</v>
      </c>
      <c r="AC108" t="str">
        <f>IFERROR(VLOOKUP($A108,fund_metadata!$A:$P,16,FALSE),"")</f>
        <v>secondaries</v>
      </c>
    </row>
    <row r="109" spans="1:29" x14ac:dyDescent="0.25">
      <c r="A109">
        <v>8</v>
      </c>
      <c r="B109" s="3">
        <v>45138</v>
      </c>
      <c r="E109" s="4"/>
      <c r="G109" s="5">
        <v>22.79</v>
      </c>
      <c r="H109" t="s">
        <v>89</v>
      </c>
      <c r="I109" s="5"/>
      <c r="K109" s="2">
        <v>1.38E-2</v>
      </c>
      <c r="L109" t="s">
        <v>89</v>
      </c>
      <c r="N109" s="4"/>
      <c r="AB109" t="str">
        <f>IFERROR(VLOOKUP($A109,fund_metadata!$A:$P,2,FALSE),"")</f>
        <v>AMG Pantheon</v>
      </c>
      <c r="AC109" t="str">
        <f>IFERROR(VLOOKUP($A109,fund_metadata!$A:$P,16,FALSE),"")</f>
        <v>secondaries</v>
      </c>
    </row>
    <row r="110" spans="1:29" x14ac:dyDescent="0.25">
      <c r="A110">
        <v>8</v>
      </c>
      <c r="B110" s="3">
        <v>45107</v>
      </c>
      <c r="E110" s="4"/>
      <c r="G110" s="5">
        <v>22.48</v>
      </c>
      <c r="H110" t="s">
        <v>89</v>
      </c>
      <c r="I110" s="5"/>
      <c r="K110" s="2">
        <v>1.0800000000000001E-2</v>
      </c>
      <c r="L110" t="s">
        <v>89</v>
      </c>
      <c r="M110">
        <v>1</v>
      </c>
      <c r="N110" s="4"/>
      <c r="AB110" t="str">
        <f>IFERROR(VLOOKUP($A110,fund_metadata!$A:$P,2,FALSE),"")</f>
        <v>AMG Pantheon</v>
      </c>
      <c r="AC110" t="str">
        <f>IFERROR(VLOOKUP($A110,fund_metadata!$A:$P,16,FALSE),"")</f>
        <v>secondaries</v>
      </c>
    </row>
    <row r="111" spans="1:29" x14ac:dyDescent="0.25">
      <c r="A111">
        <v>8</v>
      </c>
      <c r="B111" s="3">
        <v>45077</v>
      </c>
      <c r="E111" s="4"/>
      <c r="G111" s="5">
        <v>22.24</v>
      </c>
      <c r="H111" t="s">
        <v>89</v>
      </c>
      <c r="I111" s="5"/>
      <c r="K111" s="2">
        <v>2.9600000000000001E-2</v>
      </c>
      <c r="L111" t="s">
        <v>89</v>
      </c>
      <c r="N111" s="4"/>
      <c r="AB111" t="str">
        <f>IFERROR(VLOOKUP($A111,fund_metadata!$A:$P,2,FALSE),"")</f>
        <v>AMG Pantheon</v>
      </c>
      <c r="AC111" t="str">
        <f>IFERROR(VLOOKUP($A111,fund_metadata!$A:$P,16,FALSE),"")</f>
        <v>secondaries</v>
      </c>
    </row>
    <row r="112" spans="1:29" x14ac:dyDescent="0.25">
      <c r="A112">
        <v>8</v>
      </c>
      <c r="B112" s="3">
        <v>45046</v>
      </c>
      <c r="E112" s="4"/>
      <c r="G112" s="5">
        <v>21.6</v>
      </c>
      <c r="H112" t="s">
        <v>89</v>
      </c>
      <c r="I112" s="5"/>
      <c r="K112" s="2">
        <v>-5.4999999999999997E-3</v>
      </c>
      <c r="L112" t="s">
        <v>89</v>
      </c>
      <c r="N112" s="4"/>
      <c r="AB112" t="str">
        <f>IFERROR(VLOOKUP($A112,fund_metadata!$A:$P,2,FALSE),"")</f>
        <v>AMG Pantheon</v>
      </c>
      <c r="AC112" t="str">
        <f>IFERROR(VLOOKUP($A112,fund_metadata!$A:$P,16,FALSE),"")</f>
        <v>secondaries</v>
      </c>
    </row>
    <row r="113" spans="1:29" x14ac:dyDescent="0.25">
      <c r="A113">
        <v>8</v>
      </c>
      <c r="B113" s="3">
        <v>45016</v>
      </c>
      <c r="E113" s="4">
        <v>1710000000</v>
      </c>
      <c r="F113" t="s">
        <v>89</v>
      </c>
      <c r="G113" s="5">
        <v>21.72</v>
      </c>
      <c r="H113" t="s">
        <v>89</v>
      </c>
      <c r="I113" s="5"/>
      <c r="K113" s="2">
        <v>2.4500000000000001E-2</v>
      </c>
      <c r="L113" t="s">
        <v>89</v>
      </c>
      <c r="M113">
        <v>1</v>
      </c>
      <c r="N113" s="4">
        <v>1820000000</v>
      </c>
      <c r="O113" t="s">
        <v>89</v>
      </c>
      <c r="P113">
        <v>20017479</v>
      </c>
      <c r="Q113" t="s">
        <v>121</v>
      </c>
      <c r="AB113" t="str">
        <f>IFERROR(VLOOKUP($A113,fund_metadata!$A:$P,2,FALSE),"")</f>
        <v>AMG Pantheon</v>
      </c>
      <c r="AC113" t="str">
        <f>IFERROR(VLOOKUP($A113,fund_metadata!$A:$P,16,FALSE),"")</f>
        <v>secondaries</v>
      </c>
    </row>
    <row r="114" spans="1:29" x14ac:dyDescent="0.25">
      <c r="A114">
        <v>8</v>
      </c>
      <c r="B114" s="3">
        <v>44985</v>
      </c>
      <c r="E114" s="4"/>
      <c r="G114" s="5">
        <v>21.2</v>
      </c>
      <c r="H114" t="s">
        <v>89</v>
      </c>
      <c r="I114" s="5"/>
      <c r="K114" s="2">
        <v>-1.0699999999999999E-2</v>
      </c>
      <c r="L114" t="s">
        <v>89</v>
      </c>
      <c r="N114" s="4"/>
      <c r="AB114" t="str">
        <f>IFERROR(VLOOKUP($A114,fund_metadata!$A:$P,2,FALSE),"")</f>
        <v>AMG Pantheon</v>
      </c>
      <c r="AC114" t="str">
        <f>IFERROR(VLOOKUP($A114,fund_metadata!$A:$P,16,FALSE),"")</f>
        <v>secondaries</v>
      </c>
    </row>
    <row r="115" spans="1:29" x14ac:dyDescent="0.25">
      <c r="A115">
        <v>8</v>
      </c>
      <c r="B115" s="3">
        <v>44957</v>
      </c>
      <c r="E115" s="4"/>
      <c r="G115" s="5">
        <v>21.43</v>
      </c>
      <c r="H115" t="s">
        <v>89</v>
      </c>
      <c r="I115" s="5"/>
      <c r="K115" s="2">
        <v>2.4899999999999999E-2</v>
      </c>
      <c r="L115" t="s">
        <v>89</v>
      </c>
      <c r="N115" s="4"/>
      <c r="AB115" t="str">
        <f>IFERROR(VLOOKUP($A115,fund_metadata!$A:$P,2,FALSE),"")</f>
        <v>AMG Pantheon</v>
      </c>
      <c r="AC115" t="str">
        <f>IFERROR(VLOOKUP($A115,fund_metadata!$A:$P,16,FALSE),"")</f>
        <v>secondaries</v>
      </c>
    </row>
    <row r="116" spans="1:29" x14ac:dyDescent="0.25">
      <c r="A116">
        <v>8</v>
      </c>
      <c r="B116" s="3">
        <v>44926</v>
      </c>
      <c r="E116" s="4"/>
      <c r="G116" s="5">
        <v>20.91</v>
      </c>
      <c r="H116" t="s">
        <v>89</v>
      </c>
      <c r="I116" s="5"/>
      <c r="K116" s="2">
        <v>8.3000000000000001E-3</v>
      </c>
      <c r="L116" t="s">
        <v>89</v>
      </c>
      <c r="M116">
        <v>1</v>
      </c>
      <c r="N116" s="4"/>
      <c r="AB116" t="str">
        <f>IFERROR(VLOOKUP($A116,fund_metadata!$A:$P,2,FALSE),"")</f>
        <v>AMG Pantheon</v>
      </c>
      <c r="AC116" t="str">
        <f>IFERROR(VLOOKUP($A116,fund_metadata!$A:$P,16,FALSE),"")</f>
        <v>secondaries</v>
      </c>
    </row>
    <row r="117" spans="1:29" x14ac:dyDescent="0.25">
      <c r="A117">
        <v>8</v>
      </c>
      <c r="B117" s="3">
        <v>44895</v>
      </c>
      <c r="E117" s="4"/>
      <c r="G117" s="5">
        <v>21.14</v>
      </c>
      <c r="H117" t="s">
        <v>89</v>
      </c>
      <c r="I117" s="5"/>
      <c r="K117" s="2">
        <v>2.4199999999999999E-2</v>
      </c>
      <c r="L117" t="s">
        <v>89</v>
      </c>
      <c r="N117" s="4"/>
      <c r="AB117" t="str">
        <f>IFERROR(VLOOKUP($A117,fund_metadata!$A:$P,2,FALSE),"")</f>
        <v>AMG Pantheon</v>
      </c>
      <c r="AC117" t="str">
        <f>IFERROR(VLOOKUP($A117,fund_metadata!$A:$P,16,FALSE),"")</f>
        <v>secondaries</v>
      </c>
    </row>
    <row r="118" spans="1:29" x14ac:dyDescent="0.25">
      <c r="A118">
        <v>8</v>
      </c>
      <c r="B118" s="3">
        <v>44865</v>
      </c>
      <c r="E118" s="4"/>
      <c r="G118" s="5">
        <v>20.64</v>
      </c>
      <c r="H118" t="s">
        <v>89</v>
      </c>
      <c r="I118" s="5"/>
      <c r="K118" s="2">
        <v>-7.1999999999999998E-3</v>
      </c>
      <c r="L118" t="s">
        <v>89</v>
      </c>
      <c r="N118" s="4"/>
      <c r="AB118" t="str">
        <f>IFERROR(VLOOKUP($A118,fund_metadata!$A:$P,2,FALSE),"")</f>
        <v>AMG Pantheon</v>
      </c>
      <c r="AC118" t="str">
        <f>IFERROR(VLOOKUP($A118,fund_metadata!$A:$P,16,FALSE),"")</f>
        <v>secondaries</v>
      </c>
    </row>
    <row r="119" spans="1:29" x14ac:dyDescent="0.25">
      <c r="A119">
        <v>8</v>
      </c>
      <c r="B119" s="3">
        <v>44834</v>
      </c>
      <c r="E119" s="4">
        <v>1200000000</v>
      </c>
      <c r="F119" t="s">
        <v>89</v>
      </c>
      <c r="G119" s="5">
        <v>20.79</v>
      </c>
      <c r="H119" t="s">
        <v>89</v>
      </c>
      <c r="I119" s="5"/>
      <c r="K119" s="2">
        <v>-7.6E-3</v>
      </c>
      <c r="L119" t="s">
        <v>89</v>
      </c>
      <c r="M119">
        <v>1</v>
      </c>
      <c r="N119" s="4">
        <v>1240000000</v>
      </c>
      <c r="O119" t="s">
        <v>89</v>
      </c>
      <c r="P119">
        <v>18376168</v>
      </c>
      <c r="Q119" t="s">
        <v>120</v>
      </c>
      <c r="AB119" t="str">
        <f>IFERROR(VLOOKUP($A119,fund_metadata!$A:$P,2,FALSE),"")</f>
        <v>AMG Pantheon</v>
      </c>
      <c r="AC119" t="str">
        <f>IFERROR(VLOOKUP($A119,fund_metadata!$A:$P,16,FALSE),"")</f>
        <v>secondaries</v>
      </c>
    </row>
    <row r="120" spans="1:29" x14ac:dyDescent="0.25">
      <c r="A120">
        <v>8</v>
      </c>
      <c r="B120" s="3">
        <v>44804</v>
      </c>
      <c r="E120" s="4"/>
      <c r="G120" s="5">
        <v>20.95</v>
      </c>
      <c r="H120" t="s">
        <v>89</v>
      </c>
      <c r="I120" s="5"/>
      <c r="K120" s="2">
        <v>1.3100000000000001E-2</v>
      </c>
      <c r="L120" t="s">
        <v>89</v>
      </c>
      <c r="N120" s="4"/>
      <c r="AB120" t="str">
        <f>IFERROR(VLOOKUP($A120,fund_metadata!$A:$P,2,FALSE),"")</f>
        <v>AMG Pantheon</v>
      </c>
      <c r="AC120" t="str">
        <f>IFERROR(VLOOKUP($A120,fund_metadata!$A:$P,16,FALSE),"")</f>
        <v>secondaries</v>
      </c>
    </row>
    <row r="121" spans="1:29" x14ac:dyDescent="0.25">
      <c r="A121">
        <v>8</v>
      </c>
      <c r="B121" s="3">
        <v>44773</v>
      </c>
      <c r="E121" s="4"/>
      <c r="G121" s="5">
        <v>20.68</v>
      </c>
      <c r="H121" t="s">
        <v>89</v>
      </c>
      <c r="I121" s="5"/>
      <c r="K121" s="2">
        <v>8.3000000000000001E-3</v>
      </c>
      <c r="L121" t="s">
        <v>89</v>
      </c>
      <c r="N121" s="4"/>
      <c r="AB121" t="str">
        <f>IFERROR(VLOOKUP($A121,fund_metadata!$A:$P,2,FALSE),"")</f>
        <v>AMG Pantheon</v>
      </c>
      <c r="AC121" t="str">
        <f>IFERROR(VLOOKUP($A121,fund_metadata!$A:$P,16,FALSE),"")</f>
        <v>secondaries</v>
      </c>
    </row>
    <row r="122" spans="1:29" x14ac:dyDescent="0.25">
      <c r="A122">
        <v>8</v>
      </c>
      <c r="B122" s="3">
        <v>44742</v>
      </c>
      <c r="E122" s="4"/>
      <c r="G122" s="5">
        <v>20.51</v>
      </c>
      <c r="H122" t="s">
        <v>89</v>
      </c>
      <c r="I122" s="5"/>
      <c r="K122" s="2">
        <v>-1.54E-2</v>
      </c>
      <c r="L122" t="s">
        <v>89</v>
      </c>
      <c r="M122">
        <v>1</v>
      </c>
      <c r="N122" s="4"/>
      <c r="AB122" t="str">
        <f>IFERROR(VLOOKUP($A122,fund_metadata!$A:$P,2,FALSE),"")</f>
        <v>AMG Pantheon</v>
      </c>
      <c r="AC122" t="str">
        <f>IFERROR(VLOOKUP($A122,fund_metadata!$A:$P,16,FALSE),"")</f>
        <v>secondaries</v>
      </c>
    </row>
    <row r="123" spans="1:29" x14ac:dyDescent="0.25">
      <c r="A123">
        <v>8</v>
      </c>
      <c r="B123" s="3">
        <v>44712</v>
      </c>
      <c r="E123" s="4"/>
      <c r="G123" s="5">
        <v>20.83</v>
      </c>
      <c r="H123" t="s">
        <v>89</v>
      </c>
      <c r="I123" s="5"/>
      <c r="K123" s="2">
        <v>1.46E-2</v>
      </c>
      <c r="L123" t="s">
        <v>89</v>
      </c>
      <c r="N123" s="4"/>
      <c r="AB123" t="str">
        <f>IFERROR(VLOOKUP($A123,fund_metadata!$A:$P,2,FALSE),"")</f>
        <v>AMG Pantheon</v>
      </c>
      <c r="AC123" t="str">
        <f>IFERROR(VLOOKUP($A123,fund_metadata!$A:$P,16,FALSE),"")</f>
        <v>secondaries</v>
      </c>
    </row>
    <row r="124" spans="1:29" x14ac:dyDescent="0.25">
      <c r="A124">
        <v>8</v>
      </c>
      <c r="B124" s="3">
        <v>44681</v>
      </c>
      <c r="E124" s="4"/>
      <c r="G124" s="5">
        <v>20.53</v>
      </c>
      <c r="H124" t="s">
        <v>89</v>
      </c>
      <c r="I124" s="5"/>
      <c r="K124" s="2">
        <v>3.3999999999999998E-3</v>
      </c>
      <c r="L124" t="s">
        <v>89</v>
      </c>
      <c r="N124" s="4"/>
      <c r="AB124" t="str">
        <f>IFERROR(VLOOKUP($A124,fund_metadata!$A:$P,2,FALSE),"")</f>
        <v>AMG Pantheon</v>
      </c>
      <c r="AC124" t="str">
        <f>IFERROR(VLOOKUP($A124,fund_metadata!$A:$P,16,FALSE),"")</f>
        <v>secondaries</v>
      </c>
    </row>
    <row r="125" spans="1:29" x14ac:dyDescent="0.25">
      <c r="A125">
        <v>8</v>
      </c>
      <c r="B125" s="3">
        <v>44651</v>
      </c>
      <c r="E125" s="4">
        <v>910710000</v>
      </c>
      <c r="F125" t="s">
        <v>89</v>
      </c>
      <c r="G125" s="5">
        <v>20.46</v>
      </c>
      <c r="H125" t="s">
        <v>89</v>
      </c>
      <c r="I125" s="5"/>
      <c r="K125" s="2">
        <v>2.9700000000000001E-2</v>
      </c>
      <c r="L125" t="s">
        <v>89</v>
      </c>
      <c r="M125">
        <v>1</v>
      </c>
      <c r="N125" s="4">
        <v>981250000</v>
      </c>
      <c r="O125" t="s">
        <v>89</v>
      </c>
      <c r="P125">
        <v>16220264</v>
      </c>
      <c r="Q125" t="s">
        <v>121</v>
      </c>
      <c r="AB125" t="str">
        <f>IFERROR(VLOOKUP($A125,fund_metadata!$A:$P,2,FALSE),"")</f>
        <v>AMG Pantheon</v>
      </c>
      <c r="AC125" t="str">
        <f>IFERROR(VLOOKUP($A125,fund_metadata!$A:$P,16,FALSE),"")</f>
        <v>secondaries</v>
      </c>
    </row>
    <row r="126" spans="1:29" x14ac:dyDescent="0.25">
      <c r="A126">
        <v>8</v>
      </c>
      <c r="B126" s="3">
        <v>44620</v>
      </c>
      <c r="E126" s="4"/>
      <c r="G126" s="5">
        <v>19.87</v>
      </c>
      <c r="H126" t="s">
        <v>89</v>
      </c>
      <c r="I126" s="5"/>
      <c r="K126" s="2">
        <v>1.0200000000000001E-2</v>
      </c>
      <c r="L126" t="s">
        <v>89</v>
      </c>
      <c r="N126" s="4"/>
      <c r="AB126" t="str">
        <f>IFERROR(VLOOKUP($A126,fund_metadata!$A:$P,2,FALSE),"")</f>
        <v>AMG Pantheon</v>
      </c>
      <c r="AC126" t="str">
        <f>IFERROR(VLOOKUP($A126,fund_metadata!$A:$P,16,FALSE),"")</f>
        <v>secondaries</v>
      </c>
    </row>
    <row r="127" spans="1:29" x14ac:dyDescent="0.25">
      <c r="A127">
        <v>8</v>
      </c>
      <c r="B127" s="3">
        <v>44592</v>
      </c>
      <c r="E127" s="4"/>
      <c r="G127" s="5">
        <v>19.670000000000002</v>
      </c>
      <c r="H127" t="s">
        <v>89</v>
      </c>
      <c r="I127" s="5"/>
      <c r="K127" s="2">
        <v>0</v>
      </c>
      <c r="L127" t="s">
        <v>89</v>
      </c>
      <c r="N127" s="4"/>
      <c r="AB127" t="str">
        <f>IFERROR(VLOOKUP($A127,fund_metadata!$A:$P,2,FALSE),"")</f>
        <v>AMG Pantheon</v>
      </c>
      <c r="AC127" t="str">
        <f>IFERROR(VLOOKUP($A127,fund_metadata!$A:$P,16,FALSE),"")</f>
        <v>secondaries</v>
      </c>
    </row>
    <row r="128" spans="1:29" x14ac:dyDescent="0.25">
      <c r="A128">
        <v>8</v>
      </c>
      <c r="B128" s="3">
        <v>44561</v>
      </c>
      <c r="E128" s="4"/>
      <c r="G128" s="5">
        <v>19.670000000000002</v>
      </c>
      <c r="H128" t="s">
        <v>89</v>
      </c>
      <c r="I128" s="5"/>
      <c r="K128" s="2">
        <v>1E-3</v>
      </c>
      <c r="L128" t="s">
        <v>89</v>
      </c>
      <c r="M128">
        <v>1</v>
      </c>
      <c r="N128" s="4"/>
      <c r="AB128" t="str">
        <f>IFERROR(VLOOKUP($A128,fund_metadata!$A:$P,2,FALSE),"")</f>
        <v>AMG Pantheon</v>
      </c>
      <c r="AC128" t="str">
        <f>IFERROR(VLOOKUP($A128,fund_metadata!$A:$P,16,FALSE),"")</f>
        <v>secondaries</v>
      </c>
    </row>
    <row r="129" spans="1:29" x14ac:dyDescent="0.25">
      <c r="A129">
        <v>8</v>
      </c>
      <c r="B129" s="3">
        <v>44530</v>
      </c>
      <c r="E129" s="4"/>
      <c r="G129" s="5">
        <v>20.37</v>
      </c>
      <c r="H129" t="s">
        <v>89</v>
      </c>
      <c r="I129" s="5"/>
      <c r="K129" s="2">
        <v>1.6500000000000001E-2</v>
      </c>
      <c r="L129" t="s">
        <v>89</v>
      </c>
      <c r="N129" s="4"/>
      <c r="AB129" t="str">
        <f>IFERROR(VLOOKUP($A129,fund_metadata!$A:$P,2,FALSE),"")</f>
        <v>AMG Pantheon</v>
      </c>
      <c r="AC129" t="str">
        <f>IFERROR(VLOOKUP($A129,fund_metadata!$A:$P,16,FALSE),"")</f>
        <v>secondaries</v>
      </c>
    </row>
    <row r="130" spans="1:29" x14ac:dyDescent="0.25">
      <c r="A130">
        <v>8</v>
      </c>
      <c r="B130" s="3">
        <v>44500</v>
      </c>
      <c r="E130" s="4"/>
      <c r="G130" s="5">
        <v>20.04</v>
      </c>
      <c r="H130" t="s">
        <v>89</v>
      </c>
      <c r="I130" s="5"/>
      <c r="K130" s="2">
        <v>2.4E-2</v>
      </c>
      <c r="L130" t="s">
        <v>89</v>
      </c>
      <c r="N130" s="4"/>
      <c r="AB130" t="str">
        <f>IFERROR(VLOOKUP($A130,fund_metadata!$A:$P,2,FALSE),"")</f>
        <v>AMG Pantheon</v>
      </c>
      <c r="AC130" t="str">
        <f>IFERROR(VLOOKUP($A130,fund_metadata!$A:$P,16,FALSE),"")</f>
        <v>secondaries</v>
      </c>
    </row>
    <row r="131" spans="1:29" x14ac:dyDescent="0.25">
      <c r="A131">
        <v>8</v>
      </c>
      <c r="B131" s="3">
        <v>44469</v>
      </c>
      <c r="E131" s="4">
        <v>491230000</v>
      </c>
      <c r="F131" t="s">
        <v>89</v>
      </c>
      <c r="G131" s="5">
        <v>19.57</v>
      </c>
      <c r="H131" t="s">
        <v>89</v>
      </c>
      <c r="I131" s="5"/>
      <c r="K131" s="2">
        <v>-7.1000000000000004E-3</v>
      </c>
      <c r="L131" t="s">
        <v>89</v>
      </c>
      <c r="M131">
        <v>1</v>
      </c>
      <c r="N131" s="4">
        <v>528300000</v>
      </c>
      <c r="O131" t="s">
        <v>89</v>
      </c>
      <c r="P131">
        <v>11673031</v>
      </c>
      <c r="Q131" t="s">
        <v>120</v>
      </c>
      <c r="AB131" t="str">
        <f>IFERROR(VLOOKUP($A131,fund_metadata!$A:$P,2,FALSE),"")</f>
        <v>AMG Pantheon</v>
      </c>
      <c r="AC131" t="str">
        <f>IFERROR(VLOOKUP($A131,fund_metadata!$A:$P,16,FALSE),"")</f>
        <v>secondaries</v>
      </c>
    </row>
    <row r="132" spans="1:29" x14ac:dyDescent="0.25">
      <c r="A132">
        <v>8</v>
      </c>
      <c r="B132" s="3">
        <v>44439</v>
      </c>
      <c r="E132" s="4"/>
      <c r="G132" s="5">
        <v>19.71</v>
      </c>
      <c r="H132" t="s">
        <v>89</v>
      </c>
      <c r="I132" s="5"/>
      <c r="K132" s="2">
        <v>3.1899999999999998E-2</v>
      </c>
      <c r="L132" t="s">
        <v>89</v>
      </c>
      <c r="N132" s="4"/>
      <c r="AB132" t="str">
        <f>IFERROR(VLOOKUP($A132,fund_metadata!$A:$P,2,FALSE),"")</f>
        <v>AMG Pantheon</v>
      </c>
      <c r="AC132" t="str">
        <f>IFERROR(VLOOKUP($A132,fund_metadata!$A:$P,16,FALSE),"")</f>
        <v>secondaries</v>
      </c>
    </row>
    <row r="133" spans="1:29" x14ac:dyDescent="0.25">
      <c r="A133">
        <v>8</v>
      </c>
      <c r="B133" s="3">
        <v>44408</v>
      </c>
      <c r="E133" s="4"/>
      <c r="G133" s="5">
        <v>19.100000000000001</v>
      </c>
      <c r="H133" t="s">
        <v>89</v>
      </c>
      <c r="I133" s="5"/>
      <c r="K133" s="2">
        <v>3.0800000000000001E-2</v>
      </c>
      <c r="L133" t="s">
        <v>89</v>
      </c>
      <c r="N133" s="4"/>
      <c r="AB133" t="str">
        <f>IFERROR(VLOOKUP($A133,fund_metadata!$A:$P,2,FALSE),"")</f>
        <v>AMG Pantheon</v>
      </c>
      <c r="AC133" t="str">
        <f>IFERROR(VLOOKUP($A133,fund_metadata!$A:$P,16,FALSE),"")</f>
        <v>secondaries</v>
      </c>
    </row>
    <row r="134" spans="1:29" x14ac:dyDescent="0.25">
      <c r="A134">
        <v>8</v>
      </c>
      <c r="B134" s="3">
        <v>44377</v>
      </c>
      <c r="E134" s="4"/>
      <c r="G134" s="5">
        <v>18.53</v>
      </c>
      <c r="H134" t="s">
        <v>89</v>
      </c>
      <c r="I134" s="5"/>
      <c r="K134" s="2">
        <v>-6.4000000000000003E-3</v>
      </c>
      <c r="L134" t="s">
        <v>89</v>
      </c>
      <c r="M134">
        <v>1</v>
      </c>
      <c r="N134" s="4"/>
      <c r="AB134" t="str">
        <f>IFERROR(VLOOKUP($A134,fund_metadata!$A:$P,2,FALSE),"")</f>
        <v>AMG Pantheon</v>
      </c>
      <c r="AC134" t="str">
        <f>IFERROR(VLOOKUP($A134,fund_metadata!$A:$P,16,FALSE),"")</f>
        <v>secondaries</v>
      </c>
    </row>
    <row r="135" spans="1:29" x14ac:dyDescent="0.25">
      <c r="A135">
        <v>8</v>
      </c>
      <c r="B135" s="3">
        <v>44347</v>
      </c>
      <c r="E135" s="4"/>
      <c r="G135" s="5">
        <v>18.649999999999999</v>
      </c>
      <c r="H135" t="s">
        <v>89</v>
      </c>
      <c r="I135" s="5"/>
      <c r="K135" s="2">
        <v>2.7E-2</v>
      </c>
      <c r="L135" t="s">
        <v>89</v>
      </c>
      <c r="N135" s="4"/>
      <c r="AB135" t="str">
        <f>IFERROR(VLOOKUP($A135,fund_metadata!$A:$P,2,FALSE),"")</f>
        <v>AMG Pantheon</v>
      </c>
      <c r="AC135" t="str">
        <f>IFERROR(VLOOKUP($A135,fund_metadata!$A:$P,16,FALSE),"")</f>
        <v>secondaries</v>
      </c>
    </row>
    <row r="136" spans="1:29" x14ac:dyDescent="0.25">
      <c r="A136">
        <v>8</v>
      </c>
      <c r="B136" s="3">
        <v>44316</v>
      </c>
      <c r="E136" s="4"/>
      <c r="G136" s="5">
        <v>18.16</v>
      </c>
      <c r="H136" t="s">
        <v>89</v>
      </c>
      <c r="I136" s="5"/>
      <c r="K136" s="2">
        <v>3.3599999999999998E-2</v>
      </c>
      <c r="L136" t="s">
        <v>89</v>
      </c>
      <c r="N136" s="4"/>
      <c r="AB136" t="str">
        <f>IFERROR(VLOOKUP($A136,fund_metadata!$A:$P,2,FALSE),"")</f>
        <v>AMG Pantheon</v>
      </c>
      <c r="AC136" t="str">
        <f>IFERROR(VLOOKUP($A136,fund_metadata!$A:$P,16,FALSE),"")</f>
        <v>secondaries</v>
      </c>
    </row>
    <row r="137" spans="1:29" x14ac:dyDescent="0.25">
      <c r="A137">
        <v>8</v>
      </c>
      <c r="B137" s="3">
        <v>44286</v>
      </c>
      <c r="E137" s="4">
        <v>268980000</v>
      </c>
      <c r="F137" t="s">
        <v>89</v>
      </c>
      <c r="G137" s="5">
        <v>17.57</v>
      </c>
      <c r="H137" t="s">
        <v>89</v>
      </c>
      <c r="I137" s="5"/>
      <c r="K137" s="2">
        <v>8.6E-3</v>
      </c>
      <c r="L137" t="s">
        <v>89</v>
      </c>
      <c r="M137">
        <v>1</v>
      </c>
      <c r="N137" s="4">
        <v>306390000</v>
      </c>
      <c r="O137" t="s">
        <v>89</v>
      </c>
      <c r="P137">
        <v>8241191</v>
      </c>
      <c r="Q137" t="s">
        <v>121</v>
      </c>
      <c r="AB137" t="str">
        <f>IFERROR(VLOOKUP($A137,fund_metadata!$A:$P,2,FALSE),"")</f>
        <v>AMG Pantheon</v>
      </c>
      <c r="AC137" t="str">
        <f>IFERROR(VLOOKUP($A137,fund_metadata!$A:$P,16,FALSE),"")</f>
        <v>secondaries</v>
      </c>
    </row>
    <row r="138" spans="1:29" x14ac:dyDescent="0.25">
      <c r="A138">
        <v>8</v>
      </c>
      <c r="B138" s="3">
        <v>44255</v>
      </c>
      <c r="E138" s="4"/>
      <c r="G138" s="5">
        <v>17.420000000000002</v>
      </c>
      <c r="H138" t="s">
        <v>89</v>
      </c>
      <c r="I138" s="5"/>
      <c r="K138" s="2">
        <v>5.0700000000000002E-2</v>
      </c>
      <c r="L138" t="s">
        <v>89</v>
      </c>
      <c r="N138" s="4"/>
      <c r="AB138" t="str">
        <f>IFERROR(VLOOKUP($A138,fund_metadata!$A:$P,2,FALSE),"")</f>
        <v>AMG Pantheon</v>
      </c>
      <c r="AC138" t="str">
        <f>IFERROR(VLOOKUP($A138,fund_metadata!$A:$P,16,FALSE),"")</f>
        <v>secondaries</v>
      </c>
    </row>
    <row r="139" spans="1:29" x14ac:dyDescent="0.25">
      <c r="A139">
        <v>8</v>
      </c>
      <c r="B139" s="3">
        <v>44227</v>
      </c>
      <c r="E139" s="4"/>
      <c r="G139" s="5">
        <v>16.579999999999998</v>
      </c>
      <c r="H139" t="s">
        <v>89</v>
      </c>
      <c r="I139" s="5"/>
      <c r="K139" s="2">
        <v>3.2399999999999998E-2</v>
      </c>
      <c r="L139" t="s">
        <v>89</v>
      </c>
      <c r="N139" s="4"/>
      <c r="AB139" t="str">
        <f>IFERROR(VLOOKUP($A139,fund_metadata!$A:$P,2,FALSE),"")</f>
        <v>AMG Pantheon</v>
      </c>
      <c r="AC139" t="str">
        <f>IFERROR(VLOOKUP($A139,fund_metadata!$A:$P,16,FALSE),"")</f>
        <v>secondaries</v>
      </c>
    </row>
    <row r="140" spans="1:29" x14ac:dyDescent="0.25">
      <c r="A140">
        <v>8</v>
      </c>
      <c r="B140" s="3">
        <v>44196</v>
      </c>
      <c r="E140" s="4"/>
      <c r="G140" s="5">
        <v>16.059999999999999</v>
      </c>
      <c r="H140" t="s">
        <v>89</v>
      </c>
      <c r="I140" s="5"/>
      <c r="K140" s="2">
        <v>2.1700000000000001E-2</v>
      </c>
      <c r="L140" t="s">
        <v>89</v>
      </c>
      <c r="M140">
        <v>1</v>
      </c>
      <c r="N140" s="4"/>
      <c r="AB140" t="str">
        <f>IFERROR(VLOOKUP($A140,fund_metadata!$A:$P,2,FALSE),"")</f>
        <v>AMG Pantheon</v>
      </c>
      <c r="AC140" t="str">
        <f>IFERROR(VLOOKUP($A140,fund_metadata!$A:$P,16,FALSE),"")</f>
        <v>secondaries</v>
      </c>
    </row>
    <row r="141" spans="1:29" x14ac:dyDescent="0.25">
      <c r="A141">
        <v>8</v>
      </c>
      <c r="B141" s="3">
        <v>44165</v>
      </c>
      <c r="E141" s="4"/>
      <c r="G141" s="5">
        <v>15.89</v>
      </c>
      <c r="H141" t="s">
        <v>89</v>
      </c>
      <c r="I141" s="5"/>
      <c r="K141" s="2">
        <v>1.6E-2</v>
      </c>
      <c r="L141" t="s">
        <v>89</v>
      </c>
      <c r="N141" s="4"/>
      <c r="AB141" t="str">
        <f>IFERROR(VLOOKUP($A141,fund_metadata!$A:$P,2,FALSE),"")</f>
        <v>AMG Pantheon</v>
      </c>
      <c r="AC141" t="str">
        <f>IFERROR(VLOOKUP($A141,fund_metadata!$A:$P,16,FALSE),"")</f>
        <v>secondaries</v>
      </c>
    </row>
    <row r="142" spans="1:29" x14ac:dyDescent="0.25">
      <c r="A142">
        <v>8</v>
      </c>
      <c r="B142" s="3">
        <v>44135</v>
      </c>
      <c r="E142" s="4"/>
      <c r="G142" s="5">
        <v>15.64</v>
      </c>
      <c r="H142" t="s">
        <v>89</v>
      </c>
      <c r="I142" s="5"/>
      <c r="K142" s="2">
        <v>4.2000000000000003E-2</v>
      </c>
      <c r="L142" t="s">
        <v>89</v>
      </c>
      <c r="N142" s="4"/>
      <c r="AB142" t="str">
        <f>IFERROR(VLOOKUP($A142,fund_metadata!$A:$P,2,FALSE),"")</f>
        <v>AMG Pantheon</v>
      </c>
      <c r="AC142" t="str">
        <f>IFERROR(VLOOKUP($A142,fund_metadata!$A:$P,16,FALSE),"")</f>
        <v>secondaries</v>
      </c>
    </row>
    <row r="143" spans="1:29" x14ac:dyDescent="0.25">
      <c r="A143">
        <v>8</v>
      </c>
      <c r="B143" s="3">
        <v>44104</v>
      </c>
      <c r="E143" s="4"/>
      <c r="G143" s="5">
        <v>15.01</v>
      </c>
      <c r="H143" t="s">
        <v>89</v>
      </c>
      <c r="I143" s="5"/>
      <c r="K143" s="2">
        <v>-6.0000000000000001E-3</v>
      </c>
      <c r="L143" t="s">
        <v>89</v>
      </c>
      <c r="M143">
        <v>1</v>
      </c>
      <c r="N143" s="4">
        <v>148050000</v>
      </c>
      <c r="O143" t="s">
        <v>89</v>
      </c>
      <c r="P143">
        <v>5811305</v>
      </c>
      <c r="Q143" t="s">
        <v>120</v>
      </c>
      <c r="AB143" t="str">
        <f>IFERROR(VLOOKUP($A143,fund_metadata!$A:$P,2,FALSE),"")</f>
        <v>AMG Pantheon</v>
      </c>
      <c r="AC143" t="str">
        <f>IFERROR(VLOOKUP($A143,fund_metadata!$A:$P,16,FALSE),"")</f>
        <v>secondaries</v>
      </c>
    </row>
    <row r="144" spans="1:29" x14ac:dyDescent="0.25">
      <c r="A144">
        <v>8</v>
      </c>
      <c r="B144" s="3">
        <v>44074</v>
      </c>
      <c r="E144" s="4"/>
      <c r="G144" s="5">
        <v>15.1</v>
      </c>
      <c r="H144" t="s">
        <v>89</v>
      </c>
      <c r="I144" s="5"/>
      <c r="K144" s="2">
        <v>2.1700000000000001E-2</v>
      </c>
      <c r="L144" t="s">
        <v>89</v>
      </c>
      <c r="N144" s="4"/>
      <c r="AB144" t="str">
        <f>IFERROR(VLOOKUP($A144,fund_metadata!$A:$P,2,FALSE),"")</f>
        <v>AMG Pantheon</v>
      </c>
      <c r="AC144" t="str">
        <f>IFERROR(VLOOKUP($A144,fund_metadata!$A:$P,16,FALSE),"")</f>
        <v>secondaries</v>
      </c>
    </row>
    <row r="145" spans="1:29" x14ac:dyDescent="0.25">
      <c r="A145">
        <v>8</v>
      </c>
      <c r="B145" s="3">
        <v>44043</v>
      </c>
      <c r="E145" s="4"/>
      <c r="G145" s="5">
        <v>14.78</v>
      </c>
      <c r="H145" t="s">
        <v>89</v>
      </c>
      <c r="I145" s="5"/>
      <c r="K145" s="2">
        <v>6.1800000000000001E-2</v>
      </c>
      <c r="L145" t="s">
        <v>89</v>
      </c>
      <c r="N145" s="4"/>
      <c r="AB145" t="str">
        <f>IFERROR(VLOOKUP($A145,fund_metadata!$A:$P,2,FALSE),"")</f>
        <v>AMG Pantheon</v>
      </c>
      <c r="AC145" t="str">
        <f>IFERROR(VLOOKUP($A145,fund_metadata!$A:$P,16,FALSE),"")</f>
        <v>secondaries</v>
      </c>
    </row>
    <row r="146" spans="1:29" x14ac:dyDescent="0.25">
      <c r="A146">
        <v>8</v>
      </c>
      <c r="B146" s="3">
        <v>44012</v>
      </c>
      <c r="E146" s="4"/>
      <c r="G146" s="5">
        <v>13.92</v>
      </c>
      <c r="H146" t="s">
        <v>89</v>
      </c>
      <c r="I146" s="5"/>
      <c r="K146" s="2">
        <v>-2.2000000000000001E-3</v>
      </c>
      <c r="L146" t="s">
        <v>89</v>
      </c>
      <c r="M146">
        <v>1</v>
      </c>
      <c r="N146" s="4"/>
      <c r="AB146" t="str">
        <f>IFERROR(VLOOKUP($A146,fund_metadata!$A:$P,2,FALSE),"")</f>
        <v>AMG Pantheon</v>
      </c>
      <c r="AC146" t="str">
        <f>IFERROR(VLOOKUP($A146,fund_metadata!$A:$P,16,FALSE),"")</f>
        <v>secondaries</v>
      </c>
    </row>
    <row r="147" spans="1:29" x14ac:dyDescent="0.25">
      <c r="A147">
        <v>8</v>
      </c>
      <c r="B147" s="3">
        <v>43982</v>
      </c>
      <c r="E147" s="4"/>
      <c r="G147" s="5">
        <v>13.95</v>
      </c>
      <c r="H147" t="s">
        <v>89</v>
      </c>
      <c r="I147" s="5"/>
      <c r="K147" s="2">
        <v>-7.1000000000000004E-3</v>
      </c>
      <c r="L147" t="s">
        <v>89</v>
      </c>
      <c r="N147" s="4"/>
      <c r="AB147" t="str">
        <f>IFERROR(VLOOKUP($A147,fund_metadata!$A:$P,2,FALSE),"")</f>
        <v>AMG Pantheon</v>
      </c>
      <c r="AC147" t="str">
        <f>IFERROR(VLOOKUP($A147,fund_metadata!$A:$P,16,FALSE),"")</f>
        <v>secondaries</v>
      </c>
    </row>
    <row r="148" spans="1:29" x14ac:dyDescent="0.25">
      <c r="A148">
        <v>2</v>
      </c>
      <c r="B148" s="3">
        <v>46173</v>
      </c>
      <c r="E148" s="4"/>
      <c r="G148" s="5"/>
      <c r="I148" s="5"/>
      <c r="K148" s="2"/>
      <c r="N148" s="4"/>
      <c r="AB148" t="str">
        <f>IFERROR(VLOOKUP($A148,fund_metadata!$A:$P,2,FALSE),"")</f>
        <v>Carlyle Alpinvest</v>
      </c>
      <c r="AC148" t="str">
        <f>IFERROR(VLOOKUP($A148,fund_metadata!$A:$P,16,FALSE),"")</f>
        <v>private_equity</v>
      </c>
    </row>
    <row r="149" spans="1:29" x14ac:dyDescent="0.25">
      <c r="A149">
        <v>2</v>
      </c>
      <c r="B149" s="3">
        <v>46142</v>
      </c>
      <c r="E149" s="4"/>
      <c r="G149" s="5"/>
      <c r="I149" s="5"/>
      <c r="K149" s="2"/>
      <c r="N149" s="4"/>
      <c r="AB149" t="str">
        <f>IFERROR(VLOOKUP($A149,fund_metadata!$A:$P,2,FALSE),"")</f>
        <v>Carlyle Alpinvest</v>
      </c>
      <c r="AC149" t="str">
        <f>IFERROR(VLOOKUP($A149,fund_metadata!$A:$P,16,FALSE),"")</f>
        <v>private_equity</v>
      </c>
    </row>
    <row r="150" spans="1:29" x14ac:dyDescent="0.25">
      <c r="A150">
        <v>2</v>
      </c>
      <c r="B150" s="3">
        <v>46112</v>
      </c>
      <c r="C150">
        <v>5078764.96</v>
      </c>
      <c r="D150" t="s">
        <v>105</v>
      </c>
      <c r="E150" s="4">
        <v>4420000000</v>
      </c>
      <c r="F150" t="s">
        <v>89</v>
      </c>
      <c r="G150" s="5"/>
      <c r="I150" s="5"/>
      <c r="K150" s="2">
        <v>-2.18E-2</v>
      </c>
      <c r="L150" t="s">
        <v>89</v>
      </c>
      <c r="M150">
        <v>317</v>
      </c>
      <c r="N150" s="4"/>
      <c r="R150">
        <v>315059.86099999998</v>
      </c>
      <c r="S150" t="s">
        <v>105</v>
      </c>
      <c r="T150">
        <v>0</v>
      </c>
      <c r="U150" t="s">
        <v>105</v>
      </c>
      <c r="V150">
        <v>0</v>
      </c>
      <c r="W150" t="s">
        <v>105</v>
      </c>
      <c r="X150">
        <v>0</v>
      </c>
      <c r="Y150" t="s">
        <v>105</v>
      </c>
      <c r="AB150" t="str">
        <f>IFERROR(VLOOKUP($A150,fund_metadata!$A:$P,2,FALSE),"")</f>
        <v>Carlyle Alpinvest</v>
      </c>
      <c r="AC150" t="str">
        <f>IFERROR(VLOOKUP($A150,fund_metadata!$A:$P,16,FALSE),"")</f>
        <v>private_equity</v>
      </c>
    </row>
    <row r="151" spans="1:29" x14ac:dyDescent="0.25">
      <c r="A151">
        <v>2</v>
      </c>
      <c r="B151" s="3">
        <v>46081</v>
      </c>
      <c r="C151">
        <v>5075614.3600000003</v>
      </c>
      <c r="D151" t="s">
        <v>105</v>
      </c>
      <c r="E151" s="4">
        <v>4330000000</v>
      </c>
      <c r="F151" t="s">
        <v>89</v>
      </c>
      <c r="G151" s="5"/>
      <c r="I151" s="5"/>
      <c r="K151" s="2">
        <v>2.3E-2</v>
      </c>
      <c r="L151" t="s">
        <v>89</v>
      </c>
      <c r="N151" s="4"/>
      <c r="R151">
        <v>315059.86099999998</v>
      </c>
      <c r="S151" t="s">
        <v>105</v>
      </c>
      <c r="AB151" t="str">
        <f>IFERROR(VLOOKUP($A151,fund_metadata!$A:$P,2,FALSE),"")</f>
        <v>Carlyle Alpinvest</v>
      </c>
      <c r="AC151" t="str">
        <f>IFERROR(VLOOKUP($A151,fund_metadata!$A:$P,16,FALSE),"")</f>
        <v>private_equity</v>
      </c>
    </row>
    <row r="152" spans="1:29" x14ac:dyDescent="0.25">
      <c r="A152">
        <v>2</v>
      </c>
      <c r="B152" s="3">
        <v>46053</v>
      </c>
      <c r="E152" s="4">
        <v>4080000000</v>
      </c>
      <c r="F152" t="s">
        <v>89</v>
      </c>
      <c r="G152" s="5"/>
      <c r="I152" s="5"/>
      <c r="K152" s="2">
        <v>1.5100000000000001E-2</v>
      </c>
      <c r="L152" t="s">
        <v>89</v>
      </c>
      <c r="N152" s="4"/>
      <c r="AB152" t="str">
        <f>IFERROR(VLOOKUP($A152,fund_metadata!$A:$P,2,FALSE),"")</f>
        <v>Carlyle Alpinvest</v>
      </c>
      <c r="AC152" t="str">
        <f>IFERROR(VLOOKUP($A152,fund_metadata!$A:$P,16,FALSE),"")</f>
        <v>private_equity</v>
      </c>
    </row>
    <row r="153" spans="1:29" x14ac:dyDescent="0.25">
      <c r="A153">
        <v>2</v>
      </c>
      <c r="B153" s="3">
        <v>46022</v>
      </c>
      <c r="E153" s="4">
        <v>3900000000</v>
      </c>
      <c r="F153" t="s">
        <v>89</v>
      </c>
      <c r="G153" s="5"/>
      <c r="I153" s="5">
        <v>0.1</v>
      </c>
      <c r="J153" t="s">
        <v>89</v>
      </c>
      <c r="K153" s="2">
        <v>1.72E-2</v>
      </c>
      <c r="L153" t="s">
        <v>89</v>
      </c>
      <c r="M153">
        <v>274</v>
      </c>
      <c r="N153" s="4"/>
      <c r="AB153" t="str">
        <f>IFERROR(VLOOKUP($A153,fund_metadata!$A:$P,2,FALSE),"")</f>
        <v>Carlyle Alpinvest</v>
      </c>
      <c r="AC153" t="str">
        <f>IFERROR(VLOOKUP($A153,fund_metadata!$A:$P,16,FALSE),"")</f>
        <v>private_equity</v>
      </c>
    </row>
    <row r="154" spans="1:29" x14ac:dyDescent="0.25">
      <c r="A154">
        <v>2</v>
      </c>
      <c r="B154" s="3">
        <v>45991</v>
      </c>
      <c r="E154" s="4">
        <v>3660000000</v>
      </c>
      <c r="F154" t="s">
        <v>89</v>
      </c>
      <c r="G154" s="5"/>
      <c r="I154" s="5"/>
      <c r="K154" s="2">
        <v>6.4000000000000003E-3</v>
      </c>
      <c r="L154" t="s">
        <v>89</v>
      </c>
      <c r="N154" s="4"/>
      <c r="AB154" t="str">
        <f>IFERROR(VLOOKUP($A154,fund_metadata!$A:$P,2,FALSE),"")</f>
        <v>Carlyle Alpinvest</v>
      </c>
      <c r="AC154" t="str">
        <f>IFERROR(VLOOKUP($A154,fund_metadata!$A:$P,16,FALSE),"")</f>
        <v>private_equity</v>
      </c>
    </row>
    <row r="155" spans="1:29" x14ac:dyDescent="0.25">
      <c r="A155">
        <v>2</v>
      </c>
      <c r="B155" s="3">
        <v>45961</v>
      </c>
      <c r="E155" s="4">
        <v>3390000000</v>
      </c>
      <c r="F155" t="s">
        <v>89</v>
      </c>
      <c r="G155" s="5"/>
      <c r="I155" s="5"/>
      <c r="K155" s="2">
        <v>6.4999999999999997E-3</v>
      </c>
      <c r="L155" t="s">
        <v>89</v>
      </c>
      <c r="N155" s="4"/>
      <c r="AB155" t="str">
        <f>IFERROR(VLOOKUP($A155,fund_metadata!$A:$P,2,FALSE),"")</f>
        <v>Carlyle Alpinvest</v>
      </c>
      <c r="AC155" t="str">
        <f>IFERROR(VLOOKUP($A155,fund_metadata!$A:$P,16,FALSE),"")</f>
        <v>private_equity</v>
      </c>
    </row>
    <row r="156" spans="1:29" x14ac:dyDescent="0.25">
      <c r="A156">
        <v>2</v>
      </c>
      <c r="B156" s="3">
        <v>45930</v>
      </c>
      <c r="E156" s="4">
        <v>3220000000</v>
      </c>
      <c r="F156" t="s">
        <v>89</v>
      </c>
      <c r="G156" s="5"/>
      <c r="I156" s="5"/>
      <c r="K156" s="2">
        <v>1.5100000000000001E-2</v>
      </c>
      <c r="L156" t="s">
        <v>89</v>
      </c>
      <c r="M156">
        <v>214</v>
      </c>
      <c r="N156" s="4"/>
      <c r="P156">
        <v>160560646</v>
      </c>
      <c r="Q156" t="s">
        <v>120</v>
      </c>
      <c r="AB156" t="str">
        <f>IFERROR(VLOOKUP($A156,fund_metadata!$A:$P,2,FALSE),"")</f>
        <v>Carlyle Alpinvest</v>
      </c>
      <c r="AC156" t="str">
        <f>IFERROR(VLOOKUP($A156,fund_metadata!$A:$P,16,FALSE),"")</f>
        <v>private_equity</v>
      </c>
    </row>
    <row r="157" spans="1:29" x14ac:dyDescent="0.25">
      <c r="A157">
        <v>2</v>
      </c>
      <c r="B157" s="3">
        <v>45900</v>
      </c>
      <c r="E157" s="4">
        <v>2930000000</v>
      </c>
      <c r="F157" t="s">
        <v>89</v>
      </c>
      <c r="G157" s="5"/>
      <c r="I157" s="5"/>
      <c r="K157" s="2">
        <v>1.46E-2</v>
      </c>
      <c r="L157" t="s">
        <v>89</v>
      </c>
      <c r="N157" s="4"/>
      <c r="AB157" t="str">
        <f>IFERROR(VLOOKUP($A157,fund_metadata!$A:$P,2,FALSE),"")</f>
        <v>Carlyle Alpinvest</v>
      </c>
      <c r="AC157" t="str">
        <f>IFERROR(VLOOKUP($A157,fund_metadata!$A:$P,16,FALSE),"")</f>
        <v>private_equity</v>
      </c>
    </row>
    <row r="158" spans="1:29" x14ac:dyDescent="0.25">
      <c r="A158">
        <v>2</v>
      </c>
      <c r="B158" s="3">
        <v>45869</v>
      </c>
      <c r="E158" s="4">
        <v>2670000000</v>
      </c>
      <c r="F158" t="s">
        <v>89</v>
      </c>
      <c r="G158" s="5"/>
      <c r="I158" s="5"/>
      <c r="K158" s="2">
        <v>3.3E-3</v>
      </c>
      <c r="L158" t="s">
        <v>89</v>
      </c>
      <c r="N158" s="4"/>
      <c r="AB158" t="str">
        <f>IFERROR(VLOOKUP($A158,fund_metadata!$A:$P,2,FALSE),"")</f>
        <v>Carlyle Alpinvest</v>
      </c>
      <c r="AC158" t="str">
        <f>IFERROR(VLOOKUP($A158,fund_metadata!$A:$P,16,FALSE),"")</f>
        <v>private_equity</v>
      </c>
    </row>
    <row r="159" spans="1:29" x14ac:dyDescent="0.25">
      <c r="A159">
        <v>2</v>
      </c>
      <c r="B159" s="3">
        <v>45838</v>
      </c>
      <c r="E159" s="4">
        <v>2520000000</v>
      </c>
      <c r="F159" t="s">
        <v>89</v>
      </c>
      <c r="G159" s="5"/>
      <c r="I159" s="5"/>
      <c r="K159" s="2">
        <v>2.6700000000000002E-2</v>
      </c>
      <c r="L159" t="s">
        <v>89</v>
      </c>
      <c r="M159">
        <v>276</v>
      </c>
      <c r="N159" s="4"/>
      <c r="AB159" t="str">
        <f>IFERROR(VLOOKUP($A159,fund_metadata!$A:$P,2,FALSE),"")</f>
        <v>Carlyle Alpinvest</v>
      </c>
      <c r="AC159" t="str">
        <f>IFERROR(VLOOKUP($A159,fund_metadata!$A:$P,16,FALSE),"")</f>
        <v>private_equity</v>
      </c>
    </row>
    <row r="160" spans="1:29" x14ac:dyDescent="0.25">
      <c r="A160">
        <v>2</v>
      </c>
      <c r="B160" s="3">
        <v>45808</v>
      </c>
      <c r="E160" s="4">
        <v>2250000000</v>
      </c>
      <c r="F160" t="s">
        <v>89</v>
      </c>
      <c r="G160" s="5">
        <v>14.61</v>
      </c>
      <c r="H160" t="s">
        <v>89</v>
      </c>
      <c r="I160" s="5"/>
      <c r="K160" s="2">
        <v>2.4500000000000001E-2</v>
      </c>
      <c r="L160" t="s">
        <v>89</v>
      </c>
      <c r="N160" s="4"/>
      <c r="AB160" t="str">
        <f>IFERROR(VLOOKUP($A160,fund_metadata!$A:$P,2,FALSE),"")</f>
        <v>Carlyle Alpinvest</v>
      </c>
      <c r="AC160" t="str">
        <f>IFERROR(VLOOKUP($A160,fund_metadata!$A:$P,16,FALSE),"")</f>
        <v>private_equity</v>
      </c>
    </row>
    <row r="161" spans="1:29" x14ac:dyDescent="0.25">
      <c r="A161">
        <v>2</v>
      </c>
      <c r="B161" s="3">
        <v>45777</v>
      </c>
      <c r="E161" s="4">
        <v>2040000000</v>
      </c>
      <c r="F161" t="s">
        <v>89</v>
      </c>
      <c r="G161" s="5">
        <v>14.26</v>
      </c>
      <c r="H161" t="s">
        <v>89</v>
      </c>
      <c r="I161" s="5"/>
      <c r="K161" s="2">
        <v>3.5000000000000001E-3</v>
      </c>
      <c r="L161" t="s">
        <v>89</v>
      </c>
      <c r="N161" s="4"/>
      <c r="AB161" t="str">
        <f>IFERROR(VLOOKUP($A161,fund_metadata!$A:$P,2,FALSE),"")</f>
        <v>Carlyle Alpinvest</v>
      </c>
      <c r="AC161" t="str">
        <f>IFERROR(VLOOKUP($A161,fund_metadata!$A:$P,16,FALSE),"")</f>
        <v>private_equity</v>
      </c>
    </row>
    <row r="162" spans="1:29" x14ac:dyDescent="0.25">
      <c r="A162">
        <v>2</v>
      </c>
      <c r="B162" s="3">
        <v>45747</v>
      </c>
      <c r="E162" s="4">
        <v>1870000000</v>
      </c>
      <c r="F162" t="s">
        <v>89</v>
      </c>
      <c r="G162" s="5">
        <v>14.21</v>
      </c>
      <c r="H162" t="s">
        <v>89</v>
      </c>
      <c r="I162" s="5"/>
      <c r="K162" s="2">
        <v>1.72E-2</v>
      </c>
      <c r="L162" t="s">
        <v>89</v>
      </c>
      <c r="M162">
        <v>256</v>
      </c>
      <c r="N162" s="4">
        <v>2000000000</v>
      </c>
      <c r="O162" t="s">
        <v>89</v>
      </c>
      <c r="P162">
        <v>109207969</v>
      </c>
      <c r="Q162" t="s">
        <v>121</v>
      </c>
      <c r="AB162" t="str">
        <f>IFERROR(VLOOKUP($A162,fund_metadata!$A:$P,2,FALSE),"")</f>
        <v>Carlyle Alpinvest</v>
      </c>
      <c r="AC162" t="str">
        <f>IFERROR(VLOOKUP($A162,fund_metadata!$A:$P,16,FALSE),"")</f>
        <v>private_equity</v>
      </c>
    </row>
    <row r="163" spans="1:29" x14ac:dyDescent="0.25">
      <c r="A163">
        <v>2</v>
      </c>
      <c r="B163" s="3">
        <v>45716</v>
      </c>
      <c r="E163" s="4">
        <v>1680000000</v>
      </c>
      <c r="F163" t="s">
        <v>89</v>
      </c>
      <c r="G163" s="5">
        <v>13.97</v>
      </c>
      <c r="H163" t="s">
        <v>89</v>
      </c>
      <c r="I163" s="5"/>
      <c r="K163" s="2">
        <v>5.7999999999999996E-3</v>
      </c>
      <c r="L163" t="s">
        <v>89</v>
      </c>
      <c r="N163" s="4"/>
      <c r="AB163" t="str">
        <f>IFERROR(VLOOKUP($A163,fund_metadata!$A:$P,2,FALSE),"")</f>
        <v>Carlyle Alpinvest</v>
      </c>
      <c r="AC163" t="str">
        <f>IFERROR(VLOOKUP($A163,fund_metadata!$A:$P,16,FALSE),"")</f>
        <v>private_equity</v>
      </c>
    </row>
    <row r="164" spans="1:29" x14ac:dyDescent="0.25">
      <c r="A164">
        <v>2</v>
      </c>
      <c r="B164" s="3">
        <v>45688</v>
      </c>
      <c r="E164" s="4">
        <v>1530000000</v>
      </c>
      <c r="F164" t="s">
        <v>89</v>
      </c>
      <c r="G164" s="5">
        <v>13.89</v>
      </c>
      <c r="H164" t="s">
        <v>89</v>
      </c>
      <c r="I164" s="5"/>
      <c r="K164" s="2">
        <v>1.7600000000000001E-2</v>
      </c>
      <c r="L164" t="s">
        <v>89</v>
      </c>
      <c r="N164" s="4"/>
      <c r="AB164" t="str">
        <f>IFERROR(VLOOKUP($A164,fund_metadata!$A:$P,2,FALSE),"")</f>
        <v>Carlyle Alpinvest</v>
      </c>
      <c r="AC164" t="str">
        <f>IFERROR(VLOOKUP($A164,fund_metadata!$A:$P,16,FALSE),"")</f>
        <v>private_equity</v>
      </c>
    </row>
    <row r="165" spans="1:29" x14ac:dyDescent="0.25">
      <c r="A165">
        <v>2</v>
      </c>
      <c r="B165" s="3">
        <v>45657</v>
      </c>
      <c r="E165" s="4">
        <v>1350000000</v>
      </c>
      <c r="F165" t="s">
        <v>89</v>
      </c>
      <c r="G165" s="5">
        <v>13.65</v>
      </c>
      <c r="H165" t="s">
        <v>89</v>
      </c>
      <c r="I165" s="5">
        <v>0.03</v>
      </c>
      <c r="J165" t="s">
        <v>89</v>
      </c>
      <c r="K165" s="2">
        <v>3.0499999999999999E-2</v>
      </c>
      <c r="L165" t="s">
        <v>89</v>
      </c>
      <c r="M165">
        <v>237</v>
      </c>
      <c r="N165" s="4"/>
      <c r="AB165" t="str">
        <f>IFERROR(VLOOKUP($A165,fund_metadata!$A:$P,2,FALSE),"")</f>
        <v>Carlyle Alpinvest</v>
      </c>
      <c r="AC165" t="str">
        <f>IFERROR(VLOOKUP($A165,fund_metadata!$A:$P,16,FALSE),"")</f>
        <v>private_equity</v>
      </c>
    </row>
    <row r="166" spans="1:29" x14ac:dyDescent="0.25">
      <c r="A166">
        <v>2</v>
      </c>
      <c r="B166" s="3">
        <v>45626</v>
      </c>
      <c r="E166" s="4">
        <v>1190000000</v>
      </c>
      <c r="F166" t="s">
        <v>89</v>
      </c>
      <c r="G166" s="5">
        <v>13.27</v>
      </c>
      <c r="H166" t="s">
        <v>89</v>
      </c>
      <c r="I166" s="5"/>
      <c r="K166" s="2">
        <v>8.0000000000000004E-4</v>
      </c>
      <c r="L166" t="s">
        <v>89</v>
      </c>
      <c r="N166" s="4"/>
      <c r="AB166" t="str">
        <f>IFERROR(VLOOKUP($A166,fund_metadata!$A:$P,2,FALSE),"")</f>
        <v>Carlyle Alpinvest</v>
      </c>
      <c r="AC166" t="str">
        <f>IFERROR(VLOOKUP($A166,fund_metadata!$A:$P,16,FALSE),"")</f>
        <v>private_equity</v>
      </c>
    </row>
    <row r="167" spans="1:29" x14ac:dyDescent="0.25">
      <c r="A167">
        <v>2</v>
      </c>
      <c r="B167" s="3">
        <v>45596</v>
      </c>
      <c r="E167" s="4">
        <v>1040000000</v>
      </c>
      <c r="F167" t="s">
        <v>89</v>
      </c>
      <c r="G167" s="5">
        <v>13.26</v>
      </c>
      <c r="H167" t="s">
        <v>89</v>
      </c>
      <c r="I167" s="5"/>
      <c r="K167" s="2">
        <v>2.3E-3</v>
      </c>
      <c r="L167" t="s">
        <v>89</v>
      </c>
      <c r="N167" s="4"/>
      <c r="AB167" t="str">
        <f>IFERROR(VLOOKUP($A167,fund_metadata!$A:$P,2,FALSE),"")</f>
        <v>Carlyle Alpinvest</v>
      </c>
      <c r="AC167" t="str">
        <f>IFERROR(VLOOKUP($A167,fund_metadata!$A:$P,16,FALSE),"")</f>
        <v>private_equity</v>
      </c>
    </row>
    <row r="168" spans="1:29" x14ac:dyDescent="0.25">
      <c r="A168">
        <v>2</v>
      </c>
      <c r="B168" s="3">
        <v>45565</v>
      </c>
      <c r="E168" s="4">
        <v>916970000</v>
      </c>
      <c r="F168" t="s">
        <v>89</v>
      </c>
      <c r="G168" s="5">
        <v>13.23</v>
      </c>
      <c r="H168" t="s">
        <v>89</v>
      </c>
      <c r="I168" s="5"/>
      <c r="K168" s="2">
        <v>1.8499999999999999E-2</v>
      </c>
      <c r="L168" t="s">
        <v>89</v>
      </c>
      <c r="M168">
        <v>201</v>
      </c>
      <c r="N168" s="4">
        <v>986410000</v>
      </c>
      <c r="O168" t="s">
        <v>89</v>
      </c>
      <c r="P168">
        <v>64327455</v>
      </c>
      <c r="Q168" t="s">
        <v>120</v>
      </c>
      <c r="AB168" t="str">
        <f>IFERROR(VLOOKUP($A168,fund_metadata!$A:$P,2,FALSE),"")</f>
        <v>Carlyle Alpinvest</v>
      </c>
      <c r="AC168" t="str">
        <f>IFERROR(VLOOKUP($A168,fund_metadata!$A:$P,16,FALSE),"")</f>
        <v>private_equity</v>
      </c>
    </row>
    <row r="169" spans="1:29" x14ac:dyDescent="0.25">
      <c r="A169">
        <v>2</v>
      </c>
      <c r="B169" s="3">
        <v>45535</v>
      </c>
      <c r="E169" s="4">
        <v>798380000</v>
      </c>
      <c r="F169" t="s">
        <v>89</v>
      </c>
      <c r="G169" s="5">
        <v>12.99</v>
      </c>
      <c r="H169" t="s">
        <v>89</v>
      </c>
      <c r="I169" s="5"/>
      <c r="K169" s="2">
        <v>2.7699999999999999E-2</v>
      </c>
      <c r="L169" t="s">
        <v>89</v>
      </c>
      <c r="N169" s="4"/>
      <c r="AB169" t="str">
        <f>IFERROR(VLOOKUP($A169,fund_metadata!$A:$P,2,FALSE),"")</f>
        <v>Carlyle Alpinvest</v>
      </c>
      <c r="AC169" t="str">
        <f>IFERROR(VLOOKUP($A169,fund_metadata!$A:$P,16,FALSE),"")</f>
        <v>private_equity</v>
      </c>
    </row>
    <row r="170" spans="1:29" x14ac:dyDescent="0.25">
      <c r="A170">
        <v>2</v>
      </c>
      <c r="B170" s="3">
        <v>45504</v>
      </c>
      <c r="E170" s="4">
        <v>683190000</v>
      </c>
      <c r="F170" t="s">
        <v>89</v>
      </c>
      <c r="G170" s="5">
        <v>12.64</v>
      </c>
      <c r="H170" t="s">
        <v>89</v>
      </c>
      <c r="I170" s="5">
        <v>0</v>
      </c>
      <c r="J170" t="s">
        <v>108</v>
      </c>
      <c r="K170" s="2">
        <v>7.1999999999999998E-3</v>
      </c>
      <c r="L170" t="s">
        <v>89</v>
      </c>
      <c r="N170" s="4"/>
      <c r="AB170" t="str">
        <f>IFERROR(VLOOKUP($A170,fund_metadata!$A:$P,2,FALSE),"")</f>
        <v>Carlyle Alpinvest</v>
      </c>
      <c r="AC170" t="str">
        <f>IFERROR(VLOOKUP($A170,fund_metadata!$A:$P,16,FALSE),"")</f>
        <v>private_equity</v>
      </c>
    </row>
    <row r="171" spans="1:29" x14ac:dyDescent="0.25">
      <c r="A171">
        <v>2</v>
      </c>
      <c r="B171" s="3">
        <v>45473</v>
      </c>
      <c r="E171" s="4">
        <v>614060000</v>
      </c>
      <c r="F171" t="s">
        <v>89</v>
      </c>
      <c r="G171" s="5">
        <v>12.55</v>
      </c>
      <c r="H171" t="s">
        <v>89</v>
      </c>
      <c r="I171" s="5">
        <v>0</v>
      </c>
      <c r="J171" t="s">
        <v>108</v>
      </c>
      <c r="K171" s="2">
        <v>4.3200000000000002E-2</v>
      </c>
      <c r="L171" t="s">
        <v>89</v>
      </c>
      <c r="M171">
        <v>180</v>
      </c>
      <c r="N171" s="4"/>
      <c r="AB171" t="str">
        <f>IFERROR(VLOOKUP($A171,fund_metadata!$A:$P,2,FALSE),"")</f>
        <v>Carlyle Alpinvest</v>
      </c>
      <c r="AC171" t="str">
        <f>IFERROR(VLOOKUP($A171,fund_metadata!$A:$P,16,FALSE),"")</f>
        <v>private_equity</v>
      </c>
    </row>
    <row r="172" spans="1:29" x14ac:dyDescent="0.25">
      <c r="A172">
        <v>2</v>
      </c>
      <c r="B172" s="3">
        <v>45443</v>
      </c>
      <c r="E172" s="4">
        <v>523910000</v>
      </c>
      <c r="F172" t="s">
        <v>89</v>
      </c>
      <c r="G172" s="5">
        <v>12.03</v>
      </c>
      <c r="H172" t="s">
        <v>89</v>
      </c>
      <c r="I172" s="5">
        <v>0</v>
      </c>
      <c r="J172" t="s">
        <v>108</v>
      </c>
      <c r="K172" s="2">
        <v>-1.15E-2</v>
      </c>
      <c r="L172" t="s">
        <v>89</v>
      </c>
      <c r="N172" s="4"/>
      <c r="AB172" t="str">
        <f>IFERROR(VLOOKUP($A172,fund_metadata!$A:$P,2,FALSE),"")</f>
        <v>Carlyle Alpinvest</v>
      </c>
      <c r="AC172" t="str">
        <f>IFERROR(VLOOKUP($A172,fund_metadata!$A:$P,16,FALSE),"")</f>
        <v>private_equity</v>
      </c>
    </row>
    <row r="173" spans="1:29" x14ac:dyDescent="0.25">
      <c r="A173">
        <v>2</v>
      </c>
      <c r="B173" s="3">
        <v>45412</v>
      </c>
      <c r="E173" s="4">
        <v>476210000</v>
      </c>
      <c r="F173" t="s">
        <v>89</v>
      </c>
      <c r="G173" s="5">
        <v>12.17</v>
      </c>
      <c r="H173" t="s">
        <v>89</v>
      </c>
      <c r="I173" s="5">
        <v>0</v>
      </c>
      <c r="J173" t="s">
        <v>108</v>
      </c>
      <c r="K173" s="2">
        <v>0</v>
      </c>
      <c r="L173" t="s">
        <v>89</v>
      </c>
      <c r="N173" s="4"/>
      <c r="AB173" t="str">
        <f>IFERROR(VLOOKUP($A173,fund_metadata!$A:$P,2,FALSE),"")</f>
        <v>Carlyle Alpinvest</v>
      </c>
      <c r="AC173" t="str">
        <f>IFERROR(VLOOKUP($A173,fund_metadata!$A:$P,16,FALSE),"")</f>
        <v>private_equity</v>
      </c>
    </row>
    <row r="174" spans="1:29" x14ac:dyDescent="0.25">
      <c r="A174">
        <v>2</v>
      </c>
      <c r="B174" s="3">
        <v>45382</v>
      </c>
      <c r="E174" s="4">
        <v>439700000</v>
      </c>
      <c r="F174" t="s">
        <v>89</v>
      </c>
      <c r="G174" s="5">
        <v>12.17</v>
      </c>
      <c r="H174" t="s">
        <v>89</v>
      </c>
      <c r="I174" s="5">
        <v>0</v>
      </c>
      <c r="J174" t="s">
        <v>108</v>
      </c>
      <c r="K174" s="2">
        <v>1.5900000000000001E-2</v>
      </c>
      <c r="L174" t="s">
        <v>89</v>
      </c>
      <c r="M174">
        <v>162</v>
      </c>
      <c r="N174" s="4"/>
      <c r="P174">
        <v>36141096</v>
      </c>
      <c r="Q174" t="s">
        <v>121</v>
      </c>
      <c r="AB174" t="str">
        <f>IFERROR(VLOOKUP($A174,fund_metadata!$A:$P,2,FALSE),"")</f>
        <v>Carlyle Alpinvest</v>
      </c>
      <c r="AC174" t="str">
        <f>IFERROR(VLOOKUP($A174,fund_metadata!$A:$P,16,FALSE),"")</f>
        <v>private_equity</v>
      </c>
    </row>
    <row r="175" spans="1:29" x14ac:dyDescent="0.25">
      <c r="A175">
        <v>2</v>
      </c>
      <c r="B175" s="3">
        <v>45351</v>
      </c>
      <c r="E175" s="4">
        <v>393340000</v>
      </c>
      <c r="F175" t="s">
        <v>89</v>
      </c>
      <c r="G175" s="5">
        <v>11.98</v>
      </c>
      <c r="H175" t="s">
        <v>89</v>
      </c>
      <c r="I175" s="5">
        <v>0</v>
      </c>
      <c r="J175" t="s">
        <v>108</v>
      </c>
      <c r="K175" s="2">
        <v>8.3999999999999995E-3</v>
      </c>
      <c r="L175" t="s">
        <v>89</v>
      </c>
      <c r="N175" s="4"/>
      <c r="AB175" t="str">
        <f>IFERROR(VLOOKUP($A175,fund_metadata!$A:$P,2,FALSE),"")</f>
        <v>Carlyle Alpinvest</v>
      </c>
      <c r="AC175" t="str">
        <f>IFERROR(VLOOKUP($A175,fund_metadata!$A:$P,16,FALSE),"")</f>
        <v>private_equity</v>
      </c>
    </row>
    <row r="176" spans="1:29" x14ac:dyDescent="0.25">
      <c r="A176">
        <v>2</v>
      </c>
      <c r="B176" s="3">
        <v>45322</v>
      </c>
      <c r="E176" s="4">
        <v>357360000</v>
      </c>
      <c r="F176" t="s">
        <v>89</v>
      </c>
      <c r="G176" s="5">
        <v>11.88</v>
      </c>
      <c r="H176" t="s">
        <v>89</v>
      </c>
      <c r="I176" s="5">
        <v>0</v>
      </c>
      <c r="J176" t="s">
        <v>108</v>
      </c>
      <c r="K176" s="2">
        <v>1.2800000000000001E-2</v>
      </c>
      <c r="L176" t="s">
        <v>89</v>
      </c>
      <c r="N176" s="4"/>
      <c r="AB176" t="str">
        <f>IFERROR(VLOOKUP($A176,fund_metadata!$A:$P,2,FALSE),"")</f>
        <v>Carlyle Alpinvest</v>
      </c>
      <c r="AC176" t="str">
        <f>IFERROR(VLOOKUP($A176,fund_metadata!$A:$P,16,FALSE),"")</f>
        <v>private_equity</v>
      </c>
    </row>
    <row r="177" spans="1:29" x14ac:dyDescent="0.25">
      <c r="A177">
        <v>2</v>
      </c>
      <c r="B177" s="3">
        <v>45291</v>
      </c>
      <c r="E177" s="4">
        <v>311630000</v>
      </c>
      <c r="F177" t="s">
        <v>89</v>
      </c>
      <c r="G177" s="5">
        <v>11.73</v>
      </c>
      <c r="H177" t="s">
        <v>89</v>
      </c>
      <c r="I177" s="5">
        <v>0</v>
      </c>
      <c r="J177" t="s">
        <v>108</v>
      </c>
      <c r="K177" s="2">
        <v>2.3599999999999999E-2</v>
      </c>
      <c r="L177" t="s">
        <v>89</v>
      </c>
      <c r="M177">
        <v>157</v>
      </c>
      <c r="N177" s="4"/>
      <c r="AB177" t="str">
        <f>IFERROR(VLOOKUP($A177,fund_metadata!$A:$P,2,FALSE),"")</f>
        <v>Carlyle Alpinvest</v>
      </c>
      <c r="AC177" t="str">
        <f>IFERROR(VLOOKUP($A177,fund_metadata!$A:$P,16,FALSE),"")</f>
        <v>private_equity</v>
      </c>
    </row>
    <row r="178" spans="1:29" x14ac:dyDescent="0.25">
      <c r="A178">
        <v>2</v>
      </c>
      <c r="B178" s="3">
        <v>45260</v>
      </c>
      <c r="E178" s="4">
        <v>282750000</v>
      </c>
      <c r="F178" t="s">
        <v>89</v>
      </c>
      <c r="G178" s="5">
        <v>11.48</v>
      </c>
      <c r="H178" t="s">
        <v>89</v>
      </c>
      <c r="I178" s="5">
        <v>0</v>
      </c>
      <c r="J178" t="s">
        <v>108</v>
      </c>
      <c r="K178" s="2">
        <v>3.5000000000000001E-3</v>
      </c>
      <c r="L178" t="s">
        <v>89</v>
      </c>
      <c r="N178" s="4"/>
      <c r="AB178" t="str">
        <f>IFERROR(VLOOKUP($A178,fund_metadata!$A:$P,2,FALSE),"")</f>
        <v>Carlyle Alpinvest</v>
      </c>
      <c r="AC178" t="str">
        <f>IFERROR(VLOOKUP($A178,fund_metadata!$A:$P,16,FALSE),"")</f>
        <v>private_equity</v>
      </c>
    </row>
    <row r="179" spans="1:29" x14ac:dyDescent="0.25">
      <c r="A179">
        <v>2</v>
      </c>
      <c r="B179" s="3">
        <v>45230</v>
      </c>
      <c r="E179" s="4">
        <v>260590000</v>
      </c>
      <c r="F179" t="s">
        <v>89</v>
      </c>
      <c r="G179" s="5">
        <v>11.44</v>
      </c>
      <c r="H179" t="s">
        <v>89</v>
      </c>
      <c r="I179" s="5">
        <v>0</v>
      </c>
      <c r="J179" t="s">
        <v>108</v>
      </c>
      <c r="K179" s="2">
        <v>-1.03E-2</v>
      </c>
      <c r="L179" t="s">
        <v>89</v>
      </c>
      <c r="N179" s="4"/>
      <c r="AB179" t="str">
        <f>IFERROR(VLOOKUP($A179,fund_metadata!$A:$P,2,FALSE),"")</f>
        <v>Carlyle Alpinvest</v>
      </c>
      <c r="AC179" t="str">
        <f>IFERROR(VLOOKUP($A179,fund_metadata!$A:$P,16,FALSE),"")</f>
        <v>private_equity</v>
      </c>
    </row>
    <row r="180" spans="1:29" x14ac:dyDescent="0.25">
      <c r="A180">
        <v>2</v>
      </c>
      <c r="B180" s="3">
        <v>45199</v>
      </c>
      <c r="E180" s="4">
        <v>255740000</v>
      </c>
      <c r="F180" t="s">
        <v>89</v>
      </c>
      <c r="G180" s="5">
        <v>11.56</v>
      </c>
      <c r="H180" t="s">
        <v>89</v>
      </c>
      <c r="I180" s="5">
        <v>0</v>
      </c>
      <c r="J180" t="s">
        <v>108</v>
      </c>
      <c r="K180" s="2">
        <v>3.39E-2</v>
      </c>
      <c r="L180" t="s">
        <v>89</v>
      </c>
      <c r="M180">
        <v>132</v>
      </c>
      <c r="N180" s="4"/>
      <c r="P180">
        <v>22123474</v>
      </c>
      <c r="Q180" t="s">
        <v>120</v>
      </c>
      <c r="AB180" t="str">
        <f>IFERROR(VLOOKUP($A180,fund_metadata!$A:$P,2,FALSE),"")</f>
        <v>Carlyle Alpinvest</v>
      </c>
      <c r="AC180" t="str">
        <f>IFERROR(VLOOKUP($A180,fund_metadata!$A:$P,16,FALSE),"")</f>
        <v>private_equity</v>
      </c>
    </row>
    <row r="181" spans="1:29" x14ac:dyDescent="0.25">
      <c r="A181">
        <v>2</v>
      </c>
      <c r="B181" s="3">
        <v>45169</v>
      </c>
      <c r="E181" s="4">
        <v>224020000</v>
      </c>
      <c r="F181" t="s">
        <v>89</v>
      </c>
      <c r="G181" s="5">
        <v>11.18</v>
      </c>
      <c r="H181" t="s">
        <v>89</v>
      </c>
      <c r="I181" s="5">
        <v>0</v>
      </c>
      <c r="J181" t="s">
        <v>108</v>
      </c>
      <c r="K181" s="2">
        <v>-8.9999999999999998E-4</v>
      </c>
      <c r="L181" t="s">
        <v>89</v>
      </c>
      <c r="N181" s="4"/>
      <c r="AB181" t="str">
        <f>IFERROR(VLOOKUP($A181,fund_metadata!$A:$P,2,FALSE),"")</f>
        <v>Carlyle Alpinvest</v>
      </c>
      <c r="AC181" t="str">
        <f>IFERROR(VLOOKUP($A181,fund_metadata!$A:$P,16,FALSE),"")</f>
        <v>private_equity</v>
      </c>
    </row>
    <row r="182" spans="1:29" x14ac:dyDescent="0.25">
      <c r="A182">
        <v>2</v>
      </c>
      <c r="B182" s="3">
        <v>45138</v>
      </c>
      <c r="E182" s="4">
        <v>208950000</v>
      </c>
      <c r="F182" t="s">
        <v>89</v>
      </c>
      <c r="G182" s="5">
        <v>11.19</v>
      </c>
      <c r="H182" t="s">
        <v>89</v>
      </c>
      <c r="I182" s="5">
        <v>0</v>
      </c>
      <c r="J182" t="s">
        <v>108</v>
      </c>
      <c r="K182" s="2">
        <v>1.8200000000000001E-2</v>
      </c>
      <c r="L182" t="s">
        <v>89</v>
      </c>
      <c r="N182" s="4"/>
      <c r="AB182" t="str">
        <f>IFERROR(VLOOKUP($A182,fund_metadata!$A:$P,2,FALSE),"")</f>
        <v>Carlyle Alpinvest</v>
      </c>
      <c r="AC182" t="str">
        <f>IFERROR(VLOOKUP($A182,fund_metadata!$A:$P,16,FALSE),"")</f>
        <v>private_equity</v>
      </c>
    </row>
    <row r="183" spans="1:29" x14ac:dyDescent="0.25">
      <c r="A183">
        <v>2</v>
      </c>
      <c r="B183" s="3">
        <v>45107</v>
      </c>
      <c r="E183" s="4">
        <v>203490000</v>
      </c>
      <c r="F183" t="s">
        <v>89</v>
      </c>
      <c r="G183" s="5">
        <v>10.99</v>
      </c>
      <c r="H183" t="s">
        <v>89</v>
      </c>
      <c r="I183" s="5"/>
      <c r="K183" s="2">
        <v>2.3300000000000001E-2</v>
      </c>
      <c r="L183" t="s">
        <v>89</v>
      </c>
      <c r="M183">
        <v>136</v>
      </c>
      <c r="N183" s="4"/>
      <c r="AB183" t="str">
        <f>IFERROR(VLOOKUP($A183,fund_metadata!$A:$P,2,FALSE),"")</f>
        <v>Carlyle Alpinvest</v>
      </c>
      <c r="AC183" t="str">
        <f>IFERROR(VLOOKUP($A183,fund_metadata!$A:$P,16,FALSE),"")</f>
        <v>private_equity</v>
      </c>
    </row>
    <row r="184" spans="1:29" x14ac:dyDescent="0.25">
      <c r="A184">
        <v>2</v>
      </c>
      <c r="B184" s="3">
        <v>45077</v>
      </c>
      <c r="E184" s="4">
        <v>198720000</v>
      </c>
      <c r="F184" t="s">
        <v>89</v>
      </c>
      <c r="G184" s="5">
        <v>10.74</v>
      </c>
      <c r="H184" t="s">
        <v>89</v>
      </c>
      <c r="I184" s="5"/>
      <c r="K184" s="2">
        <v>3.8699999999999998E-2</v>
      </c>
      <c r="L184" t="s">
        <v>89</v>
      </c>
      <c r="N184" s="4"/>
      <c r="AB184" t="str">
        <f>IFERROR(VLOOKUP($A184,fund_metadata!$A:$P,2,FALSE),"")</f>
        <v>Carlyle Alpinvest</v>
      </c>
      <c r="AC184" t="str">
        <f>IFERROR(VLOOKUP($A184,fund_metadata!$A:$P,16,FALSE),"")</f>
        <v>private_equity</v>
      </c>
    </row>
    <row r="185" spans="1:29" x14ac:dyDescent="0.25">
      <c r="A185">
        <v>2</v>
      </c>
      <c r="B185" s="3">
        <v>45046</v>
      </c>
      <c r="E185" s="4">
        <v>190530000</v>
      </c>
      <c r="F185" t="s">
        <v>89</v>
      </c>
      <c r="G185" s="5">
        <v>10.34</v>
      </c>
      <c r="H185" t="s">
        <v>89</v>
      </c>
      <c r="I185" s="5"/>
      <c r="K185" s="2">
        <v>1.9E-3</v>
      </c>
      <c r="L185" t="s">
        <v>89</v>
      </c>
      <c r="N185" s="4"/>
      <c r="AB185" t="str">
        <f>IFERROR(VLOOKUP($A185,fund_metadata!$A:$P,2,FALSE),"")</f>
        <v>Carlyle Alpinvest</v>
      </c>
      <c r="AC185" t="str">
        <f>IFERROR(VLOOKUP($A185,fund_metadata!$A:$P,16,FALSE),"")</f>
        <v>private_equity</v>
      </c>
    </row>
    <row r="186" spans="1:29" x14ac:dyDescent="0.25">
      <c r="A186">
        <v>2</v>
      </c>
      <c r="B186" s="3">
        <v>45016</v>
      </c>
      <c r="E186" s="4">
        <v>190250000</v>
      </c>
      <c r="F186" t="s">
        <v>89</v>
      </c>
      <c r="G186" s="5">
        <v>10.32</v>
      </c>
      <c r="H186" t="s">
        <v>89</v>
      </c>
      <c r="I186" s="5"/>
      <c r="K186" s="2">
        <v>4.8999999999999998E-3</v>
      </c>
      <c r="L186" t="s">
        <v>89</v>
      </c>
      <c r="M186">
        <v>134</v>
      </c>
      <c r="N186" s="4"/>
      <c r="P186">
        <v>18427054</v>
      </c>
      <c r="Q186" t="s">
        <v>121</v>
      </c>
      <c r="AB186" t="str">
        <f>IFERROR(VLOOKUP($A186,fund_metadata!$A:$P,2,FALSE),"")</f>
        <v>Carlyle Alpinvest</v>
      </c>
      <c r="AC186" t="str">
        <f>IFERROR(VLOOKUP($A186,fund_metadata!$A:$P,16,FALSE),"")</f>
        <v>private_equity</v>
      </c>
    </row>
    <row r="187" spans="1:29" x14ac:dyDescent="0.25">
      <c r="A187">
        <v>2</v>
      </c>
      <c r="B187" s="3">
        <v>44985</v>
      </c>
      <c r="E187" s="4">
        <v>189310000</v>
      </c>
      <c r="F187" t="s">
        <v>89</v>
      </c>
      <c r="G187" s="5">
        <v>10.27</v>
      </c>
      <c r="H187" t="s">
        <v>89</v>
      </c>
      <c r="I187" s="5"/>
      <c r="K187" s="2">
        <v>1.8800000000000001E-2</v>
      </c>
      <c r="L187" t="s">
        <v>89</v>
      </c>
      <c r="N187" s="4"/>
      <c r="AB187" t="str">
        <f>IFERROR(VLOOKUP($A187,fund_metadata!$A:$P,2,FALSE),"")</f>
        <v>Carlyle Alpinvest</v>
      </c>
      <c r="AC187" t="str">
        <f>IFERROR(VLOOKUP($A187,fund_metadata!$A:$P,16,FALSE),"")</f>
        <v>private_equity</v>
      </c>
    </row>
    <row r="188" spans="1:29" x14ac:dyDescent="0.25">
      <c r="A188">
        <v>2</v>
      </c>
      <c r="B188" s="3">
        <v>44957</v>
      </c>
      <c r="E188" s="4">
        <v>185800000</v>
      </c>
      <c r="F188" t="s">
        <v>89</v>
      </c>
      <c r="G188" s="5">
        <v>10.08</v>
      </c>
      <c r="H188" t="s">
        <v>89</v>
      </c>
      <c r="I188" s="5"/>
      <c r="K188" s="2">
        <v>8.0000000000000002E-3</v>
      </c>
      <c r="L188" t="s">
        <v>89</v>
      </c>
      <c r="N188" s="4"/>
      <c r="AB188" t="str">
        <f>IFERROR(VLOOKUP($A188,fund_metadata!$A:$P,2,FALSE),"")</f>
        <v>Carlyle Alpinvest</v>
      </c>
      <c r="AC188" t="str">
        <f>IFERROR(VLOOKUP($A188,fund_metadata!$A:$P,16,FALSE),"")</f>
        <v>private_equity</v>
      </c>
    </row>
    <row r="189" spans="1:29" x14ac:dyDescent="0.25">
      <c r="A189">
        <v>2</v>
      </c>
      <c r="B189" s="3">
        <v>44926</v>
      </c>
      <c r="E189" s="4"/>
      <c r="G189" s="5">
        <v>10</v>
      </c>
      <c r="H189" t="s">
        <v>89</v>
      </c>
      <c r="I189" s="5"/>
      <c r="K189" s="2"/>
      <c r="N189" s="4"/>
      <c r="AB189" t="str">
        <f>IFERROR(VLOOKUP($A189,fund_metadata!$A:$P,2,FALSE),"")</f>
        <v>Carlyle Alpinvest</v>
      </c>
      <c r="AC189" t="str">
        <f>IFERROR(VLOOKUP($A189,fund_metadata!$A:$P,16,FALSE),"")</f>
        <v>private_equity</v>
      </c>
    </row>
    <row r="190" spans="1:29" x14ac:dyDescent="0.25">
      <c r="A190">
        <v>3</v>
      </c>
      <c r="B190" s="3">
        <v>46173</v>
      </c>
      <c r="E190" s="4"/>
      <c r="G190" s="5">
        <v>10.87</v>
      </c>
      <c r="H190" t="s">
        <v>89</v>
      </c>
      <c r="I190" s="5"/>
      <c r="K190" s="2"/>
      <c r="N190" s="4"/>
      <c r="AB190" t="str">
        <f>IFERROR(VLOOKUP($A190,fund_metadata!$A:$P,2,FALSE),"")</f>
        <v>Cliffwater</v>
      </c>
      <c r="AC190" t="str">
        <f>IFERROR(VLOOKUP($A190,fund_metadata!$A:$P,16,FALSE),"")</f>
        <v>private_credit</v>
      </c>
    </row>
    <row r="191" spans="1:29" x14ac:dyDescent="0.25">
      <c r="A191">
        <v>3</v>
      </c>
      <c r="B191" s="3">
        <v>46142</v>
      </c>
      <c r="C191">
        <v>4489879.72</v>
      </c>
      <c r="D191" t="s">
        <v>105</v>
      </c>
      <c r="E191" s="4">
        <v>7860000000</v>
      </c>
      <c r="F191" t="s">
        <v>89</v>
      </c>
      <c r="G191" s="5">
        <v>10.83</v>
      </c>
      <c r="H191" t="s">
        <v>89</v>
      </c>
      <c r="I191" s="5">
        <v>0.27</v>
      </c>
      <c r="J191" t="s">
        <v>89</v>
      </c>
      <c r="K191" s="2">
        <v>8.8000000000000005E-3</v>
      </c>
      <c r="L191" t="s">
        <v>89</v>
      </c>
      <c r="N191" s="4"/>
      <c r="R191">
        <v>414577.99800000002</v>
      </c>
      <c r="S191" t="s">
        <v>105</v>
      </c>
      <c r="T191">
        <v>0</v>
      </c>
      <c r="U191" t="s">
        <v>105</v>
      </c>
      <c r="V191">
        <v>0</v>
      </c>
      <c r="W191" t="s">
        <v>105</v>
      </c>
      <c r="X191">
        <v>113801.66</v>
      </c>
      <c r="Y191" t="s">
        <v>105</v>
      </c>
      <c r="AB191" t="str">
        <f>IFERROR(VLOOKUP($A191,fund_metadata!$A:$P,2,FALSE),"")</f>
        <v>Cliffwater</v>
      </c>
      <c r="AC191" t="str">
        <f>IFERROR(VLOOKUP($A191,fund_metadata!$A:$P,16,FALSE),"")</f>
        <v>private_credit</v>
      </c>
    </row>
    <row r="192" spans="1:29" x14ac:dyDescent="0.25">
      <c r="A192">
        <v>3</v>
      </c>
      <c r="B192" s="3">
        <v>46112</v>
      </c>
      <c r="C192">
        <v>4564503.76</v>
      </c>
      <c r="D192" t="s">
        <v>105</v>
      </c>
      <c r="E192" s="4">
        <v>7800000000</v>
      </c>
      <c r="F192" t="s">
        <v>89</v>
      </c>
      <c r="G192" s="5">
        <v>11.01</v>
      </c>
      <c r="H192" t="s">
        <v>89</v>
      </c>
      <c r="I192" s="5"/>
      <c r="K192" s="2">
        <v>7.3000000000000001E-3</v>
      </c>
      <c r="L192" t="s">
        <v>89</v>
      </c>
      <c r="M192">
        <v>587</v>
      </c>
      <c r="N192" s="4"/>
      <c r="R192">
        <v>414577.99800000002</v>
      </c>
      <c r="S192" t="s">
        <v>105</v>
      </c>
      <c r="T192">
        <v>0</v>
      </c>
      <c r="U192" t="s">
        <v>105</v>
      </c>
      <c r="V192">
        <v>5348745.12</v>
      </c>
      <c r="W192" t="s">
        <v>105</v>
      </c>
      <c r="X192">
        <v>0</v>
      </c>
      <c r="Y192" t="s">
        <v>105</v>
      </c>
      <c r="AB192" t="str">
        <f>IFERROR(VLOOKUP($A192,fund_metadata!$A:$P,2,FALSE),"")</f>
        <v>Cliffwater</v>
      </c>
      <c r="AC192" t="str">
        <f>IFERROR(VLOOKUP($A192,fund_metadata!$A:$P,16,FALSE),"")</f>
        <v>private_credit</v>
      </c>
    </row>
    <row r="193" spans="1:29" x14ac:dyDescent="0.25">
      <c r="A193">
        <v>3</v>
      </c>
      <c r="B193" s="3">
        <v>46081</v>
      </c>
      <c r="C193">
        <v>9855725.8800000008</v>
      </c>
      <c r="D193" t="s">
        <v>105</v>
      </c>
      <c r="E193" s="4">
        <v>8120000000</v>
      </c>
      <c r="F193" t="s">
        <v>89</v>
      </c>
      <c r="G193" s="5">
        <v>10.93</v>
      </c>
      <c r="H193" t="s">
        <v>89</v>
      </c>
      <c r="I193" s="5"/>
      <c r="K193" s="2">
        <v>4.5999999999999999E-3</v>
      </c>
      <c r="L193" t="s">
        <v>89</v>
      </c>
      <c r="N193" s="4"/>
      <c r="R193">
        <v>901713.255</v>
      </c>
      <c r="S193" t="s">
        <v>105</v>
      </c>
      <c r="AB193" t="str">
        <f>IFERROR(VLOOKUP($A193,fund_metadata!$A:$P,2,FALSE),"")</f>
        <v>Cliffwater</v>
      </c>
      <c r="AC193" t="str">
        <f>IFERROR(VLOOKUP($A193,fund_metadata!$A:$P,16,FALSE),"")</f>
        <v>private_credit</v>
      </c>
    </row>
    <row r="194" spans="1:29" x14ac:dyDescent="0.25">
      <c r="A194">
        <v>3</v>
      </c>
      <c r="B194" s="3">
        <v>46053</v>
      </c>
      <c r="C194">
        <v>9810640.2100000009</v>
      </c>
      <c r="D194" t="s">
        <v>105</v>
      </c>
      <c r="E194" s="4">
        <v>7840000000</v>
      </c>
      <c r="F194" t="s">
        <v>89</v>
      </c>
      <c r="G194" s="5">
        <v>10.88</v>
      </c>
      <c r="H194" t="s">
        <v>89</v>
      </c>
      <c r="I194" s="5"/>
      <c r="K194" s="2">
        <v>6.4999999999999997E-3</v>
      </c>
      <c r="L194" t="s">
        <v>89</v>
      </c>
      <c r="N194" s="4"/>
      <c r="R194">
        <v>901713.255</v>
      </c>
      <c r="S194" t="s">
        <v>105</v>
      </c>
      <c r="T194">
        <v>0</v>
      </c>
      <c r="U194" t="s">
        <v>105</v>
      </c>
      <c r="V194">
        <v>0</v>
      </c>
      <c r="W194" t="s">
        <v>105</v>
      </c>
      <c r="X194">
        <v>0</v>
      </c>
      <c r="Y194" t="s">
        <v>105</v>
      </c>
      <c r="AB194" t="str">
        <f>IFERROR(VLOOKUP($A194,fund_metadata!$A:$P,2,FALSE),"")</f>
        <v>Cliffwater</v>
      </c>
      <c r="AC194" t="str">
        <f>IFERROR(VLOOKUP($A194,fund_metadata!$A:$P,16,FALSE),"")</f>
        <v>private_credit</v>
      </c>
    </row>
    <row r="195" spans="1:29" x14ac:dyDescent="0.25">
      <c r="A195">
        <v>3</v>
      </c>
      <c r="B195" s="3">
        <v>46022</v>
      </c>
      <c r="C195">
        <v>9747520.2899999991</v>
      </c>
      <c r="D195" t="s">
        <v>105</v>
      </c>
      <c r="E195" s="4">
        <v>7460000000</v>
      </c>
      <c r="F195" t="s">
        <v>89</v>
      </c>
      <c r="G195" s="5">
        <v>10.81</v>
      </c>
      <c r="H195" t="s">
        <v>89</v>
      </c>
      <c r="I195" s="5">
        <v>0.28999999999999998</v>
      </c>
      <c r="J195" t="s">
        <v>89</v>
      </c>
      <c r="K195" s="2">
        <v>7.4000000000000003E-3</v>
      </c>
      <c r="L195" t="s">
        <v>89</v>
      </c>
      <c r="M195">
        <v>501</v>
      </c>
      <c r="N195" s="4"/>
      <c r="R195">
        <v>901713.255</v>
      </c>
      <c r="S195" t="s">
        <v>105</v>
      </c>
      <c r="T195">
        <v>10000000</v>
      </c>
      <c r="U195" t="s">
        <v>105</v>
      </c>
      <c r="V195">
        <v>0</v>
      </c>
      <c r="W195" t="s">
        <v>105</v>
      </c>
      <c r="X195">
        <v>262308.39</v>
      </c>
      <c r="Y195" t="s">
        <v>105</v>
      </c>
      <c r="AB195" t="str">
        <f>IFERROR(VLOOKUP($A195,fund_metadata!$A:$P,2,FALSE),"")</f>
        <v>Cliffwater</v>
      </c>
      <c r="AC195" t="str">
        <f>IFERROR(VLOOKUP($A195,fund_metadata!$A:$P,16,FALSE),"")</f>
        <v>private_credit</v>
      </c>
    </row>
    <row r="196" spans="1:29" x14ac:dyDescent="0.25">
      <c r="A196">
        <v>3</v>
      </c>
      <c r="B196" s="3">
        <v>45991</v>
      </c>
      <c r="E196" s="4">
        <v>7550000000</v>
      </c>
      <c r="F196" t="s">
        <v>89</v>
      </c>
      <c r="G196" s="5">
        <v>11.02</v>
      </c>
      <c r="H196" t="s">
        <v>89</v>
      </c>
      <c r="I196" s="5"/>
      <c r="K196" s="2">
        <v>1.01E-2</v>
      </c>
      <c r="L196" t="s">
        <v>89</v>
      </c>
      <c r="N196" s="4"/>
      <c r="AB196" t="str">
        <f>IFERROR(VLOOKUP($A196,fund_metadata!$A:$P,2,FALSE),"")</f>
        <v>Cliffwater</v>
      </c>
      <c r="AC196" t="str">
        <f>IFERROR(VLOOKUP($A196,fund_metadata!$A:$P,16,FALSE),"")</f>
        <v>private_credit</v>
      </c>
    </row>
    <row r="197" spans="1:29" x14ac:dyDescent="0.25">
      <c r="A197">
        <v>3</v>
      </c>
      <c r="B197" s="3">
        <v>45961</v>
      </c>
      <c r="E197" s="4">
        <v>7210000000</v>
      </c>
      <c r="F197" t="s">
        <v>89</v>
      </c>
      <c r="G197" s="5">
        <v>10.91</v>
      </c>
      <c r="H197" t="s">
        <v>89</v>
      </c>
      <c r="I197" s="5">
        <v>0.31</v>
      </c>
      <c r="J197" t="s">
        <v>89</v>
      </c>
      <c r="K197" s="2">
        <v>9.7000000000000003E-3</v>
      </c>
      <c r="L197" t="s">
        <v>89</v>
      </c>
      <c r="N197" s="4"/>
      <c r="AB197" t="str">
        <f>IFERROR(VLOOKUP($A197,fund_metadata!$A:$P,2,FALSE),"")</f>
        <v>Cliffwater</v>
      </c>
      <c r="AC197" t="str">
        <f>IFERROR(VLOOKUP($A197,fund_metadata!$A:$P,16,FALSE),"")</f>
        <v>private_credit</v>
      </c>
    </row>
    <row r="198" spans="1:29" x14ac:dyDescent="0.25">
      <c r="A198">
        <v>3</v>
      </c>
      <c r="B198" s="3">
        <v>45930</v>
      </c>
      <c r="E198" s="4">
        <v>6930000000</v>
      </c>
      <c r="F198" t="s">
        <v>89</v>
      </c>
      <c r="G198" s="5">
        <v>11.11</v>
      </c>
      <c r="H198" t="s">
        <v>89</v>
      </c>
      <c r="I198" s="5"/>
      <c r="K198" s="2">
        <v>9.1000000000000004E-3</v>
      </c>
      <c r="L198" t="s">
        <v>89</v>
      </c>
      <c r="M198">
        <v>442</v>
      </c>
      <c r="N198" s="4">
        <v>7210000000</v>
      </c>
      <c r="O198" t="s">
        <v>89</v>
      </c>
      <c r="P198">
        <v>625004069</v>
      </c>
      <c r="Q198" t="s">
        <v>120</v>
      </c>
      <c r="AB198" t="str">
        <f>IFERROR(VLOOKUP($A198,fund_metadata!$A:$P,2,FALSE),"")</f>
        <v>Cliffwater</v>
      </c>
      <c r="AC198" t="str">
        <f>IFERROR(VLOOKUP($A198,fund_metadata!$A:$P,16,FALSE),"")</f>
        <v>private_credit</v>
      </c>
    </row>
    <row r="199" spans="1:29" x14ac:dyDescent="0.25">
      <c r="A199">
        <v>3</v>
      </c>
      <c r="B199" s="3">
        <v>45900</v>
      </c>
      <c r="E199" s="4">
        <v>6610000000</v>
      </c>
      <c r="F199" t="s">
        <v>89</v>
      </c>
      <c r="G199" s="5">
        <v>11.01</v>
      </c>
      <c r="H199" t="s">
        <v>89</v>
      </c>
      <c r="I199" s="5"/>
      <c r="K199" s="2">
        <v>8.2000000000000007E-3</v>
      </c>
      <c r="L199" t="s">
        <v>89</v>
      </c>
      <c r="N199" s="4"/>
      <c r="AB199" t="str">
        <f>IFERROR(VLOOKUP($A199,fund_metadata!$A:$P,2,FALSE),"")</f>
        <v>Cliffwater</v>
      </c>
      <c r="AC199" t="str">
        <f>IFERROR(VLOOKUP($A199,fund_metadata!$A:$P,16,FALSE),"")</f>
        <v>private_credit</v>
      </c>
    </row>
    <row r="200" spans="1:29" x14ac:dyDescent="0.25">
      <c r="A200">
        <v>3</v>
      </c>
      <c r="B200" s="3">
        <v>45869</v>
      </c>
      <c r="E200" s="4">
        <v>6260000000</v>
      </c>
      <c r="F200" t="s">
        <v>89</v>
      </c>
      <c r="G200" s="5">
        <v>10.92</v>
      </c>
      <c r="H200" t="s">
        <v>89</v>
      </c>
      <c r="I200" s="5">
        <v>0.31</v>
      </c>
      <c r="J200" t="s">
        <v>89</v>
      </c>
      <c r="K200" s="2">
        <v>6.1000000000000004E-3</v>
      </c>
      <c r="L200" t="s">
        <v>89</v>
      </c>
      <c r="N200" s="4"/>
      <c r="AB200" t="str">
        <f>IFERROR(VLOOKUP($A200,fund_metadata!$A:$P,2,FALSE),"")</f>
        <v>Cliffwater</v>
      </c>
      <c r="AC200" t="str">
        <f>IFERROR(VLOOKUP($A200,fund_metadata!$A:$P,16,FALSE),"")</f>
        <v>private_credit</v>
      </c>
    </row>
    <row r="201" spans="1:29" x14ac:dyDescent="0.25">
      <c r="A201">
        <v>3</v>
      </c>
      <c r="B201" s="3">
        <v>45838</v>
      </c>
      <c r="E201" s="4">
        <v>5970000000</v>
      </c>
      <c r="F201" t="s">
        <v>89</v>
      </c>
      <c r="G201" s="5">
        <v>11.16</v>
      </c>
      <c r="H201" t="s">
        <v>89</v>
      </c>
      <c r="I201" s="5"/>
      <c r="K201" s="2">
        <v>8.0999999999999996E-3</v>
      </c>
      <c r="L201" t="s">
        <v>89</v>
      </c>
      <c r="M201">
        <v>461</v>
      </c>
      <c r="N201" s="4"/>
      <c r="AB201" t="str">
        <f>IFERROR(VLOOKUP($A201,fund_metadata!$A:$P,2,FALSE),"")</f>
        <v>Cliffwater</v>
      </c>
      <c r="AC201" t="str">
        <f>IFERROR(VLOOKUP($A201,fund_metadata!$A:$P,16,FALSE),"")</f>
        <v>private_credit</v>
      </c>
    </row>
    <row r="202" spans="1:29" x14ac:dyDescent="0.25">
      <c r="A202">
        <v>3</v>
      </c>
      <c r="B202" s="3">
        <v>45808</v>
      </c>
      <c r="E202" s="4">
        <v>5810000000</v>
      </c>
      <c r="F202" t="s">
        <v>89</v>
      </c>
      <c r="G202" s="5">
        <v>11.07</v>
      </c>
      <c r="H202" t="s">
        <v>89</v>
      </c>
      <c r="I202" s="5"/>
      <c r="K202" s="2">
        <v>1.47E-2</v>
      </c>
      <c r="L202" t="s">
        <v>89</v>
      </c>
      <c r="N202" s="4"/>
      <c r="AB202" t="str">
        <f>IFERROR(VLOOKUP($A202,fund_metadata!$A:$P,2,FALSE),"")</f>
        <v>Cliffwater</v>
      </c>
      <c r="AC202" t="str">
        <f>IFERROR(VLOOKUP($A202,fund_metadata!$A:$P,16,FALSE),"")</f>
        <v>private_credit</v>
      </c>
    </row>
    <row r="203" spans="1:29" x14ac:dyDescent="0.25">
      <c r="A203">
        <v>3</v>
      </c>
      <c r="B203" s="3">
        <v>45777</v>
      </c>
      <c r="E203" s="4">
        <v>5460000000</v>
      </c>
      <c r="F203" t="s">
        <v>89</v>
      </c>
      <c r="G203" s="5">
        <v>10.91</v>
      </c>
      <c r="H203" t="s">
        <v>89</v>
      </c>
      <c r="I203" s="5">
        <v>0.31</v>
      </c>
      <c r="J203" t="s">
        <v>89</v>
      </c>
      <c r="K203" s="2">
        <v>6.1000000000000004E-3</v>
      </c>
      <c r="L203" t="s">
        <v>89</v>
      </c>
      <c r="N203" s="4"/>
      <c r="AB203" t="str">
        <f>IFERROR(VLOOKUP($A203,fund_metadata!$A:$P,2,FALSE),"")</f>
        <v>Cliffwater</v>
      </c>
      <c r="AC203" t="str">
        <f>IFERROR(VLOOKUP($A203,fund_metadata!$A:$P,16,FALSE),"")</f>
        <v>private_credit</v>
      </c>
    </row>
    <row r="204" spans="1:29" x14ac:dyDescent="0.25">
      <c r="A204">
        <v>3</v>
      </c>
      <c r="B204" s="3">
        <v>45747</v>
      </c>
      <c r="E204" s="4">
        <v>5320000000</v>
      </c>
      <c r="F204" t="s">
        <v>89</v>
      </c>
      <c r="G204" s="5">
        <v>11.15</v>
      </c>
      <c r="H204" t="s">
        <v>89</v>
      </c>
      <c r="I204" s="5"/>
      <c r="K204" s="2">
        <v>1.46E-2</v>
      </c>
      <c r="L204" t="s">
        <v>89</v>
      </c>
      <c r="M204">
        <v>420</v>
      </c>
      <c r="N204" s="4">
        <v>5650000000</v>
      </c>
      <c r="O204" t="s">
        <v>89</v>
      </c>
      <c r="P204">
        <v>477664544</v>
      </c>
      <c r="Q204" t="s">
        <v>121</v>
      </c>
      <c r="AB204" t="str">
        <f>IFERROR(VLOOKUP($A204,fund_metadata!$A:$P,2,FALSE),"")</f>
        <v>Cliffwater</v>
      </c>
      <c r="AC204" t="str">
        <f>IFERROR(VLOOKUP($A204,fund_metadata!$A:$P,16,FALSE),"")</f>
        <v>private_credit</v>
      </c>
    </row>
    <row r="205" spans="1:29" x14ac:dyDescent="0.25">
      <c r="A205">
        <v>3</v>
      </c>
      <c r="B205" s="3">
        <v>45716</v>
      </c>
      <c r="E205" s="4">
        <v>5110000000</v>
      </c>
      <c r="F205" t="s">
        <v>89</v>
      </c>
      <c r="G205" s="5">
        <v>10.99</v>
      </c>
      <c r="H205" t="s">
        <v>89</v>
      </c>
      <c r="I205" s="5"/>
      <c r="K205" s="2">
        <v>7.3000000000000001E-3</v>
      </c>
      <c r="L205" t="s">
        <v>89</v>
      </c>
      <c r="N205" s="4"/>
      <c r="AB205" t="str">
        <f>IFERROR(VLOOKUP($A205,fund_metadata!$A:$P,2,FALSE),"")</f>
        <v>Cliffwater</v>
      </c>
      <c r="AC205" t="str">
        <f>IFERROR(VLOOKUP($A205,fund_metadata!$A:$P,16,FALSE),"")</f>
        <v>private_credit</v>
      </c>
    </row>
    <row r="206" spans="1:29" x14ac:dyDescent="0.25">
      <c r="A206">
        <v>3</v>
      </c>
      <c r="B206" s="3">
        <v>45688</v>
      </c>
      <c r="E206" s="4">
        <v>4820000000</v>
      </c>
      <c r="F206" t="s">
        <v>89</v>
      </c>
      <c r="G206" s="5">
        <v>10.91</v>
      </c>
      <c r="H206" t="s">
        <v>89</v>
      </c>
      <c r="I206" s="5"/>
      <c r="K206" s="2">
        <v>6.4999999999999997E-3</v>
      </c>
      <c r="L206" t="s">
        <v>89</v>
      </c>
      <c r="N206" s="4"/>
      <c r="AB206" t="str">
        <f>IFERROR(VLOOKUP($A206,fund_metadata!$A:$P,2,FALSE),"")</f>
        <v>Cliffwater</v>
      </c>
      <c r="AC206" t="str">
        <f>IFERROR(VLOOKUP($A206,fund_metadata!$A:$P,16,FALSE),"")</f>
        <v>private_credit</v>
      </c>
    </row>
    <row r="207" spans="1:29" x14ac:dyDescent="0.25">
      <c r="A207">
        <v>3</v>
      </c>
      <c r="B207" s="3">
        <v>45657</v>
      </c>
      <c r="E207" s="4">
        <v>4560000000</v>
      </c>
      <c r="F207" t="s">
        <v>89</v>
      </c>
      <c r="G207" s="5">
        <v>10.84</v>
      </c>
      <c r="H207" t="s">
        <v>89</v>
      </c>
      <c r="I207" s="5">
        <v>0.31</v>
      </c>
      <c r="J207" t="s">
        <v>89</v>
      </c>
      <c r="K207" s="2">
        <v>7.7999999999999996E-3</v>
      </c>
      <c r="L207" t="s">
        <v>89</v>
      </c>
      <c r="M207">
        <v>396</v>
      </c>
      <c r="N207" s="4"/>
      <c r="AB207" t="str">
        <f>IFERROR(VLOOKUP($A207,fund_metadata!$A:$P,2,FALSE),"")</f>
        <v>Cliffwater</v>
      </c>
      <c r="AC207" t="str">
        <f>IFERROR(VLOOKUP($A207,fund_metadata!$A:$P,16,FALSE),"")</f>
        <v>private_credit</v>
      </c>
    </row>
    <row r="208" spans="1:29" x14ac:dyDescent="0.25">
      <c r="A208">
        <v>3</v>
      </c>
      <c r="B208" s="3">
        <v>45626</v>
      </c>
      <c r="E208" s="4">
        <v>4330000000</v>
      </c>
      <c r="F208" t="s">
        <v>89</v>
      </c>
      <c r="G208" s="5">
        <v>11.06</v>
      </c>
      <c r="H208" t="s">
        <v>89</v>
      </c>
      <c r="I208" s="5"/>
      <c r="K208" s="2">
        <v>9.1000000000000004E-3</v>
      </c>
      <c r="L208" t="s">
        <v>89</v>
      </c>
      <c r="N208" s="4"/>
      <c r="AB208" t="str">
        <f>IFERROR(VLOOKUP($A208,fund_metadata!$A:$P,2,FALSE),"")</f>
        <v>Cliffwater</v>
      </c>
      <c r="AC208" t="str">
        <f>IFERROR(VLOOKUP($A208,fund_metadata!$A:$P,16,FALSE),"")</f>
        <v>private_credit</v>
      </c>
    </row>
    <row r="209" spans="1:29" x14ac:dyDescent="0.25">
      <c r="A209">
        <v>3</v>
      </c>
      <c r="B209" s="3">
        <v>45596</v>
      </c>
      <c r="E209" s="4">
        <v>4140000000</v>
      </c>
      <c r="F209" t="s">
        <v>89</v>
      </c>
      <c r="G209" s="5">
        <v>10.96</v>
      </c>
      <c r="H209" t="s">
        <v>89</v>
      </c>
      <c r="I209" s="5">
        <v>0.31</v>
      </c>
      <c r="J209" t="s">
        <v>89</v>
      </c>
      <c r="K209" s="2">
        <v>7.9000000000000008E-3</v>
      </c>
      <c r="L209" t="s">
        <v>89</v>
      </c>
      <c r="N209" s="4"/>
      <c r="AB209" t="str">
        <f>IFERROR(VLOOKUP($A209,fund_metadata!$A:$P,2,FALSE),"")</f>
        <v>Cliffwater</v>
      </c>
      <c r="AC209" t="str">
        <f>IFERROR(VLOOKUP($A209,fund_metadata!$A:$P,16,FALSE),"")</f>
        <v>private_credit</v>
      </c>
    </row>
    <row r="210" spans="1:29" x14ac:dyDescent="0.25">
      <c r="A210">
        <v>3</v>
      </c>
      <c r="B210" s="3">
        <v>45565</v>
      </c>
      <c r="E210" s="4">
        <v>3960000000</v>
      </c>
      <c r="F210" t="s">
        <v>89</v>
      </c>
      <c r="G210" s="5">
        <v>11.18</v>
      </c>
      <c r="H210" t="s">
        <v>89</v>
      </c>
      <c r="I210" s="5"/>
      <c r="K210" s="2">
        <v>6.3E-3</v>
      </c>
      <c r="L210" t="s">
        <v>89</v>
      </c>
      <c r="M210">
        <v>327</v>
      </c>
      <c r="N210" s="4">
        <v>4130000000</v>
      </c>
      <c r="O210" t="s">
        <v>89</v>
      </c>
      <c r="P210">
        <v>355032566</v>
      </c>
      <c r="Q210" t="s">
        <v>120</v>
      </c>
      <c r="AB210" t="str">
        <f>IFERROR(VLOOKUP($A210,fund_metadata!$A:$P,2,FALSE),"")</f>
        <v>Cliffwater</v>
      </c>
      <c r="AC210" t="str">
        <f>IFERROR(VLOOKUP($A210,fund_metadata!$A:$P,16,FALSE),"")</f>
        <v>private_credit</v>
      </c>
    </row>
    <row r="211" spans="1:29" x14ac:dyDescent="0.25">
      <c r="A211">
        <v>3</v>
      </c>
      <c r="B211" s="3">
        <v>45535</v>
      </c>
      <c r="E211" s="4">
        <v>3740000000</v>
      </c>
      <c r="F211" t="s">
        <v>89</v>
      </c>
      <c r="G211" s="5">
        <v>11.11</v>
      </c>
      <c r="H211" t="s">
        <v>89</v>
      </c>
      <c r="I211" s="5"/>
      <c r="K211" s="2">
        <v>1.2800000000000001E-2</v>
      </c>
      <c r="L211" t="s">
        <v>89</v>
      </c>
      <c r="N211" s="4"/>
      <c r="AB211" t="str">
        <f>IFERROR(VLOOKUP($A211,fund_metadata!$A:$P,2,FALSE),"")</f>
        <v>Cliffwater</v>
      </c>
      <c r="AC211" t="str">
        <f>IFERROR(VLOOKUP($A211,fund_metadata!$A:$P,16,FALSE),"")</f>
        <v>private_credit</v>
      </c>
    </row>
    <row r="212" spans="1:29" x14ac:dyDescent="0.25">
      <c r="A212">
        <v>3</v>
      </c>
      <c r="B212" s="3">
        <v>45504</v>
      </c>
      <c r="E212" s="4">
        <v>3570000000</v>
      </c>
      <c r="F212" t="s">
        <v>89</v>
      </c>
      <c r="G212" s="5">
        <v>10.97</v>
      </c>
      <c r="H212" t="s">
        <v>89</v>
      </c>
      <c r="I212" s="5">
        <v>0.31</v>
      </c>
      <c r="J212" t="s">
        <v>89</v>
      </c>
      <c r="K212" s="2">
        <v>8.0000000000000002E-3</v>
      </c>
      <c r="L212" t="s">
        <v>89</v>
      </c>
      <c r="N212" s="4"/>
      <c r="AB212" t="str">
        <f>IFERROR(VLOOKUP($A212,fund_metadata!$A:$P,2,FALSE),"")</f>
        <v>Cliffwater</v>
      </c>
      <c r="AC212" t="str">
        <f>IFERROR(VLOOKUP($A212,fund_metadata!$A:$P,16,FALSE),"")</f>
        <v>private_credit</v>
      </c>
    </row>
    <row r="213" spans="1:29" x14ac:dyDescent="0.25">
      <c r="A213">
        <v>3</v>
      </c>
      <c r="B213" s="3">
        <v>45473</v>
      </c>
      <c r="E213" s="4">
        <v>3440000000</v>
      </c>
      <c r="F213" t="s">
        <v>89</v>
      </c>
      <c r="G213" s="5">
        <v>11.19</v>
      </c>
      <c r="H213" t="s">
        <v>89</v>
      </c>
      <c r="I213" s="5"/>
      <c r="K213" s="2">
        <v>1.2699999999999999E-2</v>
      </c>
      <c r="L213" t="s">
        <v>89</v>
      </c>
      <c r="M213">
        <v>363</v>
      </c>
      <c r="N213" s="4"/>
      <c r="AB213" t="str">
        <f>IFERROR(VLOOKUP($A213,fund_metadata!$A:$P,2,FALSE),"")</f>
        <v>Cliffwater</v>
      </c>
      <c r="AC213" t="str">
        <f>IFERROR(VLOOKUP($A213,fund_metadata!$A:$P,16,FALSE),"")</f>
        <v>private_credit</v>
      </c>
    </row>
    <row r="214" spans="1:29" x14ac:dyDescent="0.25">
      <c r="A214">
        <v>3</v>
      </c>
      <c r="B214" s="3">
        <v>45443</v>
      </c>
      <c r="E214" s="4">
        <v>3250000000</v>
      </c>
      <c r="F214" t="s">
        <v>89</v>
      </c>
      <c r="G214" s="5">
        <v>11.05</v>
      </c>
      <c r="H214" t="s">
        <v>89</v>
      </c>
      <c r="I214" s="5"/>
      <c r="K214" s="2">
        <v>1.38E-2</v>
      </c>
      <c r="L214" t="s">
        <v>89</v>
      </c>
      <c r="N214" s="4"/>
      <c r="AB214" t="str">
        <f>IFERROR(VLOOKUP($A214,fund_metadata!$A:$P,2,FALSE),"")</f>
        <v>Cliffwater</v>
      </c>
      <c r="AC214" t="str">
        <f>IFERROR(VLOOKUP($A214,fund_metadata!$A:$P,16,FALSE),"")</f>
        <v>private_credit</v>
      </c>
    </row>
    <row r="215" spans="1:29" x14ac:dyDescent="0.25">
      <c r="A215">
        <v>3</v>
      </c>
      <c r="B215" s="3">
        <v>45412</v>
      </c>
      <c r="E215" s="4">
        <v>3110000000</v>
      </c>
      <c r="F215" t="s">
        <v>89</v>
      </c>
      <c r="G215" s="5">
        <v>10.9</v>
      </c>
      <c r="H215" t="s">
        <v>89</v>
      </c>
      <c r="I215" s="5"/>
      <c r="K215" s="2">
        <v>1.8700000000000001E-2</v>
      </c>
      <c r="L215" t="s">
        <v>89</v>
      </c>
      <c r="N215" s="4"/>
      <c r="AB215" t="str">
        <f>IFERROR(VLOOKUP($A215,fund_metadata!$A:$P,2,FALSE),"")</f>
        <v>Cliffwater</v>
      </c>
      <c r="AC215" t="str">
        <f>IFERROR(VLOOKUP($A215,fund_metadata!$A:$P,16,FALSE),"")</f>
        <v>private_credit</v>
      </c>
    </row>
    <row r="216" spans="1:29" x14ac:dyDescent="0.25">
      <c r="A216">
        <v>3</v>
      </c>
      <c r="B216" s="3">
        <v>45382</v>
      </c>
      <c r="E216" s="4">
        <v>2860000000</v>
      </c>
      <c r="F216" t="s">
        <v>89</v>
      </c>
      <c r="G216" s="5">
        <v>10.7</v>
      </c>
      <c r="H216" t="s">
        <v>89</v>
      </c>
      <c r="I216" s="5">
        <v>0.3</v>
      </c>
      <c r="J216" t="s">
        <v>89</v>
      </c>
      <c r="K216" s="2">
        <v>8.3999999999999995E-3</v>
      </c>
      <c r="L216" t="s">
        <v>89</v>
      </c>
      <c r="M216">
        <v>337</v>
      </c>
      <c r="N216" s="4"/>
      <c r="P216">
        <v>273382804</v>
      </c>
      <c r="Q216" t="s">
        <v>121</v>
      </c>
      <c r="AB216" t="str">
        <f>IFERROR(VLOOKUP($A216,fund_metadata!$A:$P,2,FALSE),"")</f>
        <v>Cliffwater</v>
      </c>
      <c r="AC216" t="str">
        <f>IFERROR(VLOOKUP($A216,fund_metadata!$A:$P,16,FALSE),"")</f>
        <v>private_credit</v>
      </c>
    </row>
    <row r="217" spans="1:29" x14ac:dyDescent="0.25">
      <c r="A217">
        <v>3</v>
      </c>
      <c r="B217" s="3">
        <v>45351</v>
      </c>
      <c r="E217" s="4">
        <v>2870000000</v>
      </c>
      <c r="F217" t="s">
        <v>89</v>
      </c>
      <c r="G217" s="5">
        <v>10.91</v>
      </c>
      <c r="H217" t="s">
        <v>89</v>
      </c>
      <c r="I217" s="5"/>
      <c r="K217" s="2">
        <v>7.4000000000000003E-3</v>
      </c>
      <c r="L217" t="s">
        <v>89</v>
      </c>
      <c r="N217" s="4"/>
      <c r="AB217" t="str">
        <f>IFERROR(VLOOKUP($A217,fund_metadata!$A:$P,2,FALSE),"")</f>
        <v>Cliffwater</v>
      </c>
      <c r="AC217" t="str">
        <f>IFERROR(VLOOKUP($A217,fund_metadata!$A:$P,16,FALSE),"")</f>
        <v>private_credit</v>
      </c>
    </row>
    <row r="218" spans="1:29" x14ac:dyDescent="0.25">
      <c r="A218">
        <v>3</v>
      </c>
      <c r="B218" s="3">
        <v>45322</v>
      </c>
      <c r="E218" s="4">
        <v>2670000000</v>
      </c>
      <c r="F218" t="s">
        <v>89</v>
      </c>
      <c r="G218" s="5">
        <v>10.83</v>
      </c>
      <c r="H218" t="s">
        <v>89</v>
      </c>
      <c r="I218" s="5"/>
      <c r="K218" s="2">
        <v>1.03E-2</v>
      </c>
      <c r="L218" t="s">
        <v>89</v>
      </c>
      <c r="N218" s="4"/>
      <c r="AB218" t="str">
        <f>IFERROR(VLOOKUP($A218,fund_metadata!$A:$P,2,FALSE),"")</f>
        <v>Cliffwater</v>
      </c>
      <c r="AC218" t="str">
        <f>IFERROR(VLOOKUP($A218,fund_metadata!$A:$P,16,FALSE),"")</f>
        <v>private_credit</v>
      </c>
    </row>
    <row r="219" spans="1:29" x14ac:dyDescent="0.25">
      <c r="A219">
        <v>3</v>
      </c>
      <c r="B219" s="3">
        <v>45291</v>
      </c>
      <c r="E219" s="4">
        <v>2510000000</v>
      </c>
      <c r="F219" t="s">
        <v>89</v>
      </c>
      <c r="G219" s="5">
        <v>10.72</v>
      </c>
      <c r="H219" t="s">
        <v>89</v>
      </c>
      <c r="I219" s="5">
        <v>0.3</v>
      </c>
      <c r="J219" t="s">
        <v>89</v>
      </c>
      <c r="K219" s="2">
        <v>1.3100000000000001E-2</v>
      </c>
      <c r="L219" t="s">
        <v>89</v>
      </c>
      <c r="M219">
        <v>322</v>
      </c>
      <c r="N219" s="4"/>
      <c r="AB219" t="str">
        <f>IFERROR(VLOOKUP($A219,fund_metadata!$A:$P,2,FALSE),"")</f>
        <v>Cliffwater</v>
      </c>
      <c r="AC219" t="str">
        <f>IFERROR(VLOOKUP($A219,fund_metadata!$A:$P,16,FALSE),"")</f>
        <v>private_credit</v>
      </c>
    </row>
    <row r="220" spans="1:29" x14ac:dyDescent="0.25">
      <c r="A220">
        <v>3</v>
      </c>
      <c r="B220" s="3">
        <v>45260</v>
      </c>
      <c r="E220" s="4">
        <v>2370000000</v>
      </c>
      <c r="F220" t="s">
        <v>89</v>
      </c>
      <c r="G220" s="5">
        <v>10.88</v>
      </c>
      <c r="H220" t="s">
        <v>89</v>
      </c>
      <c r="I220" s="5"/>
      <c r="K220" s="2">
        <v>1.12E-2</v>
      </c>
      <c r="L220" t="s">
        <v>89</v>
      </c>
      <c r="N220" s="4"/>
      <c r="AB220" t="str">
        <f>IFERROR(VLOOKUP($A220,fund_metadata!$A:$P,2,FALSE),"")</f>
        <v>Cliffwater</v>
      </c>
      <c r="AC220" t="str">
        <f>IFERROR(VLOOKUP($A220,fund_metadata!$A:$P,16,FALSE),"")</f>
        <v>private_credit</v>
      </c>
    </row>
    <row r="221" spans="1:29" x14ac:dyDescent="0.25">
      <c r="A221">
        <v>3</v>
      </c>
      <c r="B221" s="3">
        <v>45230</v>
      </c>
      <c r="E221" s="4">
        <v>2320000000</v>
      </c>
      <c r="F221" t="s">
        <v>89</v>
      </c>
      <c r="G221" s="5">
        <v>10.76</v>
      </c>
      <c r="H221" t="s">
        <v>89</v>
      </c>
      <c r="I221" s="5">
        <v>0.3</v>
      </c>
      <c r="J221" t="s">
        <v>89</v>
      </c>
      <c r="K221" s="2">
        <v>7.6E-3</v>
      </c>
      <c r="L221" t="s">
        <v>89</v>
      </c>
      <c r="N221" s="4"/>
      <c r="AB221" t="str">
        <f>IFERROR(VLOOKUP($A221,fund_metadata!$A:$P,2,FALSE),"")</f>
        <v>Cliffwater</v>
      </c>
      <c r="AC221" t="str">
        <f>IFERROR(VLOOKUP($A221,fund_metadata!$A:$P,16,FALSE),"")</f>
        <v>private_credit</v>
      </c>
    </row>
    <row r="222" spans="1:29" x14ac:dyDescent="0.25">
      <c r="A222">
        <v>3</v>
      </c>
      <c r="B222" s="3">
        <v>45199</v>
      </c>
      <c r="E222" s="4">
        <v>2220000000</v>
      </c>
      <c r="F222" t="s">
        <v>89</v>
      </c>
      <c r="G222" s="5">
        <v>10.98</v>
      </c>
      <c r="H222" t="s">
        <v>89</v>
      </c>
      <c r="I222" s="5"/>
      <c r="K222" s="2">
        <v>1.2E-2</v>
      </c>
      <c r="L222" t="s">
        <v>89</v>
      </c>
      <c r="M222">
        <v>262</v>
      </c>
      <c r="N222" s="4">
        <v>2370000000</v>
      </c>
      <c r="O222" t="s">
        <v>89</v>
      </c>
      <c r="P222">
        <v>202250888</v>
      </c>
      <c r="Q222" t="s">
        <v>120</v>
      </c>
      <c r="AB222" t="str">
        <f>IFERROR(VLOOKUP($A222,fund_metadata!$A:$P,2,FALSE),"")</f>
        <v>Cliffwater</v>
      </c>
      <c r="AC222" t="str">
        <f>IFERROR(VLOOKUP($A222,fund_metadata!$A:$P,16,FALSE),"")</f>
        <v>private_credit</v>
      </c>
    </row>
    <row r="223" spans="1:29" x14ac:dyDescent="0.25">
      <c r="A223">
        <v>3</v>
      </c>
      <c r="B223" s="3">
        <v>45169</v>
      </c>
      <c r="E223" s="4">
        <v>2040000000</v>
      </c>
      <c r="F223" t="s">
        <v>89</v>
      </c>
      <c r="G223" s="5">
        <v>10.85</v>
      </c>
      <c r="H223" t="s">
        <v>89</v>
      </c>
      <c r="I223" s="5"/>
      <c r="K223" s="2">
        <v>1.0200000000000001E-2</v>
      </c>
      <c r="L223" t="s">
        <v>89</v>
      </c>
      <c r="N223" s="4"/>
      <c r="AB223" t="str">
        <f>IFERROR(VLOOKUP($A223,fund_metadata!$A:$P,2,FALSE),"")</f>
        <v>Cliffwater</v>
      </c>
      <c r="AC223" t="str">
        <f>IFERROR(VLOOKUP($A223,fund_metadata!$A:$P,16,FALSE),"")</f>
        <v>private_credit</v>
      </c>
    </row>
    <row r="224" spans="1:29" x14ac:dyDescent="0.25">
      <c r="A224">
        <v>3</v>
      </c>
      <c r="B224" s="3">
        <v>45138</v>
      </c>
      <c r="E224" s="4">
        <v>1900000000</v>
      </c>
      <c r="F224" t="s">
        <v>89</v>
      </c>
      <c r="G224" s="5">
        <v>10.74</v>
      </c>
      <c r="H224" t="s">
        <v>89</v>
      </c>
      <c r="I224" s="5">
        <v>0.27</v>
      </c>
      <c r="J224" t="s">
        <v>89</v>
      </c>
      <c r="K224" s="2">
        <v>1.06E-2</v>
      </c>
      <c r="L224" t="s">
        <v>89</v>
      </c>
      <c r="N224" s="4"/>
      <c r="AB224" t="str">
        <f>IFERROR(VLOOKUP($A224,fund_metadata!$A:$P,2,FALSE),"")</f>
        <v>Cliffwater</v>
      </c>
      <c r="AC224" t="str">
        <f>IFERROR(VLOOKUP($A224,fund_metadata!$A:$P,16,FALSE),"")</f>
        <v>private_credit</v>
      </c>
    </row>
    <row r="225" spans="1:29" x14ac:dyDescent="0.25">
      <c r="A225">
        <v>3</v>
      </c>
      <c r="B225" s="3">
        <v>45107</v>
      </c>
      <c r="E225" s="4">
        <v>1830000000</v>
      </c>
      <c r="F225" t="s">
        <v>89</v>
      </c>
      <c r="G225" s="5">
        <v>10.9</v>
      </c>
      <c r="H225" t="s">
        <v>89</v>
      </c>
      <c r="I225" s="5"/>
      <c r="K225" s="2">
        <v>1.21E-2</v>
      </c>
      <c r="L225" t="s">
        <v>89</v>
      </c>
      <c r="M225">
        <v>202</v>
      </c>
      <c r="N225" s="4"/>
      <c r="AB225" t="str">
        <f>IFERROR(VLOOKUP($A225,fund_metadata!$A:$P,2,FALSE),"")</f>
        <v>Cliffwater</v>
      </c>
      <c r="AC225" t="str">
        <f>IFERROR(VLOOKUP($A225,fund_metadata!$A:$P,16,FALSE),"")</f>
        <v>private_credit</v>
      </c>
    </row>
    <row r="226" spans="1:29" x14ac:dyDescent="0.25">
      <c r="A226">
        <v>3</v>
      </c>
      <c r="B226" s="3">
        <v>45077</v>
      </c>
      <c r="E226" s="4">
        <v>1690000000</v>
      </c>
      <c r="F226" t="s">
        <v>89</v>
      </c>
      <c r="G226" s="5">
        <v>10.77</v>
      </c>
      <c r="H226" t="s">
        <v>89</v>
      </c>
      <c r="I226" s="5"/>
      <c r="K226" s="2">
        <v>1.03E-2</v>
      </c>
      <c r="L226" t="s">
        <v>89</v>
      </c>
      <c r="N226" s="4"/>
      <c r="AB226" t="str">
        <f>IFERROR(VLOOKUP($A226,fund_metadata!$A:$P,2,FALSE),"")</f>
        <v>Cliffwater</v>
      </c>
      <c r="AC226" t="str">
        <f>IFERROR(VLOOKUP($A226,fund_metadata!$A:$P,16,FALSE),"")</f>
        <v>private_credit</v>
      </c>
    </row>
    <row r="227" spans="1:29" x14ac:dyDescent="0.25">
      <c r="A227">
        <v>3</v>
      </c>
      <c r="B227" s="3">
        <v>45046</v>
      </c>
      <c r="E227" s="4">
        <v>1550000000</v>
      </c>
      <c r="F227" t="s">
        <v>89</v>
      </c>
      <c r="G227" s="5">
        <v>10.66</v>
      </c>
      <c r="H227" t="s">
        <v>89</v>
      </c>
      <c r="I227" s="5">
        <v>0.27</v>
      </c>
      <c r="J227" t="s">
        <v>89</v>
      </c>
      <c r="K227" s="2">
        <v>7.4999999999999997E-3</v>
      </c>
      <c r="L227" t="s">
        <v>89</v>
      </c>
      <c r="N227" s="4"/>
      <c r="AB227" t="str">
        <f>IFERROR(VLOOKUP($A227,fund_metadata!$A:$P,2,FALSE),"")</f>
        <v>Cliffwater</v>
      </c>
      <c r="AC227" t="str">
        <f>IFERROR(VLOOKUP($A227,fund_metadata!$A:$P,16,FALSE),"")</f>
        <v>private_credit</v>
      </c>
    </row>
    <row r="228" spans="1:29" x14ac:dyDescent="0.25">
      <c r="A228">
        <v>3</v>
      </c>
      <c r="B228" s="3">
        <v>45016</v>
      </c>
      <c r="E228" s="4">
        <v>1480000000</v>
      </c>
      <c r="F228" t="s">
        <v>89</v>
      </c>
      <c r="G228" s="5">
        <v>10.85</v>
      </c>
      <c r="H228" t="s">
        <v>89</v>
      </c>
      <c r="I228" s="5"/>
      <c r="K228" s="2">
        <v>8.3999999999999995E-3</v>
      </c>
      <c r="L228" t="s">
        <v>89</v>
      </c>
      <c r="M228">
        <v>158</v>
      </c>
      <c r="N228" s="4">
        <v>1510000000</v>
      </c>
      <c r="O228" t="s">
        <v>89</v>
      </c>
      <c r="P228">
        <v>136178510</v>
      </c>
      <c r="Q228" t="s">
        <v>121</v>
      </c>
      <c r="AB228" t="str">
        <f>IFERROR(VLOOKUP($A228,fund_metadata!$A:$P,2,FALSE),"")</f>
        <v>Cliffwater</v>
      </c>
      <c r="AC228" t="str">
        <f>IFERROR(VLOOKUP($A228,fund_metadata!$A:$P,16,FALSE),"")</f>
        <v>private_credit</v>
      </c>
    </row>
    <row r="229" spans="1:29" x14ac:dyDescent="0.25">
      <c r="A229">
        <v>3</v>
      </c>
      <c r="B229" s="3">
        <v>44985</v>
      </c>
      <c r="E229" s="4">
        <v>1390000000</v>
      </c>
      <c r="F229" t="s">
        <v>89</v>
      </c>
      <c r="G229" s="5">
        <v>10.76</v>
      </c>
      <c r="H229" t="s">
        <v>89</v>
      </c>
      <c r="I229" s="5"/>
      <c r="K229" s="2">
        <v>8.3999999999999995E-3</v>
      </c>
      <c r="L229" t="s">
        <v>89</v>
      </c>
      <c r="N229" s="4"/>
      <c r="AB229" t="str">
        <f>IFERROR(VLOOKUP($A229,fund_metadata!$A:$P,2,FALSE),"")</f>
        <v>Cliffwater</v>
      </c>
      <c r="AC229" t="str">
        <f>IFERROR(VLOOKUP($A229,fund_metadata!$A:$P,16,FALSE),"")</f>
        <v>private_credit</v>
      </c>
    </row>
    <row r="230" spans="1:29" x14ac:dyDescent="0.25">
      <c r="A230">
        <v>3</v>
      </c>
      <c r="B230" s="3">
        <v>44957</v>
      </c>
      <c r="E230" s="4">
        <v>1250000000</v>
      </c>
      <c r="F230" t="s">
        <v>89</v>
      </c>
      <c r="G230" s="5">
        <v>10.67</v>
      </c>
      <c r="H230" t="s">
        <v>89</v>
      </c>
      <c r="I230" s="5"/>
      <c r="K230" s="2">
        <v>8.5000000000000006E-3</v>
      </c>
      <c r="L230" t="s">
        <v>89</v>
      </c>
      <c r="N230" s="4"/>
      <c r="AB230" t="str">
        <f>IFERROR(VLOOKUP($A230,fund_metadata!$A:$P,2,FALSE),"")</f>
        <v>Cliffwater</v>
      </c>
      <c r="AC230" t="str">
        <f>IFERROR(VLOOKUP($A230,fund_metadata!$A:$P,16,FALSE),"")</f>
        <v>private_credit</v>
      </c>
    </row>
    <row r="231" spans="1:29" x14ac:dyDescent="0.25">
      <c r="A231">
        <v>3</v>
      </c>
      <c r="B231" s="3">
        <v>44926</v>
      </c>
      <c r="E231" s="4">
        <v>1170000000</v>
      </c>
      <c r="F231" t="s">
        <v>89</v>
      </c>
      <c r="G231" s="5">
        <v>10.58</v>
      </c>
      <c r="H231" t="s">
        <v>89</v>
      </c>
      <c r="I231" s="5">
        <v>0.27</v>
      </c>
      <c r="J231" t="s">
        <v>89</v>
      </c>
      <c r="K231" s="2">
        <v>1.2200000000000001E-2</v>
      </c>
      <c r="L231" t="s">
        <v>89</v>
      </c>
      <c r="M231">
        <v>112</v>
      </c>
      <c r="N231" s="4"/>
      <c r="AB231" t="str">
        <f>IFERROR(VLOOKUP($A231,fund_metadata!$A:$P,2,FALSE),"")</f>
        <v>Cliffwater</v>
      </c>
      <c r="AC231" t="str">
        <f>IFERROR(VLOOKUP($A231,fund_metadata!$A:$P,16,FALSE),"")</f>
        <v>private_credit</v>
      </c>
    </row>
    <row r="232" spans="1:29" x14ac:dyDescent="0.25">
      <c r="A232">
        <v>3</v>
      </c>
      <c r="B232" s="3">
        <v>44895</v>
      </c>
      <c r="E232" s="4">
        <v>1080000000</v>
      </c>
      <c r="F232" t="s">
        <v>89</v>
      </c>
      <c r="G232" s="5">
        <v>10.72</v>
      </c>
      <c r="H232" t="s">
        <v>89</v>
      </c>
      <c r="I232" s="5"/>
      <c r="K232" s="2">
        <v>9.4000000000000004E-3</v>
      </c>
      <c r="L232" t="s">
        <v>89</v>
      </c>
      <c r="N232" s="4"/>
      <c r="AB232" t="str">
        <f>IFERROR(VLOOKUP($A232,fund_metadata!$A:$P,2,FALSE),"")</f>
        <v>Cliffwater</v>
      </c>
      <c r="AC232" t="str">
        <f>IFERROR(VLOOKUP($A232,fund_metadata!$A:$P,16,FALSE),"")</f>
        <v>private_credit</v>
      </c>
    </row>
    <row r="233" spans="1:29" x14ac:dyDescent="0.25">
      <c r="A233">
        <v>3</v>
      </c>
      <c r="B233" s="3">
        <v>44865</v>
      </c>
      <c r="E233" s="4">
        <v>1010000000</v>
      </c>
      <c r="F233" t="s">
        <v>89</v>
      </c>
      <c r="G233" s="5">
        <v>10.62</v>
      </c>
      <c r="H233" t="s">
        <v>89</v>
      </c>
      <c r="I233" s="5">
        <v>0.24</v>
      </c>
      <c r="J233" t="s">
        <v>89</v>
      </c>
      <c r="K233" s="2">
        <v>5.8999999999999999E-3</v>
      </c>
      <c r="L233" t="s">
        <v>89</v>
      </c>
      <c r="N233" s="4"/>
      <c r="AB233" t="str">
        <f>IFERROR(VLOOKUP($A233,fund_metadata!$A:$P,2,FALSE),"")</f>
        <v>Cliffwater</v>
      </c>
      <c r="AC233" t="str">
        <f>IFERROR(VLOOKUP($A233,fund_metadata!$A:$P,16,FALSE),"")</f>
        <v>private_credit</v>
      </c>
    </row>
    <row r="234" spans="1:29" x14ac:dyDescent="0.25">
      <c r="A234">
        <v>3</v>
      </c>
      <c r="B234" s="3">
        <v>44834</v>
      </c>
      <c r="E234" s="4">
        <v>948110000</v>
      </c>
      <c r="F234" t="s">
        <v>89</v>
      </c>
      <c r="G234" s="5">
        <v>10.8</v>
      </c>
      <c r="H234" t="s">
        <v>89</v>
      </c>
      <c r="I234" s="5"/>
      <c r="K234" s="2">
        <v>3.7000000000000002E-3</v>
      </c>
      <c r="L234" t="s">
        <v>89</v>
      </c>
      <c r="M234">
        <v>102</v>
      </c>
      <c r="N234" s="4">
        <v>983310000</v>
      </c>
      <c r="O234" t="s">
        <v>89</v>
      </c>
      <c r="P234">
        <v>88015209</v>
      </c>
      <c r="Q234" t="s">
        <v>120</v>
      </c>
      <c r="AB234" t="str">
        <f>IFERROR(VLOOKUP($A234,fund_metadata!$A:$P,2,FALSE),"")</f>
        <v>Cliffwater</v>
      </c>
      <c r="AC234" t="str">
        <f>IFERROR(VLOOKUP($A234,fund_metadata!$A:$P,16,FALSE),"")</f>
        <v>private_credit</v>
      </c>
    </row>
    <row r="235" spans="1:29" x14ac:dyDescent="0.25">
      <c r="A235">
        <v>3</v>
      </c>
      <c r="B235" s="3">
        <v>44804</v>
      </c>
      <c r="E235" s="4">
        <v>852780000</v>
      </c>
      <c r="F235" t="s">
        <v>89</v>
      </c>
      <c r="G235" s="5">
        <v>10.76</v>
      </c>
      <c r="H235" t="s">
        <v>89</v>
      </c>
      <c r="I235" s="5"/>
      <c r="K235" s="2">
        <v>6.4999999999999997E-3</v>
      </c>
      <c r="L235" t="s">
        <v>89</v>
      </c>
      <c r="N235" s="4"/>
      <c r="AB235" t="str">
        <f>IFERROR(VLOOKUP($A235,fund_metadata!$A:$P,2,FALSE),"")</f>
        <v>Cliffwater</v>
      </c>
      <c r="AC235" t="str">
        <f>IFERROR(VLOOKUP($A235,fund_metadata!$A:$P,16,FALSE),"")</f>
        <v>private_credit</v>
      </c>
    </row>
    <row r="236" spans="1:29" x14ac:dyDescent="0.25">
      <c r="A236">
        <v>3</v>
      </c>
      <c r="B236" s="3">
        <v>44773</v>
      </c>
      <c r="E236" s="4">
        <v>743820000</v>
      </c>
      <c r="F236" t="s">
        <v>89</v>
      </c>
      <c r="G236" s="5">
        <v>10.69</v>
      </c>
      <c r="H236" t="s">
        <v>89</v>
      </c>
      <c r="I236" s="5">
        <v>0.24</v>
      </c>
      <c r="J236" t="s">
        <v>89</v>
      </c>
      <c r="K236" s="2">
        <v>6.8999999999999999E-3</v>
      </c>
      <c r="L236" t="s">
        <v>89</v>
      </c>
      <c r="N236" s="4"/>
      <c r="AB236" t="str">
        <f>IFERROR(VLOOKUP($A236,fund_metadata!$A:$P,2,FALSE),"")</f>
        <v>Cliffwater</v>
      </c>
      <c r="AC236" t="str">
        <f>IFERROR(VLOOKUP($A236,fund_metadata!$A:$P,16,FALSE),"")</f>
        <v>private_credit</v>
      </c>
    </row>
    <row r="237" spans="1:29" x14ac:dyDescent="0.25">
      <c r="A237">
        <v>3</v>
      </c>
      <c r="B237" s="3">
        <v>44742</v>
      </c>
      <c r="E237" s="4">
        <v>686370000</v>
      </c>
      <c r="F237" t="s">
        <v>89</v>
      </c>
      <c r="G237" s="5">
        <v>10.86</v>
      </c>
      <c r="H237" t="s">
        <v>89</v>
      </c>
      <c r="I237" s="5">
        <v>0</v>
      </c>
      <c r="J237" t="s">
        <v>108</v>
      </c>
      <c r="K237" s="2">
        <v>8.3999999999999995E-3</v>
      </c>
      <c r="L237" t="s">
        <v>89</v>
      </c>
      <c r="M237">
        <v>103</v>
      </c>
      <c r="N237" s="4"/>
      <c r="AB237" t="str">
        <f>IFERROR(VLOOKUP($A237,fund_metadata!$A:$P,2,FALSE),"")</f>
        <v>Cliffwater</v>
      </c>
      <c r="AC237" t="str">
        <f>IFERROR(VLOOKUP($A237,fund_metadata!$A:$P,16,FALSE),"")</f>
        <v>private_credit</v>
      </c>
    </row>
    <row r="238" spans="1:29" x14ac:dyDescent="0.25">
      <c r="A238">
        <v>3</v>
      </c>
      <c r="B238" s="3">
        <v>44712</v>
      </c>
      <c r="E238" s="4">
        <v>620190000</v>
      </c>
      <c r="F238" t="s">
        <v>89</v>
      </c>
      <c r="G238" s="5">
        <v>10.77</v>
      </c>
      <c r="H238" t="s">
        <v>89</v>
      </c>
      <c r="I238" s="5">
        <v>0</v>
      </c>
      <c r="J238" t="s">
        <v>108</v>
      </c>
      <c r="K238" s="2">
        <v>1.32E-2</v>
      </c>
      <c r="L238" t="s">
        <v>89</v>
      </c>
      <c r="N238" s="4"/>
      <c r="AB238" t="str">
        <f>IFERROR(VLOOKUP($A238,fund_metadata!$A:$P,2,FALSE),"")</f>
        <v>Cliffwater</v>
      </c>
      <c r="AC238" t="str">
        <f>IFERROR(VLOOKUP($A238,fund_metadata!$A:$P,16,FALSE),"")</f>
        <v>private_credit</v>
      </c>
    </row>
    <row r="239" spans="1:29" x14ac:dyDescent="0.25">
      <c r="A239">
        <v>3</v>
      </c>
      <c r="B239" s="3">
        <v>44681</v>
      </c>
      <c r="E239" s="4">
        <v>545840000</v>
      </c>
      <c r="F239" t="s">
        <v>89</v>
      </c>
      <c r="G239" s="5">
        <v>10.63</v>
      </c>
      <c r="H239" t="s">
        <v>89</v>
      </c>
      <c r="I239" s="5">
        <v>0.24</v>
      </c>
      <c r="J239" t="s">
        <v>89</v>
      </c>
      <c r="K239" s="2">
        <v>8.6E-3</v>
      </c>
      <c r="L239" t="s">
        <v>89</v>
      </c>
      <c r="N239" s="4"/>
      <c r="AB239" t="str">
        <f>IFERROR(VLOOKUP($A239,fund_metadata!$A:$P,2,FALSE),"")</f>
        <v>Cliffwater</v>
      </c>
      <c r="AC239" t="str">
        <f>IFERROR(VLOOKUP($A239,fund_metadata!$A:$P,16,FALSE),"")</f>
        <v>private_credit</v>
      </c>
    </row>
    <row r="240" spans="1:29" x14ac:dyDescent="0.25">
      <c r="A240">
        <v>3</v>
      </c>
      <c r="B240" s="3">
        <v>44651</v>
      </c>
      <c r="E240" s="4">
        <v>472560000</v>
      </c>
      <c r="F240" t="s">
        <v>89</v>
      </c>
      <c r="G240" s="5">
        <v>10.78</v>
      </c>
      <c r="H240" t="s">
        <v>89</v>
      </c>
      <c r="I240" s="5">
        <v>0</v>
      </c>
      <c r="J240" t="s">
        <v>108</v>
      </c>
      <c r="K240" s="2">
        <v>1.7000000000000001E-2</v>
      </c>
      <c r="L240" t="s">
        <v>89</v>
      </c>
      <c r="M240">
        <v>63</v>
      </c>
      <c r="N240" s="4">
        <v>504430000</v>
      </c>
      <c r="O240" t="s">
        <v>89</v>
      </c>
      <c r="P240">
        <v>43957538</v>
      </c>
      <c r="Q240" t="s">
        <v>121</v>
      </c>
      <c r="AB240" t="str">
        <f>IFERROR(VLOOKUP($A240,fund_metadata!$A:$P,2,FALSE),"")</f>
        <v>Cliffwater</v>
      </c>
      <c r="AC240" t="str">
        <f>IFERROR(VLOOKUP($A240,fund_metadata!$A:$P,16,FALSE),"")</f>
        <v>private_credit</v>
      </c>
    </row>
    <row r="241" spans="1:29" x14ac:dyDescent="0.25">
      <c r="A241">
        <v>3</v>
      </c>
      <c r="B241" s="3">
        <v>44620</v>
      </c>
      <c r="E241" s="4">
        <v>414530000</v>
      </c>
      <c r="F241" t="s">
        <v>89</v>
      </c>
      <c r="G241" s="5">
        <v>10.6</v>
      </c>
      <c r="H241" t="s">
        <v>89</v>
      </c>
      <c r="I241" s="5">
        <v>0</v>
      </c>
      <c r="J241" t="s">
        <v>108</v>
      </c>
      <c r="K241" s="2">
        <v>9.4999999999999998E-3</v>
      </c>
      <c r="L241" t="s">
        <v>89</v>
      </c>
      <c r="N241" s="4"/>
      <c r="AB241" t="str">
        <f>IFERROR(VLOOKUP($A241,fund_metadata!$A:$P,2,FALSE),"")</f>
        <v>Cliffwater</v>
      </c>
      <c r="AC241" t="str">
        <f>IFERROR(VLOOKUP($A241,fund_metadata!$A:$P,16,FALSE),"")</f>
        <v>private_credit</v>
      </c>
    </row>
    <row r="242" spans="1:29" x14ac:dyDescent="0.25">
      <c r="A242">
        <v>3</v>
      </c>
      <c r="B242" s="3">
        <v>44592</v>
      </c>
      <c r="E242" s="4">
        <v>322280000</v>
      </c>
      <c r="F242" t="s">
        <v>89</v>
      </c>
      <c r="G242" s="5">
        <v>10.5</v>
      </c>
      <c r="H242" t="s">
        <v>89</v>
      </c>
      <c r="I242" s="5">
        <v>0</v>
      </c>
      <c r="J242" t="s">
        <v>108</v>
      </c>
      <c r="K242" s="2">
        <v>8.6E-3</v>
      </c>
      <c r="L242" t="s">
        <v>89</v>
      </c>
      <c r="N242" s="4"/>
      <c r="AB242" t="str">
        <f>IFERROR(VLOOKUP($A242,fund_metadata!$A:$P,2,FALSE),"")</f>
        <v>Cliffwater</v>
      </c>
      <c r="AC242" t="str">
        <f>IFERROR(VLOOKUP($A242,fund_metadata!$A:$P,16,FALSE),"")</f>
        <v>private_credit</v>
      </c>
    </row>
    <row r="243" spans="1:29" x14ac:dyDescent="0.25">
      <c r="A243">
        <v>3</v>
      </c>
      <c r="B243" s="3">
        <v>44561</v>
      </c>
      <c r="E243" s="4">
        <v>268960000</v>
      </c>
      <c r="F243" t="s">
        <v>89</v>
      </c>
      <c r="G243" s="5">
        <v>10.41</v>
      </c>
      <c r="H243" t="s">
        <v>89</v>
      </c>
      <c r="I243" s="5">
        <v>0.08</v>
      </c>
      <c r="J243" t="s">
        <v>89</v>
      </c>
      <c r="K243" s="2">
        <v>0.01</v>
      </c>
      <c r="L243" t="s">
        <v>89</v>
      </c>
      <c r="M243">
        <v>52</v>
      </c>
      <c r="N243" s="4"/>
      <c r="AB243" t="str">
        <f>IFERROR(VLOOKUP($A243,fund_metadata!$A:$P,2,FALSE),"")</f>
        <v>Cliffwater</v>
      </c>
      <c r="AC243" t="str">
        <f>IFERROR(VLOOKUP($A243,fund_metadata!$A:$P,16,FALSE),"")</f>
        <v>private_credit</v>
      </c>
    </row>
    <row r="244" spans="1:29" x14ac:dyDescent="0.25">
      <c r="A244">
        <v>3</v>
      </c>
      <c r="B244" s="3">
        <v>44530</v>
      </c>
      <c r="E244" s="4">
        <v>218920000</v>
      </c>
      <c r="F244" t="s">
        <v>89</v>
      </c>
      <c r="G244" s="5">
        <v>10.39</v>
      </c>
      <c r="H244" t="s">
        <v>89</v>
      </c>
      <c r="I244" s="5">
        <v>0.24</v>
      </c>
      <c r="J244" t="s">
        <v>89</v>
      </c>
      <c r="K244" s="2">
        <v>1.52E-2</v>
      </c>
      <c r="L244" t="s">
        <v>89</v>
      </c>
      <c r="N244" s="4"/>
      <c r="AB244" t="str">
        <f>IFERROR(VLOOKUP($A244,fund_metadata!$A:$P,2,FALSE),"")</f>
        <v>Cliffwater</v>
      </c>
      <c r="AC244" t="str">
        <f>IFERROR(VLOOKUP($A244,fund_metadata!$A:$P,16,FALSE),"")</f>
        <v>private_credit</v>
      </c>
    </row>
    <row r="245" spans="1:29" x14ac:dyDescent="0.25">
      <c r="A245">
        <v>3</v>
      </c>
      <c r="B245" s="3">
        <v>44500</v>
      </c>
      <c r="E245" s="4">
        <v>188490000</v>
      </c>
      <c r="F245" t="s">
        <v>89</v>
      </c>
      <c r="G245" s="5">
        <v>10.47</v>
      </c>
      <c r="H245" t="s">
        <v>89</v>
      </c>
      <c r="I245" s="5">
        <v>0</v>
      </c>
      <c r="J245" t="s">
        <v>108</v>
      </c>
      <c r="K245" s="2">
        <v>6.7000000000000002E-3</v>
      </c>
      <c r="L245" t="s">
        <v>89</v>
      </c>
      <c r="N245" s="4"/>
      <c r="AB245" t="str">
        <f>IFERROR(VLOOKUP($A245,fund_metadata!$A:$P,2,FALSE),"")</f>
        <v>Cliffwater</v>
      </c>
      <c r="AC245" t="str">
        <f>IFERROR(VLOOKUP($A245,fund_metadata!$A:$P,16,FALSE),"")</f>
        <v>private_credit</v>
      </c>
    </row>
    <row r="246" spans="1:29" x14ac:dyDescent="0.25">
      <c r="A246">
        <v>3</v>
      </c>
      <c r="B246" s="3">
        <v>44469</v>
      </c>
      <c r="E246" s="4">
        <v>163430000</v>
      </c>
      <c r="F246" t="s">
        <v>89</v>
      </c>
      <c r="G246" s="5">
        <v>10.4</v>
      </c>
      <c r="H246" t="s">
        <v>89</v>
      </c>
      <c r="I246" s="5">
        <v>0</v>
      </c>
      <c r="J246" t="s">
        <v>108</v>
      </c>
      <c r="K246" s="2">
        <v>1.5599999999999999E-2</v>
      </c>
      <c r="L246" t="s">
        <v>89</v>
      </c>
      <c r="M246">
        <v>29</v>
      </c>
      <c r="N246" s="4">
        <v>164090000</v>
      </c>
      <c r="O246" t="s">
        <v>89</v>
      </c>
      <c r="P246">
        <v>15764541</v>
      </c>
      <c r="Q246" t="s">
        <v>120</v>
      </c>
      <c r="AB246" t="str">
        <f>IFERROR(VLOOKUP($A246,fund_metadata!$A:$P,2,FALSE),"")</f>
        <v>Cliffwater</v>
      </c>
      <c r="AC246" t="str">
        <f>IFERROR(VLOOKUP($A246,fund_metadata!$A:$P,16,FALSE),"")</f>
        <v>private_credit</v>
      </c>
    </row>
    <row r="247" spans="1:29" x14ac:dyDescent="0.25">
      <c r="A247">
        <v>3</v>
      </c>
      <c r="B247" s="3">
        <v>44439</v>
      </c>
      <c r="E247" s="4">
        <v>136190000</v>
      </c>
      <c r="F247" t="s">
        <v>89</v>
      </c>
      <c r="G247" s="5">
        <v>10.24</v>
      </c>
      <c r="H247" t="s">
        <v>89</v>
      </c>
      <c r="I247" s="5">
        <v>0</v>
      </c>
      <c r="J247" t="s">
        <v>108</v>
      </c>
      <c r="K247" s="2">
        <v>1.49E-2</v>
      </c>
      <c r="L247" t="s">
        <v>89</v>
      </c>
      <c r="N247" s="4"/>
      <c r="AB247" t="str">
        <f>IFERROR(VLOOKUP($A247,fund_metadata!$A:$P,2,FALSE),"")</f>
        <v>Cliffwater</v>
      </c>
      <c r="AC247" t="str">
        <f>IFERROR(VLOOKUP($A247,fund_metadata!$A:$P,16,FALSE),"")</f>
        <v>private_credit</v>
      </c>
    </row>
    <row r="248" spans="1:29" x14ac:dyDescent="0.25">
      <c r="A248">
        <v>3</v>
      </c>
      <c r="B248" s="3">
        <v>44408</v>
      </c>
      <c r="E248" s="4">
        <v>96430000</v>
      </c>
      <c r="F248" t="s">
        <v>89</v>
      </c>
      <c r="G248" s="5">
        <v>10.09</v>
      </c>
      <c r="H248" t="s">
        <v>89</v>
      </c>
      <c r="I248" s="5">
        <v>0</v>
      </c>
      <c r="J248" t="s">
        <v>108</v>
      </c>
      <c r="K248" s="2">
        <v>8.9999999999999993E-3</v>
      </c>
      <c r="L248" t="s">
        <v>89</v>
      </c>
      <c r="N248" s="4"/>
      <c r="AB248" t="str">
        <f>IFERROR(VLOOKUP($A248,fund_metadata!$A:$P,2,FALSE),"")</f>
        <v>Cliffwater</v>
      </c>
      <c r="AC248" t="str">
        <f>IFERROR(VLOOKUP($A248,fund_metadata!$A:$P,16,FALSE),"")</f>
        <v>private_credit</v>
      </c>
    </row>
    <row r="249" spans="1:29" x14ac:dyDescent="0.25">
      <c r="A249">
        <v>3</v>
      </c>
      <c r="B249" s="3">
        <v>44377</v>
      </c>
      <c r="E249" s="4">
        <v>85580000</v>
      </c>
      <c r="F249" t="s">
        <v>89</v>
      </c>
      <c r="G249" s="5">
        <v>10</v>
      </c>
      <c r="H249" t="s">
        <v>89</v>
      </c>
      <c r="I249" s="5">
        <v>0</v>
      </c>
      <c r="J249" t="s">
        <v>108</v>
      </c>
      <c r="K249" s="2"/>
      <c r="N249" s="4"/>
      <c r="AB249" t="str">
        <f>IFERROR(VLOOKUP($A249,fund_metadata!$A:$P,2,FALSE),"")</f>
        <v>Cliffwater</v>
      </c>
      <c r="AC249" t="str">
        <f>IFERROR(VLOOKUP($A249,fund_metadata!$A:$P,16,FALSE),"")</f>
        <v>private_credit</v>
      </c>
    </row>
    <row r="250" spans="1:29" x14ac:dyDescent="0.25">
      <c r="A250">
        <v>10</v>
      </c>
      <c r="B250" s="3">
        <v>46173</v>
      </c>
      <c r="E250" s="4"/>
      <c r="G250" s="5"/>
      <c r="I250" s="5"/>
      <c r="K250" s="2"/>
      <c r="N250" s="4"/>
      <c r="AB250" t="str">
        <f>IFERROR(VLOOKUP($A250,fund_metadata!$A:$P,2,FALSE),"")</f>
        <v>Hamilton Lane</v>
      </c>
      <c r="AC250" t="str">
        <f>IFERROR(VLOOKUP($A250,fund_metadata!$A:$P,16,FALSE),"")</f>
        <v>private_equity</v>
      </c>
    </row>
    <row r="251" spans="1:29" x14ac:dyDescent="0.25">
      <c r="A251">
        <v>10</v>
      </c>
      <c r="B251" s="3">
        <v>46142</v>
      </c>
      <c r="E251" s="4">
        <v>6070000000</v>
      </c>
      <c r="F251" t="s">
        <v>89</v>
      </c>
      <c r="G251" s="5">
        <v>20.28</v>
      </c>
      <c r="H251" t="s">
        <v>89</v>
      </c>
      <c r="I251" s="5"/>
      <c r="K251" s="2">
        <v>3.8800000000000001E-2</v>
      </c>
      <c r="L251" t="s">
        <v>89</v>
      </c>
      <c r="N251" s="4"/>
      <c r="AB251" t="str">
        <f>IFERROR(VLOOKUP($A251,fund_metadata!$A:$P,2,FALSE),"")</f>
        <v>Hamilton Lane</v>
      </c>
      <c r="AC251" t="str">
        <f>IFERROR(VLOOKUP($A251,fund_metadata!$A:$P,16,FALSE),"")</f>
        <v>private_equity</v>
      </c>
    </row>
    <row r="252" spans="1:29" x14ac:dyDescent="0.25">
      <c r="A252">
        <v>10</v>
      </c>
      <c r="B252" s="3">
        <v>46112</v>
      </c>
      <c r="C252">
        <v>10211436.279999999</v>
      </c>
      <c r="D252" t="s">
        <v>106</v>
      </c>
      <c r="E252" s="4">
        <v>5800000000</v>
      </c>
      <c r="F252" t="s">
        <v>89</v>
      </c>
      <c r="G252" s="5">
        <v>19.53</v>
      </c>
      <c r="H252" t="s">
        <v>89</v>
      </c>
      <c r="I252" s="5"/>
      <c r="K252" s="2">
        <v>-5.9999999999999995E-4</v>
      </c>
      <c r="L252" t="s">
        <v>89</v>
      </c>
      <c r="M252">
        <v>328</v>
      </c>
      <c r="N252" s="4"/>
      <c r="R252">
        <v>522968.78899999999</v>
      </c>
      <c r="S252" t="s">
        <v>106</v>
      </c>
      <c r="T252">
        <v>0</v>
      </c>
      <c r="U252" t="s">
        <v>106</v>
      </c>
      <c r="V252">
        <v>0</v>
      </c>
      <c r="W252" t="s">
        <v>106</v>
      </c>
      <c r="X252">
        <v>0</v>
      </c>
      <c r="Y252" t="s">
        <v>106</v>
      </c>
      <c r="AB252" t="str">
        <f>IFERROR(VLOOKUP($A252,fund_metadata!$A:$P,2,FALSE),"")</f>
        <v>Hamilton Lane</v>
      </c>
      <c r="AC252" t="str">
        <f>IFERROR(VLOOKUP($A252,fund_metadata!$A:$P,16,FALSE),"")</f>
        <v>private_equity</v>
      </c>
    </row>
    <row r="253" spans="1:29" x14ac:dyDescent="0.25">
      <c r="A253">
        <v>10</v>
      </c>
      <c r="B253" s="3">
        <v>46081</v>
      </c>
      <c r="C253">
        <v>10217502.720000001</v>
      </c>
      <c r="D253" t="s">
        <v>106</v>
      </c>
      <c r="E253" s="4">
        <v>5630000000</v>
      </c>
      <c r="F253" t="s">
        <v>89</v>
      </c>
      <c r="G253" s="5">
        <v>19.54</v>
      </c>
      <c r="H253" t="s">
        <v>89</v>
      </c>
      <c r="I253" s="5"/>
      <c r="K253" s="2">
        <v>5.7000000000000002E-3</v>
      </c>
      <c r="L253" t="s">
        <v>89</v>
      </c>
      <c r="N253" s="4"/>
      <c r="R253">
        <v>522968.78899999999</v>
      </c>
      <c r="S253" t="s">
        <v>106</v>
      </c>
      <c r="T253">
        <v>0</v>
      </c>
      <c r="U253" t="s">
        <v>107</v>
      </c>
      <c r="V253">
        <v>0</v>
      </c>
      <c r="W253" t="s">
        <v>107</v>
      </c>
      <c r="X253">
        <v>0</v>
      </c>
      <c r="Y253" t="s">
        <v>107</v>
      </c>
      <c r="AB253" t="str">
        <f>IFERROR(VLOOKUP($A253,fund_metadata!$A:$P,2,FALSE),"")</f>
        <v>Hamilton Lane</v>
      </c>
      <c r="AC253" t="str">
        <f>IFERROR(VLOOKUP($A253,fund_metadata!$A:$P,16,FALSE),"")</f>
        <v>private_equity</v>
      </c>
    </row>
    <row r="254" spans="1:29" x14ac:dyDescent="0.25">
      <c r="A254">
        <v>10</v>
      </c>
      <c r="B254" s="3">
        <v>46053</v>
      </c>
      <c r="C254">
        <v>10159296.289999999</v>
      </c>
      <c r="D254" t="s">
        <v>106</v>
      </c>
      <c r="E254" s="4">
        <v>5490000000</v>
      </c>
      <c r="F254" t="s">
        <v>89</v>
      </c>
      <c r="G254" s="5">
        <v>19.43</v>
      </c>
      <c r="H254" t="s">
        <v>89</v>
      </c>
      <c r="I254" s="5"/>
      <c r="K254" s="2">
        <v>1.5900000000000001E-2</v>
      </c>
      <c r="L254" t="s">
        <v>89</v>
      </c>
      <c r="N254" s="4"/>
      <c r="R254">
        <v>522968.78899999999</v>
      </c>
      <c r="S254" t="s">
        <v>106</v>
      </c>
      <c r="T254">
        <v>10000000</v>
      </c>
      <c r="U254" t="s">
        <v>106</v>
      </c>
      <c r="V254">
        <v>0</v>
      </c>
      <c r="W254" t="s">
        <v>107</v>
      </c>
      <c r="X254">
        <v>0</v>
      </c>
      <c r="Y254" t="s">
        <v>107</v>
      </c>
      <c r="AB254" t="str">
        <f>IFERROR(VLOOKUP($A254,fund_metadata!$A:$P,2,FALSE),"")</f>
        <v>Hamilton Lane</v>
      </c>
      <c r="AC254" t="str">
        <f>IFERROR(VLOOKUP($A254,fund_metadata!$A:$P,16,FALSE),"")</f>
        <v>private_equity</v>
      </c>
    </row>
    <row r="255" spans="1:29" x14ac:dyDescent="0.25">
      <c r="A255">
        <v>10</v>
      </c>
      <c r="B255" s="3">
        <v>46022</v>
      </c>
      <c r="C255">
        <v>10000000</v>
      </c>
      <c r="D255" t="s">
        <v>104</v>
      </c>
      <c r="E255" s="4">
        <v>5310000000</v>
      </c>
      <c r="F255" t="s">
        <v>89</v>
      </c>
      <c r="G255" s="5">
        <v>19.12</v>
      </c>
      <c r="H255" t="s">
        <v>89</v>
      </c>
      <c r="I255" s="5"/>
      <c r="K255" s="2">
        <v>1.1599999999999999E-2</v>
      </c>
      <c r="L255" t="s">
        <v>89</v>
      </c>
      <c r="M255">
        <v>309</v>
      </c>
      <c r="N255" s="4"/>
      <c r="AB255" t="str">
        <f>IFERROR(VLOOKUP($A255,fund_metadata!$A:$P,2,FALSE),"")</f>
        <v>Hamilton Lane</v>
      </c>
      <c r="AC255" t="str">
        <f>IFERROR(VLOOKUP($A255,fund_metadata!$A:$P,16,FALSE),"")</f>
        <v>private_equity</v>
      </c>
    </row>
    <row r="256" spans="1:29" x14ac:dyDescent="0.25">
      <c r="A256">
        <v>10</v>
      </c>
      <c r="B256" s="3">
        <v>45991</v>
      </c>
      <c r="E256" s="4">
        <v>5120000000</v>
      </c>
      <c r="F256" t="s">
        <v>89</v>
      </c>
      <c r="G256" s="5">
        <v>19.23</v>
      </c>
      <c r="H256" t="s">
        <v>89</v>
      </c>
      <c r="I256" s="5"/>
      <c r="K256" s="2">
        <v>-1E-4</v>
      </c>
      <c r="L256" t="s">
        <v>89</v>
      </c>
      <c r="N256" s="4"/>
      <c r="AB256" t="str">
        <f>IFERROR(VLOOKUP($A256,fund_metadata!$A:$P,2,FALSE),"")</f>
        <v>Hamilton Lane</v>
      </c>
      <c r="AC256" t="str">
        <f>IFERROR(VLOOKUP($A256,fund_metadata!$A:$P,16,FALSE),"")</f>
        <v>private_equity</v>
      </c>
    </row>
    <row r="257" spans="1:29" x14ac:dyDescent="0.25">
      <c r="A257">
        <v>10</v>
      </c>
      <c r="B257" s="3">
        <v>45961</v>
      </c>
      <c r="E257" s="4">
        <v>4970000000</v>
      </c>
      <c r="F257" t="s">
        <v>89</v>
      </c>
      <c r="G257" s="5">
        <v>19.23</v>
      </c>
      <c r="H257" t="s">
        <v>89</v>
      </c>
      <c r="I257" s="5"/>
      <c r="K257" s="2">
        <v>1.8499999999999999E-2</v>
      </c>
      <c r="L257" t="s">
        <v>89</v>
      </c>
      <c r="N257" s="4"/>
      <c r="AB257" t="str">
        <f>IFERROR(VLOOKUP($A257,fund_metadata!$A:$P,2,FALSE),"")</f>
        <v>Hamilton Lane</v>
      </c>
      <c r="AC257" t="str">
        <f>IFERROR(VLOOKUP($A257,fund_metadata!$A:$P,16,FALSE),"")</f>
        <v>private_equity</v>
      </c>
    </row>
    <row r="258" spans="1:29" x14ac:dyDescent="0.25">
      <c r="A258">
        <v>10</v>
      </c>
      <c r="B258" s="3">
        <v>45930</v>
      </c>
      <c r="E258" s="4">
        <v>4760000000</v>
      </c>
      <c r="F258" t="s">
        <v>89</v>
      </c>
      <c r="G258" s="5">
        <v>18.88</v>
      </c>
      <c r="H258" t="s">
        <v>89</v>
      </c>
      <c r="I258" s="5"/>
      <c r="K258" s="2">
        <v>1.9900000000000001E-2</v>
      </c>
      <c r="L258" t="s">
        <v>89</v>
      </c>
      <c r="M258">
        <v>298</v>
      </c>
      <c r="N258" s="4">
        <v>5030000000</v>
      </c>
      <c r="O258" t="s">
        <v>89</v>
      </c>
      <c r="P258">
        <v>150025625</v>
      </c>
      <c r="Q258" t="s">
        <v>120</v>
      </c>
      <c r="AB258" t="str">
        <f>IFERROR(VLOOKUP($A258,fund_metadata!$A:$P,2,FALSE),"")</f>
        <v>Hamilton Lane</v>
      </c>
      <c r="AC258" t="str">
        <f>IFERROR(VLOOKUP($A258,fund_metadata!$A:$P,16,FALSE),"")</f>
        <v>private_equity</v>
      </c>
    </row>
    <row r="259" spans="1:29" x14ac:dyDescent="0.25">
      <c r="A259">
        <v>10</v>
      </c>
      <c r="B259" s="3">
        <v>45900</v>
      </c>
      <c r="E259" s="4">
        <v>4490000000</v>
      </c>
      <c r="F259" t="s">
        <v>89</v>
      </c>
      <c r="G259" s="5">
        <v>18.510000000000002</v>
      </c>
      <c r="H259" t="s">
        <v>89</v>
      </c>
      <c r="I259" s="5"/>
      <c r="K259" s="2">
        <v>-6.7000000000000002E-3</v>
      </c>
      <c r="L259" t="s">
        <v>89</v>
      </c>
      <c r="N259" s="4"/>
      <c r="AB259" t="str">
        <f>IFERROR(VLOOKUP($A259,fund_metadata!$A:$P,2,FALSE),"")</f>
        <v>Hamilton Lane</v>
      </c>
      <c r="AC259" t="str">
        <f>IFERROR(VLOOKUP($A259,fund_metadata!$A:$P,16,FALSE),"")</f>
        <v>private_equity</v>
      </c>
    </row>
    <row r="260" spans="1:29" x14ac:dyDescent="0.25">
      <c r="A260">
        <v>10</v>
      </c>
      <c r="B260" s="3">
        <v>45869</v>
      </c>
      <c r="E260" s="4">
        <v>4360000000</v>
      </c>
      <c r="F260" t="s">
        <v>89</v>
      </c>
      <c r="G260" s="5">
        <v>18.64</v>
      </c>
      <c r="H260" t="s">
        <v>89</v>
      </c>
      <c r="I260" s="5"/>
      <c r="K260" s="2">
        <v>3.7000000000000002E-3</v>
      </c>
      <c r="L260" t="s">
        <v>89</v>
      </c>
      <c r="N260" s="4"/>
      <c r="AB260" t="str">
        <f>IFERROR(VLOOKUP($A260,fund_metadata!$A:$P,2,FALSE),"")</f>
        <v>Hamilton Lane</v>
      </c>
      <c r="AC260" t="str">
        <f>IFERROR(VLOOKUP($A260,fund_metadata!$A:$P,16,FALSE),"")</f>
        <v>private_equity</v>
      </c>
    </row>
    <row r="261" spans="1:29" x14ac:dyDescent="0.25">
      <c r="A261">
        <v>10</v>
      </c>
      <c r="B261" s="3">
        <v>45838</v>
      </c>
      <c r="E261" s="4">
        <v>4230000000</v>
      </c>
      <c r="F261" t="s">
        <v>89</v>
      </c>
      <c r="G261" s="5">
        <v>18.57</v>
      </c>
      <c r="H261" t="s">
        <v>89</v>
      </c>
      <c r="I261" s="5">
        <v>0</v>
      </c>
      <c r="J261" t="s">
        <v>108</v>
      </c>
      <c r="K261" s="2">
        <v>2.5899999999999999E-2</v>
      </c>
      <c r="L261" t="s">
        <v>89</v>
      </c>
      <c r="M261">
        <v>289</v>
      </c>
      <c r="N261" s="4"/>
      <c r="AB261" t="str">
        <f>IFERROR(VLOOKUP($A261,fund_metadata!$A:$P,2,FALSE),"")</f>
        <v>Hamilton Lane</v>
      </c>
      <c r="AC261" t="str">
        <f>IFERROR(VLOOKUP($A261,fund_metadata!$A:$P,16,FALSE),"")</f>
        <v>private_equity</v>
      </c>
    </row>
    <row r="262" spans="1:29" x14ac:dyDescent="0.25">
      <c r="A262">
        <v>10</v>
      </c>
      <c r="B262" s="3">
        <v>45808</v>
      </c>
      <c r="E262" s="4">
        <v>4000000000</v>
      </c>
      <c r="F262" t="s">
        <v>89</v>
      </c>
      <c r="G262" s="5">
        <v>18.100000000000001</v>
      </c>
      <c r="H262" t="s">
        <v>89</v>
      </c>
      <c r="I262" s="5">
        <v>0</v>
      </c>
      <c r="J262" t="s">
        <v>108</v>
      </c>
      <c r="K262" s="2">
        <v>2.63E-2</v>
      </c>
      <c r="L262" t="s">
        <v>89</v>
      </c>
      <c r="N262" s="4"/>
      <c r="AB262" t="str">
        <f>IFERROR(VLOOKUP($A262,fund_metadata!$A:$P,2,FALSE),"")</f>
        <v>Hamilton Lane</v>
      </c>
      <c r="AC262" t="str">
        <f>IFERROR(VLOOKUP($A262,fund_metadata!$A:$P,16,FALSE),"")</f>
        <v>private_equity</v>
      </c>
    </row>
    <row r="263" spans="1:29" x14ac:dyDescent="0.25">
      <c r="A263">
        <v>10</v>
      </c>
      <c r="B263" s="3">
        <v>45777</v>
      </c>
      <c r="E263" s="4">
        <v>3800000000</v>
      </c>
      <c r="F263" t="s">
        <v>89</v>
      </c>
      <c r="G263" s="5">
        <v>17.64</v>
      </c>
      <c r="H263" t="s">
        <v>89</v>
      </c>
      <c r="I263" s="5">
        <v>0</v>
      </c>
      <c r="J263" t="s">
        <v>108</v>
      </c>
      <c r="K263" s="2">
        <v>1.35E-2</v>
      </c>
      <c r="L263" t="s">
        <v>89</v>
      </c>
      <c r="N263" s="4"/>
      <c r="AB263" t="str">
        <f>IFERROR(VLOOKUP($A263,fund_metadata!$A:$P,2,FALSE),"")</f>
        <v>Hamilton Lane</v>
      </c>
      <c r="AC263" t="str">
        <f>IFERROR(VLOOKUP($A263,fund_metadata!$A:$P,16,FALSE),"")</f>
        <v>private_equity</v>
      </c>
    </row>
    <row r="264" spans="1:29" x14ac:dyDescent="0.25">
      <c r="A264">
        <v>10</v>
      </c>
      <c r="B264" s="3">
        <v>45747</v>
      </c>
      <c r="E264" s="4">
        <v>3630000000</v>
      </c>
      <c r="F264" t="s">
        <v>89</v>
      </c>
      <c r="G264" s="5">
        <v>17.399999999999999</v>
      </c>
      <c r="H264" t="s">
        <v>89</v>
      </c>
      <c r="I264" s="5">
        <v>0</v>
      </c>
      <c r="J264" t="s">
        <v>108</v>
      </c>
      <c r="K264" s="2">
        <v>1.29E-2</v>
      </c>
      <c r="L264" t="s">
        <v>89</v>
      </c>
      <c r="M264">
        <v>271</v>
      </c>
      <c r="N264" s="4">
        <v>3940000000</v>
      </c>
      <c r="O264" t="s">
        <v>89</v>
      </c>
      <c r="P264">
        <v>123601931</v>
      </c>
      <c r="Q264" t="s">
        <v>121</v>
      </c>
      <c r="AB264" t="str">
        <f>IFERROR(VLOOKUP($A264,fund_metadata!$A:$P,2,FALSE),"")</f>
        <v>Hamilton Lane</v>
      </c>
      <c r="AC264" t="str">
        <f>IFERROR(VLOOKUP($A264,fund_metadata!$A:$P,16,FALSE),"")</f>
        <v>private_equity</v>
      </c>
    </row>
    <row r="265" spans="1:29" x14ac:dyDescent="0.25">
      <c r="A265">
        <v>10</v>
      </c>
      <c r="B265" s="3">
        <v>45716</v>
      </c>
      <c r="E265" s="4">
        <v>3440000000</v>
      </c>
      <c r="F265" t="s">
        <v>89</v>
      </c>
      <c r="G265" s="5">
        <v>17.18</v>
      </c>
      <c r="H265" t="s">
        <v>89</v>
      </c>
      <c r="I265" s="5">
        <v>0</v>
      </c>
      <c r="J265" t="s">
        <v>108</v>
      </c>
      <c r="K265" s="2">
        <v>8.2000000000000007E-3</v>
      </c>
      <c r="L265" t="s">
        <v>89</v>
      </c>
      <c r="N265" s="4"/>
      <c r="AB265" t="str">
        <f>IFERROR(VLOOKUP($A265,fund_metadata!$A:$P,2,FALSE),"")</f>
        <v>Hamilton Lane</v>
      </c>
      <c r="AC265" t="str">
        <f>IFERROR(VLOOKUP($A265,fund_metadata!$A:$P,16,FALSE),"")</f>
        <v>private_equity</v>
      </c>
    </row>
    <row r="266" spans="1:29" x14ac:dyDescent="0.25">
      <c r="A266">
        <v>10</v>
      </c>
      <c r="B266" s="3">
        <v>45688</v>
      </c>
      <c r="E266" s="4">
        <v>3280000000</v>
      </c>
      <c r="F266" t="s">
        <v>89</v>
      </c>
      <c r="G266" s="5">
        <v>17.04</v>
      </c>
      <c r="H266" t="s">
        <v>89</v>
      </c>
      <c r="I266" s="5">
        <v>0</v>
      </c>
      <c r="J266" t="s">
        <v>108</v>
      </c>
      <c r="K266" s="2">
        <v>1.6400000000000001E-2</v>
      </c>
      <c r="L266" t="s">
        <v>89</v>
      </c>
      <c r="N266" s="4"/>
      <c r="AB266" t="str">
        <f>IFERROR(VLOOKUP($A266,fund_metadata!$A:$P,2,FALSE),"")</f>
        <v>Hamilton Lane</v>
      </c>
      <c r="AC266" t="str">
        <f>IFERROR(VLOOKUP($A266,fund_metadata!$A:$P,16,FALSE),"")</f>
        <v>private_equity</v>
      </c>
    </row>
    <row r="267" spans="1:29" x14ac:dyDescent="0.25">
      <c r="A267">
        <v>10</v>
      </c>
      <c r="B267" s="3">
        <v>45657</v>
      </c>
      <c r="E267" s="4">
        <v>3110000000</v>
      </c>
      <c r="F267" t="s">
        <v>89</v>
      </c>
      <c r="G267" s="5">
        <v>16.77</v>
      </c>
      <c r="H267" t="s">
        <v>89</v>
      </c>
      <c r="I267" s="5">
        <v>0</v>
      </c>
      <c r="J267" t="s">
        <v>108</v>
      </c>
      <c r="K267" s="2">
        <v>-3.3999999999999998E-3</v>
      </c>
      <c r="L267" t="s">
        <v>89</v>
      </c>
      <c r="M267">
        <v>260</v>
      </c>
      <c r="N267" s="4"/>
      <c r="AB267" t="str">
        <f>IFERROR(VLOOKUP($A267,fund_metadata!$A:$P,2,FALSE),"")</f>
        <v>Hamilton Lane</v>
      </c>
      <c r="AC267" t="str">
        <f>IFERROR(VLOOKUP($A267,fund_metadata!$A:$P,16,FALSE),"")</f>
        <v>private_equity</v>
      </c>
    </row>
    <row r="268" spans="1:29" x14ac:dyDescent="0.25">
      <c r="A268">
        <v>10</v>
      </c>
      <c r="B268" s="3">
        <v>45626</v>
      </c>
      <c r="E268" s="4">
        <v>2990000000</v>
      </c>
      <c r="F268" t="s">
        <v>89</v>
      </c>
      <c r="G268" s="5">
        <v>17.059999999999999</v>
      </c>
      <c r="H268" t="s">
        <v>89</v>
      </c>
      <c r="I268" s="5">
        <v>0</v>
      </c>
      <c r="J268" t="s">
        <v>108</v>
      </c>
      <c r="K268" s="2">
        <v>2.3699999999999999E-2</v>
      </c>
      <c r="L268" t="s">
        <v>89</v>
      </c>
      <c r="N268" s="4"/>
      <c r="AB268" t="str">
        <f>IFERROR(VLOOKUP($A268,fund_metadata!$A:$P,2,FALSE),"")</f>
        <v>Hamilton Lane</v>
      </c>
      <c r="AC268" t="str">
        <f>IFERROR(VLOOKUP($A268,fund_metadata!$A:$P,16,FALSE),"")</f>
        <v>private_equity</v>
      </c>
    </row>
    <row r="269" spans="1:29" x14ac:dyDescent="0.25">
      <c r="A269">
        <v>10</v>
      </c>
      <c r="B269" s="3">
        <v>45596</v>
      </c>
      <c r="E269" s="4">
        <v>2800000000</v>
      </c>
      <c r="F269" t="s">
        <v>89</v>
      </c>
      <c r="G269" s="5">
        <v>16.670000000000002</v>
      </c>
      <c r="H269" t="s">
        <v>89</v>
      </c>
      <c r="I269" s="5">
        <v>0</v>
      </c>
      <c r="J269" t="s">
        <v>108</v>
      </c>
      <c r="K269" s="2">
        <v>-5.3E-3</v>
      </c>
      <c r="L269" t="s">
        <v>89</v>
      </c>
      <c r="N269" s="4"/>
      <c r="AB269" t="str">
        <f>IFERROR(VLOOKUP($A269,fund_metadata!$A:$P,2,FALSE),"")</f>
        <v>Hamilton Lane</v>
      </c>
      <c r="AC269" t="str">
        <f>IFERROR(VLOOKUP($A269,fund_metadata!$A:$P,16,FALSE),"")</f>
        <v>private_equity</v>
      </c>
    </row>
    <row r="270" spans="1:29" x14ac:dyDescent="0.25">
      <c r="A270">
        <v>10</v>
      </c>
      <c r="B270" s="3">
        <v>45565</v>
      </c>
      <c r="E270" s="4">
        <v>2690000000</v>
      </c>
      <c r="F270" t="s">
        <v>89</v>
      </c>
      <c r="G270" s="5">
        <v>16.760000000000002</v>
      </c>
      <c r="H270" t="s">
        <v>89</v>
      </c>
      <c r="I270" s="5">
        <v>0</v>
      </c>
      <c r="J270" t="s">
        <v>108</v>
      </c>
      <c r="K270" s="2">
        <v>1.8200000000000001E-2</v>
      </c>
      <c r="L270" t="s">
        <v>89</v>
      </c>
      <c r="M270">
        <v>253</v>
      </c>
      <c r="N270" s="4">
        <v>3030000000</v>
      </c>
      <c r="O270" t="s">
        <v>89</v>
      </c>
      <c r="AB270" t="str">
        <f>IFERROR(VLOOKUP($A270,fund_metadata!$A:$P,2,FALSE),"")</f>
        <v>Hamilton Lane</v>
      </c>
      <c r="AC270" t="str">
        <f>IFERROR(VLOOKUP($A270,fund_metadata!$A:$P,16,FALSE),"")</f>
        <v>private_equity</v>
      </c>
    </row>
    <row r="271" spans="1:29" x14ac:dyDescent="0.25">
      <c r="A271">
        <v>10</v>
      </c>
      <c r="B271" s="3">
        <v>45535</v>
      </c>
      <c r="E271" s="4">
        <v>2520000000</v>
      </c>
      <c r="F271" t="s">
        <v>89</v>
      </c>
      <c r="G271" s="5">
        <v>16.46</v>
      </c>
      <c r="H271" t="s">
        <v>89</v>
      </c>
      <c r="I271" s="5">
        <v>0</v>
      </c>
      <c r="J271" t="s">
        <v>108</v>
      </c>
      <c r="K271" s="2">
        <v>1.44E-2</v>
      </c>
      <c r="L271" t="s">
        <v>89</v>
      </c>
      <c r="N271" s="4"/>
      <c r="AB271" t="str">
        <f>IFERROR(VLOOKUP($A271,fund_metadata!$A:$P,2,FALSE),"")</f>
        <v>Hamilton Lane</v>
      </c>
      <c r="AC271" t="str">
        <f>IFERROR(VLOOKUP($A271,fund_metadata!$A:$P,16,FALSE),"")</f>
        <v>private_equity</v>
      </c>
    </row>
    <row r="272" spans="1:29" x14ac:dyDescent="0.25">
      <c r="A272">
        <v>10</v>
      </c>
      <c r="B272" s="3">
        <v>45504</v>
      </c>
      <c r="E272" s="4">
        <v>2370000000</v>
      </c>
      <c r="F272" t="s">
        <v>89</v>
      </c>
      <c r="G272" s="5">
        <v>16.22</v>
      </c>
      <c r="H272" t="s">
        <v>89</v>
      </c>
      <c r="I272" s="5">
        <v>0</v>
      </c>
      <c r="J272" t="s">
        <v>108</v>
      </c>
      <c r="K272" s="2">
        <v>3.3E-3</v>
      </c>
      <c r="L272" t="s">
        <v>89</v>
      </c>
      <c r="N272" s="4"/>
      <c r="AB272" t="str">
        <f>IFERROR(VLOOKUP($A272,fund_metadata!$A:$P,2,FALSE),"")</f>
        <v>Hamilton Lane</v>
      </c>
      <c r="AC272" t="str">
        <f>IFERROR(VLOOKUP($A272,fund_metadata!$A:$P,16,FALSE),"")</f>
        <v>private_equity</v>
      </c>
    </row>
    <row r="273" spans="1:29" x14ac:dyDescent="0.25">
      <c r="A273">
        <v>10</v>
      </c>
      <c r="B273" s="3">
        <v>45473</v>
      </c>
      <c r="E273" s="4">
        <v>2260000000</v>
      </c>
      <c r="F273" t="s">
        <v>89</v>
      </c>
      <c r="G273" s="5">
        <v>16.170000000000002</v>
      </c>
      <c r="H273" t="s">
        <v>89</v>
      </c>
      <c r="I273" s="5">
        <v>0</v>
      </c>
      <c r="J273" t="s">
        <v>108</v>
      </c>
      <c r="K273" s="2">
        <v>2.24E-2</v>
      </c>
      <c r="L273" t="s">
        <v>89</v>
      </c>
      <c r="M273">
        <v>232</v>
      </c>
      <c r="N273" s="4"/>
      <c r="AB273" t="str">
        <f>IFERROR(VLOOKUP($A273,fund_metadata!$A:$P,2,FALSE),"")</f>
        <v>Hamilton Lane</v>
      </c>
      <c r="AC273" t="str">
        <f>IFERROR(VLOOKUP($A273,fund_metadata!$A:$P,16,FALSE),"")</f>
        <v>private_equity</v>
      </c>
    </row>
    <row r="274" spans="1:29" x14ac:dyDescent="0.25">
      <c r="A274">
        <v>10</v>
      </c>
      <c r="B274" s="3">
        <v>45443</v>
      </c>
      <c r="E274" s="4">
        <v>2060000000</v>
      </c>
      <c r="F274" t="s">
        <v>89</v>
      </c>
      <c r="G274" s="5">
        <v>15.81</v>
      </c>
      <c r="H274" t="s">
        <v>89</v>
      </c>
      <c r="I274" s="5"/>
      <c r="K274" s="2">
        <v>9.4000000000000004E-3</v>
      </c>
      <c r="L274" t="s">
        <v>89</v>
      </c>
      <c r="N274" s="4"/>
      <c r="AB274" t="str">
        <f>IFERROR(VLOOKUP($A274,fund_metadata!$A:$P,2,FALSE),"")</f>
        <v>Hamilton Lane</v>
      </c>
      <c r="AC274" t="str">
        <f>IFERROR(VLOOKUP($A274,fund_metadata!$A:$P,16,FALSE),"")</f>
        <v>private_equity</v>
      </c>
    </row>
    <row r="275" spans="1:29" x14ac:dyDescent="0.25">
      <c r="A275">
        <v>10</v>
      </c>
      <c r="B275" s="3">
        <v>45412</v>
      </c>
      <c r="E275" s="4">
        <v>1890000000</v>
      </c>
      <c r="F275" t="s">
        <v>89</v>
      </c>
      <c r="G275" s="5">
        <v>15.67</v>
      </c>
      <c r="H275" t="s">
        <v>89</v>
      </c>
      <c r="I275" s="5"/>
      <c r="K275" s="2">
        <v>-8.9999999999999993E-3</v>
      </c>
      <c r="L275" t="s">
        <v>89</v>
      </c>
      <c r="N275" s="4"/>
      <c r="AB275" t="str">
        <f>IFERROR(VLOOKUP($A275,fund_metadata!$A:$P,2,FALSE),"")</f>
        <v>Hamilton Lane</v>
      </c>
      <c r="AC275" t="str">
        <f>IFERROR(VLOOKUP($A275,fund_metadata!$A:$P,16,FALSE),"")</f>
        <v>private_equity</v>
      </c>
    </row>
    <row r="276" spans="1:29" x14ac:dyDescent="0.25">
      <c r="A276">
        <v>10</v>
      </c>
      <c r="B276" s="3">
        <v>45382</v>
      </c>
      <c r="E276" s="4">
        <v>1780000000</v>
      </c>
      <c r="F276" t="s">
        <v>89</v>
      </c>
      <c r="G276" s="5">
        <v>15.81</v>
      </c>
      <c r="H276" t="s">
        <v>89</v>
      </c>
      <c r="I276" s="5"/>
      <c r="K276" s="2">
        <v>5.7000000000000002E-3</v>
      </c>
      <c r="L276" t="s">
        <v>89</v>
      </c>
      <c r="M276">
        <v>213</v>
      </c>
      <c r="N276" s="4">
        <v>2050000000</v>
      </c>
      <c r="O276" t="s">
        <v>89</v>
      </c>
      <c r="P276">
        <v>72728591</v>
      </c>
      <c r="Q276" t="s">
        <v>121</v>
      </c>
      <c r="AB276" t="str">
        <f>IFERROR(VLOOKUP($A276,fund_metadata!$A:$P,2,FALSE),"")</f>
        <v>Hamilton Lane</v>
      </c>
      <c r="AC276" t="str">
        <f>IFERROR(VLOOKUP($A276,fund_metadata!$A:$P,16,FALSE),"")</f>
        <v>private_equity</v>
      </c>
    </row>
    <row r="277" spans="1:29" x14ac:dyDescent="0.25">
      <c r="A277">
        <v>10</v>
      </c>
      <c r="B277" s="3">
        <v>45351</v>
      </c>
      <c r="E277" s="4">
        <v>1630000000</v>
      </c>
      <c r="F277" t="s">
        <v>89</v>
      </c>
      <c r="G277" s="5">
        <v>15.72</v>
      </c>
      <c r="H277" t="s">
        <v>89</v>
      </c>
      <c r="I277" s="5"/>
      <c r="K277" s="2">
        <v>9.5999999999999992E-3</v>
      </c>
      <c r="L277" t="s">
        <v>89</v>
      </c>
      <c r="N277" s="4"/>
      <c r="AB277" t="str">
        <f>IFERROR(VLOOKUP($A277,fund_metadata!$A:$P,2,FALSE),"")</f>
        <v>Hamilton Lane</v>
      </c>
      <c r="AC277" t="str">
        <f>IFERROR(VLOOKUP($A277,fund_metadata!$A:$P,16,FALSE),"")</f>
        <v>private_equity</v>
      </c>
    </row>
    <row r="278" spans="1:29" x14ac:dyDescent="0.25">
      <c r="A278">
        <v>10</v>
      </c>
      <c r="B278" s="3">
        <v>45322</v>
      </c>
      <c r="E278" s="4">
        <v>1520000000</v>
      </c>
      <c r="F278" t="s">
        <v>89</v>
      </c>
      <c r="G278" s="5">
        <v>15.57</v>
      </c>
      <c r="H278" t="s">
        <v>89</v>
      </c>
      <c r="I278" s="5"/>
      <c r="K278" s="2">
        <v>6.6E-3</v>
      </c>
      <c r="L278" t="s">
        <v>89</v>
      </c>
      <c r="N278" s="4"/>
      <c r="AB278" t="str">
        <f>IFERROR(VLOOKUP($A278,fund_metadata!$A:$P,2,FALSE),"")</f>
        <v>Hamilton Lane</v>
      </c>
      <c r="AC278" t="str">
        <f>IFERROR(VLOOKUP($A278,fund_metadata!$A:$P,16,FALSE),"")</f>
        <v>private_equity</v>
      </c>
    </row>
    <row r="279" spans="1:29" x14ac:dyDescent="0.25">
      <c r="A279">
        <v>10</v>
      </c>
      <c r="B279" s="3">
        <v>45291</v>
      </c>
      <c r="E279" s="4">
        <v>1380000000</v>
      </c>
      <c r="F279" t="s">
        <v>89</v>
      </c>
      <c r="G279" s="5">
        <v>15.47</v>
      </c>
      <c r="H279" t="s">
        <v>89</v>
      </c>
      <c r="I279" s="5"/>
      <c r="K279" s="2">
        <v>3.04E-2</v>
      </c>
      <c r="L279" t="s">
        <v>89</v>
      </c>
      <c r="M279">
        <v>188</v>
      </c>
      <c r="N279" s="4"/>
      <c r="AB279" t="str">
        <f>IFERROR(VLOOKUP($A279,fund_metadata!$A:$P,2,FALSE),"")</f>
        <v>Hamilton Lane</v>
      </c>
      <c r="AC279" t="str">
        <f>IFERROR(VLOOKUP($A279,fund_metadata!$A:$P,16,FALSE),"")</f>
        <v>private_equity</v>
      </c>
    </row>
    <row r="280" spans="1:29" x14ac:dyDescent="0.25">
      <c r="A280">
        <v>10</v>
      </c>
      <c r="B280" s="3">
        <v>45260</v>
      </c>
      <c r="E280" s="4">
        <v>1290000000</v>
      </c>
      <c r="F280" t="s">
        <v>89</v>
      </c>
      <c r="G280" s="5">
        <v>15.13</v>
      </c>
      <c r="H280" t="s">
        <v>89</v>
      </c>
      <c r="I280" s="5"/>
      <c r="K280" s="2">
        <v>2.2499999999999999E-2</v>
      </c>
      <c r="L280" t="s">
        <v>89</v>
      </c>
      <c r="N280" s="4"/>
      <c r="AB280" t="str">
        <f>IFERROR(VLOOKUP($A280,fund_metadata!$A:$P,2,FALSE),"")</f>
        <v>Hamilton Lane</v>
      </c>
      <c r="AC280" t="str">
        <f>IFERROR(VLOOKUP($A280,fund_metadata!$A:$P,16,FALSE),"")</f>
        <v>private_equity</v>
      </c>
    </row>
    <row r="281" spans="1:29" x14ac:dyDescent="0.25">
      <c r="A281">
        <v>10</v>
      </c>
      <c r="B281" s="3">
        <v>45230</v>
      </c>
      <c r="E281" s="4">
        <v>1200000000</v>
      </c>
      <c r="F281" t="s">
        <v>89</v>
      </c>
      <c r="G281" s="5">
        <v>14.8</v>
      </c>
      <c r="H281" t="s">
        <v>89</v>
      </c>
      <c r="I281" s="5"/>
      <c r="K281" s="2">
        <v>5.9999999999999995E-4</v>
      </c>
      <c r="L281" t="s">
        <v>89</v>
      </c>
      <c r="N281" s="4"/>
      <c r="AB281" t="str">
        <f>IFERROR(VLOOKUP($A281,fund_metadata!$A:$P,2,FALSE),"")</f>
        <v>Hamilton Lane</v>
      </c>
      <c r="AC281" t="str">
        <f>IFERROR(VLOOKUP($A281,fund_metadata!$A:$P,16,FALSE),"")</f>
        <v>private_equity</v>
      </c>
    </row>
    <row r="282" spans="1:29" x14ac:dyDescent="0.25">
      <c r="A282">
        <v>10</v>
      </c>
      <c r="B282" s="3">
        <v>45199</v>
      </c>
      <c r="E282" s="4">
        <v>1050000000</v>
      </c>
      <c r="F282" t="s">
        <v>89</v>
      </c>
      <c r="G282" s="5">
        <v>14.79</v>
      </c>
      <c r="H282" t="s">
        <v>89</v>
      </c>
      <c r="I282" s="5"/>
      <c r="K282" s="2">
        <v>1.1299999999999999E-2</v>
      </c>
      <c r="L282" t="s">
        <v>89</v>
      </c>
      <c r="M282">
        <v>163</v>
      </c>
      <c r="N282" s="4">
        <v>1340000000</v>
      </c>
      <c r="O282" t="s">
        <v>89</v>
      </c>
      <c r="P282">
        <v>53023949</v>
      </c>
      <c r="Q282" t="s">
        <v>120</v>
      </c>
      <c r="AB282" t="str">
        <f>IFERROR(VLOOKUP($A282,fund_metadata!$A:$P,2,FALSE),"")</f>
        <v>Hamilton Lane</v>
      </c>
      <c r="AC282" t="str">
        <f>IFERROR(VLOOKUP($A282,fund_metadata!$A:$P,16,FALSE),"")</f>
        <v>private_equity</v>
      </c>
    </row>
    <row r="283" spans="1:29" x14ac:dyDescent="0.25">
      <c r="A283">
        <v>10</v>
      </c>
      <c r="B283" s="3">
        <v>45169</v>
      </c>
      <c r="E283" s="4">
        <v>962580000</v>
      </c>
      <c r="F283" t="s">
        <v>89</v>
      </c>
      <c r="G283" s="5">
        <v>14.62</v>
      </c>
      <c r="H283" t="s">
        <v>89</v>
      </c>
      <c r="I283" s="5"/>
      <c r="K283" s="2">
        <v>-7.9000000000000008E-3</v>
      </c>
      <c r="L283" t="s">
        <v>89</v>
      </c>
      <c r="N283" s="4"/>
      <c r="AB283" t="str">
        <f>IFERROR(VLOOKUP($A283,fund_metadata!$A:$P,2,FALSE),"")</f>
        <v>Hamilton Lane</v>
      </c>
      <c r="AC283" t="str">
        <f>IFERROR(VLOOKUP($A283,fund_metadata!$A:$P,16,FALSE),"")</f>
        <v>private_equity</v>
      </c>
    </row>
    <row r="284" spans="1:29" x14ac:dyDescent="0.25">
      <c r="A284">
        <v>10</v>
      </c>
      <c r="B284" s="3">
        <v>45138</v>
      </c>
      <c r="E284" s="4">
        <v>903380000</v>
      </c>
      <c r="F284" t="s">
        <v>89</v>
      </c>
      <c r="G284" s="5">
        <v>14.74</v>
      </c>
      <c r="H284" t="s">
        <v>89</v>
      </c>
      <c r="I284" s="5"/>
      <c r="K284" s="2">
        <v>6.0000000000000001E-3</v>
      </c>
      <c r="L284" t="s">
        <v>89</v>
      </c>
      <c r="N284" s="4"/>
      <c r="AB284" t="str">
        <f>IFERROR(VLOOKUP($A284,fund_metadata!$A:$P,2,FALSE),"")</f>
        <v>Hamilton Lane</v>
      </c>
      <c r="AC284" t="str">
        <f>IFERROR(VLOOKUP($A284,fund_metadata!$A:$P,16,FALSE),"")</f>
        <v>private_equity</v>
      </c>
    </row>
    <row r="285" spans="1:29" x14ac:dyDescent="0.25">
      <c r="A285">
        <v>10</v>
      </c>
      <c r="B285" s="3">
        <v>45107</v>
      </c>
      <c r="E285" s="4">
        <v>734520000</v>
      </c>
      <c r="F285" t="s">
        <v>89</v>
      </c>
      <c r="G285" s="5">
        <v>14.65</v>
      </c>
      <c r="H285" t="s">
        <v>89</v>
      </c>
      <c r="I285" s="5"/>
      <c r="K285" s="2">
        <v>2.9499999999999998E-2</v>
      </c>
      <c r="L285" t="s">
        <v>89</v>
      </c>
      <c r="M285">
        <v>114</v>
      </c>
      <c r="N285" s="4"/>
      <c r="AB285" t="str">
        <f>IFERROR(VLOOKUP($A285,fund_metadata!$A:$P,2,FALSE),"")</f>
        <v>Hamilton Lane</v>
      </c>
      <c r="AC285" t="str">
        <f>IFERROR(VLOOKUP($A285,fund_metadata!$A:$P,16,FALSE),"")</f>
        <v>private_equity</v>
      </c>
    </row>
    <row r="286" spans="1:29" x14ac:dyDescent="0.25">
      <c r="A286">
        <v>10</v>
      </c>
      <c r="B286" s="3">
        <v>45077</v>
      </c>
      <c r="E286" s="4">
        <v>646400000</v>
      </c>
      <c r="F286" t="s">
        <v>89</v>
      </c>
      <c r="G286" s="5">
        <v>14.23</v>
      </c>
      <c r="H286" t="s">
        <v>89</v>
      </c>
      <c r="I286" s="5"/>
      <c r="K286" s="2">
        <v>2.0999999999999999E-3</v>
      </c>
      <c r="L286" t="s">
        <v>89</v>
      </c>
      <c r="N286" s="4"/>
      <c r="AB286" t="str">
        <f>IFERROR(VLOOKUP($A286,fund_metadata!$A:$P,2,FALSE),"")</f>
        <v>Hamilton Lane</v>
      </c>
      <c r="AC286" t="str">
        <f>IFERROR(VLOOKUP($A286,fund_metadata!$A:$P,16,FALSE),"")</f>
        <v>private_equity</v>
      </c>
    </row>
    <row r="287" spans="1:29" x14ac:dyDescent="0.25">
      <c r="A287">
        <v>10</v>
      </c>
      <c r="B287" s="3">
        <v>45046</v>
      </c>
      <c r="E287" s="4">
        <v>621540000</v>
      </c>
      <c r="F287" t="s">
        <v>89</v>
      </c>
      <c r="G287" s="5">
        <v>14.2</v>
      </c>
      <c r="H287" t="s">
        <v>89</v>
      </c>
      <c r="I287" s="5"/>
      <c r="K287" s="2">
        <v>4.1999999999999997E-3</v>
      </c>
      <c r="L287" t="s">
        <v>89</v>
      </c>
      <c r="N287" s="4"/>
      <c r="AB287" t="str">
        <f>IFERROR(VLOOKUP($A287,fund_metadata!$A:$P,2,FALSE),"")</f>
        <v>Hamilton Lane</v>
      </c>
      <c r="AC287" t="str">
        <f>IFERROR(VLOOKUP($A287,fund_metadata!$A:$P,16,FALSE),"")</f>
        <v>private_equity</v>
      </c>
    </row>
    <row r="288" spans="1:29" x14ac:dyDescent="0.25">
      <c r="A288">
        <v>10</v>
      </c>
      <c r="B288" s="3">
        <v>45016</v>
      </c>
      <c r="E288" s="4">
        <v>581630000</v>
      </c>
      <c r="F288" t="s">
        <v>89</v>
      </c>
      <c r="G288" s="5">
        <v>14.14</v>
      </c>
      <c r="H288" t="s">
        <v>89</v>
      </c>
      <c r="I288" s="5"/>
      <c r="K288" s="2">
        <v>-7.0000000000000001E-3</v>
      </c>
      <c r="L288" t="s">
        <v>89</v>
      </c>
      <c r="M288">
        <v>109</v>
      </c>
      <c r="N288" s="4">
        <v>644780000</v>
      </c>
      <c r="O288" t="s">
        <v>89</v>
      </c>
      <c r="P288">
        <v>37766460</v>
      </c>
      <c r="Q288" t="s">
        <v>121</v>
      </c>
      <c r="AB288" t="str">
        <f>IFERROR(VLOOKUP($A288,fund_metadata!$A:$P,2,FALSE),"")</f>
        <v>Hamilton Lane</v>
      </c>
      <c r="AC288" t="str">
        <f>IFERROR(VLOOKUP($A288,fund_metadata!$A:$P,16,FALSE),"")</f>
        <v>private_equity</v>
      </c>
    </row>
    <row r="289" spans="1:29" x14ac:dyDescent="0.25">
      <c r="A289">
        <v>10</v>
      </c>
      <c r="B289" s="3">
        <v>44985</v>
      </c>
      <c r="E289" s="4">
        <v>555100000</v>
      </c>
      <c r="F289" t="s">
        <v>89</v>
      </c>
      <c r="G289" s="5">
        <v>14.24</v>
      </c>
      <c r="H289" t="s">
        <v>89</v>
      </c>
      <c r="I289" s="5"/>
      <c r="K289" s="2">
        <v>1.4E-3</v>
      </c>
      <c r="L289" t="s">
        <v>89</v>
      </c>
      <c r="N289" s="4"/>
      <c r="AB289" t="str">
        <f>IFERROR(VLOOKUP($A289,fund_metadata!$A:$P,2,FALSE),"")</f>
        <v>Hamilton Lane</v>
      </c>
      <c r="AC289" t="str">
        <f>IFERROR(VLOOKUP($A289,fund_metadata!$A:$P,16,FALSE),"")</f>
        <v>private_equity</v>
      </c>
    </row>
    <row r="290" spans="1:29" x14ac:dyDescent="0.25">
      <c r="A290">
        <v>10</v>
      </c>
      <c r="B290" s="3">
        <v>44957</v>
      </c>
      <c r="E290" s="4">
        <v>540760000</v>
      </c>
      <c r="F290" t="s">
        <v>89</v>
      </c>
      <c r="G290" s="5">
        <v>14.22</v>
      </c>
      <c r="H290" t="s">
        <v>89</v>
      </c>
      <c r="I290" s="5"/>
      <c r="K290" s="2">
        <v>2.52E-2</v>
      </c>
      <c r="L290" t="s">
        <v>89</v>
      </c>
      <c r="N290" s="4"/>
      <c r="AB290" t="str">
        <f>IFERROR(VLOOKUP($A290,fund_metadata!$A:$P,2,FALSE),"")</f>
        <v>Hamilton Lane</v>
      </c>
      <c r="AC290" t="str">
        <f>IFERROR(VLOOKUP($A290,fund_metadata!$A:$P,16,FALSE),"")</f>
        <v>private_equity</v>
      </c>
    </row>
    <row r="291" spans="1:29" x14ac:dyDescent="0.25">
      <c r="A291">
        <v>10</v>
      </c>
      <c r="B291" s="3">
        <v>44926</v>
      </c>
      <c r="E291" s="4">
        <v>502120000</v>
      </c>
      <c r="F291" t="s">
        <v>89</v>
      </c>
      <c r="G291" s="5">
        <v>13.87</v>
      </c>
      <c r="H291" t="s">
        <v>89</v>
      </c>
      <c r="I291" s="5"/>
      <c r="K291" s="2">
        <v>1.1900000000000001E-2</v>
      </c>
      <c r="L291" t="s">
        <v>89</v>
      </c>
      <c r="M291">
        <v>89</v>
      </c>
      <c r="N291" s="4"/>
      <c r="AB291" t="str">
        <f>IFERROR(VLOOKUP($A291,fund_metadata!$A:$P,2,FALSE),"")</f>
        <v>Hamilton Lane</v>
      </c>
      <c r="AC291" t="str">
        <f>IFERROR(VLOOKUP($A291,fund_metadata!$A:$P,16,FALSE),"")</f>
        <v>private_equity</v>
      </c>
    </row>
    <row r="292" spans="1:29" x14ac:dyDescent="0.25">
      <c r="A292">
        <v>10</v>
      </c>
      <c r="B292" s="3">
        <v>44895</v>
      </c>
      <c r="E292" s="4">
        <v>482750000</v>
      </c>
      <c r="F292" t="s">
        <v>89</v>
      </c>
      <c r="G292" s="5">
        <v>13.9</v>
      </c>
      <c r="H292" t="s">
        <v>89</v>
      </c>
      <c r="I292" s="5"/>
      <c r="K292" s="2">
        <v>3.5799999999999998E-2</v>
      </c>
      <c r="L292" t="s">
        <v>89</v>
      </c>
      <c r="N292" s="4"/>
      <c r="AB292" t="str">
        <f>IFERROR(VLOOKUP($A292,fund_metadata!$A:$P,2,FALSE),"")</f>
        <v>Hamilton Lane</v>
      </c>
      <c r="AC292" t="str">
        <f>IFERROR(VLOOKUP($A292,fund_metadata!$A:$P,16,FALSE),"")</f>
        <v>private_equity</v>
      </c>
    </row>
    <row r="293" spans="1:29" x14ac:dyDescent="0.25">
      <c r="A293">
        <v>10</v>
      </c>
      <c r="B293" s="3">
        <v>44865</v>
      </c>
      <c r="E293" s="4">
        <v>461990000</v>
      </c>
      <c r="F293" t="s">
        <v>89</v>
      </c>
      <c r="G293" s="5">
        <v>13.42</v>
      </c>
      <c r="H293" t="s">
        <v>89</v>
      </c>
      <c r="I293" s="5"/>
      <c r="K293" s="2">
        <v>3.3099999999999997E-2</v>
      </c>
      <c r="L293" t="s">
        <v>89</v>
      </c>
      <c r="N293" s="4"/>
      <c r="AB293" t="str">
        <f>IFERROR(VLOOKUP($A293,fund_metadata!$A:$P,2,FALSE),"")</f>
        <v>Hamilton Lane</v>
      </c>
      <c r="AC293" t="str">
        <f>IFERROR(VLOOKUP($A293,fund_metadata!$A:$P,16,FALSE),"")</f>
        <v>private_equity</v>
      </c>
    </row>
    <row r="294" spans="1:29" x14ac:dyDescent="0.25">
      <c r="A294">
        <v>10</v>
      </c>
      <c r="B294" s="3">
        <v>44834</v>
      </c>
      <c r="E294" s="4">
        <v>436710000</v>
      </c>
      <c r="F294" t="s">
        <v>89</v>
      </c>
      <c r="G294" s="5">
        <v>12.99</v>
      </c>
      <c r="H294" t="s">
        <v>89</v>
      </c>
      <c r="I294" s="5"/>
      <c r="K294" s="2">
        <v>-8.0000000000000004E-4</v>
      </c>
      <c r="L294" t="s">
        <v>89</v>
      </c>
      <c r="M294">
        <v>90</v>
      </c>
      <c r="N294" s="4">
        <v>463950000</v>
      </c>
      <c r="O294" t="s">
        <v>89</v>
      </c>
      <c r="P294">
        <v>31669215</v>
      </c>
      <c r="Q294" t="s">
        <v>120</v>
      </c>
      <c r="AB294" t="str">
        <f>IFERROR(VLOOKUP($A294,fund_metadata!$A:$P,2,FALSE),"")</f>
        <v>Hamilton Lane</v>
      </c>
      <c r="AC294" t="str">
        <f>IFERROR(VLOOKUP($A294,fund_metadata!$A:$P,16,FALSE),"")</f>
        <v>private_equity</v>
      </c>
    </row>
    <row r="295" spans="1:29" x14ac:dyDescent="0.25">
      <c r="A295">
        <v>10</v>
      </c>
      <c r="B295" s="3">
        <v>44804</v>
      </c>
      <c r="E295" s="4">
        <v>428430000</v>
      </c>
      <c r="F295" t="s">
        <v>89</v>
      </c>
      <c r="G295" s="5">
        <v>13</v>
      </c>
      <c r="H295" t="s">
        <v>89</v>
      </c>
      <c r="I295" s="5"/>
      <c r="K295" s="2">
        <v>1.6400000000000001E-2</v>
      </c>
      <c r="L295" t="s">
        <v>89</v>
      </c>
      <c r="N295" s="4"/>
      <c r="AB295" t="str">
        <f>IFERROR(VLOOKUP($A295,fund_metadata!$A:$P,2,FALSE),"")</f>
        <v>Hamilton Lane</v>
      </c>
      <c r="AC295" t="str">
        <f>IFERROR(VLOOKUP($A295,fund_metadata!$A:$P,16,FALSE),"")</f>
        <v>private_equity</v>
      </c>
    </row>
    <row r="296" spans="1:29" x14ac:dyDescent="0.25">
      <c r="A296">
        <v>10</v>
      </c>
      <c r="B296" s="3">
        <v>44773</v>
      </c>
      <c r="E296" s="4">
        <v>411080000</v>
      </c>
      <c r="F296" t="s">
        <v>89</v>
      </c>
      <c r="G296" s="5">
        <v>12.79</v>
      </c>
      <c r="H296" t="s">
        <v>89</v>
      </c>
      <c r="I296" s="5"/>
      <c r="K296" s="2">
        <v>4.8399999999999999E-2</v>
      </c>
      <c r="L296" t="s">
        <v>89</v>
      </c>
      <c r="N296" s="4"/>
      <c r="AB296" t="str">
        <f>IFERROR(VLOOKUP($A296,fund_metadata!$A:$P,2,FALSE),"")</f>
        <v>Hamilton Lane</v>
      </c>
      <c r="AC296" t="str">
        <f>IFERROR(VLOOKUP($A296,fund_metadata!$A:$P,16,FALSE),"")</f>
        <v>private_equity</v>
      </c>
    </row>
    <row r="297" spans="1:29" x14ac:dyDescent="0.25">
      <c r="A297">
        <v>10</v>
      </c>
      <c r="B297" s="3">
        <v>44742</v>
      </c>
      <c r="E297" s="4">
        <v>383670000</v>
      </c>
      <c r="F297" t="s">
        <v>89</v>
      </c>
      <c r="G297" s="5">
        <v>12.2</v>
      </c>
      <c r="H297" t="s">
        <v>89</v>
      </c>
      <c r="I297" s="5"/>
      <c r="K297" s="2">
        <v>-7.3000000000000001E-3</v>
      </c>
      <c r="L297" t="s">
        <v>89</v>
      </c>
      <c r="M297">
        <v>84</v>
      </c>
      <c r="N297" s="4"/>
      <c r="AB297" t="str">
        <f>IFERROR(VLOOKUP($A297,fund_metadata!$A:$P,2,FALSE),"")</f>
        <v>Hamilton Lane</v>
      </c>
      <c r="AC297" t="str">
        <f>IFERROR(VLOOKUP($A297,fund_metadata!$A:$P,16,FALSE),"")</f>
        <v>private_equity</v>
      </c>
    </row>
    <row r="298" spans="1:29" x14ac:dyDescent="0.25">
      <c r="A298">
        <v>10</v>
      </c>
      <c r="B298" s="3">
        <v>44712</v>
      </c>
      <c r="E298" s="4">
        <v>367980000</v>
      </c>
      <c r="F298" t="s">
        <v>89</v>
      </c>
      <c r="G298" s="5">
        <v>12.29</v>
      </c>
      <c r="H298" t="s">
        <v>89</v>
      </c>
      <c r="I298" s="5"/>
      <c r="K298" s="2">
        <v>2.3300000000000001E-2</v>
      </c>
      <c r="L298" t="s">
        <v>89</v>
      </c>
      <c r="N298" s="4"/>
      <c r="AB298" t="str">
        <f>IFERROR(VLOOKUP($A298,fund_metadata!$A:$P,2,FALSE),"")</f>
        <v>Hamilton Lane</v>
      </c>
      <c r="AC298" t="str">
        <f>IFERROR(VLOOKUP($A298,fund_metadata!$A:$P,16,FALSE),"")</f>
        <v>private_equity</v>
      </c>
    </row>
    <row r="299" spans="1:29" x14ac:dyDescent="0.25">
      <c r="A299">
        <v>10</v>
      </c>
      <c r="B299" s="3">
        <v>44681</v>
      </c>
      <c r="E299" s="4">
        <v>344500000</v>
      </c>
      <c r="F299" t="s">
        <v>89</v>
      </c>
      <c r="G299" s="5">
        <v>12.01</v>
      </c>
      <c r="H299" t="s">
        <v>89</v>
      </c>
      <c r="I299" s="5"/>
      <c r="K299" s="2">
        <v>-2.75E-2</v>
      </c>
      <c r="L299" t="s">
        <v>89</v>
      </c>
      <c r="N299" s="4"/>
      <c r="AB299" t="str">
        <f>IFERROR(VLOOKUP($A299,fund_metadata!$A:$P,2,FALSE),"")</f>
        <v>Hamilton Lane</v>
      </c>
      <c r="AC299" t="str">
        <f>IFERROR(VLOOKUP($A299,fund_metadata!$A:$P,16,FALSE),"")</f>
        <v>private_equity</v>
      </c>
    </row>
    <row r="300" spans="1:29" x14ac:dyDescent="0.25">
      <c r="A300">
        <v>10</v>
      </c>
      <c r="B300" s="3">
        <v>44651</v>
      </c>
      <c r="E300" s="4">
        <v>338480000</v>
      </c>
      <c r="F300" t="s">
        <v>89</v>
      </c>
      <c r="G300" s="5">
        <v>12.35</v>
      </c>
      <c r="H300" t="s">
        <v>89</v>
      </c>
      <c r="I300" s="5"/>
      <c r="K300" s="2">
        <v>3.1699999999999999E-2</v>
      </c>
      <c r="L300" t="s">
        <v>89</v>
      </c>
      <c r="M300">
        <v>79</v>
      </c>
      <c r="N300" s="4">
        <v>365370000</v>
      </c>
      <c r="O300" t="s">
        <v>89</v>
      </c>
      <c r="P300">
        <v>26710202</v>
      </c>
      <c r="Q300" t="s">
        <v>121</v>
      </c>
      <c r="AB300" t="str">
        <f>IFERROR(VLOOKUP($A300,fund_metadata!$A:$P,2,FALSE),"")</f>
        <v>Hamilton Lane</v>
      </c>
      <c r="AC300" t="str">
        <f>IFERROR(VLOOKUP($A300,fund_metadata!$A:$P,16,FALSE),"")</f>
        <v>private_equity</v>
      </c>
    </row>
    <row r="301" spans="1:29" x14ac:dyDescent="0.25">
      <c r="A301">
        <v>10</v>
      </c>
      <c r="B301" s="3">
        <v>44620</v>
      </c>
      <c r="E301" s="4">
        <v>321840000</v>
      </c>
      <c r="F301" t="s">
        <v>89</v>
      </c>
      <c r="G301" s="5">
        <v>11.97</v>
      </c>
      <c r="H301" t="s">
        <v>89</v>
      </c>
      <c r="I301" s="5"/>
      <c r="K301" s="2">
        <v>5.0000000000000001E-3</v>
      </c>
      <c r="L301" t="s">
        <v>89</v>
      </c>
      <c r="N301" s="4"/>
      <c r="AB301" t="str">
        <f>IFERROR(VLOOKUP($A301,fund_metadata!$A:$P,2,FALSE),"")</f>
        <v>Hamilton Lane</v>
      </c>
      <c r="AC301" t="str">
        <f>IFERROR(VLOOKUP($A301,fund_metadata!$A:$P,16,FALSE),"")</f>
        <v>private_equity</v>
      </c>
    </row>
    <row r="302" spans="1:29" x14ac:dyDescent="0.25">
      <c r="A302">
        <v>10</v>
      </c>
      <c r="B302" s="3">
        <v>44592</v>
      </c>
      <c r="E302" s="4">
        <v>303490000</v>
      </c>
      <c r="F302" t="s">
        <v>89</v>
      </c>
      <c r="G302" s="5">
        <v>11.91</v>
      </c>
      <c r="H302" t="s">
        <v>89</v>
      </c>
      <c r="I302" s="5"/>
      <c r="K302" s="2">
        <v>-1.5699999999999999E-2</v>
      </c>
      <c r="L302" t="s">
        <v>89</v>
      </c>
      <c r="N302" s="4"/>
      <c r="AB302" t="str">
        <f>IFERROR(VLOOKUP($A302,fund_metadata!$A:$P,2,FALSE),"")</f>
        <v>Hamilton Lane</v>
      </c>
      <c r="AC302" t="str">
        <f>IFERROR(VLOOKUP($A302,fund_metadata!$A:$P,16,FALSE),"")</f>
        <v>private_equity</v>
      </c>
    </row>
    <row r="303" spans="1:29" x14ac:dyDescent="0.25">
      <c r="A303">
        <v>10</v>
      </c>
      <c r="B303" s="3">
        <v>44561</v>
      </c>
      <c r="E303" s="4">
        <v>292500000</v>
      </c>
      <c r="F303" t="s">
        <v>89</v>
      </c>
      <c r="G303" s="5">
        <v>12.1</v>
      </c>
      <c r="H303" t="s">
        <v>89</v>
      </c>
      <c r="I303" s="5"/>
      <c r="K303" s="2">
        <v>2.18E-2</v>
      </c>
      <c r="L303" t="s">
        <v>89</v>
      </c>
      <c r="M303">
        <v>73</v>
      </c>
      <c r="N303" s="4"/>
      <c r="AB303" t="str">
        <f>IFERROR(VLOOKUP($A303,fund_metadata!$A:$P,2,FALSE),"")</f>
        <v>Hamilton Lane</v>
      </c>
      <c r="AC303" t="str">
        <f>IFERROR(VLOOKUP($A303,fund_metadata!$A:$P,16,FALSE),"")</f>
        <v>private_equity</v>
      </c>
    </row>
    <row r="304" spans="1:29" x14ac:dyDescent="0.25">
      <c r="A304">
        <v>10</v>
      </c>
      <c r="B304" s="3">
        <v>44530</v>
      </c>
      <c r="E304" s="4">
        <v>267890000</v>
      </c>
      <c r="F304" t="s">
        <v>89</v>
      </c>
      <c r="G304" s="5">
        <v>12.02</v>
      </c>
      <c r="H304" t="s">
        <v>89</v>
      </c>
      <c r="I304" s="5"/>
      <c r="K304" s="2">
        <v>8.0000000000000004E-4</v>
      </c>
      <c r="L304" t="s">
        <v>89</v>
      </c>
      <c r="N304" s="4"/>
      <c r="AB304" t="str">
        <f>IFERROR(VLOOKUP($A304,fund_metadata!$A:$P,2,FALSE),"")</f>
        <v>Hamilton Lane</v>
      </c>
      <c r="AC304" t="str">
        <f>IFERROR(VLOOKUP($A304,fund_metadata!$A:$P,16,FALSE),"")</f>
        <v>private_equity</v>
      </c>
    </row>
    <row r="305" spans="1:29" x14ac:dyDescent="0.25">
      <c r="A305">
        <v>10</v>
      </c>
      <c r="B305" s="3">
        <v>44500</v>
      </c>
      <c r="E305" s="4">
        <v>251050000</v>
      </c>
      <c r="F305" t="s">
        <v>89</v>
      </c>
      <c r="G305" s="5">
        <v>12.01</v>
      </c>
      <c r="H305" t="s">
        <v>89</v>
      </c>
      <c r="I305" s="5"/>
      <c r="K305" s="2">
        <v>1.44E-2</v>
      </c>
      <c r="L305" t="s">
        <v>89</v>
      </c>
      <c r="N305" s="4"/>
      <c r="AB305" t="str">
        <f>IFERROR(VLOOKUP($A305,fund_metadata!$A:$P,2,FALSE),"")</f>
        <v>Hamilton Lane</v>
      </c>
      <c r="AC305" t="str">
        <f>IFERROR(VLOOKUP($A305,fund_metadata!$A:$P,16,FALSE),"")</f>
        <v>private_equity</v>
      </c>
    </row>
    <row r="306" spans="1:29" x14ac:dyDescent="0.25">
      <c r="A306">
        <v>10</v>
      </c>
      <c r="B306" s="3">
        <v>44469</v>
      </c>
      <c r="E306" s="4">
        <v>225580000</v>
      </c>
      <c r="F306" t="s">
        <v>89</v>
      </c>
      <c r="G306" s="5">
        <v>11.84</v>
      </c>
      <c r="H306" t="s">
        <v>89</v>
      </c>
      <c r="I306" s="5"/>
      <c r="K306" s="2">
        <v>3.8600000000000002E-2</v>
      </c>
      <c r="L306" t="s">
        <v>89</v>
      </c>
      <c r="M306">
        <v>57</v>
      </c>
      <c r="N306" s="4">
        <v>249430000</v>
      </c>
      <c r="O306" t="s">
        <v>89</v>
      </c>
      <c r="P306">
        <v>19651138</v>
      </c>
      <c r="Q306" t="s">
        <v>120</v>
      </c>
      <c r="AB306" t="str">
        <f>IFERROR(VLOOKUP($A306,fund_metadata!$A:$P,2,FALSE),"")</f>
        <v>Hamilton Lane</v>
      </c>
      <c r="AC306" t="str">
        <f>IFERROR(VLOOKUP($A306,fund_metadata!$A:$P,16,FALSE),"")</f>
        <v>private_equity</v>
      </c>
    </row>
    <row r="307" spans="1:29" x14ac:dyDescent="0.25">
      <c r="A307">
        <v>10</v>
      </c>
      <c r="B307" s="3">
        <v>44439</v>
      </c>
      <c r="E307" s="4">
        <v>214240000</v>
      </c>
      <c r="F307" t="s">
        <v>89</v>
      </c>
      <c r="G307" s="5">
        <v>11.4</v>
      </c>
      <c r="H307" t="s">
        <v>89</v>
      </c>
      <c r="I307" s="5"/>
      <c r="K307" s="2">
        <v>2.7E-2</v>
      </c>
      <c r="L307" t="s">
        <v>89</v>
      </c>
      <c r="N307" s="4"/>
      <c r="AB307" t="str">
        <f>IFERROR(VLOOKUP($A307,fund_metadata!$A:$P,2,FALSE),"")</f>
        <v>Hamilton Lane</v>
      </c>
      <c r="AC307" t="str">
        <f>IFERROR(VLOOKUP($A307,fund_metadata!$A:$P,16,FALSE),"")</f>
        <v>private_equity</v>
      </c>
    </row>
    <row r="308" spans="1:29" x14ac:dyDescent="0.25">
      <c r="A308">
        <v>10</v>
      </c>
      <c r="B308" s="3">
        <v>44408</v>
      </c>
      <c r="E308" s="4"/>
      <c r="G308" s="5">
        <v>11.1</v>
      </c>
      <c r="H308" t="s">
        <v>89</v>
      </c>
      <c r="I308" s="5"/>
      <c r="K308" s="2">
        <v>1.8E-3</v>
      </c>
      <c r="L308" t="s">
        <v>89</v>
      </c>
      <c r="N308" s="4"/>
      <c r="AB308" t="str">
        <f>IFERROR(VLOOKUP($A308,fund_metadata!$A:$P,2,FALSE),"")</f>
        <v>Hamilton Lane</v>
      </c>
      <c r="AC308" t="str">
        <f>IFERROR(VLOOKUP($A308,fund_metadata!$A:$P,16,FALSE),"")</f>
        <v>private_equity</v>
      </c>
    </row>
    <row r="309" spans="1:29" x14ac:dyDescent="0.25">
      <c r="A309">
        <v>10</v>
      </c>
      <c r="B309" s="3">
        <v>44377</v>
      </c>
      <c r="E309" s="4">
        <v>196960000</v>
      </c>
      <c r="F309" t="s">
        <v>89</v>
      </c>
      <c r="G309" s="5">
        <v>11.08</v>
      </c>
      <c r="H309" t="s">
        <v>89</v>
      </c>
      <c r="I309" s="5"/>
      <c r="K309" s="2">
        <v>4.9200000000000001E-2</v>
      </c>
      <c r="L309" t="s">
        <v>89</v>
      </c>
      <c r="M309">
        <v>51</v>
      </c>
      <c r="N309" s="4"/>
      <c r="AB309" t="str">
        <f>IFERROR(VLOOKUP($A309,fund_metadata!$A:$P,2,FALSE),"")</f>
        <v>Hamilton Lane</v>
      </c>
      <c r="AC309" t="str">
        <f>IFERROR(VLOOKUP($A309,fund_metadata!$A:$P,16,FALSE),"")</f>
        <v>private_equity</v>
      </c>
    </row>
    <row r="310" spans="1:29" x14ac:dyDescent="0.25">
      <c r="A310">
        <v>10</v>
      </c>
      <c r="B310" s="3">
        <v>44347</v>
      </c>
      <c r="E310" s="4">
        <v>181560000</v>
      </c>
      <c r="F310" t="s">
        <v>89</v>
      </c>
      <c r="G310" s="5">
        <v>10.56</v>
      </c>
      <c r="H310" t="s">
        <v>89</v>
      </c>
      <c r="I310" s="5"/>
      <c r="K310" s="2">
        <v>1.7299999999999999E-2</v>
      </c>
      <c r="L310" t="s">
        <v>89</v>
      </c>
      <c r="N310" s="4"/>
      <c r="AB310" t="str">
        <f>IFERROR(VLOOKUP($A310,fund_metadata!$A:$P,2,FALSE),"")</f>
        <v>Hamilton Lane</v>
      </c>
      <c r="AC310" t="str">
        <f>IFERROR(VLOOKUP($A310,fund_metadata!$A:$P,16,FALSE),"")</f>
        <v>private_equity</v>
      </c>
    </row>
    <row r="311" spans="1:29" x14ac:dyDescent="0.25">
      <c r="A311">
        <v>10</v>
      </c>
      <c r="B311" s="3">
        <v>44316</v>
      </c>
      <c r="E311" s="4">
        <v>166170000</v>
      </c>
      <c r="F311" t="s">
        <v>89</v>
      </c>
      <c r="G311" s="5">
        <v>10.38</v>
      </c>
      <c r="H311" t="s">
        <v>89</v>
      </c>
      <c r="I311" s="5"/>
      <c r="K311" s="2">
        <v>0</v>
      </c>
      <c r="L311" t="s">
        <v>89</v>
      </c>
      <c r="N311" s="4"/>
      <c r="AB311" t="str">
        <f>IFERROR(VLOOKUP($A311,fund_metadata!$A:$P,2,FALSE),"")</f>
        <v>Hamilton Lane</v>
      </c>
      <c r="AC311" t="str">
        <f>IFERROR(VLOOKUP($A311,fund_metadata!$A:$P,16,FALSE),"")</f>
        <v>private_equity</v>
      </c>
    </row>
    <row r="312" spans="1:29" x14ac:dyDescent="0.25">
      <c r="A312">
        <v>10</v>
      </c>
      <c r="B312" s="3">
        <v>44286</v>
      </c>
      <c r="E312" s="4">
        <v>158870000</v>
      </c>
      <c r="F312" t="s">
        <v>89</v>
      </c>
      <c r="G312" s="5">
        <v>10.38</v>
      </c>
      <c r="H312" t="s">
        <v>89</v>
      </c>
      <c r="I312" s="5"/>
      <c r="K312" s="2">
        <v>3.49E-2</v>
      </c>
      <c r="L312" t="s">
        <v>89</v>
      </c>
      <c r="M312">
        <v>38</v>
      </c>
      <c r="N312" s="4">
        <v>165420000</v>
      </c>
      <c r="O312" t="s">
        <v>89</v>
      </c>
      <c r="P312">
        <v>15484525</v>
      </c>
      <c r="Q312" t="s">
        <v>121</v>
      </c>
      <c r="AB312" t="str">
        <f>IFERROR(VLOOKUP($A312,fund_metadata!$A:$P,2,FALSE),"")</f>
        <v>Hamilton Lane</v>
      </c>
      <c r="AC312" t="str">
        <f>IFERROR(VLOOKUP($A312,fund_metadata!$A:$P,16,FALSE),"")</f>
        <v>private_equity</v>
      </c>
    </row>
    <row r="313" spans="1:29" x14ac:dyDescent="0.25">
      <c r="A313">
        <v>10</v>
      </c>
      <c r="B313" s="3">
        <v>44255</v>
      </c>
      <c r="E313" s="4"/>
      <c r="G313" s="5">
        <v>10.029999999999999</v>
      </c>
      <c r="H313" t="s">
        <v>89</v>
      </c>
      <c r="I313" s="5"/>
      <c r="K313" s="2">
        <v>3.0000000000000001E-3</v>
      </c>
      <c r="L313" t="s">
        <v>89</v>
      </c>
      <c r="N313" s="4"/>
      <c r="AB313" t="str">
        <f>IFERROR(VLOOKUP($A313,fund_metadata!$A:$P,2,FALSE),"")</f>
        <v>Hamilton Lane</v>
      </c>
      <c r="AC313" t="str">
        <f>IFERROR(VLOOKUP($A313,fund_metadata!$A:$P,16,FALSE),"")</f>
        <v>private_equity</v>
      </c>
    </row>
    <row r="314" spans="1:29" x14ac:dyDescent="0.25">
      <c r="A314">
        <v>10</v>
      </c>
      <c r="B314" s="3">
        <v>44227</v>
      </c>
      <c r="E314" s="4"/>
      <c r="G314" s="5">
        <v>10</v>
      </c>
      <c r="H314" t="s">
        <v>89</v>
      </c>
      <c r="I314" s="5"/>
      <c r="K314" s="2"/>
      <c r="N314" s="4"/>
      <c r="AB314" t="str">
        <f>IFERROR(VLOOKUP($A314,fund_metadata!$A:$P,2,FALSE),"")</f>
        <v>Hamilton Lane</v>
      </c>
      <c r="AC314" t="str">
        <f>IFERROR(VLOOKUP($A314,fund_metadata!$A:$P,16,FALSE),"")</f>
        <v>private_equity</v>
      </c>
    </row>
    <row r="315" spans="1:29" x14ac:dyDescent="0.25">
      <c r="A315">
        <v>11</v>
      </c>
      <c r="B315" s="3">
        <v>46173</v>
      </c>
      <c r="E315" s="4"/>
      <c r="G315" s="5"/>
      <c r="I315" s="5"/>
      <c r="K315" s="2"/>
      <c r="N315" s="4"/>
      <c r="AB315" t="str">
        <f>IFERROR(VLOOKUP($A315,fund_metadata!$A:$P,2,FALSE),"")</f>
        <v>JPMF</v>
      </c>
      <c r="AC315" t="str">
        <f>IFERROR(VLOOKUP($A315,fund_metadata!$A:$P,16,FALSE),"")</f>
        <v>private_equity</v>
      </c>
    </row>
    <row r="316" spans="1:29" x14ac:dyDescent="0.25">
      <c r="A316">
        <v>11</v>
      </c>
      <c r="B316" s="3">
        <v>46142</v>
      </c>
      <c r="E316" s="4"/>
      <c r="G316" s="5"/>
      <c r="I316" s="5"/>
      <c r="K316" s="2"/>
      <c r="N316" s="4"/>
      <c r="AB316" t="str">
        <f>IFERROR(VLOOKUP($A316,fund_metadata!$A:$P,2,FALSE),"")</f>
        <v>JPMF</v>
      </c>
      <c r="AC316" t="str">
        <f>IFERROR(VLOOKUP($A316,fund_metadata!$A:$P,16,FALSE),"")</f>
        <v>private_equity</v>
      </c>
    </row>
    <row r="317" spans="1:29" x14ac:dyDescent="0.25">
      <c r="A317">
        <v>11</v>
      </c>
      <c r="B317" s="3">
        <v>46112</v>
      </c>
      <c r="C317">
        <v>10093875.85</v>
      </c>
      <c r="D317" t="s">
        <v>106</v>
      </c>
      <c r="E317" s="4">
        <v>1680000000</v>
      </c>
      <c r="F317" t="s">
        <v>89</v>
      </c>
      <c r="G317" s="5">
        <v>17.95</v>
      </c>
      <c r="H317" t="s">
        <v>89</v>
      </c>
      <c r="I317" s="5"/>
      <c r="K317" s="2">
        <v>-1.2999999999999999E-3</v>
      </c>
      <c r="L317" t="s">
        <v>89</v>
      </c>
      <c r="M317">
        <v>124</v>
      </c>
      <c r="N317" s="4"/>
      <c r="R317">
        <v>562467.65800000005</v>
      </c>
      <c r="S317" t="s">
        <v>106</v>
      </c>
      <c r="T317">
        <v>0</v>
      </c>
      <c r="U317" t="s">
        <v>106</v>
      </c>
      <c r="V317">
        <v>0</v>
      </c>
      <c r="W317" t="s">
        <v>106</v>
      </c>
      <c r="X317">
        <v>0</v>
      </c>
      <c r="Y317" t="s">
        <v>106</v>
      </c>
      <c r="AB317" t="str">
        <f>IFERROR(VLOOKUP($A317,fund_metadata!$A:$P,2,FALSE),"")</f>
        <v>JPMF</v>
      </c>
      <c r="AC317" t="str">
        <f>IFERROR(VLOOKUP($A317,fund_metadata!$A:$P,16,FALSE),"")</f>
        <v>private_equity</v>
      </c>
    </row>
    <row r="318" spans="1:29" x14ac:dyDescent="0.25">
      <c r="A318">
        <v>11</v>
      </c>
      <c r="B318" s="3">
        <v>46081</v>
      </c>
      <c r="C318">
        <v>10107431.32</v>
      </c>
      <c r="D318" t="s">
        <v>106</v>
      </c>
      <c r="E318" s="4">
        <v>1640000000</v>
      </c>
      <c r="F318" t="s">
        <v>89</v>
      </c>
      <c r="G318" s="5">
        <v>17.97</v>
      </c>
      <c r="H318" t="s">
        <v>89</v>
      </c>
      <c r="I318" s="5"/>
      <c r="K318" s="2">
        <v>4.0000000000000002E-4</v>
      </c>
      <c r="L318" t="s">
        <v>89</v>
      </c>
      <c r="N318" s="4"/>
      <c r="R318">
        <v>562467.65800000005</v>
      </c>
      <c r="S318" t="s">
        <v>106</v>
      </c>
      <c r="T318">
        <v>0</v>
      </c>
      <c r="U318" t="s">
        <v>107</v>
      </c>
      <c r="V318">
        <v>0</v>
      </c>
      <c r="W318" t="s">
        <v>107</v>
      </c>
      <c r="X318">
        <v>0</v>
      </c>
      <c r="Y318" t="s">
        <v>107</v>
      </c>
      <c r="AB318" t="str">
        <f>IFERROR(VLOOKUP($A318,fund_metadata!$A:$P,2,FALSE),"")</f>
        <v>JPMF</v>
      </c>
      <c r="AC318" t="str">
        <f>IFERROR(VLOOKUP($A318,fund_metadata!$A:$P,16,FALSE),"")</f>
        <v>private_equity</v>
      </c>
    </row>
    <row r="319" spans="1:29" x14ac:dyDescent="0.25">
      <c r="A319">
        <v>11</v>
      </c>
      <c r="B319" s="3">
        <v>46053</v>
      </c>
      <c r="C319">
        <v>10000000</v>
      </c>
      <c r="D319" t="s">
        <v>107</v>
      </c>
      <c r="E319" s="4">
        <v>1590000000</v>
      </c>
      <c r="F319" t="s">
        <v>89</v>
      </c>
      <c r="G319" s="5">
        <v>17.96</v>
      </c>
      <c r="H319" t="s">
        <v>89</v>
      </c>
      <c r="I319" s="5"/>
      <c r="K319" s="2">
        <v>1.03E-2</v>
      </c>
      <c r="L319" t="s">
        <v>89</v>
      </c>
      <c r="N319" s="4"/>
      <c r="R319">
        <v>562467.65800000005</v>
      </c>
      <c r="S319" t="s">
        <v>107</v>
      </c>
      <c r="T319">
        <v>10000000</v>
      </c>
      <c r="U319" t="s">
        <v>107</v>
      </c>
      <c r="V319">
        <v>0</v>
      </c>
      <c r="W319" t="s">
        <v>107</v>
      </c>
      <c r="X319">
        <v>0</v>
      </c>
      <c r="Y319" t="s">
        <v>107</v>
      </c>
      <c r="AB319" t="str">
        <f>IFERROR(VLOOKUP($A319,fund_metadata!$A:$P,2,FALSE),"")</f>
        <v>JPMF</v>
      </c>
      <c r="AC319" t="str">
        <f>IFERROR(VLOOKUP($A319,fund_metadata!$A:$P,16,FALSE),"")</f>
        <v>private_equity</v>
      </c>
    </row>
    <row r="320" spans="1:29" x14ac:dyDescent="0.25">
      <c r="A320">
        <v>11</v>
      </c>
      <c r="B320" s="3">
        <v>46022</v>
      </c>
      <c r="C320">
        <v>10000000</v>
      </c>
      <c r="D320" t="s">
        <v>104</v>
      </c>
      <c r="E320" s="4">
        <v>1570000000</v>
      </c>
      <c r="F320" t="s">
        <v>89</v>
      </c>
      <c r="G320" s="5">
        <v>17.78</v>
      </c>
      <c r="H320" t="s">
        <v>89</v>
      </c>
      <c r="I320" s="5"/>
      <c r="K320" s="2">
        <v>1.6400000000000001E-2</v>
      </c>
      <c r="L320" t="s">
        <v>89</v>
      </c>
      <c r="M320">
        <v>115</v>
      </c>
      <c r="N320" s="4"/>
      <c r="AB320" t="str">
        <f>IFERROR(VLOOKUP($A320,fund_metadata!$A:$P,2,FALSE),"")</f>
        <v>JPMF</v>
      </c>
      <c r="AC320" t="str">
        <f>IFERROR(VLOOKUP($A320,fund_metadata!$A:$P,16,FALSE),"")</f>
        <v>private_equity</v>
      </c>
    </row>
    <row r="321" spans="1:29" x14ac:dyDescent="0.25">
      <c r="A321">
        <v>11</v>
      </c>
      <c r="B321" s="3">
        <v>45991</v>
      </c>
      <c r="E321" s="4">
        <v>1500000000</v>
      </c>
      <c r="F321" t="s">
        <v>89</v>
      </c>
      <c r="G321" s="5">
        <v>17.489999999999998</v>
      </c>
      <c r="H321" t="s">
        <v>89</v>
      </c>
      <c r="I321" s="5">
        <v>0.15</v>
      </c>
      <c r="J321" t="s">
        <v>89</v>
      </c>
      <c r="K321" s="2">
        <v>4.0000000000000001E-3</v>
      </c>
      <c r="L321" t="s">
        <v>89</v>
      </c>
      <c r="N321" s="4"/>
      <c r="AB321" t="str">
        <f>IFERROR(VLOOKUP($A321,fund_metadata!$A:$P,2,FALSE),"")</f>
        <v>JPMF</v>
      </c>
      <c r="AC321" t="str">
        <f>IFERROR(VLOOKUP($A321,fund_metadata!$A:$P,16,FALSE),"")</f>
        <v>private_equity</v>
      </c>
    </row>
    <row r="322" spans="1:29" x14ac:dyDescent="0.25">
      <c r="A322">
        <v>11</v>
      </c>
      <c r="B322" s="3">
        <v>45961</v>
      </c>
      <c r="E322" s="4">
        <v>1450000000</v>
      </c>
      <c r="F322" t="s">
        <v>89</v>
      </c>
      <c r="G322" s="5">
        <v>17.579999999999998</v>
      </c>
      <c r="H322" t="s">
        <v>89</v>
      </c>
      <c r="I322" s="5"/>
      <c r="K322" s="2">
        <v>1.2800000000000001E-2</v>
      </c>
      <c r="L322" t="s">
        <v>89</v>
      </c>
      <c r="N322" s="4"/>
      <c r="AB322" t="str">
        <f>IFERROR(VLOOKUP($A322,fund_metadata!$A:$P,2,FALSE),"")</f>
        <v>JPMF</v>
      </c>
      <c r="AC322" t="str">
        <f>IFERROR(VLOOKUP($A322,fund_metadata!$A:$P,16,FALSE),"")</f>
        <v>private_equity</v>
      </c>
    </row>
    <row r="323" spans="1:29" x14ac:dyDescent="0.25">
      <c r="A323">
        <v>11</v>
      </c>
      <c r="B323" s="3">
        <v>45930</v>
      </c>
      <c r="E323" s="4">
        <v>1430000000</v>
      </c>
      <c r="F323" t="s">
        <v>89</v>
      </c>
      <c r="G323" s="5">
        <v>17.350000000000001</v>
      </c>
      <c r="H323" t="s">
        <v>89</v>
      </c>
      <c r="I323" s="5"/>
      <c r="K323" s="2">
        <v>8.6E-3</v>
      </c>
      <c r="L323" t="s">
        <v>89</v>
      </c>
      <c r="M323">
        <v>100</v>
      </c>
      <c r="N323" s="4">
        <v>1480000000</v>
      </c>
      <c r="O323" t="s">
        <v>89</v>
      </c>
      <c r="P323">
        <v>36369168</v>
      </c>
      <c r="Q323" t="s">
        <v>120</v>
      </c>
      <c r="AB323" t="str">
        <f>IFERROR(VLOOKUP($A323,fund_metadata!$A:$P,2,FALSE),"")</f>
        <v>JPMF</v>
      </c>
      <c r="AC323" t="str">
        <f>IFERROR(VLOOKUP($A323,fund_metadata!$A:$P,16,FALSE),"")</f>
        <v>private_equity</v>
      </c>
    </row>
    <row r="324" spans="1:29" x14ac:dyDescent="0.25">
      <c r="A324">
        <v>11</v>
      </c>
      <c r="B324" s="3">
        <v>45900</v>
      </c>
      <c r="E324" s="4"/>
      <c r="G324" s="5">
        <v>17.21</v>
      </c>
      <c r="H324" t="s">
        <v>89</v>
      </c>
      <c r="I324" s="5"/>
      <c r="K324" s="2">
        <v>1.12E-2</v>
      </c>
      <c r="L324" t="s">
        <v>89</v>
      </c>
      <c r="N324" s="4"/>
      <c r="AB324" t="str">
        <f>IFERROR(VLOOKUP($A324,fund_metadata!$A:$P,2,FALSE),"")</f>
        <v>JPMF</v>
      </c>
      <c r="AC324" t="str">
        <f>IFERROR(VLOOKUP($A324,fund_metadata!$A:$P,16,FALSE),"")</f>
        <v>private_equity</v>
      </c>
    </row>
    <row r="325" spans="1:29" x14ac:dyDescent="0.25">
      <c r="A325">
        <v>11</v>
      </c>
      <c r="B325" s="3">
        <v>45869</v>
      </c>
      <c r="E325" s="4"/>
      <c r="G325" s="5">
        <v>17.010000000000002</v>
      </c>
      <c r="H325" t="s">
        <v>89</v>
      </c>
      <c r="I325" s="5"/>
      <c r="K325" s="2">
        <v>8.6E-3</v>
      </c>
      <c r="L325" t="s">
        <v>89</v>
      </c>
      <c r="N325" s="4"/>
      <c r="AB325" t="str">
        <f>IFERROR(VLOOKUP($A325,fund_metadata!$A:$P,2,FALSE),"")</f>
        <v>JPMF</v>
      </c>
      <c r="AC325" t="str">
        <f>IFERROR(VLOOKUP($A325,fund_metadata!$A:$P,16,FALSE),"")</f>
        <v>private_equity</v>
      </c>
    </row>
    <row r="326" spans="1:29" x14ac:dyDescent="0.25">
      <c r="A326">
        <v>11</v>
      </c>
      <c r="B326" s="3">
        <v>45838</v>
      </c>
      <c r="E326" s="4"/>
      <c r="G326" s="5">
        <v>16.87</v>
      </c>
      <c r="H326" t="s">
        <v>89</v>
      </c>
      <c r="I326" s="5"/>
      <c r="K326" s="2">
        <v>1.8700000000000001E-2</v>
      </c>
      <c r="L326" t="s">
        <v>89</v>
      </c>
      <c r="M326">
        <v>95</v>
      </c>
      <c r="N326" s="4"/>
      <c r="AB326" t="str">
        <f>IFERROR(VLOOKUP($A326,fund_metadata!$A:$P,2,FALSE),"")</f>
        <v>JPMF</v>
      </c>
      <c r="AC326" t="str">
        <f>IFERROR(VLOOKUP($A326,fund_metadata!$A:$P,16,FALSE),"")</f>
        <v>private_equity</v>
      </c>
    </row>
    <row r="327" spans="1:29" x14ac:dyDescent="0.25">
      <c r="A327">
        <v>11</v>
      </c>
      <c r="B327" s="3">
        <v>45808</v>
      </c>
      <c r="E327" s="4"/>
      <c r="G327" s="5">
        <v>16.559999999999999</v>
      </c>
      <c r="H327" t="s">
        <v>89</v>
      </c>
      <c r="I327" s="5"/>
      <c r="K327" s="2">
        <v>7.3000000000000001E-3</v>
      </c>
      <c r="L327" t="s">
        <v>89</v>
      </c>
      <c r="N327" s="4"/>
      <c r="AB327" t="str">
        <f>IFERROR(VLOOKUP($A327,fund_metadata!$A:$P,2,FALSE),"")</f>
        <v>JPMF</v>
      </c>
      <c r="AC327" t="str">
        <f>IFERROR(VLOOKUP($A327,fund_metadata!$A:$P,16,FALSE),"")</f>
        <v>private_equity</v>
      </c>
    </row>
    <row r="328" spans="1:29" x14ac:dyDescent="0.25">
      <c r="A328">
        <v>11</v>
      </c>
      <c r="B328" s="3">
        <v>45777</v>
      </c>
      <c r="E328" s="4"/>
      <c r="G328" s="5">
        <v>16.440000000000001</v>
      </c>
      <c r="H328" t="s">
        <v>89</v>
      </c>
      <c r="I328" s="5"/>
      <c r="K328" s="2">
        <v>8.6E-3</v>
      </c>
      <c r="L328" t="s">
        <v>89</v>
      </c>
      <c r="N328" s="4"/>
      <c r="AB328" t="str">
        <f>IFERROR(VLOOKUP($A328,fund_metadata!$A:$P,2,FALSE),"")</f>
        <v>JPMF</v>
      </c>
      <c r="AC328" t="str">
        <f>IFERROR(VLOOKUP($A328,fund_metadata!$A:$P,16,FALSE),"")</f>
        <v>private_equity</v>
      </c>
    </row>
    <row r="329" spans="1:29" x14ac:dyDescent="0.25">
      <c r="A329">
        <v>11</v>
      </c>
      <c r="B329" s="3">
        <v>45747</v>
      </c>
      <c r="E329" s="4">
        <v>999150000</v>
      </c>
      <c r="F329" t="s">
        <v>89</v>
      </c>
      <c r="G329" s="5">
        <v>16.3</v>
      </c>
      <c r="H329" t="s">
        <v>89</v>
      </c>
      <c r="I329" s="5"/>
      <c r="K329" s="2">
        <v>1.8599999999999998E-2</v>
      </c>
      <c r="L329" t="s">
        <v>89</v>
      </c>
      <c r="M329">
        <v>75</v>
      </c>
      <c r="N329" s="4">
        <v>1020000000</v>
      </c>
      <c r="O329" t="s">
        <v>89</v>
      </c>
      <c r="P329">
        <v>28166468</v>
      </c>
      <c r="Q329" t="s">
        <v>121</v>
      </c>
      <c r="AB329" t="str">
        <f>IFERROR(VLOOKUP($A329,fund_metadata!$A:$P,2,FALSE),"")</f>
        <v>JPMF</v>
      </c>
      <c r="AC329" t="str">
        <f>IFERROR(VLOOKUP($A329,fund_metadata!$A:$P,16,FALSE),"")</f>
        <v>private_equity</v>
      </c>
    </row>
    <row r="330" spans="1:29" x14ac:dyDescent="0.25">
      <c r="A330">
        <v>11</v>
      </c>
      <c r="B330" s="3">
        <v>45716</v>
      </c>
      <c r="E330" s="4"/>
      <c r="G330" s="5">
        <v>16</v>
      </c>
      <c r="H330" t="s">
        <v>89</v>
      </c>
      <c r="I330" s="5"/>
      <c r="K330" s="2">
        <v>3.3E-3</v>
      </c>
      <c r="L330" t="s">
        <v>89</v>
      </c>
      <c r="N330" s="4"/>
      <c r="AB330" t="str">
        <f>IFERROR(VLOOKUP($A330,fund_metadata!$A:$P,2,FALSE),"")</f>
        <v>JPMF</v>
      </c>
      <c r="AC330" t="str">
        <f>IFERROR(VLOOKUP($A330,fund_metadata!$A:$P,16,FALSE),"")</f>
        <v>private_equity</v>
      </c>
    </row>
    <row r="331" spans="1:29" x14ac:dyDescent="0.25">
      <c r="A331">
        <v>11</v>
      </c>
      <c r="B331" s="3">
        <v>45688</v>
      </c>
      <c r="E331" s="4"/>
      <c r="G331" s="5">
        <v>15.95</v>
      </c>
      <c r="H331" t="s">
        <v>89</v>
      </c>
      <c r="I331" s="5"/>
      <c r="K331" s="2">
        <v>7.6E-3</v>
      </c>
      <c r="L331" t="s">
        <v>89</v>
      </c>
      <c r="N331" s="4"/>
      <c r="AB331" t="str">
        <f>IFERROR(VLOOKUP($A331,fund_metadata!$A:$P,2,FALSE),"")</f>
        <v>JPMF</v>
      </c>
      <c r="AC331" t="str">
        <f>IFERROR(VLOOKUP($A331,fund_metadata!$A:$P,16,FALSE),"")</f>
        <v>private_equity</v>
      </c>
    </row>
    <row r="332" spans="1:29" x14ac:dyDescent="0.25">
      <c r="A332">
        <v>11</v>
      </c>
      <c r="B332" s="3">
        <v>45657</v>
      </c>
      <c r="E332" s="4"/>
      <c r="G332" s="5">
        <v>15.83</v>
      </c>
      <c r="H332" t="s">
        <v>89</v>
      </c>
      <c r="I332" s="5"/>
      <c r="K332" s="2">
        <v>8.8999999999999999E-3</v>
      </c>
      <c r="L332" t="s">
        <v>89</v>
      </c>
      <c r="M332">
        <v>61</v>
      </c>
      <c r="N332" s="4"/>
      <c r="AB332" t="str">
        <f>IFERROR(VLOOKUP($A332,fund_metadata!$A:$P,2,FALSE),"")</f>
        <v>JPMF</v>
      </c>
      <c r="AC332" t="str">
        <f>IFERROR(VLOOKUP($A332,fund_metadata!$A:$P,16,FALSE),"")</f>
        <v>private_equity</v>
      </c>
    </row>
    <row r="333" spans="1:29" x14ac:dyDescent="0.25">
      <c r="A333">
        <v>11</v>
      </c>
      <c r="B333" s="3">
        <v>45626</v>
      </c>
      <c r="E333" s="4"/>
      <c r="G333" s="5">
        <v>15.69</v>
      </c>
      <c r="H333" t="s">
        <v>89</v>
      </c>
      <c r="I333" s="5"/>
      <c r="K333" s="2">
        <v>0</v>
      </c>
      <c r="L333" t="s">
        <v>89</v>
      </c>
      <c r="N333" s="4"/>
      <c r="AB333" t="str">
        <f>IFERROR(VLOOKUP($A333,fund_metadata!$A:$P,2,FALSE),"")</f>
        <v>JPMF</v>
      </c>
      <c r="AC333" t="str">
        <f>IFERROR(VLOOKUP($A333,fund_metadata!$A:$P,16,FALSE),"")</f>
        <v>private_equity</v>
      </c>
    </row>
    <row r="334" spans="1:29" x14ac:dyDescent="0.25">
      <c r="A334">
        <v>11</v>
      </c>
      <c r="B334" s="3">
        <v>45596</v>
      </c>
      <c r="E334" s="4"/>
      <c r="G334" s="5">
        <v>15.69</v>
      </c>
      <c r="H334" t="s">
        <v>89</v>
      </c>
      <c r="I334" s="5"/>
      <c r="K334" s="2">
        <v>2.0799999999999999E-2</v>
      </c>
      <c r="L334" t="s">
        <v>89</v>
      </c>
      <c r="N334" s="4"/>
      <c r="AB334" t="str">
        <f>IFERROR(VLOOKUP($A334,fund_metadata!$A:$P,2,FALSE),"")</f>
        <v>JPMF</v>
      </c>
      <c r="AC334" t="str">
        <f>IFERROR(VLOOKUP($A334,fund_metadata!$A:$P,16,FALSE),"")</f>
        <v>private_equity</v>
      </c>
    </row>
    <row r="335" spans="1:29" x14ac:dyDescent="0.25">
      <c r="A335">
        <v>11</v>
      </c>
      <c r="B335" s="3">
        <v>45565</v>
      </c>
      <c r="E335" s="4"/>
      <c r="G335" s="5">
        <v>15.37</v>
      </c>
      <c r="H335" t="s">
        <v>89</v>
      </c>
      <c r="I335" s="5"/>
      <c r="K335" s="2">
        <v>8.5000000000000006E-3</v>
      </c>
      <c r="L335" t="s">
        <v>89</v>
      </c>
      <c r="M335">
        <v>45</v>
      </c>
      <c r="N335" s="4"/>
      <c r="P335">
        <v>19419769</v>
      </c>
      <c r="Q335" t="s">
        <v>120</v>
      </c>
      <c r="AB335" t="str">
        <f>IFERROR(VLOOKUP($A335,fund_metadata!$A:$P,2,FALSE),"")</f>
        <v>JPMF</v>
      </c>
      <c r="AC335" t="str">
        <f>IFERROR(VLOOKUP($A335,fund_metadata!$A:$P,16,FALSE),"")</f>
        <v>private_equity</v>
      </c>
    </row>
    <row r="336" spans="1:29" x14ac:dyDescent="0.25">
      <c r="A336">
        <v>11</v>
      </c>
      <c r="B336" s="3">
        <v>45535</v>
      </c>
      <c r="E336" s="4"/>
      <c r="G336" s="5">
        <v>15.24</v>
      </c>
      <c r="H336" t="s">
        <v>89</v>
      </c>
      <c r="I336" s="5"/>
      <c r="K336" s="2">
        <v>2.5999999999999999E-3</v>
      </c>
      <c r="L336" t="s">
        <v>89</v>
      </c>
      <c r="N336" s="4"/>
      <c r="AB336" t="str">
        <f>IFERROR(VLOOKUP($A336,fund_metadata!$A:$P,2,FALSE),"")</f>
        <v>JPMF</v>
      </c>
      <c r="AC336" t="str">
        <f>IFERROR(VLOOKUP($A336,fund_metadata!$A:$P,16,FALSE),"")</f>
        <v>private_equity</v>
      </c>
    </row>
    <row r="337" spans="1:29" x14ac:dyDescent="0.25">
      <c r="A337">
        <v>11</v>
      </c>
      <c r="B337" s="3">
        <v>45504</v>
      </c>
      <c r="E337" s="4"/>
      <c r="G337" s="5">
        <v>15.2</v>
      </c>
      <c r="H337" t="s">
        <v>89</v>
      </c>
      <c r="I337" s="5"/>
      <c r="K337" s="2">
        <v>6.9999999999999999E-4</v>
      </c>
      <c r="L337" t="s">
        <v>89</v>
      </c>
      <c r="N337" s="4"/>
      <c r="AB337" t="str">
        <f>IFERROR(VLOOKUP($A337,fund_metadata!$A:$P,2,FALSE),"")</f>
        <v>JPMF</v>
      </c>
      <c r="AC337" t="str">
        <f>IFERROR(VLOOKUP($A337,fund_metadata!$A:$P,16,FALSE),"")</f>
        <v>private_equity</v>
      </c>
    </row>
    <row r="338" spans="1:29" x14ac:dyDescent="0.25">
      <c r="A338">
        <v>11</v>
      </c>
      <c r="B338" s="3">
        <v>45473</v>
      </c>
      <c r="E338" s="4"/>
      <c r="G338" s="5">
        <v>15.19</v>
      </c>
      <c r="H338" t="s">
        <v>89</v>
      </c>
      <c r="I338" s="5"/>
      <c r="K338" s="2">
        <v>8.6E-3</v>
      </c>
      <c r="L338" t="s">
        <v>89</v>
      </c>
      <c r="M338">
        <v>36</v>
      </c>
      <c r="N338" s="4"/>
      <c r="AB338" t="str">
        <f>IFERROR(VLOOKUP($A338,fund_metadata!$A:$P,2,FALSE),"")</f>
        <v>JPMF</v>
      </c>
      <c r="AC338" t="str">
        <f>IFERROR(VLOOKUP($A338,fund_metadata!$A:$P,16,FALSE),"")</f>
        <v>private_equity</v>
      </c>
    </row>
    <row r="339" spans="1:29" x14ac:dyDescent="0.25">
      <c r="A339">
        <v>11</v>
      </c>
      <c r="B339" s="3">
        <v>45443</v>
      </c>
      <c r="E339" s="4"/>
      <c r="G339" s="5">
        <v>15.06</v>
      </c>
      <c r="H339" t="s">
        <v>89</v>
      </c>
      <c r="I339" s="5"/>
      <c r="K339" s="2">
        <v>3.0800000000000001E-2</v>
      </c>
      <c r="L339" t="s">
        <v>89</v>
      </c>
      <c r="N339" s="4"/>
      <c r="AB339" t="str">
        <f>IFERROR(VLOOKUP($A339,fund_metadata!$A:$P,2,FALSE),"")</f>
        <v>JPMF</v>
      </c>
      <c r="AC339" t="str">
        <f>IFERROR(VLOOKUP($A339,fund_metadata!$A:$P,16,FALSE),"")</f>
        <v>private_equity</v>
      </c>
    </row>
    <row r="340" spans="1:29" x14ac:dyDescent="0.25">
      <c r="A340">
        <v>11</v>
      </c>
      <c r="B340" s="3">
        <v>45412</v>
      </c>
      <c r="E340" s="4"/>
      <c r="G340" s="5">
        <v>14.61</v>
      </c>
      <c r="H340" t="s">
        <v>89</v>
      </c>
      <c r="I340" s="5"/>
      <c r="K340" s="2">
        <v>2.24E-2</v>
      </c>
      <c r="L340" t="s">
        <v>89</v>
      </c>
      <c r="N340" s="4"/>
      <c r="AB340" t="str">
        <f>IFERROR(VLOOKUP($A340,fund_metadata!$A:$P,2,FALSE),"")</f>
        <v>JPMF</v>
      </c>
      <c r="AC340" t="str">
        <f>IFERROR(VLOOKUP($A340,fund_metadata!$A:$P,16,FALSE),"")</f>
        <v>private_equity</v>
      </c>
    </row>
    <row r="341" spans="1:29" x14ac:dyDescent="0.25">
      <c r="A341">
        <v>11</v>
      </c>
      <c r="B341" s="3">
        <v>45382</v>
      </c>
      <c r="E341" s="4"/>
      <c r="G341" s="5">
        <v>14.29</v>
      </c>
      <c r="H341" t="s">
        <v>89</v>
      </c>
      <c r="I341" s="5"/>
      <c r="K341" s="2">
        <v>5.62E-2</v>
      </c>
      <c r="L341" t="s">
        <v>89</v>
      </c>
      <c r="M341">
        <v>26</v>
      </c>
      <c r="N341" s="4"/>
      <c r="P341">
        <v>13090812</v>
      </c>
      <c r="Q341" t="s">
        <v>121</v>
      </c>
      <c r="AB341" t="str">
        <f>IFERROR(VLOOKUP($A341,fund_metadata!$A:$P,2,FALSE),"")</f>
        <v>JPMF</v>
      </c>
      <c r="AC341" t="str">
        <f>IFERROR(VLOOKUP($A341,fund_metadata!$A:$P,16,FALSE),"")</f>
        <v>private_equity</v>
      </c>
    </row>
    <row r="342" spans="1:29" x14ac:dyDescent="0.25">
      <c r="A342">
        <v>11</v>
      </c>
      <c r="B342" s="3">
        <v>45351</v>
      </c>
      <c r="E342" s="4"/>
      <c r="G342" s="5">
        <v>13.53</v>
      </c>
      <c r="H342" t="s">
        <v>89</v>
      </c>
      <c r="I342" s="5"/>
      <c r="K342" s="2">
        <v>7.4000000000000003E-3</v>
      </c>
      <c r="L342" t="s">
        <v>89</v>
      </c>
      <c r="N342" s="4"/>
      <c r="AB342" t="str">
        <f>IFERROR(VLOOKUP($A342,fund_metadata!$A:$P,2,FALSE),"")</f>
        <v>JPMF</v>
      </c>
      <c r="AC342" t="str">
        <f>IFERROR(VLOOKUP($A342,fund_metadata!$A:$P,16,FALSE),"")</f>
        <v>private_equity</v>
      </c>
    </row>
    <row r="343" spans="1:29" x14ac:dyDescent="0.25">
      <c r="A343">
        <v>11</v>
      </c>
      <c r="B343" s="3">
        <v>45322</v>
      </c>
      <c r="E343" s="4"/>
      <c r="G343" s="5">
        <v>13.43</v>
      </c>
      <c r="H343" t="s">
        <v>89</v>
      </c>
      <c r="I343" s="5"/>
      <c r="K343" s="2">
        <v>2.2000000000000001E-3</v>
      </c>
      <c r="L343" t="s">
        <v>89</v>
      </c>
      <c r="N343" s="4"/>
      <c r="AB343" t="str">
        <f>IFERROR(VLOOKUP($A343,fund_metadata!$A:$P,2,FALSE),"")</f>
        <v>JPMF</v>
      </c>
      <c r="AC343" t="str">
        <f>IFERROR(VLOOKUP($A343,fund_metadata!$A:$P,16,FALSE),"")</f>
        <v>private_equity</v>
      </c>
    </row>
    <row r="344" spans="1:29" x14ac:dyDescent="0.25">
      <c r="A344">
        <v>11</v>
      </c>
      <c r="B344" s="3">
        <v>45291</v>
      </c>
      <c r="E344" s="4"/>
      <c r="G344" s="5">
        <v>13.4</v>
      </c>
      <c r="H344" t="s">
        <v>89</v>
      </c>
      <c r="I344" s="5"/>
      <c r="K344" s="2">
        <v>3.8800000000000001E-2</v>
      </c>
      <c r="L344" t="s">
        <v>89</v>
      </c>
      <c r="M344">
        <v>17</v>
      </c>
      <c r="N344" s="4"/>
      <c r="AB344" t="str">
        <f>IFERROR(VLOOKUP($A344,fund_metadata!$A:$P,2,FALSE),"")</f>
        <v>JPMF</v>
      </c>
      <c r="AC344" t="str">
        <f>IFERROR(VLOOKUP($A344,fund_metadata!$A:$P,16,FALSE),"")</f>
        <v>private_equity</v>
      </c>
    </row>
    <row r="345" spans="1:29" x14ac:dyDescent="0.25">
      <c r="A345">
        <v>11</v>
      </c>
      <c r="B345" s="3">
        <v>45260</v>
      </c>
      <c r="E345" s="4"/>
      <c r="G345" s="5">
        <v>12.9</v>
      </c>
      <c r="H345" t="s">
        <v>89</v>
      </c>
      <c r="I345" s="5"/>
      <c r="K345" s="2">
        <v>1.49E-2</v>
      </c>
      <c r="L345" t="s">
        <v>89</v>
      </c>
      <c r="N345" s="4"/>
      <c r="AB345" t="str">
        <f>IFERROR(VLOOKUP($A345,fund_metadata!$A:$P,2,FALSE),"")</f>
        <v>JPMF</v>
      </c>
      <c r="AC345" t="str">
        <f>IFERROR(VLOOKUP($A345,fund_metadata!$A:$P,16,FALSE),"")</f>
        <v>private_equity</v>
      </c>
    </row>
    <row r="346" spans="1:29" x14ac:dyDescent="0.25">
      <c r="A346">
        <v>11</v>
      </c>
      <c r="B346" s="3">
        <v>45230</v>
      </c>
      <c r="E346" s="4"/>
      <c r="G346" s="5">
        <v>12.71</v>
      </c>
      <c r="H346" t="s">
        <v>89</v>
      </c>
      <c r="I346" s="5"/>
      <c r="K346" s="2">
        <v>-5.4999999999999997E-3</v>
      </c>
      <c r="L346" t="s">
        <v>89</v>
      </c>
      <c r="N346" s="4"/>
      <c r="AB346" t="str">
        <f>IFERROR(VLOOKUP($A346,fund_metadata!$A:$P,2,FALSE),"")</f>
        <v>JPMF</v>
      </c>
      <c r="AC346" t="str">
        <f>IFERROR(VLOOKUP($A346,fund_metadata!$A:$P,16,FALSE),"")</f>
        <v>private_equity</v>
      </c>
    </row>
    <row r="347" spans="1:29" x14ac:dyDescent="0.25">
      <c r="A347">
        <v>11</v>
      </c>
      <c r="B347" s="3">
        <v>45199</v>
      </c>
      <c r="E347" s="4"/>
      <c r="G347" s="5">
        <v>12.78</v>
      </c>
      <c r="H347" t="s">
        <v>89</v>
      </c>
      <c r="I347" s="5"/>
      <c r="K347" s="2">
        <v>3.8199999999999998E-2</v>
      </c>
      <c r="L347" t="s">
        <v>89</v>
      </c>
      <c r="M347">
        <v>10</v>
      </c>
      <c r="N347" s="4"/>
      <c r="P347">
        <v>8398982</v>
      </c>
      <c r="Q347" t="s">
        <v>120</v>
      </c>
      <c r="AB347" t="str">
        <f>IFERROR(VLOOKUP($A347,fund_metadata!$A:$P,2,FALSE),"")</f>
        <v>JPMF</v>
      </c>
      <c r="AC347" t="str">
        <f>IFERROR(VLOOKUP($A347,fund_metadata!$A:$P,16,FALSE),"")</f>
        <v>private_equity</v>
      </c>
    </row>
    <row r="348" spans="1:29" x14ac:dyDescent="0.25">
      <c r="A348">
        <v>11</v>
      </c>
      <c r="B348" s="3">
        <v>45169</v>
      </c>
      <c r="E348" s="4"/>
      <c r="G348" s="5">
        <v>12.31</v>
      </c>
      <c r="H348" t="s">
        <v>89</v>
      </c>
      <c r="I348" s="5"/>
      <c r="K348" s="2">
        <v>1.6000000000000001E-3</v>
      </c>
      <c r="L348" t="s">
        <v>89</v>
      </c>
      <c r="N348" s="4"/>
      <c r="AB348" t="str">
        <f>IFERROR(VLOOKUP($A348,fund_metadata!$A:$P,2,FALSE),"")</f>
        <v>JPMF</v>
      </c>
      <c r="AC348" t="str">
        <f>IFERROR(VLOOKUP($A348,fund_metadata!$A:$P,16,FALSE),"")</f>
        <v>private_equity</v>
      </c>
    </row>
    <row r="349" spans="1:29" x14ac:dyDescent="0.25">
      <c r="A349">
        <v>11</v>
      </c>
      <c r="B349" s="3">
        <v>45138</v>
      </c>
      <c r="E349" s="4"/>
      <c r="G349" s="5">
        <v>12.29</v>
      </c>
      <c r="H349" t="s">
        <v>89</v>
      </c>
      <c r="I349" s="5"/>
      <c r="K349" s="2"/>
      <c r="N349" s="4"/>
      <c r="AB349" t="str">
        <f>IFERROR(VLOOKUP($A349,fund_metadata!$A:$P,2,FALSE),"")</f>
        <v>JPMF</v>
      </c>
      <c r="AC349" t="str">
        <f>IFERROR(VLOOKUP($A349,fund_metadata!$A:$P,16,FALSE),"")</f>
        <v>private_equity</v>
      </c>
    </row>
    <row r="350" spans="1:29" x14ac:dyDescent="0.25">
      <c r="A350">
        <v>5</v>
      </c>
      <c r="B350" s="3">
        <v>46173</v>
      </c>
      <c r="E350" s="4"/>
      <c r="G350" s="5">
        <v>10.119999999999999</v>
      </c>
      <c r="H350" t="s">
        <v>89</v>
      </c>
      <c r="I350" s="5"/>
      <c r="K350" s="2"/>
      <c r="N350" s="4"/>
      <c r="AB350" t="str">
        <f>IFERROR(VLOOKUP($A350,fund_metadata!$A:$P,2,FALSE),"")</f>
        <v>Stepstone PC Income</v>
      </c>
      <c r="AC350" t="str">
        <f>IFERROR(VLOOKUP($A350,fund_metadata!$A:$P,16,FALSE),"")</f>
        <v>private_credit</v>
      </c>
    </row>
    <row r="351" spans="1:29" x14ac:dyDescent="0.25">
      <c r="A351">
        <v>5</v>
      </c>
      <c r="B351" s="3">
        <v>46142</v>
      </c>
      <c r="C351">
        <v>4888241.01</v>
      </c>
      <c r="D351" t="s">
        <v>105</v>
      </c>
      <c r="E351" s="4">
        <v>1080000000</v>
      </c>
      <c r="F351" t="s">
        <v>89</v>
      </c>
      <c r="G351" s="5">
        <v>10.06</v>
      </c>
      <c r="H351" t="s">
        <v>89</v>
      </c>
      <c r="I351" s="5">
        <v>0.25</v>
      </c>
      <c r="J351" t="s">
        <v>89</v>
      </c>
      <c r="K351" s="2">
        <v>6.7000000000000002E-3</v>
      </c>
      <c r="L351" t="s">
        <v>89</v>
      </c>
      <c r="N351" s="4"/>
      <c r="R351">
        <v>485908.64899999998</v>
      </c>
      <c r="S351" t="s">
        <v>105</v>
      </c>
      <c r="T351">
        <v>0</v>
      </c>
      <c r="U351" t="s">
        <v>105</v>
      </c>
      <c r="V351">
        <v>0</v>
      </c>
      <c r="W351" t="s">
        <v>105</v>
      </c>
      <c r="X351">
        <v>119970.85</v>
      </c>
      <c r="Y351" t="s">
        <v>105</v>
      </c>
      <c r="AB351" t="str">
        <f>IFERROR(VLOOKUP($A351,fund_metadata!$A:$P,2,FALSE),"")</f>
        <v>Stepstone PC Income</v>
      </c>
      <c r="AC351" t="str">
        <f>IFERROR(VLOOKUP($A351,fund_metadata!$A:$P,16,FALSE),"")</f>
        <v>private_credit</v>
      </c>
    </row>
    <row r="352" spans="1:29" x14ac:dyDescent="0.25">
      <c r="A352">
        <v>5</v>
      </c>
      <c r="B352" s="3">
        <v>46112</v>
      </c>
      <c r="C352">
        <v>4975704.57</v>
      </c>
      <c r="D352" t="s">
        <v>105</v>
      </c>
      <c r="E352" s="4">
        <v>1050000000</v>
      </c>
      <c r="F352" t="s">
        <v>89</v>
      </c>
      <c r="G352" s="5">
        <v>10.24</v>
      </c>
      <c r="H352" t="s">
        <v>89</v>
      </c>
      <c r="I352" s="5"/>
      <c r="K352" s="2">
        <v>3.8999999999999998E-3</v>
      </c>
      <c r="L352" t="s">
        <v>89</v>
      </c>
      <c r="M352">
        <v>1133</v>
      </c>
      <c r="N352" s="4"/>
      <c r="R352">
        <v>485908.64899999998</v>
      </c>
      <c r="S352" t="s">
        <v>105</v>
      </c>
      <c r="T352">
        <v>0</v>
      </c>
      <c r="U352" t="s">
        <v>105</v>
      </c>
      <c r="V352">
        <v>0</v>
      </c>
      <c r="W352" t="s">
        <v>105</v>
      </c>
      <c r="X352">
        <v>0</v>
      </c>
      <c r="Y352" t="s">
        <v>105</v>
      </c>
      <c r="AB352" t="str">
        <f>IFERROR(VLOOKUP($A352,fund_metadata!$A:$P,2,FALSE),"")</f>
        <v>Stepstone PC Income</v>
      </c>
      <c r="AC352" t="str">
        <f>IFERROR(VLOOKUP($A352,fund_metadata!$A:$P,16,FALSE),"")</f>
        <v>private_credit</v>
      </c>
    </row>
    <row r="353" spans="1:29" x14ac:dyDescent="0.25">
      <c r="A353">
        <v>5</v>
      </c>
      <c r="B353" s="3">
        <v>46081</v>
      </c>
      <c r="C353">
        <v>4956268.22</v>
      </c>
      <c r="D353" t="s">
        <v>105</v>
      </c>
      <c r="E353" s="4">
        <v>1070000000</v>
      </c>
      <c r="F353" t="s">
        <v>89</v>
      </c>
      <c r="G353" s="5">
        <v>10.199999999999999</v>
      </c>
      <c r="H353" t="s">
        <v>89</v>
      </c>
      <c r="I353" s="5"/>
      <c r="K353" s="2">
        <v>3.8999999999999998E-3</v>
      </c>
      <c r="L353" t="s">
        <v>89</v>
      </c>
      <c r="N353" s="4"/>
      <c r="R353">
        <v>485908.64899999998</v>
      </c>
      <c r="S353" t="s">
        <v>105</v>
      </c>
      <c r="T353">
        <v>0</v>
      </c>
      <c r="U353" t="s">
        <v>105</v>
      </c>
      <c r="V353">
        <v>0</v>
      </c>
      <c r="W353" t="s">
        <v>105</v>
      </c>
      <c r="X353">
        <v>0</v>
      </c>
      <c r="Y353" t="s">
        <v>105</v>
      </c>
      <c r="AB353" t="str">
        <f>IFERROR(VLOOKUP($A353,fund_metadata!$A:$P,2,FALSE),"")</f>
        <v>Stepstone PC Income</v>
      </c>
      <c r="AC353" t="str">
        <f>IFERROR(VLOOKUP($A353,fund_metadata!$A:$P,16,FALSE),"")</f>
        <v>private_credit</v>
      </c>
    </row>
    <row r="354" spans="1:29" x14ac:dyDescent="0.25">
      <c r="A354">
        <v>5</v>
      </c>
      <c r="B354" s="3">
        <v>46053</v>
      </c>
      <c r="C354">
        <v>4936831.87</v>
      </c>
      <c r="D354" t="s">
        <v>105</v>
      </c>
      <c r="E354" s="4">
        <v>1050000000</v>
      </c>
      <c r="F354" t="s">
        <v>89</v>
      </c>
      <c r="G354" s="5">
        <v>10.16</v>
      </c>
      <c r="H354" t="s">
        <v>89</v>
      </c>
      <c r="I354" s="5"/>
      <c r="K354" s="2">
        <v>7.9000000000000008E-3</v>
      </c>
      <c r="L354" t="s">
        <v>89</v>
      </c>
      <c r="N354" s="4"/>
      <c r="R354">
        <v>485908.64899999998</v>
      </c>
      <c r="S354" t="s">
        <v>105</v>
      </c>
      <c r="AB354" t="str">
        <f>IFERROR(VLOOKUP($A354,fund_metadata!$A:$P,2,FALSE),"")</f>
        <v>Stepstone PC Income</v>
      </c>
      <c r="AC354" t="str">
        <f>IFERROR(VLOOKUP($A354,fund_metadata!$A:$P,16,FALSE),"")</f>
        <v>private_credit</v>
      </c>
    </row>
    <row r="355" spans="1:29" x14ac:dyDescent="0.25">
      <c r="A355">
        <v>5</v>
      </c>
      <c r="B355" s="3">
        <v>46022</v>
      </c>
      <c r="C355">
        <v>4897959.18</v>
      </c>
      <c r="D355" t="s">
        <v>105</v>
      </c>
      <c r="E355" s="4">
        <v>1020000000</v>
      </c>
      <c r="F355" t="s">
        <v>89</v>
      </c>
      <c r="G355" s="5">
        <v>10.08</v>
      </c>
      <c r="H355" t="s">
        <v>89</v>
      </c>
      <c r="I355" s="5">
        <v>0.24</v>
      </c>
      <c r="J355" t="s">
        <v>89</v>
      </c>
      <c r="K355" s="2">
        <v>1.0200000000000001E-2</v>
      </c>
      <c r="L355" t="s">
        <v>89</v>
      </c>
      <c r="M355">
        <v>1017</v>
      </c>
      <c r="N355" s="4">
        <v>1370000000</v>
      </c>
      <c r="O355" t="s">
        <v>89</v>
      </c>
      <c r="P355">
        <v>101338975</v>
      </c>
      <c r="Q355" t="s">
        <v>121</v>
      </c>
      <c r="R355">
        <v>485908.64899999998</v>
      </c>
      <c r="S355" t="s">
        <v>105</v>
      </c>
      <c r="T355">
        <v>5000000</v>
      </c>
      <c r="U355" t="s">
        <v>105</v>
      </c>
      <c r="V355">
        <v>0</v>
      </c>
      <c r="W355" t="s">
        <v>105</v>
      </c>
      <c r="X355">
        <v>118561.71</v>
      </c>
      <c r="Y355" t="s">
        <v>105</v>
      </c>
      <c r="AB355" t="str">
        <f>IFERROR(VLOOKUP($A355,fund_metadata!$A:$P,2,FALSE),"")</f>
        <v>Stepstone PC Income</v>
      </c>
      <c r="AC355" t="str">
        <f>IFERROR(VLOOKUP($A355,fund_metadata!$A:$P,16,FALSE),"")</f>
        <v>private_credit</v>
      </c>
    </row>
    <row r="356" spans="1:29" x14ac:dyDescent="0.25">
      <c r="A356">
        <v>5</v>
      </c>
      <c r="B356" s="3">
        <v>45991</v>
      </c>
      <c r="E356" s="4">
        <v>1000000000</v>
      </c>
      <c r="F356" t="s">
        <v>89</v>
      </c>
      <c r="G356" s="5">
        <v>10.220000000000001</v>
      </c>
      <c r="H356" t="s">
        <v>89</v>
      </c>
      <c r="I356" s="5"/>
      <c r="K356" s="2">
        <v>7.9000000000000008E-3</v>
      </c>
      <c r="L356" t="s">
        <v>89</v>
      </c>
      <c r="N356" s="4"/>
      <c r="AB356" t="str">
        <f>IFERROR(VLOOKUP($A356,fund_metadata!$A:$P,2,FALSE),"")</f>
        <v>Stepstone PC Income</v>
      </c>
      <c r="AC356" t="str">
        <f>IFERROR(VLOOKUP($A356,fund_metadata!$A:$P,16,FALSE),"")</f>
        <v>private_credit</v>
      </c>
    </row>
    <row r="357" spans="1:29" x14ac:dyDescent="0.25">
      <c r="A357">
        <v>5</v>
      </c>
      <c r="B357" s="3">
        <v>45961</v>
      </c>
      <c r="E357" s="4">
        <v>978760000</v>
      </c>
      <c r="F357" t="s">
        <v>89</v>
      </c>
      <c r="G357" s="5">
        <v>10.14</v>
      </c>
      <c r="H357" t="s">
        <v>89</v>
      </c>
      <c r="I357" s="5">
        <v>0.24</v>
      </c>
      <c r="J357" t="s">
        <v>89</v>
      </c>
      <c r="K357" s="2">
        <v>9.1000000000000004E-3</v>
      </c>
      <c r="L357" t="s">
        <v>89</v>
      </c>
      <c r="N357" s="4"/>
      <c r="AB357" t="str">
        <f>IFERROR(VLOOKUP($A357,fund_metadata!$A:$P,2,FALSE),"")</f>
        <v>Stepstone PC Income</v>
      </c>
      <c r="AC357" t="str">
        <f>IFERROR(VLOOKUP($A357,fund_metadata!$A:$P,16,FALSE),"")</f>
        <v>private_credit</v>
      </c>
    </row>
    <row r="358" spans="1:29" x14ac:dyDescent="0.25">
      <c r="A358">
        <v>5</v>
      </c>
      <c r="B358" s="3">
        <v>45930</v>
      </c>
      <c r="E358" s="4">
        <v>966850000</v>
      </c>
      <c r="F358" t="s">
        <v>89</v>
      </c>
      <c r="G358" s="5">
        <v>10.29</v>
      </c>
      <c r="H358" t="s">
        <v>89</v>
      </c>
      <c r="I358" s="5"/>
      <c r="K358" s="2">
        <v>6.7999999999999996E-3</v>
      </c>
      <c r="L358" t="s">
        <v>89</v>
      </c>
      <c r="M358">
        <v>846</v>
      </c>
      <c r="N358" s="4"/>
      <c r="AB358" t="str">
        <f>IFERROR(VLOOKUP($A358,fund_metadata!$A:$P,2,FALSE),"")</f>
        <v>Stepstone PC Income</v>
      </c>
      <c r="AC358" t="str">
        <f>IFERROR(VLOOKUP($A358,fund_metadata!$A:$P,16,FALSE),"")</f>
        <v>private_credit</v>
      </c>
    </row>
    <row r="359" spans="1:29" x14ac:dyDescent="0.25">
      <c r="A359">
        <v>5</v>
      </c>
      <c r="B359" s="3">
        <v>45900</v>
      </c>
      <c r="E359" s="4">
        <v>954000000</v>
      </c>
      <c r="F359" t="s">
        <v>89</v>
      </c>
      <c r="G359" s="5">
        <v>10.220000000000001</v>
      </c>
      <c r="H359" t="s">
        <v>89</v>
      </c>
      <c r="I359" s="5"/>
      <c r="K359" s="2">
        <v>8.8999999999999999E-3</v>
      </c>
      <c r="L359" t="s">
        <v>89</v>
      </c>
      <c r="N359" s="4"/>
      <c r="AB359" t="str">
        <f>IFERROR(VLOOKUP($A359,fund_metadata!$A:$P,2,FALSE),"")</f>
        <v>Stepstone PC Income</v>
      </c>
      <c r="AC359" t="str">
        <f>IFERROR(VLOOKUP($A359,fund_metadata!$A:$P,16,FALSE),"")</f>
        <v>private_credit</v>
      </c>
    </row>
    <row r="360" spans="1:29" x14ac:dyDescent="0.25">
      <c r="A360">
        <v>5</v>
      </c>
      <c r="B360" s="3">
        <v>45869</v>
      </c>
      <c r="E360" s="4">
        <v>935790000</v>
      </c>
      <c r="F360" t="s">
        <v>89</v>
      </c>
      <c r="G360" s="5">
        <v>10.130000000000001</v>
      </c>
      <c r="H360" t="s">
        <v>89</v>
      </c>
      <c r="I360" s="5">
        <v>0.23</v>
      </c>
      <c r="J360" t="s">
        <v>89</v>
      </c>
      <c r="K360" s="2">
        <v>6.8999999999999999E-3</v>
      </c>
      <c r="L360" t="s">
        <v>89</v>
      </c>
      <c r="N360" s="4"/>
      <c r="AB360" t="str">
        <f>IFERROR(VLOOKUP($A360,fund_metadata!$A:$P,2,FALSE),"")</f>
        <v>Stepstone PC Income</v>
      </c>
      <c r="AC360" t="str">
        <f>IFERROR(VLOOKUP($A360,fund_metadata!$A:$P,16,FALSE),"")</f>
        <v>private_credit</v>
      </c>
    </row>
    <row r="361" spans="1:29" x14ac:dyDescent="0.25">
      <c r="A361">
        <v>5</v>
      </c>
      <c r="B361" s="3">
        <v>45838</v>
      </c>
      <c r="E361" s="4">
        <v>896730000</v>
      </c>
      <c r="F361" t="s">
        <v>89</v>
      </c>
      <c r="G361" s="5">
        <v>10.29</v>
      </c>
      <c r="H361" t="s">
        <v>89</v>
      </c>
      <c r="I361" s="5"/>
      <c r="K361" s="2">
        <v>8.8000000000000005E-3</v>
      </c>
      <c r="L361" t="s">
        <v>89</v>
      </c>
      <c r="M361">
        <v>710</v>
      </c>
      <c r="N361" s="4">
        <v>1110000000</v>
      </c>
      <c r="O361" t="s">
        <v>89</v>
      </c>
      <c r="P361">
        <v>87517119</v>
      </c>
      <c r="Q361" t="s">
        <v>120</v>
      </c>
      <c r="AB361" t="str">
        <f>IFERROR(VLOOKUP($A361,fund_metadata!$A:$P,2,FALSE),"")</f>
        <v>Stepstone PC Income</v>
      </c>
      <c r="AC361" t="str">
        <f>IFERROR(VLOOKUP($A361,fund_metadata!$A:$P,16,FALSE),"")</f>
        <v>private_credit</v>
      </c>
    </row>
    <row r="362" spans="1:29" x14ac:dyDescent="0.25">
      <c r="A362">
        <v>5</v>
      </c>
      <c r="B362" s="3">
        <v>45808</v>
      </c>
      <c r="E362" s="4">
        <v>889040000</v>
      </c>
      <c r="F362" t="s">
        <v>89</v>
      </c>
      <c r="G362" s="5">
        <v>10.199999999999999</v>
      </c>
      <c r="H362" t="s">
        <v>89</v>
      </c>
      <c r="I362" s="5"/>
      <c r="K362" s="2">
        <v>7.9000000000000008E-3</v>
      </c>
      <c r="L362" t="s">
        <v>89</v>
      </c>
      <c r="N362" s="4"/>
      <c r="AB362" t="str">
        <f>IFERROR(VLOOKUP($A362,fund_metadata!$A:$P,2,FALSE),"")</f>
        <v>Stepstone PC Income</v>
      </c>
      <c r="AC362" t="str">
        <f>IFERROR(VLOOKUP($A362,fund_metadata!$A:$P,16,FALSE),"")</f>
        <v>private_credit</v>
      </c>
    </row>
    <row r="363" spans="1:29" x14ac:dyDescent="0.25">
      <c r="A363">
        <v>5</v>
      </c>
      <c r="B363" s="3">
        <v>45777</v>
      </c>
      <c r="E363" s="4">
        <v>865860000</v>
      </c>
      <c r="F363" t="s">
        <v>89</v>
      </c>
      <c r="G363" s="5">
        <v>10.119999999999999</v>
      </c>
      <c r="H363" t="s">
        <v>89</v>
      </c>
      <c r="I363" s="5">
        <v>0.2</v>
      </c>
      <c r="J363" t="s">
        <v>89</v>
      </c>
      <c r="K363" s="2">
        <v>4.4999999999999997E-3</v>
      </c>
      <c r="L363" t="s">
        <v>89</v>
      </c>
      <c r="N363" s="4"/>
      <c r="AB363" t="str">
        <f>IFERROR(VLOOKUP($A363,fund_metadata!$A:$P,2,FALSE),"")</f>
        <v>Stepstone PC Income</v>
      </c>
      <c r="AC363" t="str">
        <f>IFERROR(VLOOKUP($A363,fund_metadata!$A:$P,16,FALSE),"")</f>
        <v>private_credit</v>
      </c>
    </row>
    <row r="364" spans="1:29" x14ac:dyDescent="0.25">
      <c r="A364">
        <v>5</v>
      </c>
      <c r="B364" s="3">
        <v>45747</v>
      </c>
      <c r="E364" s="4">
        <v>807060000</v>
      </c>
      <c r="F364" t="s">
        <v>89</v>
      </c>
      <c r="G364" s="5">
        <v>10.28</v>
      </c>
      <c r="H364" t="s">
        <v>89</v>
      </c>
      <c r="I364" s="5"/>
      <c r="K364" s="2">
        <v>6.8999999999999999E-3</v>
      </c>
      <c r="L364" t="s">
        <v>89</v>
      </c>
      <c r="M364">
        <v>544</v>
      </c>
      <c r="N364" s="4"/>
      <c r="AB364" t="str">
        <f>IFERROR(VLOOKUP($A364,fund_metadata!$A:$P,2,FALSE),"")</f>
        <v>Stepstone PC Income</v>
      </c>
      <c r="AC364" t="str">
        <f>IFERROR(VLOOKUP($A364,fund_metadata!$A:$P,16,FALSE),"")</f>
        <v>private_credit</v>
      </c>
    </row>
    <row r="365" spans="1:29" x14ac:dyDescent="0.25">
      <c r="A365">
        <v>5</v>
      </c>
      <c r="B365" s="3">
        <v>45716</v>
      </c>
      <c r="E365" s="4">
        <v>782190000</v>
      </c>
      <c r="F365" t="s">
        <v>89</v>
      </c>
      <c r="G365" s="5">
        <v>10.210000000000001</v>
      </c>
      <c r="H365" t="s">
        <v>89</v>
      </c>
      <c r="I365" s="5"/>
      <c r="K365" s="2">
        <v>5.8999999999999999E-3</v>
      </c>
      <c r="L365" t="s">
        <v>89</v>
      </c>
      <c r="N365" s="4"/>
      <c r="AB365" t="str">
        <f>IFERROR(VLOOKUP($A365,fund_metadata!$A:$P,2,FALSE),"")</f>
        <v>Stepstone PC Income</v>
      </c>
      <c r="AC365" t="str">
        <f>IFERROR(VLOOKUP($A365,fund_metadata!$A:$P,16,FALSE),"")</f>
        <v>private_credit</v>
      </c>
    </row>
    <row r="366" spans="1:29" x14ac:dyDescent="0.25">
      <c r="A366">
        <v>5</v>
      </c>
      <c r="B366" s="3">
        <v>45688</v>
      </c>
      <c r="E366" s="4">
        <v>761750000</v>
      </c>
      <c r="F366" t="s">
        <v>89</v>
      </c>
      <c r="G366" s="5">
        <v>10.15</v>
      </c>
      <c r="H366" t="s">
        <v>89</v>
      </c>
      <c r="I366" s="5"/>
      <c r="K366" s="2">
        <v>7.9000000000000008E-3</v>
      </c>
      <c r="L366" t="s">
        <v>89</v>
      </c>
      <c r="N366" s="4"/>
      <c r="AB366" t="str">
        <f>IFERROR(VLOOKUP($A366,fund_metadata!$A:$P,2,FALSE),"")</f>
        <v>Stepstone PC Income</v>
      </c>
      <c r="AC366" t="str">
        <f>IFERROR(VLOOKUP($A366,fund_metadata!$A:$P,16,FALSE),"")</f>
        <v>private_credit</v>
      </c>
    </row>
    <row r="367" spans="1:29" x14ac:dyDescent="0.25">
      <c r="A367">
        <v>5</v>
      </c>
      <c r="B367" s="3">
        <v>45657</v>
      </c>
      <c r="E367" s="4">
        <v>167640000</v>
      </c>
      <c r="F367" t="s">
        <v>89</v>
      </c>
      <c r="G367" s="5">
        <v>10.07</v>
      </c>
      <c r="H367" t="s">
        <v>89</v>
      </c>
      <c r="I367" s="5">
        <v>0.21</v>
      </c>
      <c r="J367" t="s">
        <v>89</v>
      </c>
      <c r="K367" s="2">
        <v>7.6E-3</v>
      </c>
      <c r="L367" t="s">
        <v>89</v>
      </c>
      <c r="M367">
        <v>298</v>
      </c>
      <c r="N367" s="4">
        <v>222330000</v>
      </c>
      <c r="O367" t="s">
        <v>89</v>
      </c>
      <c r="P367">
        <v>16744559</v>
      </c>
      <c r="Q367" t="s">
        <v>121</v>
      </c>
      <c r="AB367" t="str">
        <f>IFERROR(VLOOKUP($A367,fund_metadata!$A:$P,2,FALSE),"")</f>
        <v>Stepstone PC Income</v>
      </c>
      <c r="AC367" t="str">
        <f>IFERROR(VLOOKUP($A367,fund_metadata!$A:$P,16,FALSE),"")</f>
        <v>private_credit</v>
      </c>
    </row>
    <row r="368" spans="1:29" x14ac:dyDescent="0.25">
      <c r="A368">
        <v>5</v>
      </c>
      <c r="B368" s="3">
        <v>45626</v>
      </c>
      <c r="E368" s="4">
        <v>165000000</v>
      </c>
      <c r="F368" t="s">
        <v>89</v>
      </c>
      <c r="G368" s="5">
        <v>10.199999999999999</v>
      </c>
      <c r="H368" t="s">
        <v>89</v>
      </c>
      <c r="I368" s="5"/>
      <c r="K368" s="2">
        <v>5.8999999999999999E-3</v>
      </c>
      <c r="L368" t="s">
        <v>89</v>
      </c>
      <c r="N368" s="4"/>
      <c r="AB368" t="str">
        <f>IFERROR(VLOOKUP($A368,fund_metadata!$A:$P,2,FALSE),"")</f>
        <v>Stepstone PC Income</v>
      </c>
      <c r="AC368" t="str">
        <f>IFERROR(VLOOKUP($A368,fund_metadata!$A:$P,16,FALSE),"")</f>
        <v>private_credit</v>
      </c>
    </row>
    <row r="369" spans="1:29" x14ac:dyDescent="0.25">
      <c r="A369">
        <v>5</v>
      </c>
      <c r="B369" s="3">
        <v>45596</v>
      </c>
      <c r="E369" s="4">
        <v>153260000</v>
      </c>
      <c r="F369" t="s">
        <v>89</v>
      </c>
      <c r="G369" s="5">
        <v>10.14</v>
      </c>
      <c r="H369" t="s">
        <v>89</v>
      </c>
      <c r="I369" s="5">
        <v>0.2</v>
      </c>
      <c r="J369" t="s">
        <v>89</v>
      </c>
      <c r="K369" s="2">
        <v>8.0000000000000002E-3</v>
      </c>
      <c r="L369" t="s">
        <v>89</v>
      </c>
      <c r="N369" s="4"/>
      <c r="AB369" t="str">
        <f>IFERROR(VLOOKUP($A369,fund_metadata!$A:$P,2,FALSE),"")</f>
        <v>Stepstone PC Income</v>
      </c>
      <c r="AC369" t="str">
        <f>IFERROR(VLOOKUP($A369,fund_metadata!$A:$P,16,FALSE),"")</f>
        <v>private_credit</v>
      </c>
    </row>
    <row r="370" spans="1:29" x14ac:dyDescent="0.25">
      <c r="A370">
        <v>5</v>
      </c>
      <c r="B370" s="3">
        <v>45565</v>
      </c>
      <c r="E370" s="4">
        <v>115850000</v>
      </c>
      <c r="F370" t="s">
        <v>89</v>
      </c>
      <c r="G370" s="5">
        <v>10.26</v>
      </c>
      <c r="H370" t="s">
        <v>89</v>
      </c>
      <c r="I370" s="5"/>
      <c r="K370" s="2">
        <v>6.8999999999999999E-3</v>
      </c>
      <c r="L370" t="s">
        <v>89</v>
      </c>
      <c r="M370">
        <v>196</v>
      </c>
      <c r="N370" s="4"/>
      <c r="AB370" t="str">
        <f>IFERROR(VLOOKUP($A370,fund_metadata!$A:$P,2,FALSE),"")</f>
        <v>Stepstone PC Income</v>
      </c>
      <c r="AC370" t="str">
        <f>IFERROR(VLOOKUP($A370,fund_metadata!$A:$P,16,FALSE),"")</f>
        <v>private_credit</v>
      </c>
    </row>
    <row r="371" spans="1:29" x14ac:dyDescent="0.25">
      <c r="A371">
        <v>5</v>
      </c>
      <c r="B371" s="3">
        <v>45535</v>
      </c>
      <c r="E371" s="4">
        <v>94630000</v>
      </c>
      <c r="F371" t="s">
        <v>89</v>
      </c>
      <c r="G371" s="5">
        <v>10.19</v>
      </c>
      <c r="H371" t="s">
        <v>89</v>
      </c>
      <c r="I371" s="5"/>
      <c r="K371" s="2">
        <v>6.8999999999999999E-3</v>
      </c>
      <c r="L371" t="s">
        <v>89</v>
      </c>
      <c r="N371" s="4"/>
      <c r="AB371" t="str">
        <f>IFERROR(VLOOKUP($A371,fund_metadata!$A:$P,2,FALSE),"")</f>
        <v>Stepstone PC Income</v>
      </c>
      <c r="AC371" t="str">
        <f>IFERROR(VLOOKUP($A371,fund_metadata!$A:$P,16,FALSE),"")</f>
        <v>private_credit</v>
      </c>
    </row>
    <row r="372" spans="1:29" x14ac:dyDescent="0.25">
      <c r="A372">
        <v>5</v>
      </c>
      <c r="B372" s="3">
        <v>45504</v>
      </c>
      <c r="E372" s="4">
        <v>76100000</v>
      </c>
      <c r="F372" t="s">
        <v>89</v>
      </c>
      <c r="G372" s="5">
        <v>10.119999999999999</v>
      </c>
      <c r="H372" t="s">
        <v>89</v>
      </c>
      <c r="I372" s="5"/>
      <c r="K372" s="2">
        <v>8.0000000000000002E-3</v>
      </c>
      <c r="L372" t="s">
        <v>89</v>
      </c>
      <c r="N372" s="4"/>
      <c r="AB372" t="str">
        <f>IFERROR(VLOOKUP($A372,fund_metadata!$A:$P,2,FALSE),"")</f>
        <v>Stepstone PC Income</v>
      </c>
      <c r="AC372" t="str">
        <f>IFERROR(VLOOKUP($A372,fund_metadata!$A:$P,16,FALSE),"")</f>
        <v>private_credit</v>
      </c>
    </row>
    <row r="373" spans="1:29" x14ac:dyDescent="0.25">
      <c r="A373">
        <v>5</v>
      </c>
      <c r="B373" s="3">
        <v>45473</v>
      </c>
      <c r="E373" s="4">
        <v>73970000</v>
      </c>
      <c r="F373" t="s">
        <v>89</v>
      </c>
      <c r="G373" s="5">
        <v>10.039999999999999</v>
      </c>
      <c r="H373" t="s">
        <v>89</v>
      </c>
      <c r="I373" s="5"/>
      <c r="K373" s="2">
        <v>4.0000000000000001E-3</v>
      </c>
      <c r="L373" t="s">
        <v>89</v>
      </c>
      <c r="M373">
        <v>55</v>
      </c>
      <c r="N373" s="4">
        <v>73680000</v>
      </c>
      <c r="O373" t="s">
        <v>89</v>
      </c>
      <c r="AB373" t="str">
        <f>IFERROR(VLOOKUP($A373,fund_metadata!$A:$P,2,FALSE),"")</f>
        <v>Stepstone PC Income</v>
      </c>
      <c r="AC373" t="str">
        <f>IFERROR(VLOOKUP($A373,fund_metadata!$A:$P,16,FALSE),"")</f>
        <v>private_credit</v>
      </c>
    </row>
    <row r="374" spans="1:29" x14ac:dyDescent="0.25">
      <c r="A374">
        <v>5</v>
      </c>
      <c r="B374" s="3">
        <v>45443</v>
      </c>
      <c r="E374" s="4"/>
      <c r="G374" s="5">
        <v>10</v>
      </c>
      <c r="H374" t="s">
        <v>89</v>
      </c>
      <c r="I374" s="5"/>
      <c r="K374" s="2"/>
      <c r="N374" s="4"/>
      <c r="AB374" t="str">
        <f>IFERROR(VLOOKUP($A374,fund_metadata!$A:$P,2,FALSE),"")</f>
        <v>Stepstone PC Income</v>
      </c>
      <c r="AC374" t="str">
        <f>IFERROR(VLOOKUP($A374,fund_metadata!$A:$P,16,FALSE),"")</f>
        <v>private_credit</v>
      </c>
    </row>
    <row r="375" spans="1:29" x14ac:dyDescent="0.25">
      <c r="A375">
        <v>6</v>
      </c>
      <c r="B375" s="3">
        <v>46173</v>
      </c>
      <c r="E375" s="4"/>
      <c r="G375" s="5">
        <v>63.92</v>
      </c>
      <c r="H375" t="s">
        <v>89</v>
      </c>
      <c r="I375" s="5"/>
      <c r="K375" s="2"/>
      <c r="N375" s="4"/>
      <c r="AB375" t="str">
        <f>IFERROR(VLOOKUP($A375,fund_metadata!$A:$P,2,FALSE),"")</f>
        <v>Stepstone Private Markets</v>
      </c>
      <c r="AC375" t="str">
        <f>IFERROR(VLOOKUP($A375,fund_metadata!$A:$P,16,FALSE),"")</f>
        <v>secondaries</v>
      </c>
    </row>
    <row r="376" spans="1:29" x14ac:dyDescent="0.25">
      <c r="A376">
        <v>6</v>
      </c>
      <c r="B376" s="3">
        <v>46142</v>
      </c>
      <c r="C376">
        <v>10318233.470000001</v>
      </c>
      <c r="D376" t="s">
        <v>105</v>
      </c>
      <c r="E376" s="4">
        <v>6090000000</v>
      </c>
      <c r="F376" t="s">
        <v>89</v>
      </c>
      <c r="G376" s="5">
        <v>63.55</v>
      </c>
      <c r="H376" t="s">
        <v>89</v>
      </c>
      <c r="I376" s="5"/>
      <c r="K376" s="2">
        <v>3.4500000000000003E-2</v>
      </c>
      <c r="L376" t="s">
        <v>89</v>
      </c>
      <c r="N376" s="4"/>
      <c r="R376">
        <v>162364.01999999999</v>
      </c>
      <c r="S376" t="s">
        <v>105</v>
      </c>
      <c r="T376">
        <v>0</v>
      </c>
      <c r="U376" t="s">
        <v>105</v>
      </c>
      <c r="V376">
        <v>0</v>
      </c>
      <c r="W376" t="s">
        <v>105</v>
      </c>
      <c r="X376">
        <v>0</v>
      </c>
      <c r="Y376" t="s">
        <v>105</v>
      </c>
      <c r="AB376" t="str">
        <f>IFERROR(VLOOKUP($A376,fund_metadata!$A:$P,2,FALSE),"")</f>
        <v>Stepstone Private Markets</v>
      </c>
      <c r="AC376" t="str">
        <f>IFERROR(VLOOKUP($A376,fund_metadata!$A:$P,16,FALSE),"")</f>
        <v>secondaries</v>
      </c>
    </row>
    <row r="377" spans="1:29" x14ac:dyDescent="0.25">
      <c r="A377">
        <v>6</v>
      </c>
      <c r="B377" s="3">
        <v>46112</v>
      </c>
      <c r="C377">
        <v>9974021.75</v>
      </c>
      <c r="D377" t="s">
        <v>105</v>
      </c>
      <c r="E377" s="4">
        <v>5760000000</v>
      </c>
      <c r="F377" t="s">
        <v>89</v>
      </c>
      <c r="G377" s="5">
        <v>61.43</v>
      </c>
      <c r="H377" t="s">
        <v>89</v>
      </c>
      <c r="I377" s="5"/>
      <c r="K377" s="2">
        <v>-3.8999999999999998E-3</v>
      </c>
      <c r="L377" t="s">
        <v>89</v>
      </c>
      <c r="M377">
        <v>591</v>
      </c>
      <c r="N377" s="4"/>
      <c r="R377">
        <v>162364.01999999999</v>
      </c>
      <c r="S377" t="s">
        <v>105</v>
      </c>
      <c r="T377">
        <v>0</v>
      </c>
      <c r="U377" t="s">
        <v>105</v>
      </c>
      <c r="V377">
        <v>0</v>
      </c>
      <c r="W377" t="s">
        <v>105</v>
      </c>
      <c r="X377">
        <v>0</v>
      </c>
      <c r="Y377" t="s">
        <v>105</v>
      </c>
      <c r="AB377" t="str">
        <f>IFERROR(VLOOKUP($A377,fund_metadata!$A:$P,2,FALSE),"")</f>
        <v>Stepstone Private Markets</v>
      </c>
      <c r="AC377" t="str">
        <f>IFERROR(VLOOKUP($A377,fund_metadata!$A:$P,16,FALSE),"")</f>
        <v>secondaries</v>
      </c>
    </row>
    <row r="378" spans="1:29" x14ac:dyDescent="0.25">
      <c r="A378">
        <v>6</v>
      </c>
      <c r="B378" s="3">
        <v>46081</v>
      </c>
      <c r="C378">
        <v>10012989.109999999</v>
      </c>
      <c r="D378" t="s">
        <v>105</v>
      </c>
      <c r="E378" s="4">
        <v>5860000000</v>
      </c>
      <c r="F378" t="s">
        <v>89</v>
      </c>
      <c r="G378" s="5">
        <v>61.67</v>
      </c>
      <c r="H378" t="s">
        <v>89</v>
      </c>
      <c r="I378" s="5"/>
      <c r="K378" s="2">
        <v>-2.5999999999999999E-3</v>
      </c>
      <c r="L378" t="s">
        <v>89</v>
      </c>
      <c r="N378" s="4"/>
      <c r="R378">
        <v>162364.01999999999</v>
      </c>
      <c r="S378" t="s">
        <v>105</v>
      </c>
      <c r="T378">
        <v>0</v>
      </c>
      <c r="U378" t="s">
        <v>105</v>
      </c>
      <c r="V378">
        <v>0</v>
      </c>
      <c r="W378" t="s">
        <v>105</v>
      </c>
      <c r="X378">
        <v>0</v>
      </c>
      <c r="Y378" t="s">
        <v>105</v>
      </c>
      <c r="AB378" t="str">
        <f>IFERROR(VLOOKUP($A378,fund_metadata!$A:$P,2,FALSE),"")</f>
        <v>Stepstone Private Markets</v>
      </c>
      <c r="AC378" t="str">
        <f>IFERROR(VLOOKUP($A378,fund_metadata!$A:$P,16,FALSE),"")</f>
        <v>secondaries</v>
      </c>
    </row>
    <row r="379" spans="1:29" x14ac:dyDescent="0.25">
      <c r="A379">
        <v>6</v>
      </c>
      <c r="B379" s="3">
        <v>46053</v>
      </c>
      <c r="C379">
        <v>10038967.359999999</v>
      </c>
      <c r="D379" t="s">
        <v>105</v>
      </c>
      <c r="E379" s="4">
        <v>5730000000</v>
      </c>
      <c r="F379" t="s">
        <v>89</v>
      </c>
      <c r="G379" s="5">
        <v>61.83</v>
      </c>
      <c r="H379" t="s">
        <v>89</v>
      </c>
      <c r="I379" s="5"/>
      <c r="K379" s="2">
        <v>1.3100000000000001E-2</v>
      </c>
      <c r="L379" t="s">
        <v>89</v>
      </c>
      <c r="N379" s="4"/>
      <c r="R379">
        <v>162364.01999999999</v>
      </c>
      <c r="S379" t="s">
        <v>105</v>
      </c>
      <c r="T379">
        <v>0</v>
      </c>
      <c r="U379" t="s">
        <v>105</v>
      </c>
      <c r="V379">
        <v>0</v>
      </c>
      <c r="W379" t="s">
        <v>105</v>
      </c>
      <c r="X379">
        <v>0</v>
      </c>
      <c r="Y379" t="s">
        <v>105</v>
      </c>
      <c r="AB379" t="str">
        <f>IFERROR(VLOOKUP($A379,fund_metadata!$A:$P,2,FALSE),"")</f>
        <v>Stepstone Private Markets</v>
      </c>
      <c r="AC379" t="str">
        <f>IFERROR(VLOOKUP($A379,fund_metadata!$A:$P,16,FALSE),"")</f>
        <v>secondaries</v>
      </c>
    </row>
    <row r="380" spans="1:29" x14ac:dyDescent="0.25">
      <c r="A380">
        <v>6</v>
      </c>
      <c r="B380" s="3">
        <v>46022</v>
      </c>
      <c r="C380">
        <v>9909076.1400000006</v>
      </c>
      <c r="D380" t="s">
        <v>105</v>
      </c>
      <c r="E380" s="4">
        <v>5510000000</v>
      </c>
      <c r="F380" t="s">
        <v>89</v>
      </c>
      <c r="G380" s="5">
        <v>61.03</v>
      </c>
      <c r="H380" t="s">
        <v>89</v>
      </c>
      <c r="I380" s="5"/>
      <c r="K380" s="2">
        <v>8.0000000000000002E-3</v>
      </c>
      <c r="L380" t="s">
        <v>89</v>
      </c>
      <c r="M380">
        <v>503</v>
      </c>
      <c r="N380" s="4"/>
      <c r="R380">
        <v>162364.01999999999</v>
      </c>
      <c r="S380" t="s">
        <v>105</v>
      </c>
      <c r="T380">
        <v>10000000</v>
      </c>
      <c r="U380" t="s">
        <v>105</v>
      </c>
      <c r="V380">
        <v>0</v>
      </c>
      <c r="W380" t="s">
        <v>105</v>
      </c>
      <c r="X380">
        <v>82139.960000000006</v>
      </c>
      <c r="Y380" t="s">
        <v>105</v>
      </c>
      <c r="AB380" t="str">
        <f>IFERROR(VLOOKUP($A380,fund_metadata!$A:$P,2,FALSE),"")</f>
        <v>Stepstone Private Markets</v>
      </c>
      <c r="AC380" t="str">
        <f>IFERROR(VLOOKUP($A380,fund_metadata!$A:$P,16,FALSE),"")</f>
        <v>secondaries</v>
      </c>
    </row>
    <row r="381" spans="1:29" x14ac:dyDescent="0.25">
      <c r="A381">
        <v>6</v>
      </c>
      <c r="B381" s="3">
        <v>45991</v>
      </c>
      <c r="E381" s="4">
        <v>5530000000</v>
      </c>
      <c r="F381" t="s">
        <v>89</v>
      </c>
      <c r="G381" s="5">
        <v>61.05</v>
      </c>
      <c r="H381" t="s">
        <v>89</v>
      </c>
      <c r="I381" s="5"/>
      <c r="K381" s="2">
        <v>-3.8E-3</v>
      </c>
      <c r="L381" t="s">
        <v>89</v>
      </c>
      <c r="N381" s="4"/>
      <c r="AB381" t="str">
        <f>IFERROR(VLOOKUP($A381,fund_metadata!$A:$P,2,FALSE),"")</f>
        <v>Stepstone Private Markets</v>
      </c>
      <c r="AC381" t="str">
        <f>IFERROR(VLOOKUP($A381,fund_metadata!$A:$P,16,FALSE),"")</f>
        <v>secondaries</v>
      </c>
    </row>
    <row r="382" spans="1:29" x14ac:dyDescent="0.25">
      <c r="A382">
        <v>6</v>
      </c>
      <c r="B382" s="3">
        <v>45961</v>
      </c>
      <c r="E382" s="4">
        <v>5430000000</v>
      </c>
      <c r="F382" t="s">
        <v>89</v>
      </c>
      <c r="G382" s="5">
        <v>61.28</v>
      </c>
      <c r="H382" t="s">
        <v>89</v>
      </c>
      <c r="I382" s="5"/>
      <c r="K382" s="2">
        <v>9.9000000000000008E-3</v>
      </c>
      <c r="L382" t="s">
        <v>89</v>
      </c>
      <c r="N382" s="4"/>
      <c r="AB382" t="str">
        <f>IFERROR(VLOOKUP($A382,fund_metadata!$A:$P,2,FALSE),"")</f>
        <v>Stepstone Private Markets</v>
      </c>
      <c r="AC382" t="str">
        <f>IFERROR(VLOOKUP($A382,fund_metadata!$A:$P,16,FALSE),"")</f>
        <v>secondaries</v>
      </c>
    </row>
    <row r="383" spans="1:29" x14ac:dyDescent="0.25">
      <c r="A383">
        <v>6</v>
      </c>
      <c r="B383" s="3">
        <v>45930</v>
      </c>
      <c r="E383" s="4">
        <v>5220000000</v>
      </c>
      <c r="F383" t="s">
        <v>89</v>
      </c>
      <c r="G383" s="5">
        <v>60.68</v>
      </c>
      <c r="H383" t="s">
        <v>89</v>
      </c>
      <c r="I383" s="5"/>
      <c r="K383" s="2">
        <v>2.3400000000000001E-2</v>
      </c>
      <c r="L383" t="s">
        <v>89</v>
      </c>
      <c r="M383">
        <v>433</v>
      </c>
      <c r="N383" s="4">
        <v>5380000000</v>
      </c>
      <c r="O383" t="s">
        <v>89</v>
      </c>
      <c r="AB383" t="str">
        <f>IFERROR(VLOOKUP($A383,fund_metadata!$A:$P,2,FALSE),"")</f>
        <v>Stepstone Private Markets</v>
      </c>
      <c r="AC383" t="str">
        <f>IFERROR(VLOOKUP($A383,fund_metadata!$A:$P,16,FALSE),"")</f>
        <v>secondaries</v>
      </c>
    </row>
    <row r="384" spans="1:29" x14ac:dyDescent="0.25">
      <c r="A384">
        <v>6</v>
      </c>
      <c r="B384" s="3">
        <v>45900</v>
      </c>
      <c r="E384" s="4">
        <v>5270000000</v>
      </c>
      <c r="F384" t="s">
        <v>89</v>
      </c>
      <c r="G384" s="5">
        <v>59.29</v>
      </c>
      <c r="H384" t="s">
        <v>89</v>
      </c>
      <c r="I384" s="5"/>
      <c r="K384" s="2">
        <v>4.4000000000000003E-3</v>
      </c>
      <c r="L384" t="s">
        <v>89</v>
      </c>
      <c r="N384" s="4"/>
      <c r="AB384" t="str">
        <f>IFERROR(VLOOKUP($A384,fund_metadata!$A:$P,2,FALSE),"")</f>
        <v>Stepstone Private Markets</v>
      </c>
      <c r="AC384" t="str">
        <f>IFERROR(VLOOKUP($A384,fund_metadata!$A:$P,16,FALSE),"")</f>
        <v>secondaries</v>
      </c>
    </row>
    <row r="385" spans="1:29" x14ac:dyDescent="0.25">
      <c r="A385">
        <v>6</v>
      </c>
      <c r="B385" s="3">
        <v>45869</v>
      </c>
      <c r="E385" s="4">
        <v>5050000000</v>
      </c>
      <c r="F385" t="s">
        <v>89</v>
      </c>
      <c r="G385" s="5">
        <v>59.03</v>
      </c>
      <c r="H385" t="s">
        <v>89</v>
      </c>
      <c r="I385" s="5"/>
      <c r="K385" s="2">
        <v>2.2000000000000001E-3</v>
      </c>
      <c r="L385" t="s">
        <v>89</v>
      </c>
      <c r="N385" s="4"/>
      <c r="AB385" t="str">
        <f>IFERROR(VLOOKUP($A385,fund_metadata!$A:$P,2,FALSE),"")</f>
        <v>Stepstone Private Markets</v>
      </c>
      <c r="AC385" t="str">
        <f>IFERROR(VLOOKUP($A385,fund_metadata!$A:$P,16,FALSE),"")</f>
        <v>secondaries</v>
      </c>
    </row>
    <row r="386" spans="1:29" x14ac:dyDescent="0.25">
      <c r="A386">
        <v>6</v>
      </c>
      <c r="B386" s="3">
        <v>45838</v>
      </c>
      <c r="E386" s="4">
        <v>4870000000</v>
      </c>
      <c r="F386" t="s">
        <v>89</v>
      </c>
      <c r="G386" s="5">
        <v>58.9</v>
      </c>
      <c r="H386" t="s">
        <v>89</v>
      </c>
      <c r="I386" s="5">
        <v>0.01</v>
      </c>
      <c r="J386" t="s">
        <v>89</v>
      </c>
      <c r="K386" s="2">
        <v>2.2599999999999999E-2</v>
      </c>
      <c r="L386" t="s">
        <v>89</v>
      </c>
      <c r="M386">
        <v>389</v>
      </c>
      <c r="N386" s="4"/>
      <c r="AB386" t="str">
        <f>IFERROR(VLOOKUP($A386,fund_metadata!$A:$P,2,FALSE),"")</f>
        <v>Stepstone Private Markets</v>
      </c>
      <c r="AC386" t="str">
        <f>IFERROR(VLOOKUP($A386,fund_metadata!$A:$P,16,FALSE),"")</f>
        <v>secondaries</v>
      </c>
    </row>
    <row r="387" spans="1:29" x14ac:dyDescent="0.25">
      <c r="A387">
        <v>6</v>
      </c>
      <c r="B387" s="3">
        <v>45808</v>
      </c>
      <c r="E387" s="4">
        <v>4710000000</v>
      </c>
      <c r="F387" t="s">
        <v>89</v>
      </c>
      <c r="G387" s="5">
        <v>57.79</v>
      </c>
      <c r="H387" t="s">
        <v>89</v>
      </c>
      <c r="I387" s="5"/>
      <c r="K387" s="2">
        <v>2.8299999999999999E-2</v>
      </c>
      <c r="L387" t="s">
        <v>89</v>
      </c>
      <c r="N387" s="4"/>
      <c r="AB387" t="str">
        <f>IFERROR(VLOOKUP($A387,fund_metadata!$A:$P,2,FALSE),"")</f>
        <v>Stepstone Private Markets</v>
      </c>
      <c r="AC387" t="str">
        <f>IFERROR(VLOOKUP($A387,fund_metadata!$A:$P,16,FALSE),"")</f>
        <v>secondaries</v>
      </c>
    </row>
    <row r="388" spans="1:29" x14ac:dyDescent="0.25">
      <c r="A388">
        <v>6</v>
      </c>
      <c r="B388" s="3">
        <v>45777</v>
      </c>
      <c r="E388" s="4">
        <v>4420000000</v>
      </c>
      <c r="F388" t="s">
        <v>89</v>
      </c>
      <c r="G388" s="5">
        <v>56.2</v>
      </c>
      <c r="H388" t="s">
        <v>89</v>
      </c>
      <c r="I388" s="5"/>
      <c r="K388" s="2">
        <v>1.04E-2</v>
      </c>
      <c r="L388" t="s">
        <v>89</v>
      </c>
      <c r="N388" s="4"/>
      <c r="AB388" t="str">
        <f>IFERROR(VLOOKUP($A388,fund_metadata!$A:$P,2,FALSE),"")</f>
        <v>Stepstone Private Markets</v>
      </c>
      <c r="AC388" t="str">
        <f>IFERROR(VLOOKUP($A388,fund_metadata!$A:$P,16,FALSE),"")</f>
        <v>secondaries</v>
      </c>
    </row>
    <row r="389" spans="1:29" x14ac:dyDescent="0.25">
      <c r="A389">
        <v>6</v>
      </c>
      <c r="B389" s="3">
        <v>45747</v>
      </c>
      <c r="E389" s="4">
        <v>4200000000</v>
      </c>
      <c r="F389" t="s">
        <v>89</v>
      </c>
      <c r="G389" s="5">
        <v>55.62</v>
      </c>
      <c r="H389" t="s">
        <v>89</v>
      </c>
      <c r="I389" s="5"/>
      <c r="K389" s="2">
        <v>-2.8999999999999998E-3</v>
      </c>
      <c r="L389" t="s">
        <v>89</v>
      </c>
      <c r="M389">
        <v>360</v>
      </c>
      <c r="N389" s="4">
        <v>4410000000</v>
      </c>
      <c r="O389" t="s">
        <v>89</v>
      </c>
      <c r="P389">
        <v>59765181</v>
      </c>
      <c r="Q389" t="s">
        <v>121</v>
      </c>
      <c r="AB389" t="str">
        <f>IFERROR(VLOOKUP($A389,fund_metadata!$A:$P,2,FALSE),"")</f>
        <v>Stepstone Private Markets</v>
      </c>
      <c r="AC389" t="str">
        <f>IFERROR(VLOOKUP($A389,fund_metadata!$A:$P,16,FALSE),"")</f>
        <v>secondaries</v>
      </c>
    </row>
    <row r="390" spans="1:29" x14ac:dyDescent="0.25">
      <c r="A390">
        <v>6</v>
      </c>
      <c r="B390" s="3">
        <v>45716</v>
      </c>
      <c r="E390" s="4">
        <v>4100000000</v>
      </c>
      <c r="F390" t="s">
        <v>89</v>
      </c>
      <c r="G390" s="5">
        <v>55.78</v>
      </c>
      <c r="H390" t="s">
        <v>89</v>
      </c>
      <c r="I390" s="5"/>
      <c r="K390" s="2">
        <v>1.4E-3</v>
      </c>
      <c r="L390" t="s">
        <v>89</v>
      </c>
      <c r="N390" s="4"/>
      <c r="AB390" t="str">
        <f>IFERROR(VLOOKUP($A390,fund_metadata!$A:$P,2,FALSE),"")</f>
        <v>Stepstone Private Markets</v>
      </c>
      <c r="AC390" t="str">
        <f>IFERROR(VLOOKUP($A390,fund_metadata!$A:$P,16,FALSE),"")</f>
        <v>secondaries</v>
      </c>
    </row>
    <row r="391" spans="1:29" x14ac:dyDescent="0.25">
      <c r="A391">
        <v>6</v>
      </c>
      <c r="B391" s="3">
        <v>45688</v>
      </c>
      <c r="E391" s="4">
        <v>3920000000</v>
      </c>
      <c r="F391" t="s">
        <v>89</v>
      </c>
      <c r="G391" s="5">
        <v>55.7</v>
      </c>
      <c r="H391" t="s">
        <v>89</v>
      </c>
      <c r="I391" s="5"/>
      <c r="K391" s="2">
        <v>1.1599999999999999E-2</v>
      </c>
      <c r="L391" t="s">
        <v>89</v>
      </c>
      <c r="N391" s="4"/>
      <c r="AB391" t="str">
        <f>IFERROR(VLOOKUP($A391,fund_metadata!$A:$P,2,FALSE),"")</f>
        <v>Stepstone Private Markets</v>
      </c>
      <c r="AC391" t="str">
        <f>IFERROR(VLOOKUP($A391,fund_metadata!$A:$P,16,FALSE),"")</f>
        <v>secondaries</v>
      </c>
    </row>
    <row r="392" spans="1:29" x14ac:dyDescent="0.25">
      <c r="A392">
        <v>6</v>
      </c>
      <c r="B392" s="3">
        <v>45657</v>
      </c>
      <c r="E392" s="4">
        <v>3680000000</v>
      </c>
      <c r="F392" t="s">
        <v>89</v>
      </c>
      <c r="G392" s="5">
        <v>55.06</v>
      </c>
      <c r="H392" t="s">
        <v>89</v>
      </c>
      <c r="I392" s="5">
        <v>0.03</v>
      </c>
      <c r="J392" t="s">
        <v>89</v>
      </c>
      <c r="K392" s="2">
        <v>-3.5999999999999999E-3</v>
      </c>
      <c r="L392" t="s">
        <v>89</v>
      </c>
      <c r="M392">
        <v>349</v>
      </c>
      <c r="N392" s="4"/>
      <c r="AB392" t="str">
        <f>IFERROR(VLOOKUP($A392,fund_metadata!$A:$P,2,FALSE),"")</f>
        <v>Stepstone Private Markets</v>
      </c>
      <c r="AC392" t="str">
        <f>IFERROR(VLOOKUP($A392,fund_metadata!$A:$P,16,FALSE),"")</f>
        <v>secondaries</v>
      </c>
    </row>
    <row r="393" spans="1:29" x14ac:dyDescent="0.25">
      <c r="A393">
        <v>6</v>
      </c>
      <c r="B393" s="3">
        <v>45626</v>
      </c>
      <c r="E393" s="4">
        <v>3590000000</v>
      </c>
      <c r="F393" t="s">
        <v>89</v>
      </c>
      <c r="G393" s="5">
        <v>55.69</v>
      </c>
      <c r="H393" t="s">
        <v>89</v>
      </c>
      <c r="I393" s="5"/>
      <c r="K393" s="2">
        <v>1.11E-2</v>
      </c>
      <c r="L393" t="s">
        <v>89</v>
      </c>
      <c r="N393" s="4"/>
      <c r="AB393" t="str">
        <f>IFERROR(VLOOKUP($A393,fund_metadata!$A:$P,2,FALSE),"")</f>
        <v>Stepstone Private Markets</v>
      </c>
      <c r="AC393" t="str">
        <f>IFERROR(VLOOKUP($A393,fund_metadata!$A:$P,16,FALSE),"")</f>
        <v>secondaries</v>
      </c>
    </row>
    <row r="394" spans="1:29" x14ac:dyDescent="0.25">
      <c r="A394">
        <v>6</v>
      </c>
      <c r="B394" s="3">
        <v>45596</v>
      </c>
      <c r="E394" s="4">
        <v>3400000000</v>
      </c>
      <c r="F394" t="s">
        <v>89</v>
      </c>
      <c r="G394" s="5">
        <v>55.08</v>
      </c>
      <c r="H394" t="s">
        <v>89</v>
      </c>
      <c r="I394" s="5"/>
      <c r="K394" s="2">
        <v>2E-3</v>
      </c>
      <c r="L394" t="s">
        <v>89</v>
      </c>
      <c r="N394" s="4"/>
      <c r="AB394" t="str">
        <f>IFERROR(VLOOKUP($A394,fund_metadata!$A:$P,2,FALSE),"")</f>
        <v>Stepstone Private Markets</v>
      </c>
      <c r="AC394" t="str">
        <f>IFERROR(VLOOKUP($A394,fund_metadata!$A:$P,16,FALSE),"")</f>
        <v>secondaries</v>
      </c>
    </row>
    <row r="395" spans="1:29" x14ac:dyDescent="0.25">
      <c r="A395">
        <v>6</v>
      </c>
      <c r="B395" s="3">
        <v>45565</v>
      </c>
      <c r="E395" s="4">
        <v>3250000000</v>
      </c>
      <c r="F395" t="s">
        <v>89</v>
      </c>
      <c r="G395" s="5">
        <v>54.97</v>
      </c>
      <c r="H395" t="s">
        <v>89</v>
      </c>
      <c r="I395" s="5"/>
      <c r="K395" s="2">
        <v>2.4400000000000002E-2</v>
      </c>
      <c r="L395" t="s">
        <v>89</v>
      </c>
      <c r="M395">
        <v>300</v>
      </c>
      <c r="N395" s="4">
        <v>3350000000</v>
      </c>
      <c r="O395" t="s">
        <v>89</v>
      </c>
      <c r="P395">
        <v>46858698</v>
      </c>
      <c r="Q395" t="s">
        <v>120</v>
      </c>
      <c r="AB395" t="str">
        <f>IFERROR(VLOOKUP($A395,fund_metadata!$A:$P,2,FALSE),"")</f>
        <v>Stepstone Private Markets</v>
      </c>
      <c r="AC395" t="str">
        <f>IFERROR(VLOOKUP($A395,fund_metadata!$A:$P,16,FALSE),"")</f>
        <v>secondaries</v>
      </c>
    </row>
    <row r="396" spans="1:29" x14ac:dyDescent="0.25">
      <c r="A396">
        <v>6</v>
      </c>
      <c r="B396" s="3">
        <v>45535</v>
      </c>
      <c r="E396" s="4">
        <v>3100000000</v>
      </c>
      <c r="F396" t="s">
        <v>89</v>
      </c>
      <c r="G396" s="5">
        <v>53.66</v>
      </c>
      <c r="H396" t="s">
        <v>89</v>
      </c>
      <c r="I396" s="5"/>
      <c r="K396" s="2">
        <v>1.15E-2</v>
      </c>
      <c r="L396" t="s">
        <v>89</v>
      </c>
      <c r="N396" s="4"/>
      <c r="AB396" t="str">
        <f>IFERROR(VLOOKUP($A396,fund_metadata!$A:$P,2,FALSE),"")</f>
        <v>Stepstone Private Markets</v>
      </c>
      <c r="AC396" t="str">
        <f>IFERROR(VLOOKUP($A396,fund_metadata!$A:$P,16,FALSE),"")</f>
        <v>secondaries</v>
      </c>
    </row>
    <row r="397" spans="1:29" x14ac:dyDescent="0.25">
      <c r="A397">
        <v>6</v>
      </c>
      <c r="B397" s="3">
        <v>45504</v>
      </c>
      <c r="E397" s="4">
        <v>2930000000</v>
      </c>
      <c r="F397" t="s">
        <v>89</v>
      </c>
      <c r="G397" s="5">
        <v>53.05</v>
      </c>
      <c r="H397" t="s">
        <v>89</v>
      </c>
      <c r="I397" s="5"/>
      <c r="K397" s="2">
        <v>1.61E-2</v>
      </c>
      <c r="L397" t="s">
        <v>89</v>
      </c>
      <c r="N397" s="4"/>
      <c r="AB397" t="str">
        <f>IFERROR(VLOOKUP($A397,fund_metadata!$A:$P,2,FALSE),"")</f>
        <v>Stepstone Private Markets</v>
      </c>
      <c r="AC397" t="str">
        <f>IFERROR(VLOOKUP($A397,fund_metadata!$A:$P,16,FALSE),"")</f>
        <v>secondaries</v>
      </c>
    </row>
    <row r="398" spans="1:29" x14ac:dyDescent="0.25">
      <c r="A398">
        <v>6</v>
      </c>
      <c r="B398" s="3">
        <v>45473</v>
      </c>
      <c r="E398" s="4">
        <v>2760000000</v>
      </c>
      <c r="F398" t="s">
        <v>89</v>
      </c>
      <c r="G398" s="5">
        <v>52.21</v>
      </c>
      <c r="H398" t="s">
        <v>89</v>
      </c>
      <c r="I398" s="5">
        <v>0.16</v>
      </c>
      <c r="J398" t="s">
        <v>89</v>
      </c>
      <c r="K398" s="2">
        <v>1E-3</v>
      </c>
      <c r="L398" t="s">
        <v>89</v>
      </c>
      <c r="M398">
        <v>221</v>
      </c>
      <c r="N398" s="4"/>
      <c r="AB398" t="str">
        <f>IFERROR(VLOOKUP($A398,fund_metadata!$A:$P,2,FALSE),"")</f>
        <v>Stepstone Private Markets</v>
      </c>
      <c r="AC398" t="str">
        <f>IFERROR(VLOOKUP($A398,fund_metadata!$A:$P,16,FALSE),"")</f>
        <v>secondaries</v>
      </c>
    </row>
    <row r="399" spans="1:29" x14ac:dyDescent="0.25">
      <c r="A399">
        <v>6</v>
      </c>
      <c r="B399" s="3">
        <v>45443</v>
      </c>
      <c r="E399" s="4">
        <v>2640000000</v>
      </c>
      <c r="F399" t="s">
        <v>89</v>
      </c>
      <c r="G399" s="5">
        <v>52.45</v>
      </c>
      <c r="H399" t="s">
        <v>89</v>
      </c>
      <c r="I399" s="5"/>
      <c r="K399" s="2">
        <v>1.12E-2</v>
      </c>
      <c r="L399" t="s">
        <v>89</v>
      </c>
      <c r="N399" s="4"/>
      <c r="AB399" t="str">
        <f>IFERROR(VLOOKUP($A399,fund_metadata!$A:$P,2,FALSE),"")</f>
        <v>Stepstone Private Markets</v>
      </c>
      <c r="AC399" t="str">
        <f>IFERROR(VLOOKUP($A399,fund_metadata!$A:$P,16,FALSE),"")</f>
        <v>secondaries</v>
      </c>
    </row>
    <row r="400" spans="1:29" x14ac:dyDescent="0.25">
      <c r="A400">
        <v>6</v>
      </c>
      <c r="B400" s="3">
        <v>45412</v>
      </c>
      <c r="E400" s="4">
        <v>2450000000</v>
      </c>
      <c r="F400" t="s">
        <v>89</v>
      </c>
      <c r="G400" s="5">
        <v>51.87</v>
      </c>
      <c r="H400" t="s">
        <v>89</v>
      </c>
      <c r="I400" s="5"/>
      <c r="K400" s="2">
        <v>-1.18E-2</v>
      </c>
      <c r="L400" t="s">
        <v>89</v>
      </c>
      <c r="N400" s="4"/>
      <c r="AB400" t="str">
        <f>IFERROR(VLOOKUP($A400,fund_metadata!$A:$P,2,FALSE),"")</f>
        <v>Stepstone Private Markets</v>
      </c>
      <c r="AC400" t="str">
        <f>IFERROR(VLOOKUP($A400,fund_metadata!$A:$P,16,FALSE),"")</f>
        <v>secondaries</v>
      </c>
    </row>
    <row r="401" spans="1:29" x14ac:dyDescent="0.25">
      <c r="A401">
        <v>6</v>
      </c>
      <c r="B401" s="3">
        <v>45382</v>
      </c>
      <c r="E401" s="4">
        <v>2320000000</v>
      </c>
      <c r="F401" t="s">
        <v>89</v>
      </c>
      <c r="G401" s="5">
        <v>52.49</v>
      </c>
      <c r="H401" t="s">
        <v>89</v>
      </c>
      <c r="I401" s="5"/>
      <c r="K401" s="2">
        <v>3.6499999999999998E-2</v>
      </c>
      <c r="L401" t="s">
        <v>89</v>
      </c>
      <c r="M401">
        <v>206</v>
      </c>
      <c r="N401" s="4">
        <v>2340000000</v>
      </c>
      <c r="O401" t="s">
        <v>89</v>
      </c>
      <c r="P401">
        <v>37651634</v>
      </c>
      <c r="Q401" t="s">
        <v>121</v>
      </c>
      <c r="AB401" t="str">
        <f>IFERROR(VLOOKUP($A401,fund_metadata!$A:$P,2,FALSE),"")</f>
        <v>Stepstone Private Markets</v>
      </c>
      <c r="AC401" t="str">
        <f>IFERROR(VLOOKUP($A401,fund_metadata!$A:$P,16,FALSE),"")</f>
        <v>secondaries</v>
      </c>
    </row>
    <row r="402" spans="1:29" x14ac:dyDescent="0.25">
      <c r="A402">
        <v>6</v>
      </c>
      <c r="B402" s="3">
        <v>45351</v>
      </c>
      <c r="E402" s="4">
        <v>2090000000</v>
      </c>
      <c r="F402" t="s">
        <v>89</v>
      </c>
      <c r="G402" s="5">
        <v>50.64</v>
      </c>
      <c r="H402" t="s">
        <v>89</v>
      </c>
      <c r="I402" s="5"/>
      <c r="K402" s="2">
        <v>9.5999999999999992E-3</v>
      </c>
      <c r="L402" t="s">
        <v>89</v>
      </c>
      <c r="N402" s="4"/>
      <c r="AB402" t="str">
        <f>IFERROR(VLOOKUP($A402,fund_metadata!$A:$P,2,FALSE),"")</f>
        <v>Stepstone Private Markets</v>
      </c>
      <c r="AC402" t="str">
        <f>IFERROR(VLOOKUP($A402,fund_metadata!$A:$P,16,FALSE),"")</f>
        <v>secondaries</v>
      </c>
    </row>
    <row r="403" spans="1:29" x14ac:dyDescent="0.25">
      <c r="A403">
        <v>6</v>
      </c>
      <c r="B403" s="3">
        <v>45322</v>
      </c>
      <c r="E403" s="4">
        <v>1920000000</v>
      </c>
      <c r="F403" t="s">
        <v>89</v>
      </c>
      <c r="G403" s="5">
        <v>50.16</v>
      </c>
      <c r="H403" t="s">
        <v>89</v>
      </c>
      <c r="I403" s="5"/>
      <c r="K403" s="2">
        <v>1.5599999999999999E-2</v>
      </c>
      <c r="L403" t="s">
        <v>89</v>
      </c>
      <c r="N403" s="4"/>
      <c r="AB403" t="str">
        <f>IFERROR(VLOOKUP($A403,fund_metadata!$A:$P,2,FALSE),"")</f>
        <v>Stepstone Private Markets</v>
      </c>
      <c r="AC403" t="str">
        <f>IFERROR(VLOOKUP($A403,fund_metadata!$A:$P,16,FALSE),"")</f>
        <v>secondaries</v>
      </c>
    </row>
    <row r="404" spans="1:29" x14ac:dyDescent="0.25">
      <c r="A404">
        <v>6</v>
      </c>
      <c r="B404" s="3">
        <v>45291</v>
      </c>
      <c r="E404" s="4">
        <v>1790000000</v>
      </c>
      <c r="F404" t="s">
        <v>89</v>
      </c>
      <c r="G404" s="5">
        <v>49.39</v>
      </c>
      <c r="H404" t="s">
        <v>89</v>
      </c>
      <c r="I404" s="5"/>
      <c r="K404" s="2">
        <v>1.8100000000000002E-2</v>
      </c>
      <c r="L404" t="s">
        <v>89</v>
      </c>
      <c r="M404">
        <v>190</v>
      </c>
      <c r="N404" s="4"/>
      <c r="AB404" t="str">
        <f>IFERROR(VLOOKUP($A404,fund_metadata!$A:$P,2,FALSE),"")</f>
        <v>Stepstone Private Markets</v>
      </c>
      <c r="AC404" t="str">
        <f>IFERROR(VLOOKUP($A404,fund_metadata!$A:$P,16,FALSE),"")</f>
        <v>secondaries</v>
      </c>
    </row>
    <row r="405" spans="1:29" x14ac:dyDescent="0.25">
      <c r="A405">
        <v>6</v>
      </c>
      <c r="B405" s="3">
        <v>45260</v>
      </c>
      <c r="E405" s="4">
        <v>1690000000</v>
      </c>
      <c r="F405" t="s">
        <v>89</v>
      </c>
      <c r="G405" s="5">
        <v>48.51</v>
      </c>
      <c r="H405" t="s">
        <v>89</v>
      </c>
      <c r="I405" s="5"/>
      <c r="K405" s="2">
        <v>3.1399999999999997E-2</v>
      </c>
      <c r="L405" t="s">
        <v>89</v>
      </c>
      <c r="N405" s="4"/>
      <c r="AB405" t="str">
        <f>IFERROR(VLOOKUP($A405,fund_metadata!$A:$P,2,FALSE),"")</f>
        <v>Stepstone Private Markets</v>
      </c>
      <c r="AC405" t="str">
        <f>IFERROR(VLOOKUP($A405,fund_metadata!$A:$P,16,FALSE),"")</f>
        <v>secondaries</v>
      </c>
    </row>
    <row r="406" spans="1:29" x14ac:dyDescent="0.25">
      <c r="A406">
        <v>6</v>
      </c>
      <c r="B406" s="3">
        <v>45230</v>
      </c>
      <c r="E406" s="4">
        <v>1570000000</v>
      </c>
      <c r="F406" t="s">
        <v>89</v>
      </c>
      <c r="G406" s="5">
        <v>47.19</v>
      </c>
      <c r="H406" t="s">
        <v>89</v>
      </c>
      <c r="I406" s="5"/>
      <c r="K406" s="2">
        <v>-2.0000000000000001E-4</v>
      </c>
      <c r="L406" t="s">
        <v>89</v>
      </c>
      <c r="N406" s="4"/>
      <c r="AB406" t="str">
        <f>IFERROR(VLOOKUP($A406,fund_metadata!$A:$P,2,FALSE),"")</f>
        <v>Stepstone Private Markets</v>
      </c>
      <c r="AC406" t="str">
        <f>IFERROR(VLOOKUP($A406,fund_metadata!$A:$P,16,FALSE),"")</f>
        <v>secondaries</v>
      </c>
    </row>
    <row r="407" spans="1:29" x14ac:dyDescent="0.25">
      <c r="A407">
        <v>6</v>
      </c>
      <c r="B407" s="3">
        <v>45199</v>
      </c>
      <c r="E407" s="4">
        <v>1540000000</v>
      </c>
      <c r="F407" t="s">
        <v>89</v>
      </c>
      <c r="G407" s="5">
        <v>47.2</v>
      </c>
      <c r="H407" t="s">
        <v>89</v>
      </c>
      <c r="I407" s="5"/>
      <c r="K407" s="2">
        <v>-5.3E-3</v>
      </c>
      <c r="L407" t="s">
        <v>89</v>
      </c>
      <c r="M407">
        <v>178</v>
      </c>
      <c r="N407" s="4">
        <v>1560000000</v>
      </c>
      <c r="O407" t="s">
        <v>89</v>
      </c>
      <c r="AB407" t="str">
        <f>IFERROR(VLOOKUP($A407,fund_metadata!$A:$P,2,FALSE),"")</f>
        <v>Stepstone Private Markets</v>
      </c>
      <c r="AC407" t="str">
        <f>IFERROR(VLOOKUP($A407,fund_metadata!$A:$P,16,FALSE),"")</f>
        <v>secondaries</v>
      </c>
    </row>
    <row r="408" spans="1:29" x14ac:dyDescent="0.25">
      <c r="A408">
        <v>6</v>
      </c>
      <c r="B408" s="3">
        <v>45169</v>
      </c>
      <c r="E408" s="4">
        <v>1450000000</v>
      </c>
      <c r="F408" t="s">
        <v>89</v>
      </c>
      <c r="G408" s="5">
        <v>47.45</v>
      </c>
      <c r="H408" t="s">
        <v>89</v>
      </c>
      <c r="I408" s="5"/>
      <c r="K408" s="2">
        <v>-1.7399999999999999E-2</v>
      </c>
      <c r="L408" t="s">
        <v>89</v>
      </c>
      <c r="N408" s="4"/>
      <c r="AB408" t="str">
        <f>IFERROR(VLOOKUP($A408,fund_metadata!$A:$P,2,FALSE),"")</f>
        <v>Stepstone Private Markets</v>
      </c>
      <c r="AC408" t="str">
        <f>IFERROR(VLOOKUP($A408,fund_metadata!$A:$P,16,FALSE),"")</f>
        <v>secondaries</v>
      </c>
    </row>
    <row r="409" spans="1:29" x14ac:dyDescent="0.25">
      <c r="A409">
        <v>6</v>
      </c>
      <c r="B409" s="3">
        <v>45138</v>
      </c>
      <c r="E409" s="4">
        <v>1360000000</v>
      </c>
      <c r="F409" t="s">
        <v>89</v>
      </c>
      <c r="G409" s="5">
        <v>48.29</v>
      </c>
      <c r="H409" t="s">
        <v>89</v>
      </c>
      <c r="I409" s="5"/>
      <c r="K409" s="2">
        <v>1.7899999999999999E-2</v>
      </c>
      <c r="L409" t="s">
        <v>89</v>
      </c>
      <c r="N409" s="4"/>
      <c r="AB409" t="str">
        <f>IFERROR(VLOOKUP($A409,fund_metadata!$A:$P,2,FALSE),"")</f>
        <v>Stepstone Private Markets</v>
      </c>
      <c r="AC409" t="str">
        <f>IFERROR(VLOOKUP($A409,fund_metadata!$A:$P,16,FALSE),"")</f>
        <v>secondaries</v>
      </c>
    </row>
    <row r="410" spans="1:29" x14ac:dyDescent="0.25">
      <c r="A410">
        <v>6</v>
      </c>
      <c r="B410" s="3">
        <v>45107</v>
      </c>
      <c r="E410" s="4"/>
      <c r="G410" s="5">
        <v>47.44</v>
      </c>
      <c r="H410" t="s">
        <v>89</v>
      </c>
      <c r="I410" s="5"/>
      <c r="K410" s="2">
        <v>2.64E-2</v>
      </c>
      <c r="L410" t="s">
        <v>89</v>
      </c>
      <c r="M410">
        <v>166</v>
      </c>
      <c r="N410" s="4"/>
      <c r="AB410" t="str">
        <f>IFERROR(VLOOKUP($A410,fund_metadata!$A:$P,2,FALSE),"")</f>
        <v>Stepstone Private Markets</v>
      </c>
      <c r="AC410" t="str">
        <f>IFERROR(VLOOKUP($A410,fund_metadata!$A:$P,16,FALSE),"")</f>
        <v>secondaries</v>
      </c>
    </row>
    <row r="411" spans="1:29" x14ac:dyDescent="0.25">
      <c r="A411">
        <v>6</v>
      </c>
      <c r="B411" s="3">
        <v>45077</v>
      </c>
      <c r="E411" s="4"/>
      <c r="G411" s="5">
        <v>46.22</v>
      </c>
      <c r="H411" t="s">
        <v>89</v>
      </c>
      <c r="I411" s="5"/>
      <c r="K411" s="2">
        <v>-5.1999999999999998E-3</v>
      </c>
      <c r="L411" t="s">
        <v>89</v>
      </c>
      <c r="N411" s="4"/>
      <c r="AB411" t="str">
        <f>IFERROR(VLOOKUP($A411,fund_metadata!$A:$P,2,FALSE),"")</f>
        <v>Stepstone Private Markets</v>
      </c>
      <c r="AC411" t="str">
        <f>IFERROR(VLOOKUP($A411,fund_metadata!$A:$P,16,FALSE),"")</f>
        <v>secondaries</v>
      </c>
    </row>
    <row r="412" spans="1:29" x14ac:dyDescent="0.25">
      <c r="A412">
        <v>6</v>
      </c>
      <c r="B412" s="3">
        <v>45046</v>
      </c>
      <c r="E412" s="4"/>
      <c r="G412" s="5">
        <v>46.46</v>
      </c>
      <c r="H412" t="s">
        <v>89</v>
      </c>
      <c r="I412" s="5"/>
      <c r="K412" s="2">
        <v>6.7000000000000002E-3</v>
      </c>
      <c r="L412" t="s">
        <v>89</v>
      </c>
      <c r="N412" s="4"/>
      <c r="AB412" t="str">
        <f>IFERROR(VLOOKUP($A412,fund_metadata!$A:$P,2,FALSE),"")</f>
        <v>Stepstone Private Markets</v>
      </c>
      <c r="AC412" t="str">
        <f>IFERROR(VLOOKUP($A412,fund_metadata!$A:$P,16,FALSE),"")</f>
        <v>secondaries</v>
      </c>
    </row>
    <row r="413" spans="1:29" x14ac:dyDescent="0.25">
      <c r="A413">
        <v>6</v>
      </c>
      <c r="B413" s="3">
        <v>45016</v>
      </c>
      <c r="E413" s="4">
        <v>1050000000</v>
      </c>
      <c r="F413" t="s">
        <v>89</v>
      </c>
      <c r="G413" s="5">
        <v>46.15</v>
      </c>
      <c r="H413" t="s">
        <v>89</v>
      </c>
      <c r="I413" s="5"/>
      <c r="K413" s="2">
        <v>8.9999999999999993E-3</v>
      </c>
      <c r="L413" t="s">
        <v>89</v>
      </c>
      <c r="M413">
        <v>158</v>
      </c>
      <c r="N413" s="4">
        <v>1150000000</v>
      </c>
      <c r="O413" t="s">
        <v>89</v>
      </c>
      <c r="AB413" t="str">
        <f>IFERROR(VLOOKUP($A413,fund_metadata!$A:$P,2,FALSE),"")</f>
        <v>Stepstone Private Markets</v>
      </c>
      <c r="AC413" t="str">
        <f>IFERROR(VLOOKUP($A413,fund_metadata!$A:$P,16,FALSE),"")</f>
        <v>secondaries</v>
      </c>
    </row>
    <row r="414" spans="1:29" x14ac:dyDescent="0.25">
      <c r="A414">
        <v>6</v>
      </c>
      <c r="B414" s="3">
        <v>44985</v>
      </c>
      <c r="E414" s="4"/>
      <c r="G414" s="5">
        <v>45.74</v>
      </c>
      <c r="H414" t="s">
        <v>89</v>
      </c>
      <c r="I414" s="5"/>
      <c r="K414" s="2">
        <v>-5.1999999999999998E-3</v>
      </c>
      <c r="L414" t="s">
        <v>89</v>
      </c>
      <c r="N414" s="4"/>
      <c r="AB414" t="str">
        <f>IFERROR(VLOOKUP($A414,fund_metadata!$A:$P,2,FALSE),"")</f>
        <v>Stepstone Private Markets</v>
      </c>
      <c r="AC414" t="str">
        <f>IFERROR(VLOOKUP($A414,fund_metadata!$A:$P,16,FALSE),"")</f>
        <v>secondaries</v>
      </c>
    </row>
    <row r="415" spans="1:29" x14ac:dyDescent="0.25">
      <c r="A415">
        <v>6</v>
      </c>
      <c r="B415" s="3">
        <v>44957</v>
      </c>
      <c r="E415" s="4"/>
      <c r="G415" s="5">
        <v>45.98</v>
      </c>
      <c r="H415" t="s">
        <v>89</v>
      </c>
      <c r="I415" s="5"/>
      <c r="K415" s="2">
        <v>5.0999999999999997E-2</v>
      </c>
      <c r="L415" t="s">
        <v>89</v>
      </c>
      <c r="N415" s="4"/>
      <c r="AB415" t="str">
        <f>IFERROR(VLOOKUP($A415,fund_metadata!$A:$P,2,FALSE),"")</f>
        <v>Stepstone Private Markets</v>
      </c>
      <c r="AC415" t="str">
        <f>IFERROR(VLOOKUP($A415,fund_metadata!$A:$P,16,FALSE),"")</f>
        <v>secondaries</v>
      </c>
    </row>
    <row r="416" spans="1:29" x14ac:dyDescent="0.25">
      <c r="A416">
        <v>6</v>
      </c>
      <c r="B416" s="3">
        <v>44926</v>
      </c>
      <c r="E416" s="4"/>
      <c r="G416" s="5">
        <v>43.75</v>
      </c>
      <c r="H416" t="s">
        <v>89</v>
      </c>
      <c r="I416" s="5"/>
      <c r="K416" s="2">
        <v>4.8999999999999998E-3</v>
      </c>
      <c r="L416" t="s">
        <v>89</v>
      </c>
      <c r="M416">
        <v>150</v>
      </c>
      <c r="N416" s="4"/>
      <c r="AB416" t="str">
        <f>IFERROR(VLOOKUP($A416,fund_metadata!$A:$P,2,FALSE),"")</f>
        <v>Stepstone Private Markets</v>
      </c>
      <c r="AC416" t="str">
        <f>IFERROR(VLOOKUP($A416,fund_metadata!$A:$P,16,FALSE),"")</f>
        <v>secondaries</v>
      </c>
    </row>
    <row r="417" spans="1:29" x14ac:dyDescent="0.25">
      <c r="A417">
        <v>6</v>
      </c>
      <c r="B417" s="3">
        <v>44895</v>
      </c>
      <c r="E417" s="4"/>
      <c r="G417" s="5">
        <v>44.16</v>
      </c>
      <c r="H417" t="s">
        <v>89</v>
      </c>
      <c r="I417" s="5"/>
      <c r="K417" s="2">
        <v>1.52E-2</v>
      </c>
      <c r="L417" t="s">
        <v>89</v>
      </c>
      <c r="N417" s="4"/>
      <c r="AB417" t="str">
        <f>IFERROR(VLOOKUP($A417,fund_metadata!$A:$P,2,FALSE),"")</f>
        <v>Stepstone Private Markets</v>
      </c>
      <c r="AC417" t="str">
        <f>IFERROR(VLOOKUP($A417,fund_metadata!$A:$P,16,FALSE),"")</f>
        <v>secondaries</v>
      </c>
    </row>
    <row r="418" spans="1:29" x14ac:dyDescent="0.25">
      <c r="A418">
        <v>6</v>
      </c>
      <c r="B418" s="3">
        <v>44865</v>
      </c>
      <c r="E418" s="4"/>
      <c r="G418" s="5">
        <v>43.5</v>
      </c>
      <c r="H418" t="s">
        <v>89</v>
      </c>
      <c r="I418" s="5">
        <v>0.4</v>
      </c>
      <c r="J418" t="s">
        <v>89</v>
      </c>
      <c r="K418" s="2">
        <v>5.4999999999999997E-3</v>
      </c>
      <c r="L418" t="s">
        <v>89</v>
      </c>
      <c r="N418" s="4"/>
      <c r="AB418" t="str">
        <f>IFERROR(VLOOKUP($A418,fund_metadata!$A:$P,2,FALSE),"")</f>
        <v>Stepstone Private Markets</v>
      </c>
      <c r="AC418" t="str">
        <f>IFERROR(VLOOKUP($A418,fund_metadata!$A:$P,16,FALSE),"")</f>
        <v>secondaries</v>
      </c>
    </row>
    <row r="419" spans="1:29" x14ac:dyDescent="0.25">
      <c r="A419">
        <v>6</v>
      </c>
      <c r="B419" s="3">
        <v>44834</v>
      </c>
      <c r="E419" s="4"/>
      <c r="G419" s="5">
        <v>43.26</v>
      </c>
      <c r="H419" t="s">
        <v>89</v>
      </c>
      <c r="I419" s="5"/>
      <c r="K419" s="2">
        <v>-1.4E-3</v>
      </c>
      <c r="L419" t="s">
        <v>89</v>
      </c>
      <c r="M419">
        <v>140</v>
      </c>
      <c r="N419" s="4">
        <v>869720000</v>
      </c>
      <c r="O419" t="s">
        <v>89</v>
      </c>
      <c r="P419">
        <v>16729144</v>
      </c>
      <c r="Q419" t="s">
        <v>120</v>
      </c>
      <c r="AB419" t="str">
        <f>IFERROR(VLOOKUP($A419,fund_metadata!$A:$P,2,FALSE),"")</f>
        <v>Stepstone Private Markets</v>
      </c>
      <c r="AC419" t="str">
        <f>IFERROR(VLOOKUP($A419,fund_metadata!$A:$P,16,FALSE),"")</f>
        <v>secondaries</v>
      </c>
    </row>
    <row r="420" spans="1:29" x14ac:dyDescent="0.25">
      <c r="A420">
        <v>6</v>
      </c>
      <c r="B420" s="3">
        <v>44804</v>
      </c>
      <c r="E420" s="4"/>
      <c r="G420" s="5">
        <v>43.32</v>
      </c>
      <c r="H420" t="s">
        <v>89</v>
      </c>
      <c r="I420" s="5"/>
      <c r="K420" s="2">
        <v>-8.8999999999999999E-3</v>
      </c>
      <c r="L420" t="s">
        <v>89</v>
      </c>
      <c r="N420" s="4"/>
      <c r="AB420" t="str">
        <f>IFERROR(VLOOKUP($A420,fund_metadata!$A:$P,2,FALSE),"")</f>
        <v>Stepstone Private Markets</v>
      </c>
      <c r="AC420" t="str">
        <f>IFERROR(VLOOKUP($A420,fund_metadata!$A:$P,16,FALSE),"")</f>
        <v>secondaries</v>
      </c>
    </row>
    <row r="421" spans="1:29" x14ac:dyDescent="0.25">
      <c r="A421">
        <v>6</v>
      </c>
      <c r="B421" s="3">
        <v>44773</v>
      </c>
      <c r="E421" s="4"/>
      <c r="G421" s="5">
        <v>43.71</v>
      </c>
      <c r="H421" t="s">
        <v>89</v>
      </c>
      <c r="I421" s="5"/>
      <c r="K421" s="2">
        <v>2.5000000000000001E-3</v>
      </c>
      <c r="L421" t="s">
        <v>89</v>
      </c>
      <c r="N421" s="4"/>
      <c r="AB421" t="str">
        <f>IFERROR(VLOOKUP($A421,fund_metadata!$A:$P,2,FALSE),"")</f>
        <v>Stepstone Private Markets</v>
      </c>
      <c r="AC421" t="str">
        <f>IFERROR(VLOOKUP($A421,fund_metadata!$A:$P,16,FALSE),"")</f>
        <v>secondaries</v>
      </c>
    </row>
    <row r="422" spans="1:29" x14ac:dyDescent="0.25">
      <c r="A422">
        <v>6</v>
      </c>
      <c r="B422" s="3">
        <v>44742</v>
      </c>
      <c r="E422" s="4"/>
      <c r="G422" s="5">
        <v>43.6</v>
      </c>
      <c r="H422" t="s">
        <v>89</v>
      </c>
      <c r="I422" s="5"/>
      <c r="K422" s="2">
        <v>-1.1000000000000001E-3</v>
      </c>
      <c r="L422" t="s">
        <v>89</v>
      </c>
      <c r="M422">
        <v>135</v>
      </c>
      <c r="N422" s="4"/>
      <c r="AB422" t="str">
        <f>IFERROR(VLOOKUP($A422,fund_metadata!$A:$P,2,FALSE),"")</f>
        <v>Stepstone Private Markets</v>
      </c>
      <c r="AC422" t="str">
        <f>IFERROR(VLOOKUP($A422,fund_metadata!$A:$P,16,FALSE),"")</f>
        <v>secondaries</v>
      </c>
    </row>
    <row r="423" spans="1:29" x14ac:dyDescent="0.25">
      <c r="A423">
        <v>6</v>
      </c>
      <c r="B423" s="3">
        <v>44712</v>
      </c>
      <c r="E423" s="4"/>
      <c r="G423" s="5">
        <v>43.97</v>
      </c>
      <c r="H423" t="s">
        <v>89</v>
      </c>
      <c r="I423" s="5"/>
      <c r="K423" s="2">
        <v>7.3000000000000001E-3</v>
      </c>
      <c r="L423" t="s">
        <v>89</v>
      </c>
      <c r="N423" s="4"/>
      <c r="AB423" t="str">
        <f>IFERROR(VLOOKUP($A423,fund_metadata!$A:$P,2,FALSE),"")</f>
        <v>Stepstone Private Markets</v>
      </c>
      <c r="AC423" t="str">
        <f>IFERROR(VLOOKUP($A423,fund_metadata!$A:$P,16,FALSE),"")</f>
        <v>secondaries</v>
      </c>
    </row>
    <row r="424" spans="1:29" x14ac:dyDescent="0.25">
      <c r="A424">
        <v>6</v>
      </c>
      <c r="B424" s="3">
        <v>44681</v>
      </c>
      <c r="E424" s="4"/>
      <c r="G424" s="5">
        <v>43.65</v>
      </c>
      <c r="H424" t="s">
        <v>89</v>
      </c>
      <c r="I424" s="5"/>
      <c r="K424" s="2">
        <v>1.35E-2</v>
      </c>
      <c r="L424" t="s">
        <v>89</v>
      </c>
      <c r="N424" s="4"/>
      <c r="AB424" t="str">
        <f>IFERROR(VLOOKUP($A424,fund_metadata!$A:$P,2,FALSE),"")</f>
        <v>Stepstone Private Markets</v>
      </c>
      <c r="AC424" t="str">
        <f>IFERROR(VLOOKUP($A424,fund_metadata!$A:$P,16,FALSE),"")</f>
        <v>secondaries</v>
      </c>
    </row>
    <row r="425" spans="1:29" x14ac:dyDescent="0.25">
      <c r="A425">
        <v>6</v>
      </c>
      <c r="B425" s="3">
        <v>44651</v>
      </c>
      <c r="E425" s="4"/>
      <c r="G425" s="5">
        <v>43.07</v>
      </c>
      <c r="H425" t="s">
        <v>89</v>
      </c>
      <c r="I425" s="5"/>
      <c r="K425" s="2">
        <v>3.5900000000000001E-2</v>
      </c>
      <c r="L425" t="s">
        <v>89</v>
      </c>
      <c r="M425">
        <v>107</v>
      </c>
      <c r="N425" s="4">
        <v>496220000</v>
      </c>
      <c r="O425" t="s">
        <v>89</v>
      </c>
      <c r="P425">
        <v>10337778</v>
      </c>
      <c r="Q425" t="s">
        <v>121</v>
      </c>
      <c r="AB425" t="str">
        <f>IFERROR(VLOOKUP($A425,fund_metadata!$A:$P,2,FALSE),"")</f>
        <v>Stepstone Private Markets</v>
      </c>
      <c r="AC425" t="str">
        <f>IFERROR(VLOOKUP($A425,fund_metadata!$A:$P,16,FALSE),"")</f>
        <v>secondaries</v>
      </c>
    </row>
    <row r="426" spans="1:29" x14ac:dyDescent="0.25">
      <c r="A426">
        <v>6</v>
      </c>
      <c r="B426" s="3">
        <v>44620</v>
      </c>
      <c r="E426" s="4"/>
      <c r="G426" s="5">
        <v>41.67</v>
      </c>
      <c r="H426" t="s">
        <v>89</v>
      </c>
      <c r="I426" s="5"/>
      <c r="K426" s="2">
        <v>8.2000000000000007E-3</v>
      </c>
      <c r="L426" t="s">
        <v>89</v>
      </c>
      <c r="N426" s="4"/>
      <c r="AB426" t="str">
        <f>IFERROR(VLOOKUP($A426,fund_metadata!$A:$P,2,FALSE),"")</f>
        <v>Stepstone Private Markets</v>
      </c>
      <c r="AC426" t="str">
        <f>IFERROR(VLOOKUP($A426,fund_metadata!$A:$P,16,FALSE),"")</f>
        <v>secondaries</v>
      </c>
    </row>
    <row r="427" spans="1:29" x14ac:dyDescent="0.25">
      <c r="A427">
        <v>6</v>
      </c>
      <c r="B427" s="3">
        <v>44592</v>
      </c>
      <c r="E427" s="4"/>
      <c r="G427" s="5">
        <v>41.33</v>
      </c>
      <c r="H427" t="s">
        <v>89</v>
      </c>
      <c r="I427" s="5">
        <v>0.09</v>
      </c>
      <c r="J427" t="s">
        <v>89</v>
      </c>
      <c r="K427" s="2">
        <v>3.8999999999999998E-3</v>
      </c>
      <c r="L427" t="s">
        <v>89</v>
      </c>
      <c r="N427" s="4"/>
      <c r="AB427" t="str">
        <f>IFERROR(VLOOKUP($A427,fund_metadata!$A:$P,2,FALSE),"")</f>
        <v>Stepstone Private Markets</v>
      </c>
      <c r="AC427" t="str">
        <f>IFERROR(VLOOKUP($A427,fund_metadata!$A:$P,16,FALSE),"")</f>
        <v>secondaries</v>
      </c>
    </row>
    <row r="428" spans="1:29" x14ac:dyDescent="0.25">
      <c r="A428">
        <v>6</v>
      </c>
      <c r="B428" s="3">
        <v>44561</v>
      </c>
      <c r="E428" s="4"/>
      <c r="G428" s="5">
        <v>41.17</v>
      </c>
      <c r="H428" t="s">
        <v>89</v>
      </c>
      <c r="I428" s="5"/>
      <c r="K428" s="2">
        <v>2.3599999999999999E-2</v>
      </c>
      <c r="L428" t="s">
        <v>89</v>
      </c>
      <c r="M428">
        <v>98</v>
      </c>
      <c r="N428" s="4"/>
      <c r="AB428" t="str">
        <f>IFERROR(VLOOKUP($A428,fund_metadata!$A:$P,2,FALSE),"")</f>
        <v>Stepstone Private Markets</v>
      </c>
      <c r="AC428" t="str">
        <f>IFERROR(VLOOKUP($A428,fund_metadata!$A:$P,16,FALSE),"")</f>
        <v>secondaries</v>
      </c>
    </row>
    <row r="429" spans="1:29" x14ac:dyDescent="0.25">
      <c r="A429">
        <v>6</v>
      </c>
      <c r="B429" s="3">
        <v>44530</v>
      </c>
      <c r="E429" s="4"/>
      <c r="G429" s="5">
        <v>40.6</v>
      </c>
      <c r="H429" t="s">
        <v>89</v>
      </c>
      <c r="I429" s="5"/>
      <c r="K429" s="2">
        <v>1.9099999999999999E-2</v>
      </c>
      <c r="L429" t="s">
        <v>89</v>
      </c>
      <c r="N429" s="4"/>
      <c r="AB429" t="str">
        <f>IFERROR(VLOOKUP($A429,fund_metadata!$A:$P,2,FALSE),"")</f>
        <v>Stepstone Private Markets</v>
      </c>
      <c r="AC429" t="str">
        <f>IFERROR(VLOOKUP($A429,fund_metadata!$A:$P,16,FALSE),"")</f>
        <v>secondaries</v>
      </c>
    </row>
    <row r="430" spans="1:29" x14ac:dyDescent="0.25">
      <c r="A430">
        <v>6</v>
      </c>
      <c r="B430" s="3">
        <v>44500</v>
      </c>
      <c r="E430" s="4"/>
      <c r="G430" s="5">
        <v>39.840000000000003</v>
      </c>
      <c r="H430" t="s">
        <v>89</v>
      </c>
      <c r="I430" s="5">
        <v>0.14000000000000001</v>
      </c>
      <c r="J430" t="s">
        <v>89</v>
      </c>
      <c r="K430" s="2">
        <v>-9.4000000000000004E-3</v>
      </c>
      <c r="L430" t="s">
        <v>89</v>
      </c>
      <c r="N430" s="4"/>
      <c r="AB430" t="str">
        <f>IFERROR(VLOOKUP($A430,fund_metadata!$A:$P,2,FALSE),"")</f>
        <v>Stepstone Private Markets</v>
      </c>
      <c r="AC430" t="str">
        <f>IFERROR(VLOOKUP($A430,fund_metadata!$A:$P,16,FALSE),"")</f>
        <v>secondaries</v>
      </c>
    </row>
    <row r="431" spans="1:29" x14ac:dyDescent="0.25">
      <c r="A431">
        <v>6</v>
      </c>
      <c r="B431" s="3">
        <v>44469</v>
      </c>
      <c r="E431" s="4"/>
      <c r="G431" s="5">
        <v>40.22</v>
      </c>
      <c r="H431" t="s">
        <v>89</v>
      </c>
      <c r="I431" s="5">
        <v>0</v>
      </c>
      <c r="J431" t="s">
        <v>108</v>
      </c>
      <c r="K431" s="2">
        <v>-1.1999999999999999E-3</v>
      </c>
      <c r="L431" t="s">
        <v>89</v>
      </c>
      <c r="M431">
        <v>69</v>
      </c>
      <c r="N431" s="4">
        <v>222650000</v>
      </c>
      <c r="O431" t="s">
        <v>89</v>
      </c>
      <c r="P431">
        <v>4725736</v>
      </c>
      <c r="Q431" t="s">
        <v>120</v>
      </c>
      <c r="AB431" t="str">
        <f>IFERROR(VLOOKUP($A431,fund_metadata!$A:$P,2,FALSE),"")</f>
        <v>Stepstone Private Markets</v>
      </c>
      <c r="AC431" t="str">
        <f>IFERROR(VLOOKUP($A431,fund_metadata!$A:$P,16,FALSE),"")</f>
        <v>secondaries</v>
      </c>
    </row>
    <row r="432" spans="1:29" x14ac:dyDescent="0.25">
      <c r="A432">
        <v>6</v>
      </c>
      <c r="B432" s="3">
        <v>44439</v>
      </c>
      <c r="E432" s="4"/>
      <c r="G432" s="5">
        <v>40.270000000000003</v>
      </c>
      <c r="H432" t="s">
        <v>89</v>
      </c>
      <c r="I432" s="5">
        <v>0</v>
      </c>
      <c r="J432" t="s">
        <v>108</v>
      </c>
      <c r="K432" s="2">
        <v>5.9700000000000003E-2</v>
      </c>
      <c r="L432" t="s">
        <v>89</v>
      </c>
      <c r="N432" s="4"/>
      <c r="AB432" t="str">
        <f>IFERROR(VLOOKUP($A432,fund_metadata!$A:$P,2,FALSE),"")</f>
        <v>Stepstone Private Markets</v>
      </c>
      <c r="AC432" t="str">
        <f>IFERROR(VLOOKUP($A432,fund_metadata!$A:$P,16,FALSE),"")</f>
        <v>secondaries</v>
      </c>
    </row>
    <row r="433" spans="1:29" x14ac:dyDescent="0.25">
      <c r="A433">
        <v>6</v>
      </c>
      <c r="B433" s="3">
        <v>44408</v>
      </c>
      <c r="E433" s="4"/>
      <c r="G433" s="5">
        <v>38</v>
      </c>
      <c r="H433" t="s">
        <v>89</v>
      </c>
      <c r="I433" s="5">
        <v>0</v>
      </c>
      <c r="J433" t="s">
        <v>108</v>
      </c>
      <c r="K433" s="2">
        <v>5.0900000000000001E-2</v>
      </c>
      <c r="L433" t="s">
        <v>89</v>
      </c>
      <c r="N433" s="4"/>
      <c r="AB433" t="str">
        <f>IFERROR(VLOOKUP($A433,fund_metadata!$A:$P,2,FALSE),"")</f>
        <v>Stepstone Private Markets</v>
      </c>
      <c r="AC433" t="str">
        <f>IFERROR(VLOOKUP($A433,fund_metadata!$A:$P,16,FALSE),"")</f>
        <v>secondaries</v>
      </c>
    </row>
    <row r="434" spans="1:29" x14ac:dyDescent="0.25">
      <c r="A434">
        <v>6</v>
      </c>
      <c r="B434" s="3">
        <v>44377</v>
      </c>
      <c r="E434" s="4"/>
      <c r="G434" s="5">
        <v>36.159999999999997</v>
      </c>
      <c r="H434" t="s">
        <v>89</v>
      </c>
      <c r="I434" s="5">
        <v>0</v>
      </c>
      <c r="J434" t="s">
        <v>108</v>
      </c>
      <c r="K434" s="2">
        <v>1.09E-2</v>
      </c>
      <c r="L434" t="s">
        <v>89</v>
      </c>
      <c r="M434">
        <v>57</v>
      </c>
      <c r="N434" s="4"/>
      <c r="AB434" t="str">
        <f>IFERROR(VLOOKUP($A434,fund_metadata!$A:$P,2,FALSE),"")</f>
        <v>Stepstone Private Markets</v>
      </c>
      <c r="AC434" t="str">
        <f>IFERROR(VLOOKUP($A434,fund_metadata!$A:$P,16,FALSE),"")</f>
        <v>secondaries</v>
      </c>
    </row>
    <row r="435" spans="1:29" x14ac:dyDescent="0.25">
      <c r="A435">
        <v>6</v>
      </c>
      <c r="B435" s="3">
        <v>44347</v>
      </c>
      <c r="E435" s="4"/>
      <c r="G435" s="5">
        <v>35.770000000000003</v>
      </c>
      <c r="H435" t="s">
        <v>89</v>
      </c>
      <c r="I435" s="5">
        <v>0</v>
      </c>
      <c r="J435" t="s">
        <v>108</v>
      </c>
      <c r="K435" s="2">
        <v>5.2400000000000002E-2</v>
      </c>
      <c r="L435" t="s">
        <v>89</v>
      </c>
      <c r="N435" s="4"/>
      <c r="AB435" t="str">
        <f>IFERROR(VLOOKUP($A435,fund_metadata!$A:$P,2,FALSE),"")</f>
        <v>Stepstone Private Markets</v>
      </c>
      <c r="AC435" t="str">
        <f>IFERROR(VLOOKUP($A435,fund_metadata!$A:$P,16,FALSE),"")</f>
        <v>secondaries</v>
      </c>
    </row>
    <row r="436" spans="1:29" x14ac:dyDescent="0.25">
      <c r="A436">
        <v>6</v>
      </c>
      <c r="B436" s="3">
        <v>44316</v>
      </c>
      <c r="E436" s="4"/>
      <c r="G436" s="5">
        <v>33.99</v>
      </c>
      <c r="H436" t="s">
        <v>89</v>
      </c>
      <c r="I436" s="5">
        <v>0</v>
      </c>
      <c r="J436" t="s">
        <v>108</v>
      </c>
      <c r="K436" s="2">
        <v>3.85E-2</v>
      </c>
      <c r="L436" t="s">
        <v>89</v>
      </c>
      <c r="N436" s="4"/>
      <c r="AB436" t="str">
        <f>IFERROR(VLOOKUP($A436,fund_metadata!$A:$P,2,FALSE),"")</f>
        <v>Stepstone Private Markets</v>
      </c>
      <c r="AC436" t="str">
        <f>IFERROR(VLOOKUP($A436,fund_metadata!$A:$P,16,FALSE),"")</f>
        <v>secondaries</v>
      </c>
    </row>
    <row r="437" spans="1:29" x14ac:dyDescent="0.25">
      <c r="A437">
        <v>6</v>
      </c>
      <c r="B437" s="3">
        <v>44286</v>
      </c>
      <c r="E437" s="4"/>
      <c r="G437" s="5">
        <v>32.729999999999997</v>
      </c>
      <c r="H437" t="s">
        <v>89</v>
      </c>
      <c r="I437" s="5">
        <v>0</v>
      </c>
      <c r="J437" t="s">
        <v>108</v>
      </c>
      <c r="K437" s="2">
        <v>3.0200000000000001E-2</v>
      </c>
      <c r="L437" t="s">
        <v>89</v>
      </c>
      <c r="M437">
        <v>43</v>
      </c>
      <c r="N437" s="4">
        <v>115180000</v>
      </c>
      <c r="O437" t="s">
        <v>89</v>
      </c>
      <c r="P437">
        <v>2410487</v>
      </c>
      <c r="Q437" t="s">
        <v>121</v>
      </c>
      <c r="AB437" t="str">
        <f>IFERROR(VLOOKUP($A437,fund_metadata!$A:$P,2,FALSE),"")</f>
        <v>Stepstone Private Markets</v>
      </c>
      <c r="AC437" t="str">
        <f>IFERROR(VLOOKUP($A437,fund_metadata!$A:$P,16,FALSE),"")</f>
        <v>secondaries</v>
      </c>
    </row>
    <row r="438" spans="1:29" x14ac:dyDescent="0.25">
      <c r="A438">
        <v>6</v>
      </c>
      <c r="B438" s="3">
        <v>44255</v>
      </c>
      <c r="E438" s="4"/>
      <c r="G438" s="5">
        <v>31.77</v>
      </c>
      <c r="H438" t="s">
        <v>89</v>
      </c>
      <c r="I438" s="5">
        <v>0</v>
      </c>
      <c r="J438" t="s">
        <v>108</v>
      </c>
      <c r="K438" s="2">
        <v>1.5299999999999999E-2</v>
      </c>
      <c r="L438" t="s">
        <v>89</v>
      </c>
      <c r="N438" s="4"/>
      <c r="AB438" t="str">
        <f>IFERROR(VLOOKUP($A438,fund_metadata!$A:$P,2,FALSE),"")</f>
        <v>Stepstone Private Markets</v>
      </c>
      <c r="AC438" t="str">
        <f>IFERROR(VLOOKUP($A438,fund_metadata!$A:$P,16,FALSE),"")</f>
        <v>secondaries</v>
      </c>
    </row>
    <row r="439" spans="1:29" x14ac:dyDescent="0.25">
      <c r="A439">
        <v>6</v>
      </c>
      <c r="B439" s="3">
        <v>44227</v>
      </c>
      <c r="E439" s="4"/>
      <c r="G439" s="5">
        <v>31.29</v>
      </c>
      <c r="H439" t="s">
        <v>89</v>
      </c>
      <c r="I439" s="5">
        <v>0</v>
      </c>
      <c r="J439" t="s">
        <v>108</v>
      </c>
      <c r="K439" s="2">
        <v>1.9E-3</v>
      </c>
      <c r="L439" t="s">
        <v>89</v>
      </c>
      <c r="N439" s="4"/>
      <c r="AB439" t="str">
        <f>IFERROR(VLOOKUP($A439,fund_metadata!$A:$P,2,FALSE),"")</f>
        <v>Stepstone Private Markets</v>
      </c>
      <c r="AC439" t="str">
        <f>IFERROR(VLOOKUP($A439,fund_metadata!$A:$P,16,FALSE),"")</f>
        <v>secondaries</v>
      </c>
    </row>
    <row r="440" spans="1:29" x14ac:dyDescent="0.25">
      <c r="A440">
        <v>6</v>
      </c>
      <c r="B440" s="3">
        <v>44196</v>
      </c>
      <c r="E440" s="4"/>
      <c r="G440" s="5">
        <v>31.23</v>
      </c>
      <c r="H440" t="s">
        <v>89</v>
      </c>
      <c r="I440" s="5">
        <v>0</v>
      </c>
      <c r="J440" t="s">
        <v>108</v>
      </c>
      <c r="K440" s="2">
        <v>0.15409999999999999</v>
      </c>
      <c r="L440" t="s">
        <v>89</v>
      </c>
      <c r="M440">
        <v>22</v>
      </c>
      <c r="N440" s="4"/>
      <c r="AB440" t="str">
        <f>IFERROR(VLOOKUP($A440,fund_metadata!$A:$P,2,FALSE),"")</f>
        <v>Stepstone Private Markets</v>
      </c>
      <c r="AC440" t="str">
        <f>IFERROR(VLOOKUP($A440,fund_metadata!$A:$P,16,FALSE),"")</f>
        <v>secondaries</v>
      </c>
    </row>
    <row r="441" spans="1:29" x14ac:dyDescent="0.25">
      <c r="A441">
        <v>6</v>
      </c>
      <c r="B441" s="3">
        <v>44165</v>
      </c>
      <c r="E441" s="4"/>
      <c r="G441" s="5">
        <v>27.06</v>
      </c>
      <c r="H441" t="s">
        <v>89</v>
      </c>
      <c r="I441" s="5">
        <v>0</v>
      </c>
      <c r="J441" t="s">
        <v>108</v>
      </c>
      <c r="K441" s="2">
        <v>1.2699999999999999E-2</v>
      </c>
      <c r="L441" t="s">
        <v>89</v>
      </c>
      <c r="N441" s="4"/>
      <c r="AB441" t="str">
        <f>IFERROR(VLOOKUP($A441,fund_metadata!$A:$P,2,FALSE),"")</f>
        <v>Stepstone Private Markets</v>
      </c>
      <c r="AC441" t="str">
        <f>IFERROR(VLOOKUP($A441,fund_metadata!$A:$P,16,FALSE),"")</f>
        <v>secondaries</v>
      </c>
    </row>
    <row r="442" spans="1:29" x14ac:dyDescent="0.25">
      <c r="A442">
        <v>6</v>
      </c>
      <c r="B442" s="3">
        <v>44135</v>
      </c>
      <c r="E442" s="4"/>
      <c r="G442" s="5">
        <v>26.72</v>
      </c>
      <c r="H442" t="s">
        <v>89</v>
      </c>
      <c r="I442" s="5">
        <v>0</v>
      </c>
      <c r="J442" t="s">
        <v>108</v>
      </c>
      <c r="K442" s="2"/>
      <c r="N442" s="4"/>
      <c r="AB442" t="str">
        <f>IFERROR(VLOOKUP($A442,fund_metadata!$A:$P,2,FALSE),"")</f>
        <v>Stepstone Private Markets</v>
      </c>
      <c r="AC442" t="str">
        <f>IFERROR(VLOOKUP($A442,fund_metadata!$A:$P,16,FALSE),"")</f>
        <v>secondaries</v>
      </c>
    </row>
    <row r="443" spans="1:29" x14ac:dyDescent="0.25">
      <c r="A443">
        <v>4</v>
      </c>
      <c r="B443" s="3">
        <v>46112</v>
      </c>
      <c r="C443" s="4">
        <v>10396928.17</v>
      </c>
      <c r="D443" t="s">
        <v>105</v>
      </c>
      <c r="K443" s="2">
        <v>1.9400000000000001E-2</v>
      </c>
      <c r="L443" t="s">
        <v>122</v>
      </c>
      <c r="M443">
        <v>180</v>
      </c>
      <c r="R443" s="4">
        <v>1798496.4569999999</v>
      </c>
      <c r="S443" t="s">
        <v>105</v>
      </c>
      <c r="T443" s="4">
        <v>0</v>
      </c>
      <c r="U443" t="s">
        <v>105</v>
      </c>
      <c r="V443" s="4">
        <v>0</v>
      </c>
      <c r="W443" t="s">
        <v>105</v>
      </c>
      <c r="X443" s="4">
        <v>0</v>
      </c>
      <c r="Y443" t="s">
        <v>105</v>
      </c>
      <c r="AB443" t="str">
        <f>IFERROR(VLOOKUP($A443,fund_metadata!$A:$P,2,FALSE),"")</f>
        <v>Coller Secondaries</v>
      </c>
      <c r="AC443" t="str">
        <f>IFERROR(VLOOKUP($A443,fund_metadata!$A:$P,16,FALSE),"")</f>
        <v>secondaries</v>
      </c>
    </row>
    <row r="444" spans="1:29" x14ac:dyDescent="0.25">
      <c r="A444">
        <v>4</v>
      </c>
      <c r="B444" s="3">
        <v>46081</v>
      </c>
      <c r="C444" s="4">
        <v>10199273.41</v>
      </c>
      <c r="D444" t="s">
        <v>105</v>
      </c>
      <c r="K444" s="2">
        <v>2.2700000000000001E-2</v>
      </c>
      <c r="L444" t="s">
        <v>122</v>
      </c>
      <c r="R444" s="4">
        <v>1798496.4569999999</v>
      </c>
      <c r="S444" t="s">
        <v>105</v>
      </c>
      <c r="T444" s="4">
        <v>0</v>
      </c>
      <c r="U444" t="s">
        <v>105</v>
      </c>
      <c r="V444" s="4">
        <v>0</v>
      </c>
      <c r="W444" t="s">
        <v>105</v>
      </c>
      <c r="X444" s="4">
        <v>0</v>
      </c>
      <c r="Y444" t="s">
        <v>105</v>
      </c>
      <c r="AB444" t="str">
        <f>IFERROR(VLOOKUP($A444,fund_metadata!$A:$P,2,FALSE),"")</f>
        <v>Coller Secondaries</v>
      </c>
      <c r="AC444" t="str">
        <f>IFERROR(VLOOKUP($A444,fund_metadata!$A:$P,16,FALSE),"")</f>
        <v>secondaries</v>
      </c>
    </row>
    <row r="445" spans="1:29" x14ac:dyDescent="0.25">
      <c r="A445">
        <v>4</v>
      </c>
      <c r="B445" s="3">
        <v>46053</v>
      </c>
      <c r="C445" s="4">
        <v>9973022.5500000007</v>
      </c>
      <c r="D445" t="s">
        <v>105</v>
      </c>
      <c r="K445" s="2">
        <v>-2.7000000000000001E-3</v>
      </c>
      <c r="L445" t="s">
        <v>122</v>
      </c>
      <c r="R445" s="4">
        <v>1798496.4569999999</v>
      </c>
      <c r="S445" t="s">
        <v>105</v>
      </c>
      <c r="T445" s="4">
        <v>10000000</v>
      </c>
      <c r="U445" t="s">
        <v>105</v>
      </c>
      <c r="V445" s="4">
        <v>0</v>
      </c>
      <c r="W445" t="s">
        <v>105</v>
      </c>
      <c r="X445" s="4">
        <v>0</v>
      </c>
      <c r="Y445" t="s">
        <v>105</v>
      </c>
      <c r="AB445" t="str">
        <f>IFERROR(VLOOKUP($A445,fund_metadata!$A:$P,2,FALSE),"")</f>
        <v>Coller Secondaries</v>
      </c>
      <c r="AC445" t="str">
        <f>IFERROR(VLOOKUP($A445,fund_metadata!$A:$P,16,FALSE),"")</f>
        <v>secondaries</v>
      </c>
    </row>
    <row r="446" spans="1:29" x14ac:dyDescent="0.25">
      <c r="A446">
        <v>7</v>
      </c>
      <c r="B446" s="3">
        <v>46142</v>
      </c>
      <c r="C446" s="4">
        <v>5536507.3799999999</v>
      </c>
      <c r="D446" t="s">
        <v>104</v>
      </c>
      <c r="G446" s="5">
        <v>61.98</v>
      </c>
      <c r="H446" t="s">
        <v>108</v>
      </c>
      <c r="I446">
        <v>0</v>
      </c>
      <c r="J446" t="s">
        <v>108</v>
      </c>
      <c r="K446" s="2">
        <v>1.2911000000000001E-2</v>
      </c>
      <c r="L446" t="s">
        <v>108</v>
      </c>
      <c r="R446" s="4"/>
      <c r="T446" s="4"/>
      <c r="V446" s="4"/>
      <c r="X446" s="4"/>
      <c r="AB446" t="str">
        <f>IFERROR(VLOOKUP($A446,fund_metadata!$A:$P,2,FALSE),"")</f>
        <v>Stepstone PV/Growth</v>
      </c>
      <c r="AC446" t="str">
        <f>IFERROR(VLOOKUP($A446,fund_metadata!$A:$P,16,FALSE),"")</f>
        <v>venture</v>
      </c>
    </row>
    <row r="447" spans="1:29" x14ac:dyDescent="0.25">
      <c r="A447">
        <v>7</v>
      </c>
      <c r="B447" s="3">
        <v>46112</v>
      </c>
      <c r="C447" s="4">
        <v>5505418.3700000001</v>
      </c>
      <c r="D447" t="s">
        <v>105</v>
      </c>
      <c r="G447" s="5">
        <v>61.19</v>
      </c>
      <c r="H447" t="s">
        <v>108</v>
      </c>
      <c r="I447">
        <v>0</v>
      </c>
      <c r="J447" t="s">
        <v>108</v>
      </c>
      <c r="K447" s="2">
        <v>7.5963000000000003E-2</v>
      </c>
      <c r="L447" t="s">
        <v>108</v>
      </c>
      <c r="M447">
        <v>364</v>
      </c>
      <c r="R447" s="4">
        <v>88825.724000000002</v>
      </c>
      <c r="S447" t="s">
        <v>105</v>
      </c>
      <c r="T447" s="4">
        <v>0</v>
      </c>
      <c r="U447" t="s">
        <v>105</v>
      </c>
      <c r="V447" s="4">
        <v>0</v>
      </c>
      <c r="W447" t="s">
        <v>105</v>
      </c>
      <c r="X447" s="4">
        <v>0</v>
      </c>
      <c r="Y447" t="s">
        <v>105</v>
      </c>
      <c r="AB447" t="str">
        <f>IFERROR(VLOOKUP($A447,fund_metadata!$A:$P,2,FALSE),"")</f>
        <v>Stepstone PV/Growth</v>
      </c>
      <c r="AC447" t="str">
        <f>IFERROR(VLOOKUP($A447,fund_metadata!$A:$P,16,FALSE),"")</f>
        <v>venture</v>
      </c>
    </row>
    <row r="448" spans="1:29" x14ac:dyDescent="0.25">
      <c r="A448">
        <v>7</v>
      </c>
      <c r="B448" s="3">
        <v>46081</v>
      </c>
      <c r="C448" s="4">
        <v>5435246.0499999998</v>
      </c>
      <c r="D448" t="s">
        <v>105</v>
      </c>
      <c r="G448" s="5">
        <v>56.87</v>
      </c>
      <c r="H448" t="s">
        <v>108</v>
      </c>
      <c r="I448">
        <v>0</v>
      </c>
      <c r="J448" t="s">
        <v>108</v>
      </c>
      <c r="K448" s="2">
        <v>1.0304000000000001E-2</v>
      </c>
      <c r="L448" t="s">
        <v>108</v>
      </c>
      <c r="R448" s="4">
        <v>88825.724000000002</v>
      </c>
      <c r="S448" t="s">
        <v>105</v>
      </c>
      <c r="T448" s="4">
        <v>0</v>
      </c>
      <c r="U448" t="s">
        <v>105</v>
      </c>
      <c r="V448" s="4">
        <v>0</v>
      </c>
      <c r="W448" t="s">
        <v>105</v>
      </c>
      <c r="X448" s="4">
        <v>0</v>
      </c>
      <c r="Y448" t="s">
        <v>105</v>
      </c>
      <c r="AB448" t="str">
        <f>IFERROR(VLOOKUP($A448,fund_metadata!$A:$P,2,FALSE),"")</f>
        <v>Stepstone PV/Growth</v>
      </c>
      <c r="AC448" t="str">
        <f>IFERROR(VLOOKUP($A448,fund_metadata!$A:$P,16,FALSE),"")</f>
        <v>venture</v>
      </c>
    </row>
    <row r="449" spans="1:29" x14ac:dyDescent="0.25">
      <c r="A449">
        <v>7</v>
      </c>
      <c r="B449" s="3">
        <v>46053</v>
      </c>
      <c r="C449" s="4">
        <v>5051518.92</v>
      </c>
      <c r="D449" t="s">
        <v>105</v>
      </c>
      <c r="G449" s="5">
        <v>56.29</v>
      </c>
      <c r="H449" t="s">
        <v>108</v>
      </c>
      <c r="I449">
        <v>0</v>
      </c>
      <c r="J449" t="s">
        <v>108</v>
      </c>
      <c r="K449" s="2">
        <v>7.6908000000000004E-2</v>
      </c>
      <c r="L449" t="s">
        <v>108</v>
      </c>
      <c r="R449" s="4">
        <v>88825.724000000002</v>
      </c>
      <c r="S449" t="s">
        <v>105</v>
      </c>
      <c r="T449" s="4">
        <v>5000000</v>
      </c>
      <c r="U449" t="s">
        <v>105</v>
      </c>
      <c r="V449" s="4">
        <v>0</v>
      </c>
      <c r="W449" t="s">
        <v>105</v>
      </c>
      <c r="X449" s="4">
        <v>0</v>
      </c>
      <c r="Y449" t="s">
        <v>105</v>
      </c>
      <c r="AB449" t="str">
        <f>IFERROR(VLOOKUP($A449,fund_metadata!$A:$P,2,FALSE),"")</f>
        <v>Stepstone PV/Growth</v>
      </c>
      <c r="AC449" t="str">
        <f>IFERROR(VLOOKUP($A449,fund_metadata!$A:$P,16,FALSE),"")</f>
        <v>venture</v>
      </c>
    </row>
    <row r="450" spans="1:29" x14ac:dyDescent="0.25">
      <c r="A450">
        <v>9</v>
      </c>
      <c r="B450" s="3">
        <v>46112</v>
      </c>
      <c r="C450" s="4">
        <v>10242797.01</v>
      </c>
      <c r="D450" t="s">
        <v>107</v>
      </c>
      <c r="K450" s="2">
        <v>1.12E-2</v>
      </c>
      <c r="L450" t="s">
        <v>122</v>
      </c>
      <c r="M450">
        <v>257</v>
      </c>
      <c r="R450" s="4">
        <v>323729.36200000002</v>
      </c>
      <c r="S450" t="s">
        <v>107</v>
      </c>
      <c r="T450" s="4">
        <v>0</v>
      </c>
      <c r="U450" t="s">
        <v>107</v>
      </c>
      <c r="V450" s="4">
        <v>0</v>
      </c>
      <c r="W450" t="s">
        <v>107</v>
      </c>
      <c r="X450" s="4">
        <v>0</v>
      </c>
      <c r="Y450" t="s">
        <v>107</v>
      </c>
      <c r="AB450" t="str">
        <f>IFERROR(VLOOKUP($A450,fund_metadata!$A:$P,2,FALSE),"")</f>
        <v>FLEX</v>
      </c>
      <c r="AC450" t="str">
        <f>IFERROR(VLOOKUP($A450,fund_metadata!$A:$P,16,FALSE),"")</f>
        <v>secondaries</v>
      </c>
    </row>
    <row r="451" spans="1:29" x14ac:dyDescent="0.25">
      <c r="A451">
        <v>9</v>
      </c>
      <c r="B451" s="3">
        <v>46081</v>
      </c>
      <c r="C451" s="4">
        <v>10129491.74</v>
      </c>
      <c r="D451" t="s">
        <v>107</v>
      </c>
      <c r="K451" s="2">
        <v>5.4999999999999997E-3</v>
      </c>
      <c r="L451" t="s">
        <v>122</v>
      </c>
      <c r="R451" s="4">
        <v>323729.36200000002</v>
      </c>
      <c r="S451" t="s">
        <v>107</v>
      </c>
      <c r="T451" s="4">
        <v>0</v>
      </c>
      <c r="U451" t="s">
        <v>107</v>
      </c>
      <c r="V451" s="4">
        <v>0</v>
      </c>
      <c r="W451" t="s">
        <v>107</v>
      </c>
      <c r="X451" s="4">
        <v>0</v>
      </c>
      <c r="Y451" t="s">
        <v>107</v>
      </c>
      <c r="AB451" t="str">
        <f>IFERROR(VLOOKUP($A451,fund_metadata!$A:$P,2,FALSE),"")</f>
        <v>FLEX</v>
      </c>
      <c r="AC451" t="str">
        <f>IFERROR(VLOOKUP($A451,fund_metadata!$A:$P,16,FALSE),"")</f>
        <v>secondaries</v>
      </c>
    </row>
    <row r="452" spans="1:29" x14ac:dyDescent="0.25">
      <c r="A452">
        <v>9</v>
      </c>
      <c r="B452" s="3">
        <v>46053</v>
      </c>
      <c r="C452" s="4">
        <v>10074457.75</v>
      </c>
      <c r="D452" t="s">
        <v>107</v>
      </c>
      <c r="K452" s="2">
        <v>7.4999999999999997E-3</v>
      </c>
      <c r="L452" t="s">
        <v>122</v>
      </c>
      <c r="R452" s="4">
        <v>323729.36200000002</v>
      </c>
      <c r="S452" t="s">
        <v>107</v>
      </c>
      <c r="T452" s="4">
        <v>10000000</v>
      </c>
      <c r="U452" t="s">
        <v>107</v>
      </c>
      <c r="V452" s="4">
        <v>0</v>
      </c>
      <c r="W452" t="s">
        <v>107</v>
      </c>
      <c r="X452" s="4">
        <v>0</v>
      </c>
      <c r="Y452" t="s">
        <v>107</v>
      </c>
      <c r="AB452" t="str">
        <f>IFERROR(VLOOKUP($A452,fund_metadata!$A:$P,2,FALSE),"")</f>
        <v>FLEX</v>
      </c>
      <c r="AC452" t="str">
        <f>IFERROR(VLOOKUP($A452,fund_metadata!$A:$P,16,FALSE),"")</f>
        <v>secondaries</v>
      </c>
    </row>
    <row r="453" spans="1:29" x14ac:dyDescent="0.25">
      <c r="A453">
        <v>9</v>
      </c>
      <c r="B453" s="3">
        <v>46022</v>
      </c>
      <c r="C453" s="4">
        <v>10000000</v>
      </c>
      <c r="D453" t="s">
        <v>104</v>
      </c>
      <c r="K453" s="2">
        <v>1.3100000000000001E-2</v>
      </c>
      <c r="L453" t="s">
        <v>122</v>
      </c>
      <c r="M453">
        <v>234</v>
      </c>
      <c r="R453" s="4"/>
      <c r="T453" s="4"/>
      <c r="V453" s="4"/>
      <c r="X453" s="4"/>
      <c r="AB453" t="str">
        <f>IFERROR(VLOOKUP($A453,fund_metadata!$A:$P,2,FALSE),"")</f>
        <v>FLEX</v>
      </c>
      <c r="AC453" t="str">
        <f>IFERROR(VLOOKUP($A453,fund_metadata!$A:$P,16,FALSE),"")</f>
        <v>secondaries</v>
      </c>
    </row>
    <row r="454" spans="1:29" x14ac:dyDescent="0.25">
      <c r="A454">
        <v>4</v>
      </c>
      <c r="B454" s="3">
        <v>45443</v>
      </c>
      <c r="E454" s="4"/>
      <c r="G454" s="5"/>
      <c r="K454" s="2">
        <v>8.6999999999999994E-3</v>
      </c>
      <c r="L454" t="s">
        <v>122</v>
      </c>
      <c r="AB454" t="str">
        <f>IFERROR(VLOOKUP($A454,fund_metadata!$A:$P,2,FALSE),"")</f>
        <v>Coller Secondaries</v>
      </c>
      <c r="AC454" t="str">
        <f>IFERROR(VLOOKUP($A454,fund_metadata!$A:$P,16,FALSE),"")</f>
        <v>secondaries</v>
      </c>
    </row>
    <row r="455" spans="1:29" x14ac:dyDescent="0.25">
      <c r="A455">
        <v>4</v>
      </c>
      <c r="B455" s="3">
        <v>45473</v>
      </c>
      <c r="E455" s="4"/>
      <c r="G455" s="5"/>
      <c r="K455" s="2">
        <v>1.3599999999999999E-2</v>
      </c>
      <c r="L455" t="s">
        <v>122</v>
      </c>
      <c r="M455">
        <v>60</v>
      </c>
      <c r="AB455" t="str">
        <f>IFERROR(VLOOKUP($A455,fund_metadata!$A:$P,2,FALSE),"")</f>
        <v>Coller Secondaries</v>
      </c>
      <c r="AC455" t="str">
        <f>IFERROR(VLOOKUP($A455,fund_metadata!$A:$P,16,FALSE),"")</f>
        <v>secondaries</v>
      </c>
    </row>
    <row r="456" spans="1:29" x14ac:dyDescent="0.25">
      <c r="A456">
        <v>4</v>
      </c>
      <c r="B456" s="3">
        <v>45504</v>
      </c>
      <c r="E456" s="4"/>
      <c r="G456" s="5"/>
      <c r="K456" s="2">
        <v>1.9E-3</v>
      </c>
      <c r="L456" t="s">
        <v>122</v>
      </c>
      <c r="AB456" t="str">
        <f>IFERROR(VLOOKUP($A456,fund_metadata!$A:$P,2,FALSE),"")</f>
        <v>Coller Secondaries</v>
      </c>
      <c r="AC456" t="str">
        <f>IFERROR(VLOOKUP($A456,fund_metadata!$A:$P,16,FALSE),"")</f>
        <v>secondaries</v>
      </c>
    </row>
    <row r="457" spans="1:29" x14ac:dyDescent="0.25">
      <c r="A457">
        <v>4</v>
      </c>
      <c r="B457" s="3">
        <v>45535</v>
      </c>
      <c r="E457" s="4"/>
      <c r="G457" s="5"/>
      <c r="K457" s="2">
        <v>4.8999999999999998E-3</v>
      </c>
      <c r="L457" t="s">
        <v>122</v>
      </c>
      <c r="AB457" t="str">
        <f>IFERROR(VLOOKUP($A457,fund_metadata!$A:$P,2,FALSE),"")</f>
        <v>Coller Secondaries</v>
      </c>
      <c r="AC457" t="str">
        <f>IFERROR(VLOOKUP($A457,fund_metadata!$A:$P,16,FALSE),"")</f>
        <v>secondaries</v>
      </c>
    </row>
    <row r="458" spans="1:29" x14ac:dyDescent="0.25">
      <c r="A458">
        <v>4</v>
      </c>
      <c r="B458" s="3">
        <v>45565</v>
      </c>
      <c r="E458" s="4"/>
      <c r="G458" s="5"/>
      <c r="K458" s="2">
        <v>4.0000000000000002E-4</v>
      </c>
      <c r="L458" t="s">
        <v>122</v>
      </c>
      <c r="M458">
        <v>63</v>
      </c>
      <c r="P458">
        <v>67286832</v>
      </c>
      <c r="Q458" t="s">
        <v>120</v>
      </c>
      <c r="AB458" t="str">
        <f>IFERROR(VLOOKUP($A458,fund_metadata!$A:$P,2,FALSE),"")</f>
        <v>Coller Secondaries</v>
      </c>
      <c r="AC458" t="str">
        <f>IFERROR(VLOOKUP($A458,fund_metadata!$A:$P,16,FALSE),"")</f>
        <v>secondaries</v>
      </c>
    </row>
    <row r="459" spans="1:29" x14ac:dyDescent="0.25">
      <c r="A459">
        <v>4</v>
      </c>
      <c r="B459" s="3">
        <v>45596</v>
      </c>
      <c r="E459" s="4"/>
      <c r="G459" s="5"/>
      <c r="K459" s="2">
        <v>2.24E-2</v>
      </c>
      <c r="L459" t="s">
        <v>122</v>
      </c>
      <c r="AB459" t="str">
        <f>IFERROR(VLOOKUP($A459,fund_metadata!$A:$P,2,FALSE),"")</f>
        <v>Coller Secondaries</v>
      </c>
      <c r="AC459" t="str">
        <f>IFERROR(VLOOKUP($A459,fund_metadata!$A:$P,16,FALSE),"")</f>
        <v>secondaries</v>
      </c>
    </row>
    <row r="460" spans="1:29" x14ac:dyDescent="0.25">
      <c r="A460">
        <v>4</v>
      </c>
      <c r="B460" s="3">
        <v>45626</v>
      </c>
      <c r="E460" s="4"/>
      <c r="G460" s="5"/>
      <c r="K460" s="2">
        <v>6.1999999999999998E-3</v>
      </c>
      <c r="L460" t="s">
        <v>122</v>
      </c>
      <c r="AB460" t="str">
        <f>IFERROR(VLOOKUP($A460,fund_metadata!$A:$P,2,FALSE),"")</f>
        <v>Coller Secondaries</v>
      </c>
      <c r="AC460" t="str">
        <f>IFERROR(VLOOKUP($A460,fund_metadata!$A:$P,16,FALSE),"")</f>
        <v>secondaries</v>
      </c>
    </row>
    <row r="461" spans="1:29" x14ac:dyDescent="0.25">
      <c r="A461">
        <v>4</v>
      </c>
      <c r="B461" s="3">
        <v>45657</v>
      </c>
      <c r="E461" s="4"/>
      <c r="G461" s="5"/>
      <c r="K461" s="2">
        <v>4.82E-2</v>
      </c>
      <c r="L461" t="s">
        <v>122</v>
      </c>
      <c r="M461">
        <v>81</v>
      </c>
      <c r="AB461" t="str">
        <f>IFERROR(VLOOKUP($A461,fund_metadata!$A:$P,2,FALSE),"")</f>
        <v>Coller Secondaries</v>
      </c>
      <c r="AC461" t="str">
        <f>IFERROR(VLOOKUP($A461,fund_metadata!$A:$P,16,FALSE),"")</f>
        <v>secondaries</v>
      </c>
    </row>
    <row r="462" spans="1:29" x14ac:dyDescent="0.25">
      <c r="A462">
        <v>4</v>
      </c>
      <c r="B462" s="3">
        <v>45688</v>
      </c>
      <c r="E462" s="4"/>
      <c r="G462" s="5"/>
      <c r="K462" s="2">
        <v>1.5E-3</v>
      </c>
      <c r="L462" t="s">
        <v>122</v>
      </c>
      <c r="AB462" t="str">
        <f>IFERROR(VLOOKUP($A462,fund_metadata!$A:$P,2,FALSE),"")</f>
        <v>Coller Secondaries</v>
      </c>
      <c r="AC462" t="str">
        <f>IFERROR(VLOOKUP($A462,fund_metadata!$A:$P,16,FALSE),"")</f>
        <v>secondaries</v>
      </c>
    </row>
    <row r="463" spans="1:29" x14ac:dyDescent="0.25">
      <c r="A463">
        <v>4</v>
      </c>
      <c r="B463" s="3">
        <v>45716</v>
      </c>
      <c r="E463" s="4"/>
      <c r="G463" s="5"/>
      <c r="K463" s="2">
        <v>-5.9999999999999995E-4</v>
      </c>
      <c r="L463" t="s">
        <v>122</v>
      </c>
      <c r="AB463" t="str">
        <f>IFERROR(VLOOKUP($A463,fund_metadata!$A:$P,2,FALSE),"")</f>
        <v>Coller Secondaries</v>
      </c>
      <c r="AC463" t="str">
        <f>IFERROR(VLOOKUP($A463,fund_metadata!$A:$P,16,FALSE),"")</f>
        <v>secondaries</v>
      </c>
    </row>
    <row r="464" spans="1:29" x14ac:dyDescent="0.25">
      <c r="A464">
        <v>4</v>
      </c>
      <c r="B464" s="3">
        <v>45747</v>
      </c>
      <c r="E464" s="4"/>
      <c r="G464" s="5"/>
      <c r="K464" s="2">
        <v>3.2599999999999997E-2</v>
      </c>
      <c r="L464" t="s">
        <v>122</v>
      </c>
      <c r="M464">
        <v>90</v>
      </c>
      <c r="AB464" t="str">
        <f>IFERROR(VLOOKUP($A464,fund_metadata!$A:$P,2,FALSE),"")</f>
        <v>Coller Secondaries</v>
      </c>
      <c r="AC464" t="str">
        <f>IFERROR(VLOOKUP($A464,fund_metadata!$A:$P,16,FALSE),"")</f>
        <v>secondaries</v>
      </c>
    </row>
    <row r="465" spans="1:29" x14ac:dyDescent="0.25">
      <c r="A465">
        <v>4</v>
      </c>
      <c r="B465" s="3">
        <v>45777</v>
      </c>
      <c r="E465" s="4"/>
      <c r="G465" s="5"/>
      <c r="K465" s="2">
        <v>1.0200000000000001E-2</v>
      </c>
      <c r="L465" t="s">
        <v>122</v>
      </c>
      <c r="AB465" t="str">
        <f>IFERROR(VLOOKUP($A465,fund_metadata!$A:$P,2,FALSE),"")</f>
        <v>Coller Secondaries</v>
      </c>
      <c r="AC465" t="str">
        <f>IFERROR(VLOOKUP($A465,fund_metadata!$A:$P,16,FALSE),"")</f>
        <v>secondaries</v>
      </c>
    </row>
    <row r="466" spans="1:29" x14ac:dyDescent="0.25">
      <c r="A466">
        <v>4</v>
      </c>
      <c r="B466" s="3">
        <v>45808</v>
      </c>
      <c r="E466" s="4"/>
      <c r="G466" s="5"/>
      <c r="K466" s="2">
        <v>7.3000000000000001E-3</v>
      </c>
      <c r="L466" t="s">
        <v>122</v>
      </c>
      <c r="AB466" t="str">
        <f>IFERROR(VLOOKUP($A466,fund_metadata!$A:$P,2,FALSE),"")</f>
        <v>Coller Secondaries</v>
      </c>
      <c r="AC466" t="str">
        <f>IFERROR(VLOOKUP($A466,fund_metadata!$A:$P,16,FALSE),"")</f>
        <v>secondaries</v>
      </c>
    </row>
    <row r="467" spans="1:29" x14ac:dyDescent="0.25">
      <c r="A467">
        <v>7</v>
      </c>
      <c r="B467" s="3">
        <v>44895</v>
      </c>
      <c r="E467" s="4"/>
      <c r="G467" s="5">
        <v>27.4</v>
      </c>
      <c r="H467" t="s">
        <v>108</v>
      </c>
      <c r="I467">
        <v>0</v>
      </c>
      <c r="J467" t="s">
        <v>108</v>
      </c>
      <c r="K467" s="2"/>
      <c r="AB467" t="str">
        <f>IFERROR(VLOOKUP($A467,fund_metadata!$A:$P,2,FALSE),"")</f>
        <v>Stepstone PV/Growth</v>
      </c>
      <c r="AC467" t="str">
        <f>IFERROR(VLOOKUP($A467,fund_metadata!$A:$P,16,FALSE),"")</f>
        <v>venture</v>
      </c>
    </row>
    <row r="468" spans="1:29" x14ac:dyDescent="0.25">
      <c r="A468">
        <v>7</v>
      </c>
      <c r="B468" s="3">
        <v>44926</v>
      </c>
      <c r="E468" s="4"/>
      <c r="G468" s="5">
        <v>27.4</v>
      </c>
      <c r="H468" t="s">
        <v>108</v>
      </c>
      <c r="I468">
        <v>0</v>
      </c>
      <c r="J468" t="s">
        <v>108</v>
      </c>
      <c r="K468" s="2">
        <v>0</v>
      </c>
      <c r="L468" t="s">
        <v>108</v>
      </c>
      <c r="M468">
        <v>9</v>
      </c>
      <c r="AB468" t="str">
        <f>IFERROR(VLOOKUP($A468,fund_metadata!$A:$P,2,FALSE),"")</f>
        <v>Stepstone PV/Growth</v>
      </c>
      <c r="AC468" t="str">
        <f>IFERROR(VLOOKUP($A468,fund_metadata!$A:$P,16,FALSE),"")</f>
        <v>venture</v>
      </c>
    </row>
    <row r="469" spans="1:29" x14ac:dyDescent="0.25">
      <c r="A469">
        <v>7</v>
      </c>
      <c r="B469" s="3">
        <v>44957</v>
      </c>
      <c r="E469" s="4"/>
      <c r="G469" s="5">
        <v>28.73</v>
      </c>
      <c r="H469" t="s">
        <v>108</v>
      </c>
      <c r="I469">
        <v>0</v>
      </c>
      <c r="J469" t="s">
        <v>108</v>
      </c>
      <c r="K469" s="2">
        <v>4.854E-2</v>
      </c>
      <c r="L469" t="s">
        <v>108</v>
      </c>
      <c r="AB469" t="str">
        <f>IFERROR(VLOOKUP($A469,fund_metadata!$A:$P,2,FALSE),"")</f>
        <v>Stepstone PV/Growth</v>
      </c>
      <c r="AC469" t="str">
        <f>IFERROR(VLOOKUP($A469,fund_metadata!$A:$P,16,FALSE),"")</f>
        <v>venture</v>
      </c>
    </row>
    <row r="470" spans="1:29" x14ac:dyDescent="0.25">
      <c r="A470">
        <v>7</v>
      </c>
      <c r="B470" s="3">
        <v>44985</v>
      </c>
      <c r="E470" s="4"/>
      <c r="G470" s="5">
        <v>30.26</v>
      </c>
      <c r="H470" t="s">
        <v>108</v>
      </c>
      <c r="I470">
        <v>0</v>
      </c>
      <c r="J470" t="s">
        <v>108</v>
      </c>
      <c r="K470" s="2">
        <v>5.3254000000000003E-2</v>
      </c>
      <c r="L470" t="s">
        <v>108</v>
      </c>
      <c r="AB470" t="str">
        <f>IFERROR(VLOOKUP($A470,fund_metadata!$A:$P,2,FALSE),"")</f>
        <v>Stepstone PV/Growth</v>
      </c>
      <c r="AC470" t="str">
        <f>IFERROR(VLOOKUP($A470,fund_metadata!$A:$P,16,FALSE),"")</f>
        <v>venture</v>
      </c>
    </row>
    <row r="471" spans="1:29" x14ac:dyDescent="0.25">
      <c r="A471">
        <v>7</v>
      </c>
      <c r="B471" s="3">
        <v>45016</v>
      </c>
      <c r="E471" s="4"/>
      <c r="G471" s="5">
        <v>30.12</v>
      </c>
      <c r="H471" t="s">
        <v>108</v>
      </c>
      <c r="I471">
        <v>0</v>
      </c>
      <c r="J471" t="s">
        <v>108</v>
      </c>
      <c r="K471" s="2">
        <v>-4.627E-3</v>
      </c>
      <c r="L471" t="s">
        <v>108</v>
      </c>
      <c r="M471">
        <v>15</v>
      </c>
      <c r="P471">
        <v>6167112</v>
      </c>
      <c r="Q471" t="s">
        <v>121</v>
      </c>
      <c r="AB471" t="str">
        <f>IFERROR(VLOOKUP($A471,fund_metadata!$A:$P,2,FALSE),"")</f>
        <v>Stepstone PV/Growth</v>
      </c>
      <c r="AC471" t="str">
        <f>IFERROR(VLOOKUP($A471,fund_metadata!$A:$P,16,FALSE),"")</f>
        <v>venture</v>
      </c>
    </row>
    <row r="472" spans="1:29" x14ac:dyDescent="0.25">
      <c r="A472">
        <v>7</v>
      </c>
      <c r="B472" s="3">
        <v>45046</v>
      </c>
      <c r="E472" s="4"/>
      <c r="G472" s="5">
        <v>30.13</v>
      </c>
      <c r="H472" t="s">
        <v>108</v>
      </c>
      <c r="I472">
        <v>0</v>
      </c>
      <c r="J472" t="s">
        <v>108</v>
      </c>
      <c r="K472" s="2">
        <v>3.3199999999999999E-4</v>
      </c>
      <c r="L472" t="s">
        <v>108</v>
      </c>
      <c r="AB472" t="str">
        <f>IFERROR(VLOOKUP($A472,fund_metadata!$A:$P,2,FALSE),"")</f>
        <v>Stepstone PV/Growth</v>
      </c>
      <c r="AC472" t="str">
        <f>IFERROR(VLOOKUP($A472,fund_metadata!$A:$P,16,FALSE),"")</f>
        <v>venture</v>
      </c>
    </row>
    <row r="473" spans="1:29" x14ac:dyDescent="0.25">
      <c r="A473">
        <v>7</v>
      </c>
      <c r="B473" s="3">
        <v>45077</v>
      </c>
      <c r="E473" s="4"/>
      <c r="G473" s="5">
        <v>30.22</v>
      </c>
      <c r="H473" t="s">
        <v>108</v>
      </c>
      <c r="I473">
        <v>0</v>
      </c>
      <c r="J473" t="s">
        <v>108</v>
      </c>
      <c r="K473" s="2">
        <v>2.9870000000000001E-3</v>
      </c>
      <c r="L473" t="s">
        <v>108</v>
      </c>
      <c r="AB473" t="str">
        <f>IFERROR(VLOOKUP($A473,fund_metadata!$A:$P,2,FALSE),"")</f>
        <v>Stepstone PV/Growth</v>
      </c>
      <c r="AC473" t="str">
        <f>IFERROR(VLOOKUP($A473,fund_metadata!$A:$P,16,FALSE),"")</f>
        <v>venture</v>
      </c>
    </row>
    <row r="474" spans="1:29" x14ac:dyDescent="0.25">
      <c r="A474">
        <v>7</v>
      </c>
      <c r="B474" s="3">
        <v>45107</v>
      </c>
      <c r="E474" s="4"/>
      <c r="G474" s="5">
        <v>30.21</v>
      </c>
      <c r="H474" t="s">
        <v>108</v>
      </c>
      <c r="I474">
        <v>0</v>
      </c>
      <c r="J474" t="s">
        <v>108</v>
      </c>
      <c r="K474" s="2">
        <v>-3.3099999999999997E-4</v>
      </c>
      <c r="L474" t="s">
        <v>108</v>
      </c>
      <c r="M474">
        <v>30</v>
      </c>
      <c r="AB474" t="str">
        <f>IFERROR(VLOOKUP($A474,fund_metadata!$A:$P,2,FALSE),"")</f>
        <v>Stepstone PV/Growth</v>
      </c>
      <c r="AC474" t="str">
        <f>IFERROR(VLOOKUP($A474,fund_metadata!$A:$P,16,FALSE),"")</f>
        <v>venture</v>
      </c>
    </row>
    <row r="475" spans="1:29" x14ac:dyDescent="0.25">
      <c r="A475">
        <v>7</v>
      </c>
      <c r="B475" s="3">
        <v>45138</v>
      </c>
      <c r="E475" s="4"/>
      <c r="G475" s="5">
        <v>30.92</v>
      </c>
      <c r="H475" t="s">
        <v>108</v>
      </c>
      <c r="I475">
        <v>0</v>
      </c>
      <c r="J475" t="s">
        <v>108</v>
      </c>
      <c r="K475" s="2">
        <v>2.3502000000000002E-2</v>
      </c>
      <c r="L475" t="s">
        <v>108</v>
      </c>
      <c r="AB475" t="str">
        <f>IFERROR(VLOOKUP($A475,fund_metadata!$A:$P,2,FALSE),"")</f>
        <v>Stepstone PV/Growth</v>
      </c>
      <c r="AC475" t="str">
        <f>IFERROR(VLOOKUP($A475,fund_metadata!$A:$P,16,FALSE),"")</f>
        <v>venture</v>
      </c>
    </row>
    <row r="476" spans="1:29" x14ac:dyDescent="0.25">
      <c r="A476">
        <v>7</v>
      </c>
      <c r="B476" s="3">
        <v>45169</v>
      </c>
      <c r="E476" s="4"/>
      <c r="G476" s="5">
        <v>31.08</v>
      </c>
      <c r="H476" t="s">
        <v>108</v>
      </c>
      <c r="I476">
        <v>0</v>
      </c>
      <c r="J476" t="s">
        <v>108</v>
      </c>
      <c r="K476" s="2">
        <v>5.1749999999999999E-3</v>
      </c>
      <c r="L476" t="s">
        <v>108</v>
      </c>
      <c r="AB476" t="str">
        <f>IFERROR(VLOOKUP($A476,fund_metadata!$A:$P,2,FALSE),"")</f>
        <v>Stepstone PV/Growth</v>
      </c>
      <c r="AC476" t="str">
        <f>IFERROR(VLOOKUP($A476,fund_metadata!$A:$P,16,FALSE),"")</f>
        <v>venture</v>
      </c>
    </row>
    <row r="477" spans="1:29" x14ac:dyDescent="0.25">
      <c r="A477">
        <v>7</v>
      </c>
      <c r="B477" s="3">
        <v>45199</v>
      </c>
      <c r="E477" s="4"/>
      <c r="G477" s="5">
        <v>32.6</v>
      </c>
      <c r="H477" t="s">
        <v>108</v>
      </c>
      <c r="I477">
        <v>0</v>
      </c>
      <c r="J477" t="s">
        <v>108</v>
      </c>
      <c r="K477" s="2">
        <v>4.8905999999999998E-2</v>
      </c>
      <c r="L477" t="s">
        <v>108</v>
      </c>
      <c r="M477">
        <v>45</v>
      </c>
      <c r="AB477" t="str">
        <f>IFERROR(VLOOKUP($A477,fund_metadata!$A:$P,2,FALSE),"")</f>
        <v>Stepstone PV/Growth</v>
      </c>
      <c r="AC477" t="str">
        <f>IFERROR(VLOOKUP($A477,fund_metadata!$A:$P,16,FALSE),"")</f>
        <v>venture</v>
      </c>
    </row>
    <row r="478" spans="1:29" x14ac:dyDescent="0.25">
      <c r="A478">
        <v>7</v>
      </c>
      <c r="B478" s="3">
        <v>45230</v>
      </c>
      <c r="E478" s="4"/>
      <c r="G478" s="5">
        <v>32.770000000000003</v>
      </c>
      <c r="H478" t="s">
        <v>108</v>
      </c>
      <c r="I478">
        <v>0</v>
      </c>
      <c r="J478" t="s">
        <v>108</v>
      </c>
      <c r="K478" s="2">
        <v>5.215E-3</v>
      </c>
      <c r="L478" t="s">
        <v>108</v>
      </c>
      <c r="AB478" t="str">
        <f>IFERROR(VLOOKUP($A478,fund_metadata!$A:$P,2,FALSE),"")</f>
        <v>Stepstone PV/Growth</v>
      </c>
      <c r="AC478" t="str">
        <f>IFERROR(VLOOKUP($A478,fund_metadata!$A:$P,16,FALSE),"")</f>
        <v>venture</v>
      </c>
    </row>
    <row r="479" spans="1:29" x14ac:dyDescent="0.25">
      <c r="A479">
        <v>7</v>
      </c>
      <c r="B479" s="3">
        <v>45260</v>
      </c>
      <c r="E479" s="4"/>
      <c r="G479" s="5">
        <v>33.590000000000003</v>
      </c>
      <c r="H479" t="s">
        <v>108</v>
      </c>
      <c r="I479">
        <v>0</v>
      </c>
      <c r="J479" t="s">
        <v>108</v>
      </c>
      <c r="K479" s="2">
        <v>2.5023E-2</v>
      </c>
      <c r="L479" t="s">
        <v>108</v>
      </c>
      <c r="AB479" t="str">
        <f>IFERROR(VLOOKUP($A479,fund_metadata!$A:$P,2,FALSE),"")</f>
        <v>Stepstone PV/Growth</v>
      </c>
      <c r="AC479" t="str">
        <f>IFERROR(VLOOKUP($A479,fund_metadata!$A:$P,16,FALSE),"")</f>
        <v>venture</v>
      </c>
    </row>
    <row r="480" spans="1:29" x14ac:dyDescent="0.25">
      <c r="A480">
        <v>8</v>
      </c>
      <c r="B480" s="3">
        <v>43951</v>
      </c>
      <c r="G480" s="5">
        <v>14.05</v>
      </c>
      <c r="H480" t="s">
        <v>89</v>
      </c>
      <c r="K480" s="7">
        <v>6.4000000000000003E-3</v>
      </c>
      <c r="L480" t="s">
        <v>89</v>
      </c>
      <c r="AB480" t="str">
        <f>IFERROR(VLOOKUP($A480,fund_metadata!$A:$P,2,FALSE),"")</f>
        <v>AMG Pantheon</v>
      </c>
      <c r="AC480" t="str">
        <f>IFERROR(VLOOKUP($A480,fund_metadata!$A:$P,16,FALSE),"")</f>
        <v>secondaries</v>
      </c>
    </row>
    <row r="481" spans="1:29" x14ac:dyDescent="0.25">
      <c r="A481">
        <v>8</v>
      </c>
      <c r="B481" s="3">
        <v>43921</v>
      </c>
      <c r="G481" s="5">
        <v>13.96</v>
      </c>
      <c r="H481" t="s">
        <v>89</v>
      </c>
      <c r="K481" s="7">
        <v>-1.9E-2</v>
      </c>
      <c r="L481" t="s">
        <v>89</v>
      </c>
      <c r="AB481" t="str">
        <f>IFERROR(VLOOKUP($A481,fund_metadata!$A:$P,2,FALSE),"")</f>
        <v>AMG Pantheon</v>
      </c>
      <c r="AC481" t="str">
        <f>IFERROR(VLOOKUP($A481,fund_metadata!$A:$P,16,FALSE),"")</f>
        <v>secondaries</v>
      </c>
    </row>
    <row r="482" spans="1:29" x14ac:dyDescent="0.25">
      <c r="A482">
        <v>8</v>
      </c>
      <c r="B482" s="3">
        <v>43890</v>
      </c>
      <c r="G482" s="5">
        <v>14.23</v>
      </c>
      <c r="H482" t="s">
        <v>89</v>
      </c>
      <c r="K482" s="7">
        <v>0</v>
      </c>
      <c r="L482" t="s">
        <v>89</v>
      </c>
      <c r="AB482" t="str">
        <f>IFERROR(VLOOKUP($A482,fund_metadata!$A:$P,2,FALSE),"")</f>
        <v>AMG Pantheon</v>
      </c>
      <c r="AC482" t="str">
        <f>IFERROR(VLOOKUP($A482,fund_metadata!$A:$P,16,FALSE),"")</f>
        <v>secondaries</v>
      </c>
    </row>
    <row r="483" spans="1:29" x14ac:dyDescent="0.25">
      <c r="A483">
        <v>8</v>
      </c>
      <c r="B483" s="3">
        <v>43861</v>
      </c>
      <c r="G483" s="5">
        <v>14.23</v>
      </c>
      <c r="H483" t="s">
        <v>89</v>
      </c>
      <c r="K483" s="7">
        <v>-2.8E-3</v>
      </c>
      <c r="L483" t="s">
        <v>89</v>
      </c>
      <c r="AB483" t="str">
        <f>IFERROR(VLOOKUP($A483,fund_metadata!$A:$P,2,FALSE),"")</f>
        <v>AMG Pantheon</v>
      </c>
      <c r="AC483" t="str">
        <f>IFERROR(VLOOKUP($A483,fund_metadata!$A:$P,16,FALSE),"")</f>
        <v>secondaries</v>
      </c>
    </row>
    <row r="484" spans="1:29" x14ac:dyDescent="0.25">
      <c r="A484">
        <v>8</v>
      </c>
      <c r="B484" s="3">
        <v>43830</v>
      </c>
      <c r="G484" s="5">
        <v>14.27</v>
      </c>
      <c r="H484" t="s">
        <v>89</v>
      </c>
      <c r="K484" s="7">
        <v>8.6999999999999994E-3</v>
      </c>
      <c r="L484" t="s">
        <v>89</v>
      </c>
      <c r="AB484" t="str">
        <f>IFERROR(VLOOKUP($A484,fund_metadata!$A:$P,2,FALSE),"")</f>
        <v>AMG Pantheon</v>
      </c>
      <c r="AC484" t="str">
        <f>IFERROR(VLOOKUP($A484,fund_metadata!$A:$P,16,FALSE),"")</f>
        <v>secondaries</v>
      </c>
    </row>
    <row r="485" spans="1:29" x14ac:dyDescent="0.25">
      <c r="A485">
        <v>8</v>
      </c>
      <c r="B485" s="3">
        <v>43799</v>
      </c>
      <c r="G485" s="5">
        <v>15.11</v>
      </c>
      <c r="H485" t="s">
        <v>89</v>
      </c>
      <c r="K485" s="7">
        <v>1.61E-2</v>
      </c>
      <c r="L485" t="s">
        <v>89</v>
      </c>
      <c r="AB485" t="str">
        <f>IFERROR(VLOOKUP($A485,fund_metadata!$A:$P,2,FALSE),"")</f>
        <v>AMG Pantheon</v>
      </c>
      <c r="AC485" t="str">
        <f>IFERROR(VLOOKUP($A485,fund_metadata!$A:$P,16,FALSE),"")</f>
        <v>secondaries</v>
      </c>
    </row>
    <row r="486" spans="1:29" x14ac:dyDescent="0.25">
      <c r="A486">
        <v>8</v>
      </c>
      <c r="B486" s="3">
        <v>43769</v>
      </c>
      <c r="G486" s="5">
        <v>14.87</v>
      </c>
      <c r="H486" t="s">
        <v>89</v>
      </c>
      <c r="K486" s="7">
        <v>1.43E-2</v>
      </c>
      <c r="L486" t="s">
        <v>89</v>
      </c>
      <c r="AB486" t="str">
        <f>IFERROR(VLOOKUP($A486,fund_metadata!$A:$P,2,FALSE),"")</f>
        <v>AMG Pantheon</v>
      </c>
      <c r="AC486" t="str">
        <f>IFERROR(VLOOKUP($A486,fund_metadata!$A:$P,16,FALSE),"")</f>
        <v>secondaries</v>
      </c>
    </row>
    <row r="487" spans="1:29" x14ac:dyDescent="0.25">
      <c r="A487">
        <v>8</v>
      </c>
      <c r="B487" s="3">
        <v>43738</v>
      </c>
      <c r="G487" s="5">
        <v>14.66</v>
      </c>
      <c r="H487" t="s">
        <v>89</v>
      </c>
      <c r="K487" s="7">
        <v>2.7000000000000001E-3</v>
      </c>
      <c r="L487" t="s">
        <v>89</v>
      </c>
      <c r="N487">
        <v>62740000</v>
      </c>
      <c r="O487" t="s">
        <v>89</v>
      </c>
      <c r="AB487" t="str">
        <f>IFERROR(VLOOKUP($A487,fund_metadata!$A:$P,2,FALSE),"")</f>
        <v>AMG Pantheon</v>
      </c>
      <c r="AC487" t="str">
        <f>IFERROR(VLOOKUP($A487,fund_metadata!$A:$P,16,FALSE),"")</f>
        <v>secondaries</v>
      </c>
    </row>
    <row r="488" spans="1:29" x14ac:dyDescent="0.25">
      <c r="A488">
        <v>8</v>
      </c>
      <c r="B488" s="3">
        <v>43708</v>
      </c>
      <c r="G488" s="5">
        <v>14.62</v>
      </c>
      <c r="H488" t="s">
        <v>89</v>
      </c>
      <c r="K488" s="7">
        <v>4.7999999999999996E-3</v>
      </c>
      <c r="L488" t="s">
        <v>89</v>
      </c>
      <c r="AB488" t="str">
        <f>IFERROR(VLOOKUP($A488,fund_metadata!$A:$P,2,FALSE),"")</f>
        <v>AMG Pantheon</v>
      </c>
      <c r="AC488" t="str">
        <f>IFERROR(VLOOKUP($A488,fund_metadata!$A:$P,16,FALSE),"")</f>
        <v>secondaries</v>
      </c>
    </row>
    <row r="489" spans="1:29" x14ac:dyDescent="0.25">
      <c r="A489">
        <v>8</v>
      </c>
      <c r="B489" s="3">
        <v>43677</v>
      </c>
      <c r="G489" s="5">
        <v>14.55</v>
      </c>
      <c r="H489" t="s">
        <v>89</v>
      </c>
      <c r="K489" s="7">
        <v>2.5399999999999999E-2</v>
      </c>
      <c r="L489" t="s">
        <v>89</v>
      </c>
      <c r="AB489" t="str">
        <f>IFERROR(VLOOKUP($A489,fund_metadata!$A:$P,2,FALSE),"")</f>
        <v>AMG Pantheon</v>
      </c>
      <c r="AC489" t="str">
        <f>IFERROR(VLOOKUP($A489,fund_metadata!$A:$P,16,FALSE),"")</f>
        <v>secondaries</v>
      </c>
    </row>
    <row r="490" spans="1:29" x14ac:dyDescent="0.25">
      <c r="A490">
        <v>8</v>
      </c>
      <c r="B490" s="3">
        <v>43646</v>
      </c>
      <c r="G490" s="5">
        <v>14.19</v>
      </c>
      <c r="H490" t="s">
        <v>89</v>
      </c>
      <c r="K490" s="7">
        <v>-6.9999999999999999E-4</v>
      </c>
      <c r="L490" t="s">
        <v>89</v>
      </c>
      <c r="AB490" t="str">
        <f>IFERROR(VLOOKUP($A490,fund_metadata!$A:$P,2,FALSE),"")</f>
        <v>AMG Pantheon</v>
      </c>
      <c r="AC490" t="str">
        <f>IFERROR(VLOOKUP($A490,fund_metadata!$A:$P,16,FALSE),"")</f>
        <v>secondaries</v>
      </c>
    </row>
    <row r="491" spans="1:29" x14ac:dyDescent="0.25">
      <c r="A491">
        <v>8</v>
      </c>
      <c r="B491" s="3">
        <v>43616</v>
      </c>
      <c r="G491" s="5">
        <v>14.2</v>
      </c>
      <c r="H491" t="s">
        <v>89</v>
      </c>
      <c r="K491" s="7">
        <v>1.8700000000000001E-2</v>
      </c>
      <c r="L491" t="s">
        <v>89</v>
      </c>
      <c r="AB491" t="str">
        <f>IFERROR(VLOOKUP($A491,fund_metadata!$A:$P,2,FALSE),"")</f>
        <v>AMG Pantheon</v>
      </c>
      <c r="AC491" t="str">
        <f>IFERROR(VLOOKUP($A491,fund_metadata!$A:$P,16,FALSE),"")</f>
        <v>secondaries</v>
      </c>
    </row>
    <row r="492" spans="1:29" x14ac:dyDescent="0.25">
      <c r="A492">
        <v>8</v>
      </c>
      <c r="B492" s="3">
        <v>43585</v>
      </c>
      <c r="G492" s="5">
        <v>13.94</v>
      </c>
      <c r="H492" t="s">
        <v>89</v>
      </c>
      <c r="K492" s="7">
        <v>1.83E-2</v>
      </c>
      <c r="L492" t="s">
        <v>89</v>
      </c>
      <c r="AB492" t="str">
        <f>IFERROR(VLOOKUP($A492,fund_metadata!$A:$P,2,FALSE),"")</f>
        <v>AMG Pantheon</v>
      </c>
      <c r="AC492" t="str">
        <f>IFERROR(VLOOKUP($A492,fund_metadata!$A:$P,16,FALSE),"")</f>
        <v>secondaries</v>
      </c>
    </row>
    <row r="493" spans="1:29" x14ac:dyDescent="0.25">
      <c r="A493">
        <v>8</v>
      </c>
      <c r="B493" s="3">
        <v>43555</v>
      </c>
      <c r="G493" s="5">
        <v>13.69</v>
      </c>
      <c r="H493" t="s">
        <v>89</v>
      </c>
      <c r="K493" s="7">
        <v>0</v>
      </c>
      <c r="L493" t="s">
        <v>89</v>
      </c>
      <c r="N493">
        <v>37050000</v>
      </c>
      <c r="O493" t="s">
        <v>89</v>
      </c>
      <c r="AB493" t="str">
        <f>IFERROR(VLOOKUP($A493,fund_metadata!$A:$P,2,FALSE),"")</f>
        <v>AMG Pantheon</v>
      </c>
      <c r="AC493" t="str">
        <f>IFERROR(VLOOKUP($A493,fund_metadata!$A:$P,16,FALSE),"")</f>
        <v>secondaries</v>
      </c>
    </row>
    <row r="494" spans="1:29" x14ac:dyDescent="0.25">
      <c r="A494">
        <v>8</v>
      </c>
      <c r="B494" s="3">
        <v>43524</v>
      </c>
      <c r="G494" s="5">
        <v>13.69</v>
      </c>
      <c r="H494" t="s">
        <v>89</v>
      </c>
      <c r="K494" s="7">
        <v>2.93E-2</v>
      </c>
      <c r="L494" t="s">
        <v>89</v>
      </c>
      <c r="AB494" t="str">
        <f>IFERROR(VLOOKUP($A494,fund_metadata!$A:$P,2,FALSE),"")</f>
        <v>AMG Pantheon</v>
      </c>
      <c r="AC494" t="str">
        <f>IFERROR(VLOOKUP($A494,fund_metadata!$A:$P,16,FALSE),"")</f>
        <v>secondaries</v>
      </c>
    </row>
    <row r="495" spans="1:29" x14ac:dyDescent="0.25">
      <c r="A495">
        <v>8</v>
      </c>
      <c r="B495" s="3">
        <v>43496</v>
      </c>
      <c r="G495" s="5">
        <v>13.3</v>
      </c>
      <c r="H495" t="s">
        <v>89</v>
      </c>
      <c r="K495" s="7">
        <v>3.8E-3</v>
      </c>
      <c r="L495" t="s">
        <v>89</v>
      </c>
      <c r="AB495" t="str">
        <f>IFERROR(VLOOKUP($A495,fund_metadata!$A:$P,2,FALSE),"")</f>
        <v>AMG Pantheon</v>
      </c>
      <c r="AC495" t="str">
        <f>IFERROR(VLOOKUP($A495,fund_metadata!$A:$P,16,FALSE),"")</f>
        <v>secondaries</v>
      </c>
    </row>
    <row r="496" spans="1:29" x14ac:dyDescent="0.25">
      <c r="A496">
        <v>8</v>
      </c>
      <c r="B496" s="3">
        <v>43465</v>
      </c>
      <c r="G496" s="5">
        <v>13.25</v>
      </c>
      <c r="H496" t="s">
        <v>89</v>
      </c>
      <c r="I496">
        <v>0.28999999999999998</v>
      </c>
      <c r="J496" t="s">
        <v>89</v>
      </c>
      <c r="K496" s="7">
        <v>-2.35E-2</v>
      </c>
      <c r="L496" t="s">
        <v>89</v>
      </c>
      <c r="AB496" t="str">
        <f>IFERROR(VLOOKUP($A496,fund_metadata!$A:$P,2,FALSE),"")</f>
        <v>AMG Pantheon</v>
      </c>
      <c r="AC496" t="str">
        <f>IFERROR(VLOOKUP($A496,fund_metadata!$A:$P,16,FALSE),"")</f>
        <v>secondaries</v>
      </c>
    </row>
    <row r="497" spans="1:29" x14ac:dyDescent="0.25">
      <c r="A497">
        <v>8</v>
      </c>
      <c r="B497" s="3">
        <v>43434</v>
      </c>
      <c r="G497" s="5">
        <v>13.92</v>
      </c>
      <c r="H497" t="s">
        <v>89</v>
      </c>
      <c r="K497" s="7">
        <v>4.3E-3</v>
      </c>
      <c r="L497" t="s">
        <v>89</v>
      </c>
      <c r="AB497" t="str">
        <f>IFERROR(VLOOKUP($A497,fund_metadata!$A:$P,2,FALSE),"")</f>
        <v>AMG Pantheon</v>
      </c>
      <c r="AC497" t="str">
        <f>IFERROR(VLOOKUP($A497,fund_metadata!$A:$P,16,FALSE),"")</f>
        <v>secondaries</v>
      </c>
    </row>
    <row r="498" spans="1:29" x14ac:dyDescent="0.25">
      <c r="A498">
        <v>8</v>
      </c>
      <c r="B498" s="3">
        <v>43404</v>
      </c>
      <c r="G498" s="5">
        <v>13.86</v>
      </c>
      <c r="H498" t="s">
        <v>89</v>
      </c>
      <c r="K498" s="7">
        <v>-2.53E-2</v>
      </c>
      <c r="L498" t="s">
        <v>89</v>
      </c>
      <c r="AB498" t="str">
        <f>IFERROR(VLOOKUP($A498,fund_metadata!$A:$P,2,FALSE),"")</f>
        <v>AMG Pantheon</v>
      </c>
      <c r="AC498" t="str">
        <f>IFERROR(VLOOKUP($A498,fund_metadata!$A:$P,16,FALSE),"")</f>
        <v>secondaries</v>
      </c>
    </row>
    <row r="499" spans="1:29" x14ac:dyDescent="0.25">
      <c r="A499">
        <v>8</v>
      </c>
      <c r="B499" s="3">
        <v>43373</v>
      </c>
      <c r="G499" s="5">
        <v>14.22</v>
      </c>
      <c r="H499" t="s">
        <v>89</v>
      </c>
      <c r="K499" s="7">
        <v>2.8E-3</v>
      </c>
      <c r="L499" t="s">
        <v>89</v>
      </c>
      <c r="N499">
        <v>19040000</v>
      </c>
      <c r="O499" t="s">
        <v>89</v>
      </c>
      <c r="AB499" t="str">
        <f>IFERROR(VLOOKUP($A499,fund_metadata!$A:$P,2,FALSE),"")</f>
        <v>AMG Pantheon</v>
      </c>
      <c r="AC499" t="str">
        <f>IFERROR(VLOOKUP($A499,fund_metadata!$A:$P,16,FALSE),"")</f>
        <v>secondaries</v>
      </c>
    </row>
    <row r="500" spans="1:29" x14ac:dyDescent="0.25">
      <c r="A500">
        <v>8</v>
      </c>
      <c r="B500" s="3">
        <v>43343</v>
      </c>
      <c r="G500" s="5">
        <v>14.18</v>
      </c>
      <c r="H500" t="s">
        <v>89</v>
      </c>
      <c r="K500" s="7">
        <v>1.29E-2</v>
      </c>
      <c r="L500" t="s">
        <v>89</v>
      </c>
      <c r="AB500" t="str">
        <f>IFERROR(VLOOKUP($A500,fund_metadata!$A:$P,2,FALSE),"")</f>
        <v>AMG Pantheon</v>
      </c>
      <c r="AC500" t="str">
        <f>IFERROR(VLOOKUP($A500,fund_metadata!$A:$P,16,FALSE),"")</f>
        <v>secondaries</v>
      </c>
    </row>
    <row r="501" spans="1:29" x14ac:dyDescent="0.25">
      <c r="A501">
        <v>8</v>
      </c>
      <c r="B501" s="3">
        <v>43312</v>
      </c>
      <c r="G501" s="5">
        <v>14</v>
      </c>
      <c r="H501" t="s">
        <v>89</v>
      </c>
      <c r="K501" s="7">
        <v>2.5600000000000001E-2</v>
      </c>
      <c r="L501" t="s">
        <v>89</v>
      </c>
      <c r="AB501" t="str">
        <f>IFERROR(VLOOKUP($A501,fund_metadata!$A:$P,2,FALSE),"")</f>
        <v>AMG Pantheon</v>
      </c>
      <c r="AC501" t="str">
        <f>IFERROR(VLOOKUP($A501,fund_metadata!$A:$P,16,FALSE),"")</f>
        <v>secondaries</v>
      </c>
    </row>
    <row r="502" spans="1:29" x14ac:dyDescent="0.25">
      <c r="A502">
        <v>8</v>
      </c>
      <c r="B502" s="3">
        <v>43281</v>
      </c>
      <c r="G502" s="5">
        <v>13.65</v>
      </c>
      <c r="H502" t="s">
        <v>89</v>
      </c>
      <c r="K502" s="7">
        <v>9.5999999999999992E-3</v>
      </c>
      <c r="L502" t="s">
        <v>89</v>
      </c>
      <c r="AB502" t="str">
        <f>IFERROR(VLOOKUP($A502,fund_metadata!$A:$P,2,FALSE),"")</f>
        <v>AMG Pantheon</v>
      </c>
      <c r="AC502" t="str">
        <f>IFERROR(VLOOKUP($A502,fund_metadata!$A:$P,16,FALSE),"")</f>
        <v>secondaries</v>
      </c>
    </row>
    <row r="503" spans="1:29" x14ac:dyDescent="0.25">
      <c r="A503">
        <v>8</v>
      </c>
      <c r="B503" s="3">
        <v>43251</v>
      </c>
      <c r="G503" s="5">
        <v>13.52</v>
      </c>
      <c r="H503" t="s">
        <v>89</v>
      </c>
      <c r="K503" s="7">
        <v>6.0000000000000001E-3</v>
      </c>
      <c r="L503" t="s">
        <v>89</v>
      </c>
      <c r="AB503" t="str">
        <f>IFERROR(VLOOKUP($A503,fund_metadata!$A:$P,2,FALSE),"")</f>
        <v>AMG Pantheon</v>
      </c>
      <c r="AC503" t="str">
        <f>IFERROR(VLOOKUP($A503,fund_metadata!$A:$P,16,FALSE),"")</f>
        <v>secondaries</v>
      </c>
    </row>
    <row r="504" spans="1:29" x14ac:dyDescent="0.25">
      <c r="A504">
        <v>8</v>
      </c>
      <c r="B504" s="3">
        <v>43220</v>
      </c>
      <c r="G504" s="5">
        <v>13.44</v>
      </c>
      <c r="H504" t="s">
        <v>89</v>
      </c>
      <c r="K504" s="7">
        <v>1.0500000000000001E-2</v>
      </c>
      <c r="L504" t="s">
        <v>89</v>
      </c>
      <c r="AB504" t="str">
        <f>IFERROR(VLOOKUP($A504,fund_metadata!$A:$P,2,FALSE),"")</f>
        <v>AMG Pantheon</v>
      </c>
      <c r="AC504" t="str">
        <f>IFERROR(VLOOKUP($A504,fund_metadata!$A:$P,16,FALSE),"")</f>
        <v>secondaries</v>
      </c>
    </row>
    <row r="505" spans="1:29" x14ac:dyDescent="0.25">
      <c r="A505">
        <v>8</v>
      </c>
      <c r="B505" s="3">
        <v>43190</v>
      </c>
      <c r="G505" s="5">
        <v>13.3</v>
      </c>
      <c r="H505" t="s">
        <v>89</v>
      </c>
      <c r="K505" s="7">
        <v>2.7E-2</v>
      </c>
      <c r="L505" t="s">
        <v>89</v>
      </c>
      <c r="N505">
        <v>7170000</v>
      </c>
      <c r="O505" t="s">
        <v>89</v>
      </c>
      <c r="AB505" t="str">
        <f>IFERROR(VLOOKUP($A505,fund_metadata!$A:$P,2,FALSE),"")</f>
        <v>AMG Pantheon</v>
      </c>
      <c r="AC505" t="str">
        <f>IFERROR(VLOOKUP($A505,fund_metadata!$A:$P,16,FALSE),"")</f>
        <v>secondaries</v>
      </c>
    </row>
    <row r="506" spans="1:29" x14ac:dyDescent="0.25">
      <c r="A506">
        <v>8</v>
      </c>
      <c r="B506" s="3">
        <v>43159</v>
      </c>
      <c r="G506" s="5">
        <v>12.95</v>
      </c>
      <c r="H506" t="s">
        <v>89</v>
      </c>
      <c r="K506" s="7">
        <v>5.4000000000000003E-3</v>
      </c>
      <c r="L506" t="s">
        <v>89</v>
      </c>
      <c r="AB506" t="str">
        <f>IFERROR(VLOOKUP($A506,fund_metadata!$A:$P,2,FALSE),"")</f>
        <v>AMG Pantheon</v>
      </c>
      <c r="AC506" t="str">
        <f>IFERROR(VLOOKUP($A506,fund_metadata!$A:$P,16,FALSE),"")</f>
        <v>secondaries</v>
      </c>
    </row>
    <row r="507" spans="1:29" x14ac:dyDescent="0.25">
      <c r="A507">
        <v>8</v>
      </c>
      <c r="B507" s="3">
        <v>43131</v>
      </c>
      <c r="G507" s="5">
        <v>12.88</v>
      </c>
      <c r="H507" t="s">
        <v>89</v>
      </c>
      <c r="K507" s="7">
        <v>1.9800000000000002E-2</v>
      </c>
      <c r="L507" t="s">
        <v>89</v>
      </c>
      <c r="AB507" t="str">
        <f>IFERROR(VLOOKUP($A507,fund_metadata!$A:$P,2,FALSE),"")</f>
        <v>AMG Pantheon</v>
      </c>
      <c r="AC507" t="str">
        <f>IFERROR(VLOOKUP($A507,fund_metadata!$A:$P,16,FALSE),"")</f>
        <v>secondaries</v>
      </c>
    </row>
    <row r="508" spans="1:29" x14ac:dyDescent="0.25">
      <c r="A508">
        <v>8</v>
      </c>
      <c r="B508" s="3">
        <v>43100</v>
      </c>
      <c r="G508" s="5">
        <v>12.63</v>
      </c>
      <c r="H508" t="s">
        <v>89</v>
      </c>
      <c r="K508" s="7">
        <v>1.5E-3</v>
      </c>
      <c r="L508" t="s">
        <v>89</v>
      </c>
      <c r="AB508" t="str">
        <f>IFERROR(VLOOKUP($A508,fund_metadata!$A:$P,2,FALSE),"")</f>
        <v>AMG Pantheon</v>
      </c>
      <c r="AC508" t="str">
        <f>IFERROR(VLOOKUP($A508,fund_metadata!$A:$P,16,FALSE),"")</f>
        <v>secondaries</v>
      </c>
    </row>
    <row r="509" spans="1:29" x14ac:dyDescent="0.25">
      <c r="A509">
        <v>8</v>
      </c>
      <c r="B509" s="3">
        <v>43069</v>
      </c>
      <c r="G509" s="5">
        <v>12.62</v>
      </c>
      <c r="H509" t="s">
        <v>89</v>
      </c>
      <c r="K509" s="7">
        <v>8.8000000000000005E-3</v>
      </c>
      <c r="L509" t="s">
        <v>89</v>
      </c>
      <c r="AB509" t="str">
        <f>IFERROR(VLOOKUP($A509,fund_metadata!$A:$P,2,FALSE),"")</f>
        <v>AMG Pantheon</v>
      </c>
      <c r="AC509" t="str">
        <f>IFERROR(VLOOKUP($A509,fund_metadata!$A:$P,16,FALSE),"")</f>
        <v>secondaries</v>
      </c>
    </row>
    <row r="510" spans="1:29" x14ac:dyDescent="0.25">
      <c r="A510">
        <v>8</v>
      </c>
      <c r="B510" s="3">
        <v>43039</v>
      </c>
      <c r="G510" s="5">
        <v>12.51</v>
      </c>
      <c r="H510" t="s">
        <v>89</v>
      </c>
      <c r="K510" s="7">
        <v>1.38E-2</v>
      </c>
      <c r="L510" t="s">
        <v>89</v>
      </c>
      <c r="AB510" t="str">
        <f>IFERROR(VLOOKUP($A510,fund_metadata!$A:$P,2,FALSE),"")</f>
        <v>AMG Pantheon</v>
      </c>
      <c r="AC510" t="str">
        <f>IFERROR(VLOOKUP($A510,fund_metadata!$A:$P,16,FALSE),"")</f>
        <v>secondaries</v>
      </c>
    </row>
    <row r="511" spans="1:29" x14ac:dyDescent="0.25">
      <c r="A511">
        <v>8</v>
      </c>
      <c r="B511" s="3">
        <v>43008</v>
      </c>
      <c r="G511" s="5">
        <v>12.34</v>
      </c>
      <c r="H511" t="s">
        <v>89</v>
      </c>
      <c r="K511" s="7">
        <v>4.1000000000000003E-3</v>
      </c>
      <c r="L511" t="s">
        <v>89</v>
      </c>
      <c r="N511">
        <v>5250000</v>
      </c>
      <c r="O511" t="s">
        <v>89</v>
      </c>
      <c r="AB511" t="str">
        <f>IFERROR(VLOOKUP($A511,fund_metadata!$A:$P,2,FALSE),"")</f>
        <v>AMG Pantheon</v>
      </c>
      <c r="AC511" t="str">
        <f>IFERROR(VLOOKUP($A511,fund_metadata!$A:$P,16,FALSE),"")</f>
        <v>secondaries</v>
      </c>
    </row>
    <row r="512" spans="1:29" x14ac:dyDescent="0.25">
      <c r="A512">
        <v>8</v>
      </c>
      <c r="B512" s="3">
        <v>42978</v>
      </c>
      <c r="G512" s="5">
        <v>12.29</v>
      </c>
      <c r="H512" t="s">
        <v>89</v>
      </c>
      <c r="K512" s="7">
        <v>2.6700000000000002E-2</v>
      </c>
      <c r="L512" t="s">
        <v>89</v>
      </c>
      <c r="AB512" t="str">
        <f>IFERROR(VLOOKUP($A512,fund_metadata!$A:$P,2,FALSE),"")</f>
        <v>AMG Pantheon</v>
      </c>
      <c r="AC512" t="str">
        <f>IFERROR(VLOOKUP($A512,fund_metadata!$A:$P,16,FALSE),"")</f>
        <v>secondaries</v>
      </c>
    </row>
    <row r="513" spans="1:29" x14ac:dyDescent="0.25">
      <c r="A513">
        <v>8</v>
      </c>
      <c r="B513" s="3">
        <v>42947</v>
      </c>
      <c r="G513" s="5">
        <v>11.97</v>
      </c>
      <c r="H513" t="s">
        <v>89</v>
      </c>
      <c r="K513" s="7">
        <v>7.6E-3</v>
      </c>
      <c r="L513" t="s">
        <v>89</v>
      </c>
      <c r="AB513" t="str">
        <f>IFERROR(VLOOKUP($A513,fund_metadata!$A:$P,2,FALSE),"")</f>
        <v>AMG Pantheon</v>
      </c>
      <c r="AC513" t="str">
        <f>IFERROR(VLOOKUP($A513,fund_metadata!$A:$P,16,FALSE),"")</f>
        <v>secondaries</v>
      </c>
    </row>
    <row r="514" spans="1:29" x14ac:dyDescent="0.25">
      <c r="A514">
        <v>8</v>
      </c>
      <c r="B514" s="3">
        <v>42916</v>
      </c>
      <c r="G514" s="5">
        <v>11.88</v>
      </c>
      <c r="H514" t="s">
        <v>89</v>
      </c>
      <c r="K514" s="7">
        <v>5.8999999999999999E-3</v>
      </c>
      <c r="L514" t="s">
        <v>89</v>
      </c>
      <c r="AB514" t="str">
        <f>IFERROR(VLOOKUP($A514,fund_metadata!$A:$P,2,FALSE),"")</f>
        <v>AMG Pantheon</v>
      </c>
      <c r="AC514" t="str">
        <f>IFERROR(VLOOKUP($A514,fund_metadata!$A:$P,16,FALSE),"")</f>
        <v>secondaries</v>
      </c>
    </row>
    <row r="515" spans="1:29" x14ac:dyDescent="0.25">
      <c r="A515">
        <v>8</v>
      </c>
      <c r="B515" s="3">
        <v>42886</v>
      </c>
      <c r="G515" s="5">
        <v>11.81</v>
      </c>
      <c r="H515" t="s">
        <v>89</v>
      </c>
      <c r="K515" s="7">
        <v>8.9499999999999996E-2</v>
      </c>
      <c r="L515" t="s">
        <v>89</v>
      </c>
      <c r="AB515" t="str">
        <f>IFERROR(VLOOKUP($A515,fund_metadata!$A:$P,2,FALSE),"")</f>
        <v>AMG Pantheon</v>
      </c>
      <c r="AC515" t="str">
        <f>IFERROR(VLOOKUP($A515,fund_metadata!$A:$P,16,FALSE),"")</f>
        <v>secondaries</v>
      </c>
    </row>
    <row r="516" spans="1:29" x14ac:dyDescent="0.25">
      <c r="A516">
        <v>8</v>
      </c>
      <c r="B516" s="3">
        <v>42855</v>
      </c>
      <c r="G516" s="5">
        <v>10.84</v>
      </c>
      <c r="H516" t="s">
        <v>89</v>
      </c>
      <c r="K516" s="7">
        <v>8.9999999999999998E-4</v>
      </c>
      <c r="L516" t="s">
        <v>89</v>
      </c>
      <c r="AB516" t="str">
        <f>IFERROR(VLOOKUP($A516,fund_metadata!$A:$P,2,FALSE),"")</f>
        <v>AMG Pantheon</v>
      </c>
      <c r="AC516" t="str">
        <f>IFERROR(VLOOKUP($A516,fund_metadata!$A:$P,16,FALSE),"")</f>
        <v>secondaries</v>
      </c>
    </row>
    <row r="517" spans="1:29" x14ac:dyDescent="0.25">
      <c r="A517">
        <v>8</v>
      </c>
      <c r="B517" s="3">
        <v>42825</v>
      </c>
      <c r="G517" s="5">
        <v>10.83</v>
      </c>
      <c r="H517" t="s">
        <v>89</v>
      </c>
      <c r="K517" s="7">
        <v>1.03E-2</v>
      </c>
      <c r="L517" t="s">
        <v>89</v>
      </c>
      <c r="AB517" t="str">
        <f>IFERROR(VLOOKUP($A517,fund_metadata!$A:$P,2,FALSE),"")</f>
        <v>AMG Pantheon</v>
      </c>
      <c r="AC517" t="str">
        <f>IFERROR(VLOOKUP($A517,fund_metadata!$A:$P,16,FALSE),"")</f>
        <v>secondaries</v>
      </c>
    </row>
    <row r="518" spans="1:29" x14ac:dyDescent="0.25">
      <c r="A518">
        <v>8</v>
      </c>
      <c r="B518" s="3">
        <v>42794</v>
      </c>
      <c r="G518" s="5">
        <v>10.72</v>
      </c>
      <c r="H518" t="s">
        <v>89</v>
      </c>
      <c r="K518" s="7">
        <v>1.32E-2</v>
      </c>
      <c r="L518" t="s">
        <v>89</v>
      </c>
      <c r="AB518" t="str">
        <f>IFERROR(VLOOKUP($A518,fund_metadata!$A:$P,2,FALSE),"")</f>
        <v>AMG Pantheon</v>
      </c>
      <c r="AC518" t="str">
        <f>IFERROR(VLOOKUP($A518,fund_metadata!$A:$P,16,FALSE),"")</f>
        <v>secondaries</v>
      </c>
    </row>
    <row r="519" spans="1:29" x14ac:dyDescent="0.25">
      <c r="A519">
        <v>8</v>
      </c>
      <c r="B519" s="3">
        <v>42766</v>
      </c>
      <c r="G519" s="5">
        <v>10.58</v>
      </c>
      <c r="H519" t="s">
        <v>89</v>
      </c>
      <c r="K519" s="7">
        <v>8.9999999999999998E-4</v>
      </c>
      <c r="L519" t="s">
        <v>89</v>
      </c>
      <c r="AB519" t="str">
        <f>IFERROR(VLOOKUP($A519,fund_metadata!$A:$P,2,FALSE),"")</f>
        <v>AMG Pantheon</v>
      </c>
      <c r="AC519" t="str">
        <f>IFERROR(VLOOKUP($A519,fund_metadata!$A:$P,16,FALSE),"")</f>
        <v>secondaries</v>
      </c>
    </row>
    <row r="520" spans="1:29" x14ac:dyDescent="0.25">
      <c r="A520">
        <v>8</v>
      </c>
      <c r="B520" s="3">
        <v>42735</v>
      </c>
      <c r="G520" s="5">
        <v>10.57</v>
      </c>
      <c r="H520" t="s">
        <v>89</v>
      </c>
      <c r="K520" s="7">
        <v>1.9E-3</v>
      </c>
      <c r="L520" t="s">
        <v>89</v>
      </c>
      <c r="AB520" t="str">
        <f>IFERROR(VLOOKUP($A520,fund_metadata!$A:$P,2,FALSE),"")</f>
        <v>AMG Pantheon</v>
      </c>
      <c r="AC520" t="str">
        <f>IFERROR(VLOOKUP($A520,fund_metadata!$A:$P,16,FALSE),"")</f>
        <v>secondaries</v>
      </c>
    </row>
    <row r="521" spans="1:29" x14ac:dyDescent="0.25">
      <c r="A521">
        <v>8</v>
      </c>
      <c r="B521" s="3">
        <v>42704</v>
      </c>
      <c r="G521" s="5">
        <v>10.55</v>
      </c>
      <c r="H521" t="s">
        <v>89</v>
      </c>
      <c r="K521" s="7">
        <v>1.9300000000000001E-2</v>
      </c>
      <c r="L521" t="s">
        <v>89</v>
      </c>
      <c r="AB521" t="str">
        <f>IFERROR(VLOOKUP($A521,fund_metadata!$A:$P,2,FALSE),"")</f>
        <v>AMG Pantheon</v>
      </c>
      <c r="AC521" t="str">
        <f>IFERROR(VLOOKUP($A521,fund_metadata!$A:$P,16,FALSE),"")</f>
        <v>secondaries</v>
      </c>
    </row>
    <row r="522" spans="1:29" x14ac:dyDescent="0.25">
      <c r="A522">
        <v>8</v>
      </c>
      <c r="B522" s="3">
        <v>42674</v>
      </c>
      <c r="G522" s="5">
        <v>10.35</v>
      </c>
      <c r="H522" t="s">
        <v>89</v>
      </c>
      <c r="K522" s="7">
        <v>-3.8E-3</v>
      </c>
      <c r="L522" t="s">
        <v>89</v>
      </c>
      <c r="AB522" t="str">
        <f>IFERROR(VLOOKUP($A522,fund_metadata!$A:$P,2,FALSE),"")</f>
        <v>AMG Pantheon</v>
      </c>
      <c r="AC522" t="str">
        <f>IFERROR(VLOOKUP($A522,fund_metadata!$A:$P,16,FALSE),"")</f>
        <v>secondaries</v>
      </c>
    </row>
    <row r="523" spans="1:29" x14ac:dyDescent="0.25">
      <c r="A523">
        <v>8</v>
      </c>
      <c r="B523" s="3">
        <v>42643</v>
      </c>
      <c r="G523" s="5">
        <v>10.39</v>
      </c>
      <c r="H523" t="s">
        <v>89</v>
      </c>
      <c r="K523" s="7">
        <v>0</v>
      </c>
      <c r="L523" t="s">
        <v>89</v>
      </c>
      <c r="N523">
        <v>2700000</v>
      </c>
      <c r="O523" t="s">
        <v>89</v>
      </c>
      <c r="AB523" t="str">
        <f>IFERROR(VLOOKUP($A523,fund_metadata!$A:$P,2,FALSE),"")</f>
        <v>AMG Pantheon</v>
      </c>
      <c r="AC523" t="str">
        <f>IFERROR(VLOOKUP($A523,fund_metadata!$A:$P,16,FALSE),"")</f>
        <v>secondaries</v>
      </c>
    </row>
    <row r="524" spans="1:29" x14ac:dyDescent="0.25">
      <c r="A524">
        <v>8</v>
      </c>
      <c r="B524" s="3">
        <v>42613</v>
      </c>
      <c r="G524" s="5">
        <v>10.39</v>
      </c>
      <c r="H524" t="s">
        <v>89</v>
      </c>
      <c r="K524" s="7">
        <v>2.8999999999999998E-3</v>
      </c>
      <c r="L524" t="s">
        <v>89</v>
      </c>
      <c r="AB524" t="str">
        <f>IFERROR(VLOOKUP($A524,fund_metadata!$A:$P,2,FALSE),"")</f>
        <v>AMG Pantheon</v>
      </c>
      <c r="AC524" t="str">
        <f>IFERROR(VLOOKUP($A524,fund_metadata!$A:$P,16,FALSE),"")</f>
        <v>secondaries</v>
      </c>
    </row>
    <row r="525" spans="1:29" x14ac:dyDescent="0.25">
      <c r="A525">
        <v>8</v>
      </c>
      <c r="B525" s="3">
        <v>42582</v>
      </c>
      <c r="G525" s="5">
        <v>10.36</v>
      </c>
      <c r="H525" t="s">
        <v>89</v>
      </c>
      <c r="K525" s="7">
        <v>3.8999999999999998E-3</v>
      </c>
      <c r="L525" t="s">
        <v>89</v>
      </c>
      <c r="AB525" t="str">
        <f>IFERROR(VLOOKUP($A525,fund_metadata!$A:$P,2,FALSE),"")</f>
        <v>AMG Pantheon</v>
      </c>
      <c r="AC525" t="str">
        <f>IFERROR(VLOOKUP($A525,fund_metadata!$A:$P,16,FALSE),"")</f>
        <v>secondaries</v>
      </c>
    </row>
    <row r="526" spans="1:29" x14ac:dyDescent="0.25">
      <c r="A526">
        <v>8</v>
      </c>
      <c r="B526" s="3">
        <v>42551</v>
      </c>
      <c r="G526" s="5">
        <v>10.32</v>
      </c>
      <c r="H526" t="s">
        <v>89</v>
      </c>
      <c r="K526" s="7">
        <v>0</v>
      </c>
      <c r="L526" t="s">
        <v>89</v>
      </c>
      <c r="AB526" t="str">
        <f>IFERROR(VLOOKUP($A526,fund_metadata!$A:$P,2,FALSE),"")</f>
        <v>AMG Pantheon</v>
      </c>
      <c r="AC526" t="str">
        <f>IFERROR(VLOOKUP($A526,fund_metadata!$A:$P,16,FALSE),"")</f>
        <v>secondaries</v>
      </c>
    </row>
    <row r="527" spans="1:29" x14ac:dyDescent="0.25">
      <c r="A527">
        <v>8</v>
      </c>
      <c r="B527" s="3">
        <v>42521</v>
      </c>
      <c r="G527" s="5">
        <v>10.32</v>
      </c>
      <c r="H527" t="s">
        <v>89</v>
      </c>
      <c r="K527" s="7">
        <v>2.8999999999999998E-3</v>
      </c>
      <c r="L527" t="s">
        <v>89</v>
      </c>
      <c r="AB527" t="str">
        <f>IFERROR(VLOOKUP($A527,fund_metadata!$A:$P,2,FALSE),"")</f>
        <v>AMG Pantheon</v>
      </c>
      <c r="AC527" t="str">
        <f>IFERROR(VLOOKUP($A527,fund_metadata!$A:$P,16,FALSE),"")</f>
        <v>secondaries</v>
      </c>
    </row>
    <row r="528" spans="1:29" x14ac:dyDescent="0.25">
      <c r="A528">
        <v>8</v>
      </c>
      <c r="B528" s="3">
        <v>42490</v>
      </c>
      <c r="G528" s="5">
        <v>10.29</v>
      </c>
      <c r="H528" t="s">
        <v>89</v>
      </c>
      <c r="K528" s="7">
        <v>0</v>
      </c>
      <c r="L528" t="s">
        <v>89</v>
      </c>
      <c r="AB528" t="str">
        <f>IFERROR(VLOOKUP($A528,fund_metadata!$A:$P,2,FALSE),"")</f>
        <v>AMG Pantheon</v>
      </c>
      <c r="AC528" t="str">
        <f>IFERROR(VLOOKUP($A528,fund_metadata!$A:$P,16,FALSE),"")</f>
        <v>secondaries</v>
      </c>
    </row>
    <row r="529" spans="1:29" x14ac:dyDescent="0.25">
      <c r="A529">
        <v>8</v>
      </c>
      <c r="B529" s="3">
        <v>42460</v>
      </c>
      <c r="G529" s="5">
        <v>10.29</v>
      </c>
      <c r="H529" t="s">
        <v>89</v>
      </c>
      <c r="K529" s="7">
        <v>7.7999999999999996E-3</v>
      </c>
      <c r="L529" t="s">
        <v>89</v>
      </c>
      <c r="AB529" t="str">
        <f>IFERROR(VLOOKUP($A529,fund_metadata!$A:$P,2,FALSE),"")</f>
        <v>AMG Pantheon</v>
      </c>
      <c r="AC529" t="str">
        <f>IFERROR(VLOOKUP($A529,fund_metadata!$A:$P,16,FALSE),"")</f>
        <v>secondaries</v>
      </c>
    </row>
    <row r="530" spans="1:29" x14ac:dyDescent="0.25">
      <c r="A530">
        <v>8</v>
      </c>
      <c r="B530" s="3">
        <v>42429</v>
      </c>
      <c r="G530" s="5">
        <v>10.210000000000001</v>
      </c>
      <c r="H530" t="s">
        <v>89</v>
      </c>
      <c r="K530" s="7">
        <v>-1E-3</v>
      </c>
      <c r="L530" t="s">
        <v>89</v>
      </c>
      <c r="AB530" t="str">
        <f>IFERROR(VLOOKUP($A530,fund_metadata!$A:$P,2,FALSE),"")</f>
        <v>AMG Pantheon</v>
      </c>
      <c r="AC530" t="str">
        <f>IFERROR(VLOOKUP($A530,fund_metadata!$A:$P,16,FALSE),"")</f>
        <v>secondaries</v>
      </c>
    </row>
    <row r="531" spans="1:29" x14ac:dyDescent="0.25">
      <c r="A531">
        <v>8</v>
      </c>
      <c r="B531" s="3">
        <v>42400</v>
      </c>
      <c r="G531" s="5">
        <v>10.220000000000001</v>
      </c>
      <c r="H531" t="s">
        <v>89</v>
      </c>
      <c r="K531" s="7">
        <v>-5.7999999999999996E-3</v>
      </c>
      <c r="L531" t="s">
        <v>89</v>
      </c>
      <c r="AB531" t="str">
        <f>IFERROR(VLOOKUP($A531,fund_metadata!$A:$P,2,FALSE),"")</f>
        <v>AMG Pantheon</v>
      </c>
      <c r="AC531" t="str">
        <f>IFERROR(VLOOKUP($A531,fund_metadata!$A:$P,16,FALSE),"")</f>
        <v>secondaries</v>
      </c>
    </row>
    <row r="532" spans="1:29" x14ac:dyDescent="0.25">
      <c r="A532">
        <v>8</v>
      </c>
      <c r="B532" s="3">
        <v>42369</v>
      </c>
      <c r="G532" s="5">
        <v>10.28</v>
      </c>
      <c r="H532" t="s">
        <v>89</v>
      </c>
      <c r="K532" s="7">
        <v>1.9E-3</v>
      </c>
      <c r="L532" t="s">
        <v>89</v>
      </c>
      <c r="AB532" t="str">
        <f>IFERROR(VLOOKUP($A532,fund_metadata!$A:$P,2,FALSE),"")</f>
        <v>AMG Pantheon</v>
      </c>
      <c r="AC532" t="str">
        <f>IFERROR(VLOOKUP($A532,fund_metadata!$A:$P,16,FALSE),"")</f>
        <v>secondaries</v>
      </c>
    </row>
    <row r="533" spans="1:29" x14ac:dyDescent="0.25">
      <c r="A533">
        <v>8</v>
      </c>
      <c r="B533" s="3">
        <v>42338</v>
      </c>
      <c r="G533" s="5">
        <v>10.26</v>
      </c>
      <c r="H533" t="s">
        <v>89</v>
      </c>
      <c r="K533" s="7">
        <v>-1E-3</v>
      </c>
      <c r="L533" t="s">
        <v>89</v>
      </c>
      <c r="AB533" t="str">
        <f>IFERROR(VLOOKUP($A533,fund_metadata!$A:$P,2,FALSE),"")</f>
        <v>AMG Pantheon</v>
      </c>
      <c r="AC533" t="str">
        <f>IFERROR(VLOOKUP($A533,fund_metadata!$A:$P,16,FALSE),"")</f>
        <v>secondaries</v>
      </c>
    </row>
    <row r="534" spans="1:29" x14ac:dyDescent="0.25">
      <c r="A534">
        <v>8</v>
      </c>
      <c r="B534" s="3">
        <v>42308</v>
      </c>
      <c r="G534" s="5">
        <v>10.27</v>
      </c>
      <c r="H534" t="s">
        <v>89</v>
      </c>
      <c r="AB534" t="str">
        <f>IFERROR(VLOOKUP($A534,fund_metadata!$A:$P,2,FALSE),"")</f>
        <v>AMG Pantheon</v>
      </c>
      <c r="AC534" t="str">
        <f>IFERROR(VLOOKUP($A534,fund_metadata!$A:$P,16,FALSE),"")</f>
        <v>secondaries</v>
      </c>
    </row>
    <row r="535" spans="1:29" x14ac:dyDescent="0.25">
      <c r="A535">
        <v>4</v>
      </c>
      <c r="B535" s="3">
        <v>46022</v>
      </c>
      <c r="K535" s="7">
        <v>1.44E-2</v>
      </c>
      <c r="L535" t="s">
        <v>122</v>
      </c>
      <c r="AB535" t="str">
        <f>IFERROR(VLOOKUP($A535,fund_metadata!$A:$P,2,FALSE),"")</f>
        <v>Coller Secondaries</v>
      </c>
      <c r="AC535" t="str">
        <f>IFERROR(VLOOKUP($A535,fund_metadata!$A:$P,16,FALSE),"")</f>
        <v>secondaries</v>
      </c>
    </row>
    <row r="536" spans="1:29" x14ac:dyDescent="0.25">
      <c r="A536">
        <v>4</v>
      </c>
      <c r="B536" s="3">
        <v>45991</v>
      </c>
      <c r="K536" s="7">
        <v>5.7999999999999996E-3</v>
      </c>
      <c r="L536" t="s">
        <v>122</v>
      </c>
      <c r="AB536" t="str">
        <f>IFERROR(VLOOKUP($A536,fund_metadata!$A:$P,2,FALSE),"")</f>
        <v>Coller Secondaries</v>
      </c>
      <c r="AC536" t="str">
        <f>IFERROR(VLOOKUP($A536,fund_metadata!$A:$P,16,FALSE),"")</f>
        <v>secondaries</v>
      </c>
    </row>
    <row r="537" spans="1:29" x14ac:dyDescent="0.25">
      <c r="A537">
        <v>4</v>
      </c>
      <c r="B537" s="3">
        <v>45961</v>
      </c>
      <c r="K537" s="7">
        <v>5.7000000000000002E-3</v>
      </c>
      <c r="L537" t="s">
        <v>122</v>
      </c>
      <c r="AB537" t="str">
        <f>IFERROR(VLOOKUP($A537,fund_metadata!$A:$P,2,FALSE),"")</f>
        <v>Coller Secondaries</v>
      </c>
      <c r="AC537" t="str">
        <f>IFERROR(VLOOKUP($A537,fund_metadata!$A:$P,16,FALSE),"")</f>
        <v>secondaries</v>
      </c>
    </row>
    <row r="538" spans="1:29" x14ac:dyDescent="0.25">
      <c r="A538">
        <v>4</v>
      </c>
      <c r="B538" s="3">
        <v>45930</v>
      </c>
      <c r="K538" s="7">
        <v>1.9099999999999999E-2</v>
      </c>
      <c r="L538" t="s">
        <v>122</v>
      </c>
      <c r="AB538" t="str">
        <f>IFERROR(VLOOKUP($A538,fund_metadata!$A:$P,2,FALSE),"")</f>
        <v>Coller Secondaries</v>
      </c>
      <c r="AC538" t="str">
        <f>IFERROR(VLOOKUP($A538,fund_metadata!$A:$P,16,FALSE),"")</f>
        <v>secondaries</v>
      </c>
    </row>
    <row r="539" spans="1:29" x14ac:dyDescent="0.25">
      <c r="A539">
        <v>4</v>
      </c>
      <c r="B539" s="3">
        <v>45900</v>
      </c>
      <c r="K539" s="7">
        <v>1.1299999999999999E-2</v>
      </c>
      <c r="L539" t="s">
        <v>122</v>
      </c>
      <c r="AB539" t="str">
        <f>IFERROR(VLOOKUP($A539,fund_metadata!$A:$P,2,FALSE),"")</f>
        <v>Coller Secondaries</v>
      </c>
      <c r="AC539" t="str">
        <f>IFERROR(VLOOKUP($A539,fund_metadata!$A:$P,16,FALSE),"")</f>
        <v>secondaries</v>
      </c>
    </row>
    <row r="540" spans="1:29" x14ac:dyDescent="0.25">
      <c r="A540">
        <v>4</v>
      </c>
      <c r="B540" s="3">
        <v>45869</v>
      </c>
      <c r="K540" s="7">
        <v>1.1900000000000001E-2</v>
      </c>
      <c r="L540" t="s">
        <v>122</v>
      </c>
      <c r="AB540" t="str">
        <f>IFERROR(VLOOKUP($A540,fund_metadata!$A:$P,2,FALSE),"")</f>
        <v>Coller Secondaries</v>
      </c>
      <c r="AC540" t="str">
        <f>IFERROR(VLOOKUP($A540,fund_metadata!$A:$P,16,FALSE),"")</f>
        <v>secondaries</v>
      </c>
    </row>
    <row r="541" spans="1:29" x14ac:dyDescent="0.25">
      <c r="A541">
        <v>4</v>
      </c>
      <c r="B541" s="3">
        <v>45838</v>
      </c>
      <c r="K541" s="7">
        <v>3.7600000000000001E-2</v>
      </c>
      <c r="L541" t="s">
        <v>122</v>
      </c>
      <c r="AB541" t="str">
        <f>IFERROR(VLOOKUP($A541,fund_metadata!$A:$P,2,FALSE),"")</f>
        <v>Coller Secondaries</v>
      </c>
      <c r="AC541" t="str">
        <f>IFERROR(VLOOKUP($A541,fund_metadata!$A:$P,16,FALSE),"")</f>
        <v>secondaries</v>
      </c>
    </row>
    <row r="542" spans="1:29" x14ac:dyDescent="0.25">
      <c r="A542">
        <v>4</v>
      </c>
      <c r="B542" s="3">
        <v>45412</v>
      </c>
      <c r="K542" s="7">
        <v>1.34E-2</v>
      </c>
      <c r="L542" t="s">
        <v>122</v>
      </c>
      <c r="AB542" t="str">
        <f>IFERROR(VLOOKUP($A542,fund_metadata!$A:$P,2,FALSE),"")</f>
        <v>Coller Secondaries</v>
      </c>
      <c r="AC542" t="str">
        <f>IFERROR(VLOOKUP($A542,fund_metadata!$A:$P,16,FALSE),"")</f>
        <v>secondaries</v>
      </c>
    </row>
    <row r="543" spans="1:29" x14ac:dyDescent="0.25">
      <c r="A543">
        <v>9</v>
      </c>
      <c r="B543" s="3">
        <v>46142</v>
      </c>
      <c r="K543" s="7">
        <v>-2.9999999999999997E-4</v>
      </c>
      <c r="L543" t="s">
        <v>122</v>
      </c>
      <c r="AB543" t="str">
        <f>IFERROR(VLOOKUP($A543,fund_metadata!$A:$P,2,FALSE),"")</f>
        <v>FLEX</v>
      </c>
      <c r="AC543" t="str">
        <f>IFERROR(VLOOKUP($A543,fund_metadata!$A:$P,16,FALSE),"")</f>
        <v>secondaries</v>
      </c>
    </row>
    <row r="544" spans="1:29" x14ac:dyDescent="0.25">
      <c r="A544">
        <v>9</v>
      </c>
      <c r="B544" s="3">
        <v>45991</v>
      </c>
      <c r="K544" s="7">
        <v>2.6200000000000001E-2</v>
      </c>
      <c r="L544" t="s">
        <v>122</v>
      </c>
      <c r="AB544" t="str">
        <f>IFERROR(VLOOKUP($A544,fund_metadata!$A:$P,2,FALSE),"")</f>
        <v>FLEX</v>
      </c>
      <c r="AC544" t="str">
        <f>IFERROR(VLOOKUP($A544,fund_metadata!$A:$P,16,FALSE),"")</f>
        <v>secondaries</v>
      </c>
    </row>
    <row r="545" spans="1:29" x14ac:dyDescent="0.25">
      <c r="A545">
        <v>9</v>
      </c>
      <c r="B545" s="3">
        <v>45961</v>
      </c>
      <c r="K545" s="7">
        <v>8.5000000000000006E-3</v>
      </c>
      <c r="L545" t="s">
        <v>122</v>
      </c>
      <c r="AB545" t="str">
        <f>IFERROR(VLOOKUP($A545,fund_metadata!$A:$P,2,FALSE),"")</f>
        <v>FLEX</v>
      </c>
      <c r="AC545" t="str">
        <f>IFERROR(VLOOKUP($A545,fund_metadata!$A:$P,16,FALSE),"")</f>
        <v>secondaries</v>
      </c>
    </row>
    <row r="546" spans="1:29" x14ac:dyDescent="0.25">
      <c r="A546">
        <v>9</v>
      </c>
      <c r="B546" s="3">
        <v>45930</v>
      </c>
      <c r="K546" s="7">
        <v>6.4999999999999997E-3</v>
      </c>
      <c r="L546" t="s">
        <v>122</v>
      </c>
      <c r="AB546" t="str">
        <f>IFERROR(VLOOKUP($A546,fund_metadata!$A:$P,2,FALSE),"")</f>
        <v>FLEX</v>
      </c>
      <c r="AC546" t="str">
        <f>IFERROR(VLOOKUP($A546,fund_metadata!$A:$P,16,FALSE),"")</f>
        <v>secondaries</v>
      </c>
    </row>
    <row r="547" spans="1:29" x14ac:dyDescent="0.25">
      <c r="A547">
        <v>9</v>
      </c>
      <c r="B547" s="3">
        <v>45900</v>
      </c>
      <c r="K547" s="7">
        <v>3.1300000000000001E-2</v>
      </c>
      <c r="L547" t="s">
        <v>122</v>
      </c>
      <c r="AB547" t="str">
        <f>IFERROR(VLOOKUP($A547,fund_metadata!$A:$P,2,FALSE),"")</f>
        <v>FLEX</v>
      </c>
      <c r="AC547" t="str">
        <f>IFERROR(VLOOKUP($A547,fund_metadata!$A:$P,16,FALSE),"")</f>
        <v>secondaries</v>
      </c>
    </row>
    <row r="548" spans="1:29" x14ac:dyDescent="0.25">
      <c r="A548">
        <v>9</v>
      </c>
      <c r="B548" s="3">
        <v>45869</v>
      </c>
      <c r="K548" s="7">
        <v>3.2000000000000002E-3</v>
      </c>
      <c r="L548" t="s">
        <v>122</v>
      </c>
      <c r="AB548" t="str">
        <f>IFERROR(VLOOKUP($A548,fund_metadata!$A:$P,2,FALSE),"")</f>
        <v>FLEX</v>
      </c>
      <c r="AC548" t="str">
        <f>IFERROR(VLOOKUP($A548,fund_metadata!$A:$P,16,FALSE),"")</f>
        <v>secondaries</v>
      </c>
    </row>
    <row r="549" spans="1:29" x14ac:dyDescent="0.25">
      <c r="A549">
        <v>9</v>
      </c>
      <c r="B549" s="3">
        <v>45838</v>
      </c>
      <c r="K549" s="7">
        <v>2.7199999999999998E-2</v>
      </c>
      <c r="L549" t="s">
        <v>122</v>
      </c>
      <c r="AB549" t="str">
        <f>IFERROR(VLOOKUP($A549,fund_metadata!$A:$P,2,FALSE),"")</f>
        <v>FLEX</v>
      </c>
      <c r="AC549" t="str">
        <f>IFERROR(VLOOKUP($A549,fund_metadata!$A:$P,16,FALSE),"")</f>
        <v>secondaries</v>
      </c>
    </row>
    <row r="550" spans="1:29" x14ac:dyDescent="0.25">
      <c r="A550">
        <v>9</v>
      </c>
      <c r="B550" s="3">
        <v>45808</v>
      </c>
      <c r="K550" s="7">
        <v>9.9000000000000008E-3</v>
      </c>
      <c r="L550" t="s">
        <v>122</v>
      </c>
      <c r="AB550" t="str">
        <f>IFERROR(VLOOKUP($A550,fund_metadata!$A:$P,2,FALSE),"")</f>
        <v>FLEX</v>
      </c>
      <c r="AC550" t="str">
        <f>IFERROR(VLOOKUP($A550,fund_metadata!$A:$P,16,FALSE),"")</f>
        <v>secondaries</v>
      </c>
    </row>
    <row r="551" spans="1:29" x14ac:dyDescent="0.25">
      <c r="A551">
        <v>9</v>
      </c>
      <c r="B551" s="3">
        <v>45777</v>
      </c>
      <c r="K551" s="7">
        <v>8.0999999999999996E-3</v>
      </c>
      <c r="L551" t="s">
        <v>122</v>
      </c>
      <c r="AB551" t="str">
        <f>IFERROR(VLOOKUP($A551,fund_metadata!$A:$P,2,FALSE),"")</f>
        <v>FLEX</v>
      </c>
      <c r="AC551" t="str">
        <f>IFERROR(VLOOKUP($A551,fund_metadata!$A:$P,16,FALSE),"")</f>
        <v>secondaries</v>
      </c>
    </row>
    <row r="552" spans="1:29" x14ac:dyDescent="0.25">
      <c r="A552">
        <v>9</v>
      </c>
      <c r="B552" s="3">
        <v>45747</v>
      </c>
      <c r="K552" s="7">
        <v>1.3100000000000001E-2</v>
      </c>
      <c r="L552" t="s">
        <v>122</v>
      </c>
      <c r="AB552" t="str">
        <f>IFERROR(VLOOKUP($A552,fund_metadata!$A:$P,2,FALSE),"")</f>
        <v>FLEX</v>
      </c>
      <c r="AC552" t="str">
        <f>IFERROR(VLOOKUP($A552,fund_metadata!$A:$P,16,FALSE),"")</f>
        <v>secondaries</v>
      </c>
    </row>
    <row r="553" spans="1:29" x14ac:dyDescent="0.25">
      <c r="A553">
        <v>9</v>
      </c>
      <c r="B553" s="3">
        <v>45716</v>
      </c>
      <c r="K553" s="7">
        <v>4.0000000000000002E-4</v>
      </c>
      <c r="L553" t="s">
        <v>122</v>
      </c>
      <c r="AB553" t="str">
        <f>IFERROR(VLOOKUP($A553,fund_metadata!$A:$P,2,FALSE),"")</f>
        <v>FLEX</v>
      </c>
      <c r="AC553" t="str">
        <f>IFERROR(VLOOKUP($A553,fund_metadata!$A:$P,16,FALSE),"")</f>
        <v>secondaries</v>
      </c>
    </row>
    <row r="554" spans="1:29" x14ac:dyDescent="0.25">
      <c r="A554">
        <v>9</v>
      </c>
      <c r="B554" s="3">
        <v>45688</v>
      </c>
      <c r="K554" s="7">
        <v>1.7100000000000001E-2</v>
      </c>
      <c r="L554" t="s">
        <v>122</v>
      </c>
      <c r="AB554" t="str">
        <f>IFERROR(VLOOKUP($A554,fund_metadata!$A:$P,2,FALSE),"")</f>
        <v>FLEX</v>
      </c>
      <c r="AC554" t="str">
        <f>IFERROR(VLOOKUP($A554,fund_metadata!$A:$P,16,FALSE),"")</f>
        <v>secondaries</v>
      </c>
    </row>
    <row r="555" spans="1:29" x14ac:dyDescent="0.25">
      <c r="A555">
        <v>9</v>
      </c>
      <c r="B555" s="3">
        <v>45657</v>
      </c>
      <c r="K555" s="7">
        <v>5.28E-2</v>
      </c>
      <c r="L555" t="s">
        <v>122</v>
      </c>
      <c r="AB555" t="str">
        <f>IFERROR(VLOOKUP($A555,fund_metadata!$A:$P,2,FALSE),"")</f>
        <v>FLEX</v>
      </c>
      <c r="AC555" t="str">
        <f>IFERROR(VLOOKUP($A555,fund_metadata!$A:$P,16,FALSE),"")</f>
        <v>secondaries</v>
      </c>
    </row>
    <row r="556" spans="1:29" x14ac:dyDescent="0.25">
      <c r="A556">
        <v>7</v>
      </c>
      <c r="B556" s="3">
        <v>45291</v>
      </c>
      <c r="G556" s="5">
        <v>33.74</v>
      </c>
      <c r="H556" t="s">
        <v>108</v>
      </c>
      <c r="I556">
        <v>0</v>
      </c>
      <c r="J556" t="s">
        <v>108</v>
      </c>
      <c r="K556" s="2">
        <v>4.4660000000000004E-3</v>
      </c>
      <c r="L556" t="s">
        <v>108</v>
      </c>
      <c r="AB556" t="str">
        <f>IFERROR(VLOOKUP($A556,fund_metadata!$A:$P,2,FALSE),"")</f>
        <v>Stepstone PV/Growth</v>
      </c>
      <c r="AC556" t="str">
        <f>IFERROR(VLOOKUP($A556,fund_metadata!$A:$P,16,FALSE),"")</f>
        <v>venture</v>
      </c>
    </row>
    <row r="557" spans="1:29" x14ac:dyDescent="0.25">
      <c r="A557">
        <v>7</v>
      </c>
      <c r="B557" s="3">
        <v>45322</v>
      </c>
      <c r="G557" s="5">
        <v>35.270000000000003</v>
      </c>
      <c r="H557" t="s">
        <v>108</v>
      </c>
      <c r="I557">
        <v>0</v>
      </c>
      <c r="J557" t="s">
        <v>108</v>
      </c>
      <c r="K557" s="2">
        <v>4.5346999999999998E-2</v>
      </c>
      <c r="L557" t="s">
        <v>108</v>
      </c>
      <c r="AB557" t="str">
        <f>IFERROR(VLOOKUP($A557,fund_metadata!$A:$P,2,FALSE),"")</f>
        <v>Stepstone PV/Growth</v>
      </c>
      <c r="AC557" t="str">
        <f>IFERROR(VLOOKUP($A557,fund_metadata!$A:$P,16,FALSE),"")</f>
        <v>venture</v>
      </c>
    </row>
    <row r="558" spans="1:29" x14ac:dyDescent="0.25">
      <c r="A558">
        <v>7</v>
      </c>
      <c r="B558" s="3">
        <v>45351</v>
      </c>
      <c r="G558" s="5">
        <v>35.1</v>
      </c>
      <c r="H558" t="s">
        <v>108</v>
      </c>
      <c r="I558">
        <v>0</v>
      </c>
      <c r="J558" t="s">
        <v>108</v>
      </c>
      <c r="K558" s="2">
        <v>-4.8199999999999996E-3</v>
      </c>
      <c r="L558" t="s">
        <v>108</v>
      </c>
      <c r="AB558" t="str">
        <f>IFERROR(VLOOKUP($A558,fund_metadata!$A:$P,2,FALSE),"")</f>
        <v>Stepstone PV/Growth</v>
      </c>
      <c r="AC558" t="str">
        <f>IFERROR(VLOOKUP($A558,fund_metadata!$A:$P,16,FALSE),"")</f>
        <v>venture</v>
      </c>
    </row>
    <row r="559" spans="1:29" x14ac:dyDescent="0.25">
      <c r="A559">
        <v>7</v>
      </c>
      <c r="B559" s="3">
        <v>45382</v>
      </c>
      <c r="G559" s="5">
        <v>35.54</v>
      </c>
      <c r="H559" t="s">
        <v>108</v>
      </c>
      <c r="I559">
        <v>0</v>
      </c>
      <c r="J559" t="s">
        <v>108</v>
      </c>
      <c r="K559" s="2">
        <v>1.2536E-2</v>
      </c>
      <c r="L559" t="s">
        <v>108</v>
      </c>
      <c r="AB559" t="str">
        <f>IFERROR(VLOOKUP($A559,fund_metadata!$A:$P,2,FALSE),"")</f>
        <v>Stepstone PV/Growth</v>
      </c>
      <c r="AC559" t="str">
        <f>IFERROR(VLOOKUP($A559,fund_metadata!$A:$P,16,FALSE),"")</f>
        <v>venture</v>
      </c>
    </row>
    <row r="560" spans="1:29" x14ac:dyDescent="0.25">
      <c r="A560">
        <v>7</v>
      </c>
      <c r="B560" s="3">
        <v>45412</v>
      </c>
      <c r="G560" s="5">
        <v>36.56</v>
      </c>
      <c r="H560" t="s">
        <v>108</v>
      </c>
      <c r="I560">
        <v>0</v>
      </c>
      <c r="J560" t="s">
        <v>108</v>
      </c>
      <c r="K560" s="2">
        <v>2.87E-2</v>
      </c>
      <c r="L560" t="s">
        <v>108</v>
      </c>
      <c r="AB560" t="str">
        <f>IFERROR(VLOOKUP($A560,fund_metadata!$A:$P,2,FALSE),"")</f>
        <v>Stepstone PV/Growth</v>
      </c>
      <c r="AC560" t="str">
        <f>IFERROR(VLOOKUP($A560,fund_metadata!$A:$P,16,FALSE),"")</f>
        <v>venture</v>
      </c>
    </row>
    <row r="561" spans="1:29" x14ac:dyDescent="0.25">
      <c r="A561">
        <v>7</v>
      </c>
      <c r="B561" s="3">
        <v>45443</v>
      </c>
      <c r="G561" s="5">
        <v>36.450000000000003</v>
      </c>
      <c r="H561" t="s">
        <v>108</v>
      </c>
      <c r="I561">
        <v>0</v>
      </c>
      <c r="J561" t="s">
        <v>108</v>
      </c>
      <c r="K561" s="2">
        <v>-3.009E-3</v>
      </c>
      <c r="L561" t="s">
        <v>108</v>
      </c>
      <c r="AB561" t="str">
        <f>IFERROR(VLOOKUP($A561,fund_metadata!$A:$P,2,FALSE),"")</f>
        <v>Stepstone PV/Growth</v>
      </c>
      <c r="AC561" t="str">
        <f>IFERROR(VLOOKUP($A561,fund_metadata!$A:$P,16,FALSE),"")</f>
        <v>venture</v>
      </c>
    </row>
    <row r="562" spans="1:29" x14ac:dyDescent="0.25">
      <c r="A562">
        <v>7</v>
      </c>
      <c r="B562" s="3">
        <v>45473</v>
      </c>
      <c r="G562" s="5">
        <v>37.03</v>
      </c>
      <c r="H562" t="s">
        <v>108</v>
      </c>
      <c r="I562">
        <v>0</v>
      </c>
      <c r="J562" t="s">
        <v>108</v>
      </c>
      <c r="K562" s="2">
        <v>1.5911999999999999E-2</v>
      </c>
      <c r="L562" t="s">
        <v>108</v>
      </c>
      <c r="AB562" t="str">
        <f>IFERROR(VLOOKUP($A562,fund_metadata!$A:$P,2,FALSE),"")</f>
        <v>Stepstone PV/Growth</v>
      </c>
      <c r="AC562" t="str">
        <f>IFERROR(VLOOKUP($A562,fund_metadata!$A:$P,16,FALSE),"")</f>
        <v>venture</v>
      </c>
    </row>
    <row r="563" spans="1:29" x14ac:dyDescent="0.25">
      <c r="A563">
        <v>7</v>
      </c>
      <c r="B563" s="3">
        <v>45504</v>
      </c>
      <c r="G563" s="5">
        <v>37.92</v>
      </c>
      <c r="H563" t="s">
        <v>108</v>
      </c>
      <c r="I563">
        <v>0</v>
      </c>
      <c r="J563" t="s">
        <v>108</v>
      </c>
      <c r="K563" s="2">
        <v>2.4035000000000001E-2</v>
      </c>
      <c r="L563" t="s">
        <v>108</v>
      </c>
      <c r="AB563" t="str">
        <f>IFERROR(VLOOKUP($A563,fund_metadata!$A:$P,2,FALSE),"")</f>
        <v>Stepstone PV/Growth</v>
      </c>
      <c r="AC563" t="str">
        <f>IFERROR(VLOOKUP($A563,fund_metadata!$A:$P,16,FALSE),"")</f>
        <v>venture</v>
      </c>
    </row>
    <row r="564" spans="1:29" x14ac:dyDescent="0.25">
      <c r="A564">
        <v>7</v>
      </c>
      <c r="B564" s="3">
        <v>45535</v>
      </c>
      <c r="G564" s="5">
        <v>38.14</v>
      </c>
      <c r="H564" t="s">
        <v>108</v>
      </c>
      <c r="I564">
        <v>0</v>
      </c>
      <c r="J564" t="s">
        <v>108</v>
      </c>
      <c r="K564" s="2">
        <v>5.8019999999999999E-3</v>
      </c>
      <c r="L564" t="s">
        <v>108</v>
      </c>
      <c r="AB564" t="str">
        <f>IFERROR(VLOOKUP($A564,fund_metadata!$A:$P,2,FALSE),"")</f>
        <v>Stepstone PV/Growth</v>
      </c>
      <c r="AC564" t="str">
        <f>IFERROR(VLOOKUP($A564,fund_metadata!$A:$P,16,FALSE),"")</f>
        <v>venture</v>
      </c>
    </row>
    <row r="565" spans="1:29" x14ac:dyDescent="0.25">
      <c r="A565">
        <v>7</v>
      </c>
      <c r="B565" s="3">
        <v>45565</v>
      </c>
      <c r="G565" s="5">
        <v>38.78</v>
      </c>
      <c r="H565" t="s">
        <v>108</v>
      </c>
      <c r="I565">
        <v>0</v>
      </c>
      <c r="J565" t="s">
        <v>108</v>
      </c>
      <c r="K565" s="2">
        <v>1.678E-2</v>
      </c>
      <c r="L565" t="s">
        <v>108</v>
      </c>
      <c r="AB565" t="str">
        <f>IFERROR(VLOOKUP($A565,fund_metadata!$A:$P,2,FALSE),"")</f>
        <v>Stepstone PV/Growth</v>
      </c>
      <c r="AC565" t="str">
        <f>IFERROR(VLOOKUP($A565,fund_metadata!$A:$P,16,FALSE),"")</f>
        <v>venture</v>
      </c>
    </row>
    <row r="566" spans="1:29" x14ac:dyDescent="0.25">
      <c r="A566">
        <v>7</v>
      </c>
      <c r="B566" s="3">
        <v>45596</v>
      </c>
      <c r="G566" s="5">
        <v>38.869999999999997</v>
      </c>
      <c r="H566" t="s">
        <v>108</v>
      </c>
      <c r="I566">
        <v>0</v>
      </c>
      <c r="J566" t="s">
        <v>108</v>
      </c>
      <c r="K566" s="2">
        <v>2.3210000000000001E-3</v>
      </c>
      <c r="L566" t="s">
        <v>108</v>
      </c>
      <c r="AB566" t="str">
        <f>IFERROR(VLOOKUP($A566,fund_metadata!$A:$P,2,FALSE),"")</f>
        <v>Stepstone PV/Growth</v>
      </c>
      <c r="AC566" t="str">
        <f>IFERROR(VLOOKUP($A566,fund_metadata!$A:$P,16,FALSE),"")</f>
        <v>venture</v>
      </c>
    </row>
    <row r="567" spans="1:29" x14ac:dyDescent="0.25">
      <c r="A567">
        <v>7</v>
      </c>
      <c r="B567" s="3">
        <v>45626</v>
      </c>
      <c r="G567" s="5">
        <v>39.08</v>
      </c>
      <c r="H567" t="s">
        <v>108</v>
      </c>
      <c r="I567">
        <v>0</v>
      </c>
      <c r="J567" t="s">
        <v>108</v>
      </c>
      <c r="K567" s="2">
        <v>5.4029999999999998E-3</v>
      </c>
      <c r="L567" t="s">
        <v>108</v>
      </c>
      <c r="AB567" t="str">
        <f>IFERROR(VLOOKUP($A567,fund_metadata!$A:$P,2,FALSE),"")</f>
        <v>Stepstone PV/Growth</v>
      </c>
      <c r="AC567" t="str">
        <f>IFERROR(VLOOKUP($A567,fund_metadata!$A:$P,16,FALSE),"")</f>
        <v>venture</v>
      </c>
    </row>
    <row r="568" spans="1:29" x14ac:dyDescent="0.25">
      <c r="A568">
        <v>7</v>
      </c>
      <c r="B568" s="3">
        <v>45657</v>
      </c>
      <c r="G568" s="5">
        <v>39.9</v>
      </c>
      <c r="H568" t="s">
        <v>108</v>
      </c>
      <c r="I568">
        <v>0</v>
      </c>
      <c r="J568" t="s">
        <v>108</v>
      </c>
      <c r="K568" s="2">
        <v>2.0983000000000002E-2</v>
      </c>
      <c r="L568" t="s">
        <v>108</v>
      </c>
      <c r="AB568" t="str">
        <f>IFERROR(VLOOKUP($A568,fund_metadata!$A:$P,2,FALSE),"")</f>
        <v>Stepstone PV/Growth</v>
      </c>
      <c r="AC568" t="str">
        <f>IFERROR(VLOOKUP($A568,fund_metadata!$A:$P,16,FALSE),"")</f>
        <v>venture</v>
      </c>
    </row>
    <row r="569" spans="1:29" x14ac:dyDescent="0.25">
      <c r="A569">
        <v>7</v>
      </c>
      <c r="B569" s="3">
        <v>45688</v>
      </c>
      <c r="G569" s="5">
        <v>40.61</v>
      </c>
      <c r="H569" t="s">
        <v>108</v>
      </c>
      <c r="I569">
        <v>0</v>
      </c>
      <c r="J569" t="s">
        <v>108</v>
      </c>
      <c r="K569" s="2">
        <v>1.7794000000000001E-2</v>
      </c>
      <c r="L569" t="s">
        <v>108</v>
      </c>
      <c r="AB569" t="str">
        <f>IFERROR(VLOOKUP($A569,fund_metadata!$A:$P,2,FALSE),"")</f>
        <v>Stepstone PV/Growth</v>
      </c>
      <c r="AC569" t="str">
        <f>IFERROR(VLOOKUP($A569,fund_metadata!$A:$P,16,FALSE),"")</f>
        <v>venture</v>
      </c>
    </row>
    <row r="570" spans="1:29" x14ac:dyDescent="0.25">
      <c r="A570">
        <v>7</v>
      </c>
      <c r="B570" s="3">
        <v>45716</v>
      </c>
      <c r="G570" s="5">
        <v>41.47</v>
      </c>
      <c r="H570" t="s">
        <v>108</v>
      </c>
      <c r="I570">
        <v>0</v>
      </c>
      <c r="J570" t="s">
        <v>108</v>
      </c>
      <c r="K570" s="2">
        <v>2.1177000000000001E-2</v>
      </c>
      <c r="L570" t="s">
        <v>108</v>
      </c>
      <c r="AB570" t="str">
        <f>IFERROR(VLOOKUP($A570,fund_metadata!$A:$P,2,FALSE),"")</f>
        <v>Stepstone PV/Growth</v>
      </c>
      <c r="AC570" t="str">
        <f>IFERROR(VLOOKUP($A570,fund_metadata!$A:$P,16,FALSE),"")</f>
        <v>venture</v>
      </c>
    </row>
    <row r="571" spans="1:29" x14ac:dyDescent="0.25">
      <c r="A571">
        <v>7</v>
      </c>
      <c r="B571" s="3">
        <v>45747</v>
      </c>
      <c r="G571" s="5">
        <v>41.98</v>
      </c>
      <c r="H571" t="s">
        <v>108</v>
      </c>
      <c r="I571">
        <v>0</v>
      </c>
      <c r="J571" t="s">
        <v>108</v>
      </c>
      <c r="K571" s="2">
        <v>1.2298E-2</v>
      </c>
      <c r="L571" t="s">
        <v>108</v>
      </c>
      <c r="AB571" t="str">
        <f>IFERROR(VLOOKUP($A571,fund_metadata!$A:$P,2,FALSE),"")</f>
        <v>Stepstone PV/Growth</v>
      </c>
      <c r="AC571" t="str">
        <f>IFERROR(VLOOKUP($A571,fund_metadata!$A:$P,16,FALSE),"")</f>
        <v>venture</v>
      </c>
    </row>
    <row r="572" spans="1:29" x14ac:dyDescent="0.25">
      <c r="A572">
        <v>7</v>
      </c>
      <c r="B572" s="3">
        <v>45777</v>
      </c>
      <c r="G572" s="5">
        <v>43.22</v>
      </c>
      <c r="H572" t="s">
        <v>108</v>
      </c>
      <c r="I572">
        <v>0</v>
      </c>
      <c r="J572" t="s">
        <v>108</v>
      </c>
      <c r="K572" s="2">
        <v>2.9537999999999998E-2</v>
      </c>
      <c r="L572" t="s">
        <v>108</v>
      </c>
      <c r="AB572" t="str">
        <f>IFERROR(VLOOKUP($A572,fund_metadata!$A:$P,2,FALSE),"")</f>
        <v>Stepstone PV/Growth</v>
      </c>
      <c r="AC572" t="str">
        <f>IFERROR(VLOOKUP($A572,fund_metadata!$A:$P,16,FALSE),"")</f>
        <v>venture</v>
      </c>
    </row>
    <row r="573" spans="1:29" x14ac:dyDescent="0.25">
      <c r="A573">
        <v>7</v>
      </c>
      <c r="B573" s="3">
        <v>45808</v>
      </c>
      <c r="G573" s="5">
        <v>43.45</v>
      </c>
      <c r="H573" t="s">
        <v>108</v>
      </c>
      <c r="I573">
        <v>0</v>
      </c>
      <c r="J573" t="s">
        <v>108</v>
      </c>
      <c r="K573" s="2">
        <v>5.3220000000000003E-3</v>
      </c>
      <c r="L573" t="s">
        <v>108</v>
      </c>
      <c r="AB573" t="str">
        <f>IFERROR(VLOOKUP($A573,fund_metadata!$A:$P,2,FALSE),"")</f>
        <v>Stepstone PV/Growth</v>
      </c>
      <c r="AC573" t="str">
        <f>IFERROR(VLOOKUP($A573,fund_metadata!$A:$P,16,FALSE),"")</f>
        <v>venture</v>
      </c>
    </row>
    <row r="574" spans="1:29" x14ac:dyDescent="0.25">
      <c r="A574">
        <v>7</v>
      </c>
      <c r="B574" s="3">
        <v>45838</v>
      </c>
      <c r="G574" s="5">
        <v>44.68</v>
      </c>
      <c r="H574" t="s">
        <v>108</v>
      </c>
      <c r="I574">
        <v>0</v>
      </c>
      <c r="J574" t="s">
        <v>108</v>
      </c>
      <c r="K574" s="2">
        <v>2.8308E-2</v>
      </c>
      <c r="L574" t="s">
        <v>108</v>
      </c>
      <c r="AB574" t="str">
        <f>IFERROR(VLOOKUP($A574,fund_metadata!$A:$P,2,FALSE),"")</f>
        <v>Stepstone PV/Growth</v>
      </c>
      <c r="AC574" t="str">
        <f>IFERROR(VLOOKUP($A574,fund_metadata!$A:$P,16,FALSE),"")</f>
        <v>venture</v>
      </c>
    </row>
    <row r="575" spans="1:29" x14ac:dyDescent="0.25">
      <c r="A575">
        <v>7</v>
      </c>
      <c r="B575" s="3">
        <v>45869</v>
      </c>
      <c r="G575" s="5">
        <v>45</v>
      </c>
      <c r="H575" t="s">
        <v>108</v>
      </c>
      <c r="I575">
        <v>0</v>
      </c>
      <c r="J575" t="s">
        <v>108</v>
      </c>
      <c r="K575" s="2">
        <v>7.162E-3</v>
      </c>
      <c r="L575" t="s">
        <v>108</v>
      </c>
      <c r="AB575" t="str">
        <f>IFERROR(VLOOKUP($A575,fund_metadata!$A:$P,2,FALSE),"")</f>
        <v>Stepstone PV/Growth</v>
      </c>
      <c r="AC575" t="str">
        <f>IFERROR(VLOOKUP($A575,fund_metadata!$A:$P,16,FALSE),"")</f>
        <v>venture</v>
      </c>
    </row>
    <row r="576" spans="1:29" x14ac:dyDescent="0.25">
      <c r="A576">
        <v>7</v>
      </c>
      <c r="B576" s="3">
        <v>45900</v>
      </c>
      <c r="G576" s="5">
        <v>45.61</v>
      </c>
      <c r="H576" t="s">
        <v>108</v>
      </c>
      <c r="I576">
        <v>0</v>
      </c>
      <c r="J576" t="s">
        <v>108</v>
      </c>
      <c r="K576" s="2">
        <v>1.3556E-2</v>
      </c>
      <c r="L576" t="s">
        <v>108</v>
      </c>
      <c r="AB576" t="str">
        <f>IFERROR(VLOOKUP($A576,fund_metadata!$A:$P,2,FALSE),"")</f>
        <v>Stepstone PV/Growth</v>
      </c>
      <c r="AC576" t="str">
        <f>IFERROR(VLOOKUP($A576,fund_metadata!$A:$P,16,FALSE),"")</f>
        <v>venture</v>
      </c>
    </row>
    <row r="577" spans="1:29" x14ac:dyDescent="0.25">
      <c r="A577">
        <v>7</v>
      </c>
      <c r="B577" s="3">
        <v>45930</v>
      </c>
      <c r="G577" s="5">
        <v>46.86</v>
      </c>
      <c r="H577" t="s">
        <v>108</v>
      </c>
      <c r="I577">
        <v>0</v>
      </c>
      <c r="J577" t="s">
        <v>108</v>
      </c>
      <c r="K577" s="2">
        <v>2.7406E-2</v>
      </c>
      <c r="L577" t="s">
        <v>108</v>
      </c>
      <c r="AB577" t="str">
        <f>IFERROR(VLOOKUP($A577,fund_metadata!$A:$P,2,FALSE),"")</f>
        <v>Stepstone PV/Growth</v>
      </c>
      <c r="AC577" t="str">
        <f>IFERROR(VLOOKUP($A577,fund_metadata!$A:$P,16,FALSE),"")</f>
        <v>venture</v>
      </c>
    </row>
    <row r="578" spans="1:29" x14ac:dyDescent="0.25">
      <c r="A578">
        <v>7</v>
      </c>
      <c r="B578" s="3">
        <v>45961</v>
      </c>
      <c r="G578" s="5">
        <v>47.89</v>
      </c>
      <c r="H578" t="s">
        <v>108</v>
      </c>
      <c r="I578">
        <v>0</v>
      </c>
      <c r="J578" t="s">
        <v>108</v>
      </c>
      <c r="K578" s="2">
        <v>2.198E-2</v>
      </c>
      <c r="L578" t="s">
        <v>108</v>
      </c>
      <c r="AB578" t="str">
        <f>IFERROR(VLOOKUP($A578,fund_metadata!$A:$P,2,FALSE),"")</f>
        <v>Stepstone PV/Growth</v>
      </c>
      <c r="AC578" t="str">
        <f>IFERROR(VLOOKUP($A578,fund_metadata!$A:$P,16,FALSE),"")</f>
        <v>venture</v>
      </c>
    </row>
    <row r="579" spans="1:29" x14ac:dyDescent="0.25">
      <c r="A579">
        <v>7</v>
      </c>
      <c r="B579" s="3">
        <v>45991</v>
      </c>
      <c r="G579" s="5">
        <v>49.61</v>
      </c>
      <c r="H579" t="s">
        <v>108</v>
      </c>
      <c r="I579">
        <v>0</v>
      </c>
      <c r="J579" t="s">
        <v>108</v>
      </c>
      <c r="K579" s="2">
        <v>3.5915999999999997E-2</v>
      </c>
      <c r="L579" t="s">
        <v>108</v>
      </c>
      <c r="AB579" t="str">
        <f>IFERROR(VLOOKUP($A579,fund_metadata!$A:$P,2,FALSE),"")</f>
        <v>Stepstone PV/Growth</v>
      </c>
      <c r="AC579" t="str">
        <f>IFERROR(VLOOKUP($A579,fund_metadata!$A:$P,16,FALSE),"")</f>
        <v>venture</v>
      </c>
    </row>
    <row r="580" spans="1:29" x14ac:dyDescent="0.25">
      <c r="A580">
        <v>7</v>
      </c>
      <c r="B580" s="3">
        <v>46022</v>
      </c>
      <c r="G580" s="5">
        <v>52.27</v>
      </c>
      <c r="H580" t="s">
        <v>108</v>
      </c>
      <c r="I580">
        <v>0</v>
      </c>
      <c r="J580" t="s">
        <v>108</v>
      </c>
      <c r="K580" s="2">
        <v>5.3617999999999999E-2</v>
      </c>
      <c r="L580" t="s">
        <v>108</v>
      </c>
      <c r="AB580" t="str">
        <f>IFERROR(VLOOKUP($A580,fund_metadata!$A:$P,2,FALSE),"")</f>
        <v>Stepstone PV/Growth</v>
      </c>
      <c r="AC580" t="str">
        <f>IFERROR(VLOOKUP($A580,fund_metadata!$A:$P,16,FALSE),"")</f>
        <v>venture</v>
      </c>
    </row>
    <row r="581" spans="1:29" x14ac:dyDescent="0.25">
      <c r="A581">
        <v>7</v>
      </c>
      <c r="B581" s="3">
        <v>46173</v>
      </c>
      <c r="G581" s="5">
        <v>62.33</v>
      </c>
      <c r="H581" t="s">
        <v>108</v>
      </c>
      <c r="I581">
        <v>0</v>
      </c>
      <c r="J581" t="s">
        <v>108</v>
      </c>
      <c r="K581" s="2">
        <v>5.6470000000000001E-3</v>
      </c>
      <c r="L581" t="s">
        <v>108</v>
      </c>
      <c r="AB581" t="str">
        <f>IFERROR(VLOOKUP($A581,fund_metadata!$A:$P,2,FALSE),"")</f>
        <v>Stepstone PV/Growth</v>
      </c>
      <c r="AC581" t="str">
        <f>IFERROR(VLOOKUP($A581,fund_metadata!$A:$P,16,FALSE),"")</f>
        <v>venture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E5C3-FD19-4882-B635-D8E9B9C4970F}">
  <dimension ref="A1:T12"/>
  <sheetViews>
    <sheetView zoomScaleNormal="100" workbookViewId="0">
      <pane xSplit="2" topLeftCell="M1" activePane="topRight" state="frozen"/>
      <selection pane="topRight" activeCell="P10" sqref="P10"/>
    </sheetView>
  </sheetViews>
  <sheetFormatPr defaultRowHeight="15" x14ac:dyDescent="0.25"/>
  <cols>
    <col min="2" max="2" width="24.7109375" bestFit="1" customWidth="1"/>
    <col min="4" max="4" width="13.5703125" customWidth="1"/>
    <col min="5" max="5" width="17.28515625" bestFit="1" customWidth="1"/>
    <col min="6" max="6" width="49.140625" bestFit="1" customWidth="1"/>
    <col min="7" max="7" width="15.42578125" customWidth="1"/>
    <col min="8" max="8" width="13.7109375" customWidth="1"/>
    <col min="9" max="9" width="11" bestFit="1" customWidth="1"/>
    <col min="10" max="10" width="49.140625" bestFit="1" customWidth="1"/>
    <col min="11" max="11" width="9.5703125" bestFit="1" customWidth="1"/>
    <col min="12" max="12" width="29.28515625" bestFit="1" customWidth="1"/>
    <col min="13" max="13" width="103.140625" bestFit="1" customWidth="1"/>
    <col min="14" max="14" width="13.42578125" customWidth="1"/>
    <col min="15" max="15" width="17.28515625" bestFit="1" customWidth="1"/>
    <col min="16" max="16" width="15" bestFit="1" customWidth="1"/>
    <col min="17" max="17" width="16.85546875" bestFit="1" customWidth="1"/>
    <col min="18" max="18" width="16.42578125" customWidth="1"/>
    <col min="19" max="19" width="12.7109375" bestFit="1" customWidth="1"/>
    <col min="20" max="20" width="20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7</v>
      </c>
      <c r="E1" t="s">
        <v>111</v>
      </c>
      <c r="F1" t="s">
        <v>12</v>
      </c>
      <c r="G1" t="s">
        <v>8</v>
      </c>
      <c r="H1" t="s">
        <v>9</v>
      </c>
      <c r="I1" t="s">
        <v>10</v>
      </c>
      <c r="J1" t="s">
        <v>13</v>
      </c>
      <c r="K1" t="s">
        <v>14</v>
      </c>
      <c r="L1" t="s">
        <v>15</v>
      </c>
      <c r="M1" t="s">
        <v>16</v>
      </c>
      <c r="N1" t="s">
        <v>96</v>
      </c>
      <c r="O1" t="s">
        <v>114</v>
      </c>
      <c r="P1" t="s">
        <v>91</v>
      </c>
      <c r="Q1" t="s">
        <v>113</v>
      </c>
      <c r="R1" t="s">
        <v>11</v>
      </c>
      <c r="S1" t="s">
        <v>123</v>
      </c>
      <c r="T1" t="s">
        <v>124</v>
      </c>
    </row>
    <row r="2" spans="1:20" x14ac:dyDescent="0.25">
      <c r="A2">
        <v>1</v>
      </c>
      <c r="B2" t="s">
        <v>17</v>
      </c>
      <c r="C2" t="s">
        <v>43</v>
      </c>
      <c r="D2">
        <v>1810256</v>
      </c>
      <c r="E2">
        <v>2</v>
      </c>
      <c r="F2" t="s">
        <v>51</v>
      </c>
      <c r="G2" s="1" t="s">
        <v>29</v>
      </c>
      <c r="H2" t="s">
        <v>74</v>
      </c>
      <c r="I2" t="s">
        <v>41</v>
      </c>
      <c r="J2" t="s">
        <v>61</v>
      </c>
      <c r="M2" s="6" t="s">
        <v>30</v>
      </c>
      <c r="N2" t="s">
        <v>97</v>
      </c>
      <c r="O2" s="3">
        <v>44196</v>
      </c>
      <c r="P2" t="s">
        <v>115</v>
      </c>
      <c r="Q2" s="7">
        <v>1.7500000000000002E-2</v>
      </c>
      <c r="R2" s="2">
        <v>2.9899999999999999E-2</v>
      </c>
    </row>
    <row r="3" spans="1:20" x14ac:dyDescent="0.25">
      <c r="A3">
        <v>2</v>
      </c>
      <c r="B3" t="s">
        <v>18</v>
      </c>
      <c r="C3" t="s">
        <v>44</v>
      </c>
      <c r="D3">
        <v>1899610</v>
      </c>
      <c r="E3">
        <v>4</v>
      </c>
      <c r="F3" t="s">
        <v>52</v>
      </c>
      <c r="G3" s="1" t="s">
        <v>28</v>
      </c>
      <c r="H3" t="s">
        <v>75</v>
      </c>
      <c r="I3" t="s">
        <v>41</v>
      </c>
      <c r="J3" t="s">
        <v>62</v>
      </c>
      <c r="M3" s="6" t="s">
        <v>31</v>
      </c>
      <c r="N3" t="s">
        <v>97</v>
      </c>
      <c r="O3" s="3">
        <v>45294</v>
      </c>
      <c r="P3" t="s">
        <v>115</v>
      </c>
      <c r="Q3" s="7">
        <v>1.2500000000000001E-2</v>
      </c>
      <c r="R3" s="2">
        <v>3.2399999999999998E-2</v>
      </c>
      <c r="S3" s="8">
        <v>0.1</v>
      </c>
    </row>
    <row r="4" spans="1:20" x14ac:dyDescent="0.25">
      <c r="A4">
        <v>3</v>
      </c>
      <c r="B4" t="s">
        <v>19</v>
      </c>
      <c r="C4" t="s">
        <v>45</v>
      </c>
      <c r="D4">
        <v>1842754</v>
      </c>
      <c r="E4">
        <v>1</v>
      </c>
      <c r="F4" t="s">
        <v>53</v>
      </c>
      <c r="G4" s="1" t="s">
        <v>29</v>
      </c>
      <c r="H4" s="6" t="s">
        <v>76</v>
      </c>
      <c r="I4" t="s">
        <v>41</v>
      </c>
      <c r="J4" t="s">
        <v>63</v>
      </c>
      <c r="M4" s="6" t="s">
        <v>32</v>
      </c>
      <c r="N4" t="s">
        <v>97</v>
      </c>
      <c r="O4" s="3">
        <v>44377</v>
      </c>
      <c r="P4" t="s">
        <v>116</v>
      </c>
      <c r="Q4" s="7">
        <v>9.4999999999999998E-3</v>
      </c>
    </row>
    <row r="5" spans="1:20" x14ac:dyDescent="0.25">
      <c r="A5">
        <v>4</v>
      </c>
      <c r="B5" t="s">
        <v>20</v>
      </c>
      <c r="D5">
        <v>1969180</v>
      </c>
      <c r="E5">
        <v>3</v>
      </c>
      <c r="F5" t="s">
        <v>54</v>
      </c>
      <c r="G5" s="1" t="s">
        <v>28</v>
      </c>
      <c r="I5" t="s">
        <v>41</v>
      </c>
      <c r="J5" t="s">
        <v>54</v>
      </c>
      <c r="M5" s="6" t="s">
        <v>33</v>
      </c>
      <c r="N5" t="s">
        <v>97</v>
      </c>
      <c r="O5" s="3">
        <v>45383</v>
      </c>
      <c r="P5" t="s">
        <v>117</v>
      </c>
      <c r="Q5" s="7">
        <v>1.6500000000000001E-2</v>
      </c>
    </row>
    <row r="6" spans="1:20" x14ac:dyDescent="0.25">
      <c r="A6">
        <v>5</v>
      </c>
      <c r="B6" t="s">
        <v>21</v>
      </c>
      <c r="C6" t="s">
        <v>46</v>
      </c>
      <c r="D6">
        <v>2006100</v>
      </c>
      <c r="E6">
        <v>4</v>
      </c>
      <c r="F6" t="s">
        <v>55</v>
      </c>
      <c r="G6" s="1" t="s">
        <v>29</v>
      </c>
      <c r="H6" t="s">
        <v>77</v>
      </c>
      <c r="I6" t="s">
        <v>41</v>
      </c>
      <c r="J6" t="s">
        <v>64</v>
      </c>
      <c r="M6" s="6" t="s">
        <v>34</v>
      </c>
      <c r="N6" t="s">
        <v>97</v>
      </c>
      <c r="O6" s="3">
        <v>45446</v>
      </c>
      <c r="P6" t="s">
        <v>116</v>
      </c>
      <c r="Q6" s="7">
        <v>1.15E-2</v>
      </c>
    </row>
    <row r="7" spans="1:20" x14ac:dyDescent="0.25">
      <c r="A7">
        <v>6</v>
      </c>
      <c r="B7" t="s">
        <v>22</v>
      </c>
      <c r="C7" t="s">
        <v>47</v>
      </c>
      <c r="D7">
        <v>1789470</v>
      </c>
      <c r="E7">
        <v>3</v>
      </c>
      <c r="F7" t="s">
        <v>56</v>
      </c>
      <c r="G7" s="1" t="s">
        <v>28</v>
      </c>
      <c r="H7" t="s">
        <v>78</v>
      </c>
      <c r="I7" t="s">
        <v>41</v>
      </c>
      <c r="J7" t="s">
        <v>65</v>
      </c>
      <c r="M7" s="6" t="s">
        <v>35</v>
      </c>
      <c r="N7" t="s">
        <v>97</v>
      </c>
      <c r="O7" s="3">
        <v>44105</v>
      </c>
      <c r="P7" t="s">
        <v>117</v>
      </c>
      <c r="Q7" s="7">
        <v>1.4E-2</v>
      </c>
    </row>
    <row r="8" spans="1:20" x14ac:dyDescent="0.25">
      <c r="A8">
        <v>7</v>
      </c>
      <c r="B8" t="s">
        <v>23</v>
      </c>
      <c r="C8" t="s">
        <v>48</v>
      </c>
      <c r="D8">
        <v>1918642</v>
      </c>
      <c r="E8">
        <v>3</v>
      </c>
      <c r="F8" t="s">
        <v>57</v>
      </c>
      <c r="G8" s="1" t="s">
        <v>28</v>
      </c>
      <c r="H8" s="6" t="s">
        <v>79</v>
      </c>
      <c r="I8" t="s">
        <v>41</v>
      </c>
      <c r="J8" t="s">
        <v>66</v>
      </c>
      <c r="M8" s="6" t="s">
        <v>36</v>
      </c>
      <c r="N8" t="s">
        <v>97</v>
      </c>
      <c r="O8" s="3">
        <v>44866</v>
      </c>
      <c r="P8" t="s">
        <v>118</v>
      </c>
      <c r="Q8" s="7">
        <v>1.4999999999999999E-2</v>
      </c>
      <c r="T8" s="2">
        <v>2.5000000000000001E-2</v>
      </c>
    </row>
    <row r="9" spans="1:20" x14ac:dyDescent="0.25">
      <c r="A9">
        <v>8</v>
      </c>
      <c r="B9" t="s">
        <v>24</v>
      </c>
      <c r="C9" t="s">
        <v>49</v>
      </c>
      <c r="D9">
        <v>1609211</v>
      </c>
      <c r="E9">
        <v>1</v>
      </c>
      <c r="F9" t="s">
        <v>119</v>
      </c>
      <c r="G9" s="1" t="s">
        <v>28</v>
      </c>
      <c r="I9" t="s">
        <v>42</v>
      </c>
      <c r="K9" t="s">
        <v>71</v>
      </c>
      <c r="L9" t="s">
        <v>67</v>
      </c>
      <c r="M9" s="6" t="s">
        <v>37</v>
      </c>
      <c r="N9" t="s">
        <v>97</v>
      </c>
      <c r="O9" s="3">
        <v>42304</v>
      </c>
      <c r="P9" t="s">
        <v>117</v>
      </c>
      <c r="Q9" s="7">
        <v>1.2500000000000001E-2</v>
      </c>
    </row>
    <row r="10" spans="1:20" x14ac:dyDescent="0.25">
      <c r="A10">
        <v>9</v>
      </c>
      <c r="B10" t="s">
        <v>27</v>
      </c>
      <c r="D10">
        <v>2008602</v>
      </c>
      <c r="E10">
        <v>4</v>
      </c>
      <c r="F10" t="s">
        <v>58</v>
      </c>
      <c r="G10" s="1" t="s">
        <v>28</v>
      </c>
      <c r="I10" t="s">
        <v>41</v>
      </c>
      <c r="L10" t="s">
        <v>68</v>
      </c>
      <c r="M10" s="6" t="s">
        <v>38</v>
      </c>
      <c r="N10" t="s">
        <v>97</v>
      </c>
      <c r="O10" s="3">
        <v>45646</v>
      </c>
      <c r="P10" t="s">
        <v>117</v>
      </c>
      <c r="Q10" s="7">
        <v>1.2500000000000001E-2</v>
      </c>
    </row>
    <row r="11" spans="1:20" x14ac:dyDescent="0.25">
      <c r="A11">
        <v>10</v>
      </c>
      <c r="B11" t="s">
        <v>25</v>
      </c>
      <c r="C11" t="s">
        <v>50</v>
      </c>
      <c r="D11">
        <v>1803491</v>
      </c>
      <c r="E11">
        <v>3</v>
      </c>
      <c r="F11" t="s">
        <v>59</v>
      </c>
      <c r="G11" s="1" t="s">
        <v>28</v>
      </c>
      <c r="H11" t="s">
        <v>80</v>
      </c>
      <c r="I11" t="s">
        <v>41</v>
      </c>
      <c r="K11" t="s">
        <v>72</v>
      </c>
      <c r="L11" t="s">
        <v>69</v>
      </c>
      <c r="M11" s="6" t="s">
        <v>39</v>
      </c>
      <c r="N11" t="s">
        <v>97</v>
      </c>
      <c r="O11" s="3">
        <v>44200</v>
      </c>
      <c r="P11" t="s">
        <v>115</v>
      </c>
      <c r="Q11" s="7">
        <v>1.4E-2</v>
      </c>
      <c r="R11" s="2">
        <v>3.3799999999999997E-2</v>
      </c>
      <c r="S11" s="8">
        <v>0.1</v>
      </c>
      <c r="T11" s="8">
        <v>0.05</v>
      </c>
    </row>
    <row r="12" spans="1:20" x14ac:dyDescent="0.25">
      <c r="A12">
        <v>11</v>
      </c>
      <c r="B12" t="s">
        <v>26</v>
      </c>
      <c r="D12">
        <v>1940499</v>
      </c>
      <c r="E12">
        <v>3</v>
      </c>
      <c r="F12" t="s">
        <v>60</v>
      </c>
      <c r="G12" s="1" t="s">
        <v>28</v>
      </c>
      <c r="I12" t="s">
        <v>41</v>
      </c>
      <c r="K12" t="s">
        <v>73</v>
      </c>
      <c r="L12" t="s">
        <v>70</v>
      </c>
      <c r="M12" s="6" t="s">
        <v>40</v>
      </c>
      <c r="N12" t="s">
        <v>97</v>
      </c>
      <c r="O12" s="3">
        <v>45119</v>
      </c>
      <c r="P12" t="s">
        <v>115</v>
      </c>
      <c r="Q12" s="7">
        <v>0.01</v>
      </c>
    </row>
  </sheetData>
  <hyperlinks>
    <hyperlink ref="H4" r:id="rId1" xr:uid="{CA224E14-E7E4-45E3-893F-A158591A05D9}"/>
    <hyperlink ref="H8" r:id="rId2" xr:uid="{EED59507-78F9-4485-9CA7-E2F0D38BD009}"/>
    <hyperlink ref="M2" r:id="rId3" xr:uid="{1B0BC8EC-1BB0-4E35-BBBB-E124EB9010C4}"/>
    <hyperlink ref="M3" r:id="rId4" xr:uid="{B972CAF4-2FC7-4C15-8490-C35E8A18E54D}"/>
    <hyperlink ref="M4" r:id="rId5" xr:uid="{A51B14B6-1070-4D5A-AAF7-3CCE29AC57A6}"/>
    <hyperlink ref="M5" r:id="rId6" xr:uid="{53916F5D-5F6C-4867-B480-3338B4A18101}"/>
    <hyperlink ref="M6" r:id="rId7" xr:uid="{2F396279-0E50-4FD7-935F-5485D7B11445}"/>
    <hyperlink ref="M7" r:id="rId8" xr:uid="{55BFF612-DB1B-4258-A860-3C316D7311E3}"/>
    <hyperlink ref="M8" r:id="rId9" xr:uid="{77F24161-5C42-4521-9E79-BE88D670A743}"/>
    <hyperlink ref="M9" r:id="rId10" xr:uid="{206E1370-2BFE-4365-8C56-9D1034AB1AA1}"/>
    <hyperlink ref="M10" r:id="rId11" xr:uid="{7ED948B6-DEFF-49A3-889C-A372AEACDF06}"/>
    <hyperlink ref="M11" r:id="rId12" xr:uid="{FCA7A941-AD7D-465B-B1C3-4CF2699789FA}"/>
    <hyperlink ref="M12" r:id="rId13" xr:uid="{A2E425F8-9559-45A3-937F-7039BD357E2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73A6-F7E7-46C4-B5F0-716A5D8A2532}">
  <dimension ref="A1:B139"/>
  <sheetViews>
    <sheetView tabSelected="1" workbookViewId="0">
      <selection activeCell="B1" sqref="B1"/>
    </sheetView>
  </sheetViews>
  <sheetFormatPr defaultRowHeight="15" x14ac:dyDescent="0.25"/>
  <cols>
    <col min="1" max="1" width="10.7109375" bestFit="1" customWidth="1"/>
    <col min="2" max="2" width="15.85546875" bestFit="1" customWidth="1"/>
  </cols>
  <sheetData>
    <row r="1" spans="1:2" x14ac:dyDescent="0.25">
      <c r="A1" t="s">
        <v>3</v>
      </c>
      <c r="B1" t="s">
        <v>125</v>
      </c>
    </row>
    <row r="2" spans="1:2" x14ac:dyDescent="0.25">
      <c r="A2" s="3">
        <v>41820</v>
      </c>
      <c r="B2" s="9">
        <v>100</v>
      </c>
    </row>
    <row r="3" spans="1:2" x14ac:dyDescent="0.25">
      <c r="A3" s="3">
        <v>41851</v>
      </c>
      <c r="B3" s="9">
        <v>99.92261828996412</v>
      </c>
    </row>
    <row r="4" spans="1:2" x14ac:dyDescent="0.25">
      <c r="A4" s="3">
        <v>41882</v>
      </c>
      <c r="B4" s="9">
        <v>100.48178645635798</v>
      </c>
    </row>
    <row r="5" spans="1:2" x14ac:dyDescent="0.25">
      <c r="A5" s="3">
        <v>41912</v>
      </c>
      <c r="B5" s="9">
        <v>100.70547662686238</v>
      </c>
    </row>
    <row r="6" spans="1:2" x14ac:dyDescent="0.25">
      <c r="A6" s="3">
        <v>41943</v>
      </c>
      <c r="B6" s="9">
        <v>101.05813354486315</v>
      </c>
    </row>
    <row r="7" spans="1:2" x14ac:dyDescent="0.25">
      <c r="A7" s="3">
        <v>41973</v>
      </c>
      <c r="B7" s="9">
        <v>101.53131330279186</v>
      </c>
    </row>
    <row r="8" spans="1:2" x14ac:dyDescent="0.25">
      <c r="A8" s="3">
        <v>42004</v>
      </c>
      <c r="B8" s="9">
        <v>100.99359323076483</v>
      </c>
    </row>
    <row r="9" spans="1:2" x14ac:dyDescent="0.25">
      <c r="A9" s="3">
        <v>42035</v>
      </c>
      <c r="B9" s="9">
        <v>101.15964523186716</v>
      </c>
    </row>
    <row r="10" spans="1:2" x14ac:dyDescent="0.25">
      <c r="A10" s="3">
        <v>42063</v>
      </c>
      <c r="B10" s="9">
        <v>102.68617761242655</v>
      </c>
    </row>
    <row r="11" spans="1:2" x14ac:dyDescent="0.25">
      <c r="A11" s="3">
        <v>42094</v>
      </c>
      <c r="B11" s="9">
        <v>103.68793877474678</v>
      </c>
    </row>
    <row r="12" spans="1:2" x14ac:dyDescent="0.25">
      <c r="A12" s="3">
        <v>42124</v>
      </c>
      <c r="B12" s="9">
        <v>104.06626732990763</v>
      </c>
    </row>
    <row r="13" spans="1:2" x14ac:dyDescent="0.25">
      <c r="A13" s="3">
        <v>42155</v>
      </c>
      <c r="B13" s="9">
        <v>104.49654787815763</v>
      </c>
    </row>
    <row r="14" spans="1:2" x14ac:dyDescent="0.25">
      <c r="A14" s="3">
        <v>42185</v>
      </c>
      <c r="B14" s="9">
        <v>104.55701218812079</v>
      </c>
    </row>
    <row r="15" spans="1:2" x14ac:dyDescent="0.25">
      <c r="A15" s="3">
        <v>42216</v>
      </c>
      <c r="B15" s="9">
        <v>105.16658216895819</v>
      </c>
    </row>
    <row r="16" spans="1:2" x14ac:dyDescent="0.25">
      <c r="A16" s="3">
        <v>42247</v>
      </c>
      <c r="B16" s="9">
        <v>104.4406234078661</v>
      </c>
    </row>
    <row r="17" spans="1:2" x14ac:dyDescent="0.25">
      <c r="A17" s="3">
        <v>42277</v>
      </c>
      <c r="B17" s="9">
        <v>104.52822908064107</v>
      </c>
    </row>
    <row r="18" spans="1:2" x14ac:dyDescent="0.25">
      <c r="A18" s="3">
        <v>42308</v>
      </c>
      <c r="B18" s="9">
        <v>105.47361742714519</v>
      </c>
    </row>
    <row r="19" spans="1:2" x14ac:dyDescent="0.25">
      <c r="A19" s="3">
        <v>42338</v>
      </c>
      <c r="B19" s="9">
        <v>104.85664128187562</v>
      </c>
    </row>
    <row r="20" spans="1:2" x14ac:dyDescent="0.25">
      <c r="A20" s="3">
        <v>42369</v>
      </c>
      <c r="B20" s="9">
        <v>104.69187975279769</v>
      </c>
    </row>
    <row r="21" spans="1:2" x14ac:dyDescent="0.25">
      <c r="A21" s="3">
        <v>42400</v>
      </c>
      <c r="B21" s="9">
        <v>103.84018038719717</v>
      </c>
    </row>
    <row r="22" spans="1:2" x14ac:dyDescent="0.25">
      <c r="A22" s="3">
        <v>42429</v>
      </c>
      <c r="B22" s="9">
        <v>103.73276106714535</v>
      </c>
    </row>
    <row r="23" spans="1:2" x14ac:dyDescent="0.25">
      <c r="A23" s="3">
        <v>42460</v>
      </c>
      <c r="B23" s="9">
        <v>106.6235059313203</v>
      </c>
    </row>
    <row r="24" spans="1:2" x14ac:dyDescent="0.25">
      <c r="A24" s="3">
        <v>42490</v>
      </c>
      <c r="B24" s="9">
        <v>108.20094136752532</v>
      </c>
    </row>
    <row r="25" spans="1:2" x14ac:dyDescent="0.25">
      <c r="A25" s="3">
        <v>42521</v>
      </c>
      <c r="B25" s="9">
        <v>109.00348553429879</v>
      </c>
    </row>
    <row r="26" spans="1:2" x14ac:dyDescent="0.25">
      <c r="A26" s="3">
        <v>42551</v>
      </c>
      <c r="B26" s="9">
        <v>110.24522020461858</v>
      </c>
    </row>
    <row r="27" spans="1:2" x14ac:dyDescent="0.25">
      <c r="A27" s="3">
        <v>42582</v>
      </c>
      <c r="B27" s="9">
        <v>111.5748117448077</v>
      </c>
    </row>
    <row r="28" spans="1:2" x14ac:dyDescent="0.25">
      <c r="A28" s="3">
        <v>42613</v>
      </c>
      <c r="B28" s="9">
        <v>112.19708870078992</v>
      </c>
    </row>
    <row r="29" spans="1:2" x14ac:dyDescent="0.25">
      <c r="A29" s="3">
        <v>42643</v>
      </c>
      <c r="B29" s="9">
        <v>112.99194538699859</v>
      </c>
    </row>
    <row r="30" spans="1:2" x14ac:dyDescent="0.25">
      <c r="A30" s="3">
        <v>42674</v>
      </c>
      <c r="B30" s="9">
        <v>113.04296036662136</v>
      </c>
    </row>
    <row r="31" spans="1:2" x14ac:dyDescent="0.25">
      <c r="A31" s="3">
        <v>42704</v>
      </c>
      <c r="B31" s="9">
        <v>113.29066253338833</v>
      </c>
    </row>
    <row r="32" spans="1:2" x14ac:dyDescent="0.25">
      <c r="A32" s="3">
        <v>42735</v>
      </c>
      <c r="B32" s="9">
        <v>115.21040380777832</v>
      </c>
    </row>
    <row r="33" spans="1:2" x14ac:dyDescent="0.25">
      <c r="A33" s="3">
        <v>42766</v>
      </c>
      <c r="B33" s="9">
        <v>115.95390284073957</v>
      </c>
    </row>
    <row r="34" spans="1:2" x14ac:dyDescent="0.25">
      <c r="A34" s="3">
        <v>42794</v>
      </c>
      <c r="B34" s="9">
        <v>116.72163560057953</v>
      </c>
    </row>
    <row r="35" spans="1:2" x14ac:dyDescent="0.25">
      <c r="A35" s="3">
        <v>42825</v>
      </c>
      <c r="B35" s="9">
        <v>117.29356009536795</v>
      </c>
    </row>
    <row r="36" spans="1:2" x14ac:dyDescent="0.25">
      <c r="A36" s="3">
        <v>42855</v>
      </c>
      <c r="B36" s="9">
        <v>117.90088251774978</v>
      </c>
    </row>
    <row r="37" spans="1:2" x14ac:dyDescent="0.25">
      <c r="A37" s="3">
        <v>42886</v>
      </c>
      <c r="B37" s="9">
        <v>118.4545521430629</v>
      </c>
    </row>
    <row r="38" spans="1:2" x14ac:dyDescent="0.25">
      <c r="A38" s="3">
        <v>42916</v>
      </c>
      <c r="B38" s="9">
        <v>119.38512312941276</v>
      </c>
    </row>
    <row r="39" spans="1:2" x14ac:dyDescent="0.25">
      <c r="A39" s="3">
        <v>42947</v>
      </c>
      <c r="B39" s="9">
        <v>120.20165348869236</v>
      </c>
    </row>
    <row r="40" spans="1:2" x14ac:dyDescent="0.25">
      <c r="A40" s="3">
        <v>42978</v>
      </c>
      <c r="B40" s="9">
        <v>120.46509617931738</v>
      </c>
    </row>
    <row r="41" spans="1:2" x14ac:dyDescent="0.25">
      <c r="A41" s="3">
        <v>43008</v>
      </c>
      <c r="B41" s="9">
        <v>120.67906035522375</v>
      </c>
    </row>
    <row r="42" spans="1:2" x14ac:dyDescent="0.25">
      <c r="A42" s="3">
        <v>43039</v>
      </c>
      <c r="B42" s="9">
        <v>120.97059557073618</v>
      </c>
    </row>
    <row r="43" spans="1:2" x14ac:dyDescent="0.25">
      <c r="A43" s="3">
        <v>43069</v>
      </c>
      <c r="B43" s="9">
        <v>121.81576306612092</v>
      </c>
    </row>
    <row r="44" spans="1:2" x14ac:dyDescent="0.25">
      <c r="A44" s="3">
        <v>43100</v>
      </c>
      <c r="B44" s="9">
        <v>122.75910428533366</v>
      </c>
    </row>
    <row r="45" spans="1:2" x14ac:dyDescent="0.25">
      <c r="A45" s="3">
        <v>43131</v>
      </c>
      <c r="B45" s="9">
        <v>123.39610067664667</v>
      </c>
    </row>
    <row r="46" spans="1:2" x14ac:dyDescent="0.25">
      <c r="A46" s="3">
        <v>43159</v>
      </c>
      <c r="B46" s="9">
        <v>123.11728989981665</v>
      </c>
    </row>
    <row r="47" spans="1:2" x14ac:dyDescent="0.25">
      <c r="A47" s="3">
        <v>43190</v>
      </c>
      <c r="B47" s="9">
        <v>124.10133502434252</v>
      </c>
    </row>
    <row r="48" spans="1:2" x14ac:dyDescent="0.25">
      <c r="A48" s="3">
        <v>43220</v>
      </c>
      <c r="B48" s="9">
        <v>124.58887383746519</v>
      </c>
    </row>
    <row r="49" spans="1:2" x14ac:dyDescent="0.25">
      <c r="A49" s="3">
        <v>43251</v>
      </c>
      <c r="B49" s="9">
        <v>125.22252227676299</v>
      </c>
    </row>
    <row r="50" spans="1:2" x14ac:dyDescent="0.25">
      <c r="A50" s="3">
        <v>43281</v>
      </c>
      <c r="B50" s="9">
        <v>126.40525590531674</v>
      </c>
    </row>
    <row r="51" spans="1:2" x14ac:dyDescent="0.25">
      <c r="A51" s="3">
        <v>43312</v>
      </c>
      <c r="B51" s="9">
        <v>127.17051740277483</v>
      </c>
    </row>
    <row r="52" spans="1:2" x14ac:dyDescent="0.25">
      <c r="A52" s="3">
        <v>43343</v>
      </c>
      <c r="B52" s="9">
        <v>127.84419683849234</v>
      </c>
    </row>
    <row r="53" spans="1:2" x14ac:dyDescent="0.25">
      <c r="A53" s="3">
        <v>43373</v>
      </c>
      <c r="B53" s="9">
        <v>128.45369112750214</v>
      </c>
    </row>
    <row r="54" spans="1:2" x14ac:dyDescent="0.25">
      <c r="A54" s="3">
        <v>43404</v>
      </c>
      <c r="B54" s="9">
        <v>128.25431901113478</v>
      </c>
    </row>
    <row r="55" spans="1:2" x14ac:dyDescent="0.25">
      <c r="A55" s="3">
        <v>43434</v>
      </c>
      <c r="B55" s="9">
        <v>128.67497592650338</v>
      </c>
    </row>
    <row r="56" spans="1:2" x14ac:dyDescent="0.25">
      <c r="A56" s="3">
        <v>43465</v>
      </c>
      <c r="B56" s="9">
        <v>127.30840309687048</v>
      </c>
    </row>
    <row r="57" spans="1:2" x14ac:dyDescent="0.25">
      <c r="A57" s="3">
        <v>43496</v>
      </c>
      <c r="B57" s="9">
        <v>129.40671925453816</v>
      </c>
    </row>
    <row r="58" spans="1:2" x14ac:dyDescent="0.25">
      <c r="A58" s="3">
        <v>43524</v>
      </c>
      <c r="B58" s="9">
        <v>130.29827124671218</v>
      </c>
    </row>
    <row r="59" spans="1:2" x14ac:dyDescent="0.25">
      <c r="A59" s="3">
        <v>43555</v>
      </c>
      <c r="B59" s="9">
        <v>131.54607378965869</v>
      </c>
    </row>
    <row r="60" spans="1:2" x14ac:dyDescent="0.25">
      <c r="A60" s="3">
        <v>43585</v>
      </c>
      <c r="B60" s="9">
        <v>132.50591114216382</v>
      </c>
    </row>
    <row r="61" spans="1:2" x14ac:dyDescent="0.25">
      <c r="A61" s="3">
        <v>43616</v>
      </c>
      <c r="B61" s="9">
        <v>132.80016436450396</v>
      </c>
    </row>
    <row r="62" spans="1:2" x14ac:dyDescent="0.25">
      <c r="A62" s="3">
        <v>43646</v>
      </c>
      <c r="B62" s="9">
        <v>133.93442770634988</v>
      </c>
    </row>
    <row r="63" spans="1:2" x14ac:dyDescent="0.25">
      <c r="A63" s="3">
        <v>43677</v>
      </c>
      <c r="B63" s="9">
        <v>134.60958764935791</v>
      </c>
    </row>
    <row r="64" spans="1:2" x14ac:dyDescent="0.25">
      <c r="A64" s="3">
        <v>43708</v>
      </c>
      <c r="B64" s="9">
        <v>135.17975037331163</v>
      </c>
    </row>
    <row r="65" spans="1:2" x14ac:dyDescent="0.25">
      <c r="A65" s="3">
        <v>43738</v>
      </c>
      <c r="B65" s="9">
        <v>136.12157228438988</v>
      </c>
    </row>
    <row r="66" spans="1:2" x14ac:dyDescent="0.25">
      <c r="A66" s="3">
        <v>43769</v>
      </c>
      <c r="B66" s="9">
        <v>136.73924961098481</v>
      </c>
    </row>
    <row r="67" spans="1:2" x14ac:dyDescent="0.25">
      <c r="A67" s="3">
        <v>43799</v>
      </c>
      <c r="B67" s="9">
        <v>137.32247013231532</v>
      </c>
    </row>
    <row r="68" spans="1:2" x14ac:dyDescent="0.25">
      <c r="A68" s="3">
        <v>43830</v>
      </c>
      <c r="B68" s="9">
        <v>139.19306370021576</v>
      </c>
    </row>
    <row r="69" spans="1:2" x14ac:dyDescent="0.25">
      <c r="A69" s="3">
        <v>43861</v>
      </c>
      <c r="B69" s="9">
        <v>140.08645577845826</v>
      </c>
    </row>
    <row r="70" spans="1:2" x14ac:dyDescent="0.25">
      <c r="A70" s="3">
        <v>43890</v>
      </c>
      <c r="B70" s="9">
        <v>138.98599105129819</v>
      </c>
    </row>
    <row r="71" spans="1:2" x14ac:dyDescent="0.25">
      <c r="A71" s="3">
        <v>43921</v>
      </c>
      <c r="B71" s="9">
        <v>126.90161032838165</v>
      </c>
    </row>
    <row r="72" spans="1:2" x14ac:dyDescent="0.25">
      <c r="A72" s="3">
        <v>43951</v>
      </c>
      <c r="B72" s="9">
        <v>129.03241450851061</v>
      </c>
    </row>
    <row r="73" spans="1:2" x14ac:dyDescent="0.25">
      <c r="A73" s="3">
        <v>43982</v>
      </c>
      <c r="B73" s="9">
        <v>131.09159562661745</v>
      </c>
    </row>
    <row r="74" spans="1:2" x14ac:dyDescent="0.25">
      <c r="A74" s="3">
        <v>44012</v>
      </c>
      <c r="B74" s="9">
        <v>132.71293662059762</v>
      </c>
    </row>
    <row r="75" spans="1:2" x14ac:dyDescent="0.25">
      <c r="A75" s="3">
        <v>44043</v>
      </c>
      <c r="B75" s="9">
        <v>135.10781152903937</v>
      </c>
    </row>
    <row r="76" spans="1:2" x14ac:dyDescent="0.25">
      <c r="A76" s="3">
        <v>44074</v>
      </c>
      <c r="B76" s="9">
        <v>136.53955500532726</v>
      </c>
    </row>
    <row r="77" spans="1:2" x14ac:dyDescent="0.25">
      <c r="A77" s="3">
        <v>44104</v>
      </c>
      <c r="B77" s="9">
        <v>138.43317814893737</v>
      </c>
    </row>
    <row r="78" spans="1:2" x14ac:dyDescent="0.25">
      <c r="A78" s="3">
        <v>44135</v>
      </c>
      <c r="B78" s="9">
        <v>139.43714045728132</v>
      </c>
    </row>
    <row r="79" spans="1:2" x14ac:dyDescent="0.25">
      <c r="A79" s="3">
        <v>44165</v>
      </c>
      <c r="B79" s="9">
        <v>142.82028416903154</v>
      </c>
    </row>
    <row r="80" spans="1:2" x14ac:dyDescent="0.25">
      <c r="A80" s="3">
        <v>44196</v>
      </c>
      <c r="B80" s="9">
        <v>145.12385748693828</v>
      </c>
    </row>
    <row r="81" spans="1:2" x14ac:dyDescent="0.25">
      <c r="A81" s="3">
        <v>44227</v>
      </c>
      <c r="B81" s="9">
        <v>146.58329125584237</v>
      </c>
    </row>
    <row r="82" spans="1:2" x14ac:dyDescent="0.25">
      <c r="A82" s="3">
        <v>44255</v>
      </c>
      <c r="B82" s="9">
        <v>148.15746035183091</v>
      </c>
    </row>
    <row r="83" spans="1:2" x14ac:dyDescent="0.25">
      <c r="A83" s="3">
        <v>44286</v>
      </c>
      <c r="B83" s="9">
        <v>150.76837210540072</v>
      </c>
    </row>
    <row r="84" spans="1:2" x14ac:dyDescent="0.25">
      <c r="A84" s="3">
        <v>44316</v>
      </c>
      <c r="B84" s="9">
        <v>153.5094472567242</v>
      </c>
    </row>
    <row r="85" spans="1:2" x14ac:dyDescent="0.25">
      <c r="A85" s="3">
        <v>44347</v>
      </c>
      <c r="B85" s="9">
        <v>156.65417108121861</v>
      </c>
    </row>
    <row r="86" spans="1:2" x14ac:dyDescent="0.25">
      <c r="A86" s="3">
        <v>44377</v>
      </c>
      <c r="B86" s="9">
        <v>159.08566482181848</v>
      </c>
    </row>
    <row r="87" spans="1:2" x14ac:dyDescent="0.25">
      <c r="A87" s="3">
        <v>44408</v>
      </c>
      <c r="B87" s="9">
        <v>161.63793693810268</v>
      </c>
    </row>
    <row r="88" spans="1:2" x14ac:dyDescent="0.25">
      <c r="A88" s="3">
        <v>44439</v>
      </c>
      <c r="B88" s="9">
        <v>165.01258312867475</v>
      </c>
    </row>
    <row r="89" spans="1:2" x14ac:dyDescent="0.25">
      <c r="A89" s="3">
        <v>44469</v>
      </c>
      <c r="B89" s="9">
        <v>167.73918424079869</v>
      </c>
    </row>
    <row r="90" spans="1:2" x14ac:dyDescent="0.25">
      <c r="A90" s="3">
        <v>44500</v>
      </c>
      <c r="B90" s="9">
        <v>171.22311285348539</v>
      </c>
    </row>
    <row r="91" spans="1:2" x14ac:dyDescent="0.25">
      <c r="A91" s="3">
        <v>44530</v>
      </c>
      <c r="B91" s="9">
        <v>173.45036941719039</v>
      </c>
    </row>
    <row r="92" spans="1:2" x14ac:dyDescent="0.25">
      <c r="A92" s="3">
        <v>44561</v>
      </c>
      <c r="B92" s="9">
        <v>176.48554853450798</v>
      </c>
    </row>
    <row r="93" spans="1:2" x14ac:dyDescent="0.25">
      <c r="A93" s="3">
        <v>44592</v>
      </c>
      <c r="B93" s="9">
        <v>178.09967945482458</v>
      </c>
    </row>
    <row r="94" spans="1:2" x14ac:dyDescent="0.25">
      <c r="A94" s="3">
        <v>44620</v>
      </c>
      <c r="B94" s="9">
        <v>179.21993488637207</v>
      </c>
    </row>
    <row r="95" spans="1:2" x14ac:dyDescent="0.25">
      <c r="A95" s="3">
        <v>44651</v>
      </c>
      <c r="B95" s="9">
        <v>181.82293849562063</v>
      </c>
    </row>
    <row r="96" spans="1:2" x14ac:dyDescent="0.25">
      <c r="A96" s="3">
        <v>44681</v>
      </c>
      <c r="B96" s="9">
        <v>182.88311599329413</v>
      </c>
    </row>
    <row r="97" spans="1:2" x14ac:dyDescent="0.25">
      <c r="A97" s="3">
        <v>44712</v>
      </c>
      <c r="B97" s="9">
        <v>182.93779862809981</v>
      </c>
    </row>
    <row r="98" spans="1:2" x14ac:dyDescent="0.25">
      <c r="A98" s="3">
        <v>44742</v>
      </c>
      <c r="B98" s="9">
        <v>181.55042293648438</v>
      </c>
    </row>
    <row r="99" spans="1:2" x14ac:dyDescent="0.25">
      <c r="A99" s="3">
        <v>44773</v>
      </c>
      <c r="B99" s="9">
        <v>183.55264303472291</v>
      </c>
    </row>
    <row r="100" spans="1:2" x14ac:dyDescent="0.25">
      <c r="A100" s="3">
        <v>44804</v>
      </c>
      <c r="B100" s="9">
        <v>184.95462569329356</v>
      </c>
    </row>
    <row r="101" spans="1:2" x14ac:dyDescent="0.25">
      <c r="A101" s="3">
        <v>44834</v>
      </c>
      <c r="B101" s="9">
        <v>183.82010908593057</v>
      </c>
    </row>
    <row r="102" spans="1:2" x14ac:dyDescent="0.25">
      <c r="A102" s="3">
        <v>44865</v>
      </c>
      <c r="B102" s="9">
        <v>184.23631699075418</v>
      </c>
    </row>
    <row r="103" spans="1:2" x14ac:dyDescent="0.25">
      <c r="A103" s="3">
        <v>44895</v>
      </c>
      <c r="B103" s="9">
        <v>184.58927408392262</v>
      </c>
    </row>
    <row r="104" spans="1:2" x14ac:dyDescent="0.25">
      <c r="A104" s="3">
        <v>44926</v>
      </c>
      <c r="B104" s="9">
        <v>184.41952465875852</v>
      </c>
    </row>
    <row r="105" spans="1:2" x14ac:dyDescent="0.25">
      <c r="A105" s="3">
        <v>44957</v>
      </c>
      <c r="B105" s="9">
        <v>185.65827923843773</v>
      </c>
    </row>
    <row r="106" spans="1:2" x14ac:dyDescent="0.25">
      <c r="A106" s="3">
        <v>44985</v>
      </c>
      <c r="B106" s="9">
        <v>186.34216603745296</v>
      </c>
    </row>
    <row r="107" spans="1:2" x14ac:dyDescent="0.25">
      <c r="A107" s="3">
        <v>45016</v>
      </c>
      <c r="B107" s="9">
        <v>185.71641303857498</v>
      </c>
    </row>
    <row r="108" spans="1:2" x14ac:dyDescent="0.25">
      <c r="A108" s="3">
        <v>45046</v>
      </c>
      <c r="B108" s="9">
        <v>186.57537435016451</v>
      </c>
    </row>
    <row r="109" spans="1:2" x14ac:dyDescent="0.25">
      <c r="A109" s="3">
        <v>45077</v>
      </c>
      <c r="B109" s="9">
        <v>187.1807521934372</v>
      </c>
    </row>
    <row r="110" spans="1:2" x14ac:dyDescent="0.25">
      <c r="A110" s="3">
        <v>45107</v>
      </c>
      <c r="B110" s="9">
        <v>188.91721037434851</v>
      </c>
    </row>
    <row r="111" spans="1:2" x14ac:dyDescent="0.25">
      <c r="A111" s="3">
        <v>45138</v>
      </c>
      <c r="B111" s="9">
        <v>190.93758457633626</v>
      </c>
    </row>
    <row r="112" spans="1:2" x14ac:dyDescent="0.25">
      <c r="A112" s="3">
        <v>45169</v>
      </c>
      <c r="B112" s="9">
        <v>192.06365397656936</v>
      </c>
    </row>
    <row r="113" spans="1:2" x14ac:dyDescent="0.25">
      <c r="A113" s="3">
        <v>45199</v>
      </c>
      <c r="B113" s="9">
        <v>192.64030337187026</v>
      </c>
    </row>
    <row r="114" spans="1:2" x14ac:dyDescent="0.25">
      <c r="A114" s="3">
        <v>45230</v>
      </c>
      <c r="B114" s="9">
        <v>192.04588072097189</v>
      </c>
    </row>
    <row r="115" spans="1:2" x14ac:dyDescent="0.25">
      <c r="A115" s="3">
        <v>45260</v>
      </c>
      <c r="B115" s="9">
        <v>192.23834802311819</v>
      </c>
    </row>
    <row r="116" spans="1:2" x14ac:dyDescent="0.25">
      <c r="A116" s="3">
        <v>45291</v>
      </c>
      <c r="B116" s="9">
        <v>192.62788230966876</v>
      </c>
    </row>
    <row r="117" spans="1:2" x14ac:dyDescent="0.25">
      <c r="A117" s="3">
        <v>45322</v>
      </c>
      <c r="B117" s="9">
        <v>193.62700680471312</v>
      </c>
    </row>
    <row r="118" spans="1:2" x14ac:dyDescent="0.25">
      <c r="A118" s="3">
        <v>45351</v>
      </c>
      <c r="B118" s="9">
        <v>194.71933019104347</v>
      </c>
    </row>
    <row r="119" spans="1:2" x14ac:dyDescent="0.25">
      <c r="A119" s="3">
        <v>45382</v>
      </c>
      <c r="B119" s="9">
        <v>196.49935168749766</v>
      </c>
    </row>
    <row r="120" spans="1:2" x14ac:dyDescent="0.25">
      <c r="A120" s="3">
        <v>45412</v>
      </c>
      <c r="B120" s="9">
        <v>197.25602497458658</v>
      </c>
    </row>
    <row r="121" spans="1:2" x14ac:dyDescent="0.25">
      <c r="A121" s="3">
        <v>45443</v>
      </c>
      <c r="B121" s="9">
        <v>198.33976209904247</v>
      </c>
    </row>
    <row r="122" spans="1:2" x14ac:dyDescent="0.25">
      <c r="A122" s="3">
        <v>45473</v>
      </c>
      <c r="B122" s="9">
        <v>199.52886125760358</v>
      </c>
    </row>
    <row r="123" spans="1:2" x14ac:dyDescent="0.25">
      <c r="A123" s="3">
        <v>45504</v>
      </c>
      <c r="B123" s="9">
        <v>200.66016311037077</v>
      </c>
    </row>
    <row r="124" spans="1:2" x14ac:dyDescent="0.25">
      <c r="A124" s="3">
        <v>45535</v>
      </c>
      <c r="B124" s="9">
        <v>201.84928761815419</v>
      </c>
    </row>
    <row r="125" spans="1:2" x14ac:dyDescent="0.25">
      <c r="A125" s="3">
        <v>45565</v>
      </c>
      <c r="B125" s="9">
        <v>203.33050148827385</v>
      </c>
    </row>
    <row r="126" spans="1:2" x14ac:dyDescent="0.25">
      <c r="A126" s="3">
        <v>45596</v>
      </c>
      <c r="B126" s="9">
        <v>204.3196479240988</v>
      </c>
    </row>
    <row r="127" spans="1:2" x14ac:dyDescent="0.25">
      <c r="A127" s="3">
        <v>45626</v>
      </c>
      <c r="B127" s="9">
        <v>205.47602840346494</v>
      </c>
    </row>
    <row r="128" spans="1:2" x14ac:dyDescent="0.25">
      <c r="A128" s="3">
        <v>45657</v>
      </c>
      <c r="B128" s="9">
        <v>205.9842722112372</v>
      </c>
    </row>
    <row r="129" spans="1:2" x14ac:dyDescent="0.25">
      <c r="A129" s="3">
        <v>45688</v>
      </c>
      <c r="B129" s="9">
        <v>207.54527977599975</v>
      </c>
    </row>
    <row r="130" spans="1:2" x14ac:dyDescent="0.25">
      <c r="A130" s="3">
        <v>45716</v>
      </c>
      <c r="B130" s="9">
        <v>208.62829085762647</v>
      </c>
    </row>
    <row r="131" spans="1:2" x14ac:dyDescent="0.25">
      <c r="A131" s="3">
        <v>45747</v>
      </c>
      <c r="B131" s="9">
        <v>209.27380489731419</v>
      </c>
    </row>
    <row r="132" spans="1:2" x14ac:dyDescent="0.25">
      <c r="A132" s="3">
        <v>45777</v>
      </c>
      <c r="B132" s="9">
        <v>209.83356988479085</v>
      </c>
    </row>
    <row r="133" spans="1:2" x14ac:dyDescent="0.25">
      <c r="A133" s="3">
        <v>45808</v>
      </c>
      <c r="B133" s="9">
        <v>211.82398714467973</v>
      </c>
    </row>
    <row r="134" spans="1:2" x14ac:dyDescent="0.25">
      <c r="A134" s="3">
        <v>45838</v>
      </c>
      <c r="B134" s="9">
        <v>213.69796613480759</v>
      </c>
    </row>
    <row r="135" spans="1:2" x14ac:dyDescent="0.25">
      <c r="A135" s="3">
        <v>45869</v>
      </c>
      <c r="B135" s="9">
        <v>214.99838022350576</v>
      </c>
    </row>
    <row r="136" spans="1:2" x14ac:dyDescent="0.25">
      <c r="A136" s="3">
        <v>45900</v>
      </c>
      <c r="B136" s="9">
        <v>216.25123261410727</v>
      </c>
    </row>
    <row r="137" spans="1:2" x14ac:dyDescent="0.25">
      <c r="A137" s="3">
        <v>45930</v>
      </c>
      <c r="B137" s="9">
        <v>218.02347894988594</v>
      </c>
    </row>
    <row r="138" spans="1:2" x14ac:dyDescent="0.25">
      <c r="A138" s="3">
        <v>45961</v>
      </c>
      <c r="B138" s="9">
        <v>219.24039715984085</v>
      </c>
    </row>
    <row r="139" spans="1:2" x14ac:dyDescent="0.25">
      <c r="A139" s="3">
        <v>45991</v>
      </c>
      <c r="B139" s="9">
        <v>219.95068205041181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c4b767-81a9-4964-9cba-5e0dcfc5f91d">
      <Terms xmlns="http://schemas.microsoft.com/office/infopath/2007/PartnerControls"/>
    </lcf76f155ced4ddcb4097134ff3c332f>
    <TaxCatchAll xmlns="bcb6379d-5402-4ed7-9167-0c02804cee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40DFB4-A111-4BCB-91CD-8A65E045A7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b6379d-5402-4ed7-9167-0c02804ceeec"/>
    <ds:schemaRef ds:uri="16c4b767-81a9-4964-9cba-5e0dcfc5f9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77906C-862B-468D-BB2E-9DEFB5DF6BA4}">
  <ds:schemaRefs>
    <ds:schemaRef ds:uri="http://purl.org/dc/elements/1.1/"/>
    <ds:schemaRef ds:uri="http://schemas.openxmlformats.org/package/2006/metadata/core-properties"/>
    <ds:schemaRef ds:uri="http://purl.org/dc/terms/"/>
    <ds:schemaRef ds:uri="bcb6379d-5402-4ed7-9167-0c02804ceeec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16c4b767-81a9-4964-9cba-5e0dcfc5f91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884E25A-4AEE-4B55-8676-B7A7EFAE07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fund_performance</vt:lpstr>
      <vt:lpstr>fund_metadata</vt:lpstr>
      <vt:lpstr>pitchbook_tri_index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Cai</dc:creator>
  <cp:lastModifiedBy>Kathy Cai</cp:lastModifiedBy>
  <dcterms:created xsi:type="dcterms:W3CDTF">2015-06-05T18:17:20Z</dcterms:created>
  <dcterms:modified xsi:type="dcterms:W3CDTF">2026-06-08T01:45:07Z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0x01010035B04DF9C75CAB4DAB32342A81611457</vt:lpwstr>
  </property>
</Properties>
</file>