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Intern - Cai/ONLINE Evergreen/"/>
    </mc:Choice>
  </mc:AlternateContent>
  <xr:revisionPtr revIDLastSave="425" documentId="13_ncr:1_{8F6CC447-A370-43D8-9375-6363B8E0C012}" xr6:coauthVersionLast="47" xr6:coauthVersionMax="47" xr10:uidLastSave="{3CB61974-0FF5-4BAF-9316-AE76DF44FF53}"/>
  <bookViews>
    <workbookView xWindow="-120" yWindow="-120" windowWidth="29040" windowHeight="15720" tabRatio="928" activeTab="5" xr2:uid="{00000000-000D-0000-FFFF-FFFF00000000}"/>
  </bookViews>
  <sheets>
    <sheet name="fund_performance" sheetId="1" r:id="rId1"/>
    <sheet name="pivot" sheetId="4" r:id="rId2"/>
    <sheet name="fund_metadata" sheetId="2" r:id="rId3"/>
    <sheet name="pitchbook_index" sheetId="3" r:id="rId4"/>
    <sheet name="stepstone_pm_index" sheetId="5" r:id="rId5"/>
    <sheet name="sp500_index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123Graph_A" hidden="1">'[1]LGP Transaction Calculations'!$AY$29:$AY$61</definedName>
    <definedName name="__123Graph_AREGION" hidden="1">'[2]VC-Lucy''s Data'!$AH$7:$AH$58</definedName>
    <definedName name="__123Graph_B" hidden="1">[3]Recap!#REF!</definedName>
    <definedName name="__123Graph_BREGION" hidden="1">'[2]VC-Lucy''s Data'!$AJ$7:$AJ$58</definedName>
    <definedName name="__123Graph_C" hidden="1">'[1]LGP Transaction Calculations'!$BA$29:$BA$61</definedName>
    <definedName name="__123Graph_CREGION" hidden="1">'[2]VC-Lucy''s Data'!$AL$7:$AL$58</definedName>
    <definedName name="__123Graph_D" hidden="1">'[1]LGP Transaction Calculations'!$BB$29:$BB$61</definedName>
    <definedName name="__123Graph_E" hidden="1">'[1]LGP Transaction Calculations'!$BG$29:$BG$61</definedName>
    <definedName name="__123Graph_F" hidden="1">'[1]LGP Transaction Calculations'!$BH$29:$BH$61</definedName>
    <definedName name="__123Graph_LBL_A" hidden="1">'[2]VC-Lucy''s Data'!$AH$7:$AH$58</definedName>
    <definedName name="__123Graph_LBL_AREGION" hidden="1">'[2]VC-Lucy''s Data'!$AH$7:$AH$58</definedName>
    <definedName name="__123Graph_LBL_B" hidden="1">'[2]VC-Lucy''s Data'!$AJ$7:$AJ$58</definedName>
    <definedName name="__123Graph_LBL_BREGION" hidden="1">'[2]VC-Lucy''s Data'!$AJ$7:$AJ$58</definedName>
    <definedName name="__123Graph_LBL_C" hidden="1">'[2]VC-Lucy''s Data'!$AL$7:$AL$58</definedName>
    <definedName name="__123Graph_LBL_CREGION" hidden="1">'[2]VC-Lucy''s Data'!$AL$7:$AL$58</definedName>
    <definedName name="__123Graph_X" hidden="1">'[1]LGP Transaction Calculations'!$AX$29:$AX$81</definedName>
    <definedName name="__123Graph_XREGION" hidden="1">[4]NAPEG!#REF!</definedName>
    <definedName name="__FDS_HYPERLINK_TOGGLE_STATE__" hidden="1">"ON"</definedName>
    <definedName name="__IntlFixup" hidden="1">TRUE</definedName>
    <definedName name="__IntlFixupTable" hidden="1">#REF!</definedName>
    <definedName name="_1900_Minority_Interest">[5]summary!#REF!</definedName>
    <definedName name="_1995_Asset_Sales">[5]summary!#REF!</definedName>
    <definedName name="_1995_Capex">[5]summary!#REF!</definedName>
    <definedName name="_1995_Capitalized_Interest">[5]summary!#REF!</definedName>
    <definedName name="_1995_Cash_Flow">[5]summary!#REF!</definedName>
    <definedName name="_1995_Current_Income_Tax">[5]summary!#REF!</definedName>
    <definedName name="_1995_DD_A">[5]summary!#REF!</definedName>
    <definedName name="_1995_Deferred_Income_Tax">[5]summary!#REF!</definedName>
    <definedName name="_1995_EBIT">[5]summary!#REF!</definedName>
    <definedName name="_1995_EBITDAX">[5]summary!#REF!</definedName>
    <definedName name="_1995_Exploration_Expense">[5]summary!#REF!</definedName>
    <definedName name="_1995_Interest_Expense">[5]summary!#REF!</definedName>
    <definedName name="_1995_Net_Income">[5]summary!#REF!</definedName>
    <definedName name="_1995_Other_Income">[5]summary!#REF!</definedName>
    <definedName name="_1995_Other_Non_Cash_Items">[5]summary!#REF!</definedName>
    <definedName name="_1995_Revenue">[5]summary!#REF!</definedName>
    <definedName name="_1995_Weighted_Average_Shares_Outstanding">[5]summary!#REF!</definedName>
    <definedName name="_1997E_Asset_Sales">[5]summary!#REF!</definedName>
    <definedName name="_1997E_Capex">[5]summary!#REF!</definedName>
    <definedName name="_1997E_Capitalized_Interest">[5]summary!#REF!</definedName>
    <definedName name="_1997E_Cash_Flow">[5]summary!#REF!</definedName>
    <definedName name="_1997E_Current_Income_Tax">[5]summary!#REF!</definedName>
    <definedName name="_1997E_DD_A">[5]summary!#REF!</definedName>
    <definedName name="_1997E_Deferred_Income_Tax">[5]summary!#REF!</definedName>
    <definedName name="_1997E_EBIT">[5]summary!#REF!</definedName>
    <definedName name="_1997E_EBITDAX">[5]summary!#REF!</definedName>
    <definedName name="_1997E_Exploration_Expense">[5]summary!#REF!</definedName>
    <definedName name="_1997E_Interest_Expense">[5]summary!#REF!</definedName>
    <definedName name="_1997E_Minority_Interest">[5]summary!#REF!</definedName>
    <definedName name="_1997E_Net_Income">[5]summary!#REF!</definedName>
    <definedName name="_1997E_Other_Income">[5]summary!#REF!</definedName>
    <definedName name="_1997E_Other_Non_Cash_Items">[5]summary!#REF!</definedName>
    <definedName name="_1997E_Revenue">[5]summary!#REF!</definedName>
    <definedName name="_1997E_Weighted_Average_Shares_Outstanding">[5]summary!#REF!</definedName>
    <definedName name="_1998E_Asset_Sales">[5]summary!#REF!</definedName>
    <definedName name="_1998E_Capex">[5]summary!#REF!</definedName>
    <definedName name="_1998E_Capitalized_Interest">[5]summary!#REF!</definedName>
    <definedName name="_1998E_Cash_Flow">[5]summary!#REF!</definedName>
    <definedName name="_1998E_Current_Income_Tax">[5]summary!#REF!</definedName>
    <definedName name="_1998E_DD_A">[5]summary!#REF!</definedName>
    <definedName name="_1998E_Deferred_Income_Tax">[5]summary!#REF!</definedName>
    <definedName name="_1998E_EBIT">[5]summary!#REF!</definedName>
    <definedName name="_1998E_EBITDAX">[5]summary!#REF!</definedName>
    <definedName name="_1998E_Exploration_Expense">[5]summary!#REF!</definedName>
    <definedName name="_1998E_Interest_Expense">[5]summary!#REF!</definedName>
    <definedName name="_1998E_Minority_Interest">[5]summary!#REF!</definedName>
    <definedName name="_1998E_Net_Income">[5]summary!#REF!</definedName>
    <definedName name="_1998E_Other_Income">[5]summary!#REF!</definedName>
    <definedName name="_1998E_Other_Non_Cash_Items">[5]summary!#REF!</definedName>
    <definedName name="_1998E_Revenue">[5]summary!#REF!</definedName>
    <definedName name="_1998E_Weighted_Average_Shares_Outstanding">[5]summary!#REF!</definedName>
    <definedName name="_1999E_Asset_Sales">[5]summary!#REF!</definedName>
    <definedName name="_1999E_Capex">[5]summary!#REF!</definedName>
    <definedName name="_1999E_Capitalized_Interest">[5]summary!#REF!</definedName>
    <definedName name="_1999E_Cash_Flow">[5]summary!#REF!</definedName>
    <definedName name="_1999E_Current_Income_Tax">[5]summary!#REF!</definedName>
    <definedName name="_1999E_DD_A">[5]summary!#REF!</definedName>
    <definedName name="_1999E_Deferred_Income_Tax">[5]summary!#REF!</definedName>
    <definedName name="_1999E_EBIT">[5]summary!#REF!</definedName>
    <definedName name="_1999E_EBITDAX">[5]summary!#REF!</definedName>
    <definedName name="_1999E_Exploration_Expense">[5]summary!#REF!</definedName>
    <definedName name="_1999E_Interest_Expense">[5]summary!#REF!</definedName>
    <definedName name="_1999E_Minority_Interest">[5]summary!#REF!</definedName>
    <definedName name="_1999E_Net_Income">[5]summary!#REF!</definedName>
    <definedName name="_1999E_Other_Income">[5]summary!#REF!</definedName>
    <definedName name="_1999E_Other_Non_Cash_Items">[5]summary!#REF!</definedName>
    <definedName name="_1999E_Revenue">[5]summary!#REF!</definedName>
    <definedName name="_1999E_Weighted_Average_Shares_Outstanding">[5]summary!#REF!</definedName>
    <definedName name="_2000E_Asset_Sales">[5]summary!#REF!</definedName>
    <definedName name="_2000E_Capex">[5]summary!#REF!</definedName>
    <definedName name="_2000E_Capitalized_Interest">[5]summary!#REF!</definedName>
    <definedName name="_2000E_Cash_Flow">[5]summary!#REF!</definedName>
    <definedName name="_2000E_Current_Income_Tax">[5]summary!#REF!</definedName>
    <definedName name="_2000E_DD_A">[5]summary!#REF!</definedName>
    <definedName name="_2000E_Deferred_Income_Tax">[5]summary!#REF!</definedName>
    <definedName name="_2000E_EBIT">[5]summary!#REF!</definedName>
    <definedName name="_2000E_EBITDAX">[5]summary!#REF!</definedName>
    <definedName name="_2000E_Exploration_Expense">[5]summary!#REF!</definedName>
    <definedName name="_2000E_Interest_Expense">[5]summary!#REF!</definedName>
    <definedName name="_2000E_Minority_Interest">[5]summary!#REF!</definedName>
    <definedName name="_2000E_Net_Income">[5]summary!#REF!</definedName>
    <definedName name="_2000E_Other_Income">[5]summary!#REF!</definedName>
    <definedName name="_2000E_Other_Non_Cash_Items">[5]summary!#REF!</definedName>
    <definedName name="_2000E_Revenue">[5]summary!#REF!</definedName>
    <definedName name="_2000E_Weighted_Average_Shares_Outstanding">[5]summary!#REF!</definedName>
    <definedName name="_9_30_95_Asset_Sales">[5]summary!#REF!</definedName>
    <definedName name="_9_30_95_Capex">[5]summary!#REF!</definedName>
    <definedName name="_9_30_95_Capitalized_Interest">[5]summary!#REF!</definedName>
    <definedName name="_9_30_95_Cash_Flow">[5]summary!#REF!</definedName>
    <definedName name="_9_30_95_Current_Income_Tax">[5]summary!#REF!</definedName>
    <definedName name="_9_30_95_DD_A">[5]summary!#REF!</definedName>
    <definedName name="_9_30_95_Deferred_Income_Tax">[5]summary!#REF!</definedName>
    <definedName name="_9_30_95_EBIT">[5]summary!#REF!</definedName>
    <definedName name="_9_30_95_EBITDAX">[5]summary!#REF!</definedName>
    <definedName name="_9_30_95_Exploration_Expense">[5]summary!#REF!</definedName>
    <definedName name="_9_30_95_Interest_Expense">[5]summary!#REF!</definedName>
    <definedName name="_9_30_95_Minority_Interest">[5]summary!#REF!</definedName>
    <definedName name="_9_30_95_Net_Income">[5]summary!#REF!</definedName>
    <definedName name="_9_30_95_Other_Income">[5]summary!#REF!</definedName>
    <definedName name="_9_30_95_Other_Non_Cash_Items">[5]summary!#REF!</definedName>
    <definedName name="_9_30_95_Revenue">[5]summary!#REF!</definedName>
    <definedName name="_9_30_95_Weighted_Average_Shares_Outstanding">[5]summary!#REF!</definedName>
    <definedName name="_9_30_96_Asset_Sales">[5]summary!#REF!</definedName>
    <definedName name="_9_30_96_Capex">[5]summary!#REF!</definedName>
    <definedName name="_9_30_96_Capitalized_Interest">[5]summary!#REF!</definedName>
    <definedName name="_9_30_96_Cash_Flow">[5]summary!#REF!</definedName>
    <definedName name="_9_30_96_Current_Income_Tax">[5]summary!#REF!</definedName>
    <definedName name="_9_30_96_DD_A">[5]summary!#REF!</definedName>
    <definedName name="_9_30_96_Deferred_Income_Tax">[5]summary!#REF!</definedName>
    <definedName name="_9_30_96_EBIT">[5]summary!#REF!</definedName>
    <definedName name="_9_30_96_EBITDAX">[5]summary!#REF!</definedName>
    <definedName name="_9_30_96_Exploration_Expense">[5]summary!#REF!</definedName>
    <definedName name="_9_30_96_Interest_Expense">[5]summary!#REF!</definedName>
    <definedName name="_9_30_96_Minority_Interest">[5]summary!#REF!</definedName>
    <definedName name="_9_30_96_Net_Income">[5]summary!#REF!</definedName>
    <definedName name="_9_30_96_Other_Income">[5]summary!#REF!</definedName>
    <definedName name="_9_30_96_Other_Non_Cash_Items">[5]summary!#REF!</definedName>
    <definedName name="_9_30_96_Revenue">[5]summary!#REF!</definedName>
    <definedName name="_9_30_96_Weighted_Average_Shares_Outstanding">[5]summary!#REF!</definedName>
    <definedName name="_DLX1.USE">#REF!</definedName>
    <definedName name="_Fill" hidden="1">'[6]1st,  2nd, 3rd, &amp; 4th Q P&amp;L'!#REF!</definedName>
    <definedName name="_GrossCountry">'[7]HL IRR'!#REF!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>1</definedName>
    <definedName name="_Sort" hidden="1">#REF!</definedName>
    <definedName name="_xlcn.WorksheetConnection_2022Q1PitchBookGlobalMADeals.xlsxTable11" hidden="1">#REF!</definedName>
    <definedName name="_xlcn.WorksheetConnection_2022Q1PitchBookGlobalMADeals.xlsxTable41" hidden="1">Table4</definedName>
    <definedName name="_xlcn.WorksheetConnection_Deal_FlowABO" hidden="1">#REF!</definedName>
    <definedName name="a">#REF!</definedName>
    <definedName name="aa">#REF!</definedName>
    <definedName name="aaa">INDEX(#REF!,COUNTA(#REF!)-#REF!+1):INDEX(#REF!,COUNTA(#REF!))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hidden="1">39545.6064814815</definedName>
    <definedName name="ac">#REF!</definedName>
    <definedName name="AccessDatabase" hidden="1">"H:\JEANNIE\BLANTON\TWRSITES.mdb"</definedName>
    <definedName name="ACCOUNT_CHANGE" hidden="1">"ACCOUNT_CHANGE"</definedName>
    <definedName name="ACCOUNTS_PAY" hidden="1">"ACCOUNTS_PAY"</definedName>
    <definedName name="ACCRUED_EXP" hidden="1">"ACCRUED_EXP"</definedName>
    <definedName name="ADD_PAID_IN" hidden="1">"ADD_PAID_IN"</definedName>
    <definedName name="AdditionalDirectsDebt">[8]Input!$C$34</definedName>
    <definedName name="AdditionalDirectsEquity">[8]Input!$C$33</definedName>
    <definedName name="Alpha">#N/A</definedName>
    <definedName name="AMORTIZATION" hidden="1">"AMORTIZATION"</definedName>
    <definedName name="Amount">'[9]cash flow'!$G$5:$G$397</definedName>
    <definedName name="AmountDistributed">'[10]Data Sheet'!$Z$2:$Z$859</definedName>
    <definedName name="AmountDrawn">'[10]Data Sheet'!$K$2:$K$859</definedName>
    <definedName name="AMV____Net_PP_E">[5]summary!#REF!</definedName>
    <definedName name="AMV___Proved_BOE">[5]summary!#REF!</definedName>
    <definedName name="AQP">[5]summary!#REF!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asdfasdfasdfasdfasdfasdf">INDEX(#REF!,COUNTA(#REF!)-#REF!+1):INDEX(#REF!,COUNTA(#REF!))</definedName>
    <definedName name="AsOfDate">#N/A</definedName>
    <definedName name="Asset_Class_Filter" comment="SSG Model Name">[11]!spi_sectors[asset_class]</definedName>
    <definedName name="Asset_Classes" comment="SSG Model Name">[11]!spi_asset_classes[asset_class]</definedName>
    <definedName name="ASSET_TURNS" hidden="1">"ASSET_TURNS"</definedName>
    <definedName name="Attribute_Name_List_Filter" comment="SSG Model Name">[11]!Spi_attribute_lists[attribute_name]</definedName>
    <definedName name="b">#REF!</definedName>
    <definedName name="BackupMembers">#N/A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enchmark" hidden="1">"c89"</definedName>
    <definedName name="Benchmark_Dates" comment="SSG Model Name">[11]!spi_benchmark_dates[as_of]</definedName>
    <definedName name="BG_Del" hidden="1">15</definedName>
    <definedName name="BG_Ins" hidden="1">4</definedName>
    <definedName name="BG_Mod" hidden="1">6</definedName>
    <definedName name="BHYDailyYield">OFFSET(#REF!,COUNTA(#REF!)-1,0,-254,1)</definedName>
    <definedName name="bis">#REF!</definedName>
    <definedName name="biz">#REF!</definedName>
    <definedName name="BLoansDailyYield">OFFSET(#REF!,COUNTA(#REF!)-1,0,-254,1)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'[12]Prior Fund Raising MGD'!#REF!</definedName>
    <definedName name="BLPH9" hidden="1">[12]Sheet2!$X$9</definedName>
    <definedName name="Bond_Swap_Date">OFFSET(#REF!,COUNTA(#REF!)-1,0,-96,1)</definedName>
    <definedName name="Bond_Swap_Worst">OFFSET(#REF!,COUNTA(#REF!)-1,0,-96,1)</definedName>
    <definedName name="BOOK_VALUE" hidden="1">"BOOK_VALUE"</definedName>
    <definedName name="BR">#REF!</definedName>
    <definedName name="Business_Stat_Hist">OFFSET(#REF!,0,0,COUNTA(#REF!),5)</definedName>
    <definedName name="BV_OVER_SHARES" hidden="1">"BV_OVER_SHARES"</definedName>
    <definedName name="bvcx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Capital_Committed">#REF!</definedName>
    <definedName name="CAPITAL_EXPEN" hidden="1">"CAPITAL_EXPEN"</definedName>
    <definedName name="CAPITAL_LEASE" hidden="1">"CAPITAL_LEASE"</definedName>
    <definedName name="Carry">#N/A</definedName>
    <definedName name="Carry1">#REF!</definedName>
    <definedName name="carry2">#REF!</definedName>
    <definedName name="carry3">#REF!</definedName>
    <definedName name="CASH" hidden="1">"CASH"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tchUp">#N/A</definedName>
    <definedName name="Category">[13]DATA!$K$2:$K$8498</definedName>
    <definedName name="Ccy">#REF!</definedName>
    <definedName name="CEUS">[5]summary!#REF!</definedName>
    <definedName name="CFCompanies">#N/A</definedName>
    <definedName name="CFCompaniesCompanyFirstCF">#N/A</definedName>
    <definedName name="CFCompaniesSelection">#N/A</definedName>
    <definedName name="CfFlag">'[14]1_Main'!$C$7</definedName>
    <definedName name="CFLP">#N/A</definedName>
    <definedName name="CFRangeCFCompanies">#N/A</definedName>
    <definedName name="CFRangeCFLP">#N/A</definedName>
    <definedName name="CG">[5]summary!#REF!</definedName>
    <definedName name="CGP">[5]summary!#REF!</definedName>
    <definedName name="Challenger">#N/A</definedName>
    <definedName name="CHANGES_WORK_CAP" hidden="1">"CHANGES_WORK_CAP"</definedName>
    <definedName name="charge">'[15]Detailed Summary_Circulation'!#REF!</definedName>
    <definedName name="Chart_2">#REF!</definedName>
    <definedName name="Chart_3" hidden="1">#REF!</definedName>
    <definedName name="Chart_3_1" hidden="1">#REF!</definedName>
    <definedName name="CHART_8" hidden="1">41578.5393981481</definedName>
    <definedName name="CHART_9a">#REF!</definedName>
    <definedName name="CHART_9b" hidden="1">41578.5393981481</definedName>
    <definedName name="CHART1">#REF!</definedName>
    <definedName name="CHART10">#REF!</definedName>
    <definedName name="Chart100">#REF!</definedName>
    <definedName name="chart11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x" hidden="1">Table4</definedName>
    <definedName name="CHART2">#REF!</definedName>
    <definedName name="Chart2x">INDEX(#REF!,COUNTA(#REF!)-#REF!+1):INDEX(#REF!,COUNTA(#REF!))</definedName>
    <definedName name="CHART3">#REF!</definedName>
    <definedName name="Chart3x">#N/A</definedName>
    <definedName name="CHART4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9a">#REF!</definedName>
    <definedName name="Choices_Wrapper">#N/A</definedName>
    <definedName name="CIQWBGuid" hidden="1">"d5c96f1c-0b8a-4f1d-9499-e87469d8b72c"</definedName>
    <definedName name="CIQWBGuid_1" hidden="1">"36eab537-9225-4c46-85ab-05c18190aca1"</definedName>
    <definedName name="CIQWBGuid_1_1" hidden="1">"Calendar.xls"</definedName>
    <definedName name="CIQWBGuid_1_1_1" hidden="1">"36eab537-9225-4c46-85ab-05c18190aca1"</definedName>
    <definedName name="CIQWBGuid_2" hidden="1">"HY stats.xls"</definedName>
    <definedName name="CIQWBGuid_2_1" hidden="1">"HY stats.xls"</definedName>
    <definedName name="CIQWBGuid_3" hidden="1">"LIPPER 2014 shared version.xls"</definedName>
    <definedName name="CIQWBGuid_4" hidden="1">"eb115120-dfd8-4ab1-a371-267a4654e132"</definedName>
    <definedName name="CIQWBInfo" hidden="1">"{ ""CIQVersion"":""9.45.614.5792"" }"</definedName>
    <definedName name="CITY" hidden="1">"CITY"</definedName>
    <definedName name="clean_spreads">#REF!</definedName>
    <definedName name="ClientName">'[10]Data Sheet'!$A$2:$A$859</definedName>
    <definedName name="CLPercent">INDEX(#REF!,COUNTA(#REF!)-#REF!+1):INDEX(#REF!,COUNTA(#REF!))</definedName>
    <definedName name="CLpercentYR">INDEX(#REF!,COUNTA(#REF!)-#REF!+1):INDEX(#REF!,COUNTA(#REF!))</definedName>
    <definedName name="CLQTR">#REF!</definedName>
    <definedName name="CLVolMN">#REF!</definedName>
    <definedName name="CLVolume">INDEX(#REF!,COUNTA(#REF!)-#REF!+1):INDEX(#REF!,COUNTA(#REF!))</definedName>
    <definedName name="CLVolumeYR">INDEX(#REF!,COUNTA(#REF!)-#REF!+1):INDEX(#REF!,COUNTA(#REF!))</definedName>
    <definedName name="CNG">[5]summary!#REF!</definedName>
    <definedName name="COG">[5]summary!#REF!</definedName>
    <definedName name="Comm_LP">#N/A</definedName>
    <definedName name="CommercialExAIGMetrics">#REF!</definedName>
    <definedName name="Commit.">#N/A</definedName>
    <definedName name="CommitmentAmount">'[10]Data Sheet'!$J$2:$J$859</definedName>
    <definedName name="CommitmentsABC">#N/A</definedName>
    <definedName name="Common_Shareholders__Equity">[5]summary!#REF!</definedName>
    <definedName name="COMMON_STOCK" hidden="1">"COMMON_STOCK"</definedName>
    <definedName name="Companies">#N/A</definedName>
    <definedName name="CompaniesCompanyNr">#N/A</definedName>
    <definedName name="CompaniesCrossover">#N/A</definedName>
    <definedName name="CompaniesDuplicateCrossover">#N/A</definedName>
    <definedName name="CompaniesInvDate">#N/A</definedName>
    <definedName name="CompaniesInvNr">#N/A</definedName>
    <definedName name="CompaniesRealized">#N/A</definedName>
    <definedName name="CompaniesSelection">#N/A</definedName>
    <definedName name="CompaniesWriteOff">#N/A</definedName>
    <definedName name="COMPANY_ADDRESS" hidden="1">"COMPANY_ADDRESS"</definedName>
    <definedName name="Company_List">#N/A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1name">#N/A</definedName>
    <definedName name="CompanyCompanies">#N/A</definedName>
    <definedName name="CompanyHeaderRow">#N/A</definedName>
    <definedName name="Convertible_Debt">[5]summary!#REF!</definedName>
    <definedName name="copy" hidden="1">"c2106"</definedName>
    <definedName name="Copyright">#REF!</definedName>
    <definedName name="CopyrightAnalytics">#REF!</definedName>
    <definedName name="COST_REVENUE" hidden="1">"COST_REVENUE"</definedName>
    <definedName name="Country" comment="SSG Model Name">'[11]Lists &amp; Categories'!$O$3:$O$249</definedName>
    <definedName name="COUNTRY_NAME" hidden="1">"COUNTRY_NAME"</definedName>
    <definedName name="Created" hidden="1">"S t e p S t o n e  G r o u p -- C r e a t e d  b y  T y l e r  J o h n s o n"</definedName>
    <definedName name="CreatedFor">#REF!</definedName>
    <definedName name="CreatedForTitle">#REF!</definedName>
    <definedName name="CrossoverPeriod">#N/A</definedName>
    <definedName name="CS_ALL">OFFSET(#REF!, COUNTA(#REF!)-1,0,-13,1)</definedName>
    <definedName name="CS_LBO">OFFSET(#REF!, COUNTA(#REF!)-1,0,-13,1)</definedName>
    <definedName name="CS_MA">OFFSET(#REF!, COUNTA(#REF!)-1,0,-13,1)</definedName>
    <definedName name="CS_Period">OFFSET(#REF!, COUNTA(#REF!)-1,0,-13,1)</definedName>
    <definedName name="Curr">[8]Input!$C$32</definedName>
    <definedName name="Currencies" comment="SSG Model Name">'[11]Lists &amp; Categories'!$R$3:$R$24</definedName>
    <definedName name="Currency">#N/A</definedName>
    <definedName name="Currency_Table">OFFSET(#REF!,0,0,COUNTA(#REF!)-1,5)</definedName>
    <definedName name="Currency_Table2">OFFSET(#REF!,0,0,COUNTA(#REF!)-1,5)</definedName>
    <definedName name="Currency_Table3">OFFSET(#REF!,0,0,COUNTA(#REF!)-1,5)</definedName>
    <definedName name="CurrencyCFLP">#N/A</definedName>
    <definedName name="CurrencyInput">#REF!</definedName>
    <definedName name="CurrencyList">#N/A</definedName>
    <definedName name="CURRENT_PORT" hidden="1">"CURRENT_PORT"</definedName>
    <definedName name="CURRENT_RATIO" hidden="1">"CURRENT_RATIO"</definedName>
    <definedName name="CurrentValue">'[10]Data Sheet'!$Y$2:$Y$859</definedName>
    <definedName name="d">#REF!</definedName>
    <definedName name="dasdfasdfasdf">INDEX(#REF!,COUNTA(#REF!)-#REF!+1):INDEX(#REF!,COUNTA(#REF!))</definedName>
    <definedName name="DataSetReport">#REF!</definedName>
    <definedName name="DataSetSponsors">#REF!</definedName>
    <definedName name="Date">OFFSET(#REF!,COUNTA(#REF!)-1,0,-47,1)</definedName>
    <definedName name="DateHY">OFFSET(#REF!,COUNTA(#REF!)-1,0,-254,1)</definedName>
    <definedName name="DateLoans">OFFSET(#REF!,COUNTA(#REF!)-3,0,-61,1)</definedName>
    <definedName name="Daterange">INDEX(#REF!,COUNTA(#REF!)-#REF!+1):INDEX(#REF!,COUNTA(#REF!))</definedName>
    <definedName name="Daterangebonds">INDEX(#REF!,COUNTA(#REF!)-#REF!+1):INDEX(#REF!,COUNTA(#REF!))</definedName>
    <definedName name="DaterangebondsYR">INDEX(#REF!,COUNTA(#REF!)-#REF!+1):INDEX(#REF!,COUNTA(#REF!))</definedName>
    <definedName name="DaterangeCL">INDEX(#REF!,COUNTA(#REF!)-#REF!+1):INDEX(#REF!,COUNTA(#REF!))</definedName>
    <definedName name="DaterangeCLYR">INDEX(#REF!,COUNTA(#REF!)-#REF!+1):INDEX(#REF!,COUNTA(#REF!))</definedName>
    <definedName name="DATERANGEEURO">INDEX(#REF!,COUNTA(#REF!)-#REF!+1):INDEX(#REF!,COUNTA(#REF!))</definedName>
    <definedName name="DATERANGEEURO_YR">INDEX(#REF!,COUNTA(#REF!)-#REF!+1):INDEX(#REF!,COUNTA(#REF!))</definedName>
    <definedName name="DaterangeMA">INDEX(#REF!,COUNTA(#REF!)-#REF!+1):INDEX(#REF!,COUNTA(#REF!))</definedName>
    <definedName name="DateRangeMAYR">INDEX(#REF!,COUNTA(#REF!)-#REF!+1):INDEX(#REF!,COUNTA(#REF!))</definedName>
    <definedName name="DaterangeMM">INDEX(#REF!,COUNTA(#REF!)-#REF!+1):INDEX(#REF!,COUNTA(#REF!))</definedName>
    <definedName name="DaterangeMMYR">INDEX(#REF!,COUNTA(#REF!)-#REF!+1):INDEX(#REF!,COUNTA(#REF!))</definedName>
    <definedName name="DateRangeSLTL">INDEX(#REF!,COUNTA(#REF!)-#REF!+1):INDEX(#REF!,COUNTA(#REF!))</definedName>
    <definedName name="DATERANGESLTL_YR">INDEX(#REF!,COUNTA(#REF!)-#REF!+1):INDEX(#REF!,COUNTA(#REF!))</definedName>
    <definedName name="DaterangeSP">INDEX(#REF!,COUNTA(#REF!)-#REF!+1):INDEX(#REF!,COUNTA(#REF!))</definedName>
    <definedName name="daterangeSPYR">INDEX(#REF!,COUNTA(#REF!)-#REF!+1):INDEX(#REF!,COUNTA(#REF!))</definedName>
    <definedName name="DaterangeYR">INDEX(#REF!,COUNTA(#REF!)-#REF!+1):INDEX(#REF!,COUNTA(#REF!))</definedName>
    <definedName name="Dates_B_and_BB">OFFSET(#REF!,COUNTA(#REF!)-3,0,-61,1)</definedName>
    <definedName name="Dates_CovLite">OFFSET(#REF!,COUNT(#REF!)-1,0,-61,1)</definedName>
    <definedName name="Dates_FL_SL">OFFSET(#REF!,COUNT(#REF!)-1,0,-61,1)</definedName>
    <definedName name="Dates_FL_SL_B">OFFSET(#REF!,COUNT(#REF!)-1,0,-61,1)</definedName>
    <definedName name="Dates_LC">OFFSET(#REF!,COUNT(#REF!)-1,0,-61,1)</definedName>
    <definedName name="DatesCompanies">#N/A</definedName>
    <definedName name="DatesLP">#N/A</definedName>
    <definedName name="DAYS_PAY_OUTST" hidden="1">"DAYS_PAY_OUTST"</definedName>
    <definedName name="DAYS_SALES_OUTST" hidden="1">"DAYS_SALES_OUTST"</definedName>
    <definedName name="dd">#REF!</definedName>
    <definedName name="DDLP">#N/A</definedName>
    <definedName name="de">INDEX(#REF!,COUNTA(#REF!)-#REF!+1):INDEX(#REF!,COUNTA(#REF!))</definedName>
    <definedName name="Deal_Flow_New">OFFSET(#REF!,0,0,COUNTA(#REF!)-1,COUNTA(#REF!))</definedName>
    <definedName name="Deal_Flow_New2">OFFSET(#REF!,0,0,COUNTA(#REF!)-1,COUNTA(#REF!))</definedName>
    <definedName name="Deal_Types">OFFSET(#REF!,0,0,COUNTA(#REF!),6)</definedName>
    <definedName name="DealType">#N/A</definedName>
    <definedName name="DEFERRED_INC_TAX" hidden="1">"DEFERRED_INC_TAX"</definedName>
    <definedName name="DEFERRED_TAXES" hidden="1">"DEFERRED_TAXES"</definedName>
    <definedName name="denomination">#REF!</definedName>
    <definedName name="Denominator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SCRIPTION_LONG" hidden="1">"DESCRIPTION_LONG"</definedName>
    <definedName name="DGP">[5]summary!#REF!</definedName>
    <definedName name="DGPLP">#N/A</definedName>
    <definedName name="DICI">#REF!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">'[16]Paid-in &amp; Disb by Inv Cat'!$D$2:$D$34</definedName>
    <definedName name="DISCONT_OPER" hidden="1">"DISCONT_OPER"</definedName>
    <definedName name="Distributions">#N/A</definedName>
    <definedName name="Distributions_LP">#N/A</definedName>
    <definedName name="DIVID_SHARE" hidden="1">"DIVID_SHARE"</definedName>
    <definedName name="DLP">#N/A</definedName>
    <definedName name="DLX1.USE">#REF!</definedName>
    <definedName name="Doc_Type" comment="SSG Model Name">[11]!spi_doc_types[doc_type_desc]</definedName>
    <definedName name="dol">[17]Exch!$B$4</definedName>
    <definedName name="DownloadedOn">#REF!</definedName>
    <definedName name="DownlodedOn">#REF!</definedName>
    <definedName name="DrawDown_LP">#N/A</definedName>
    <definedName name="dsBlueHeaderTitle">#REF!</definedName>
    <definedName name="dynamic">OFFSET(#REF!,,,COUNTA(#REF!),COUNTA(#REF!))</definedName>
    <definedName name="DynamicPipe">OFFSET(#REF!,,,COUNTA(#REF!),COUNTA(#REF!))</definedName>
    <definedName name="DynamicPipeline">OFFSET(#REF!,,,COUNTA(#REF!),COUNTA(#REF!))</definedName>
    <definedName name="EBIT" hidden="1">"EBIT"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" hidden="1">"EBITDA"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OVER_TOTAL_IE" hidden="1">"EBITDA_OVER_TOTAL_IE"</definedName>
    <definedName name="ED">#REF!</definedName>
    <definedName name="EEX">[5]summary!#REF!</definedName>
    <definedName name="EFFECT_SPECIAL_CHARGE" hidden="1">"EFFECT_SPECIAL_CHARGE"</definedName>
    <definedName name="ELE">[18]Control!$D$11</definedName>
    <definedName name="EMPLOYEES" hidden="1">"EMPLOYEES"</definedName>
    <definedName name="enc">#REF!</definedName>
    <definedName name="ENE">[5]summary!#REF!</definedName>
    <definedName name="Entity">'[19]Burgiss Group'!$N$2:$N$154</definedName>
    <definedName name="EPG">[5]summary!#REF!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SOP_DEBT" hidden="1">"ESOP_DEBT"</definedName>
    <definedName name="et">#REF!</definedName>
    <definedName name="eur">#REF!</definedName>
    <definedName name="EuroDynamic">OFFSET(#REF!,0,0,COUNTA(#REF!)-1,COUNTA(#REF!)+1)</definedName>
    <definedName name="EUROIVOLUME">INDEX(#REF!,COUNTA(#REF!)-#REF!+1):INDEX(#REF!,COUNTA(#REF!))</definedName>
    <definedName name="EUROIVOLUME_YR">INDEX(#REF!,COUNTA(#REF!)-#REF!+1):INDEX(#REF!,COUNTA(#REF!))</definedName>
    <definedName name="EUROPRVOLUME">INDEX(#REF!,COUNTA(#REF!)-#REF!+1):INDEX(#REF!,COUNTA(#REF!))</definedName>
    <definedName name="EUROPRVOLUME_YR">INDEX(#REF!,COUNTA(#REF!)-#REF!+1):INDEX(#REF!,COUNTA(#REF!))</definedName>
    <definedName name="EUROQTR">#REF!</definedName>
    <definedName name="EUROVOL">#REF!</definedName>
    <definedName name="EUROVOLUMEMN">#REF!</definedName>
    <definedName name="EUROVOLYR">#REF!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lDPI">#N/A</definedName>
    <definedName name="EvalEntryMultiple">#N/A</definedName>
    <definedName name="EvalHoldingPeriod">#N/A</definedName>
    <definedName name="EvalInvestment">#N/A</definedName>
    <definedName name="EvalIRR">#N/A</definedName>
    <definedName name="EvalRealization">#N/A</definedName>
    <definedName name="EvalRealized">#N/A</definedName>
    <definedName name="EvalRVPI">#N/A</definedName>
    <definedName name="EvalSelection">#N/A</definedName>
    <definedName name="EvalSubtotalFundSelection">#N/A</definedName>
    <definedName name="EvalTVPI">#N/A</definedName>
    <definedName name="EvalUnrealized">#N/A</definedName>
    <definedName name="Exchange">[5]summary!#REF!</definedName>
    <definedName name="ExcludeDirectsDebt">[8]Input!$C$36</definedName>
    <definedName name="ExcludeDirectsEquity">[8]Input!$C$35</definedName>
    <definedName name="Existing_Attributes" comment="SSG Model Name">[11]!spi_attributes[attribute_name]</definedName>
    <definedName name="ExitYear">OFFSET(#REF!,0,0,COUNTA(#REF!)-1,8)</definedName>
    <definedName name="EXTRA_ITEMS" hidden="1">"EXTRA_ITEMS"</definedName>
    <definedName name="Extrap_Lookup">OFFSET(#REF!,0,0,COUNTA(#REF!)-1,COUNTA(#REF!)-2)</definedName>
    <definedName name="Extrap_Lookup2">OFFSET(#REF!,0,0,COUNTA(#REF!)-1,COUNTA(#REF!)-2)</definedName>
    <definedName name="ffr">[17]Exch!$B$5</definedName>
    <definedName name="Fields" comment="SSG Model Name">'[11]Master - Investments'!$A$6:$CG$6</definedName>
    <definedName name="FINANCING_CASH" hidden="1">"FINANCING_CASH"</definedName>
    <definedName name="Financing_Status">OFFSET(#REF!,0,0,COUNTA(#REF!),2)</definedName>
    <definedName name="FirstCompanyCF">#N/A</definedName>
    <definedName name="flData">#REF!</definedName>
    <definedName name="flDataBottom">#REF!</definedName>
    <definedName name="flow" hidden="1">"LIPPER 2014 shared version.xls"</definedName>
    <definedName name="flute">#REF!</definedName>
    <definedName name="FOREIGN_EXCHANGE" hidden="1">"FOREIGN_EXCHANGE"</definedName>
    <definedName name="Formatted">INDEX(#REF!,COUNTA(#REF!)-#REF!+1):INDEX(#REF!,COUNTA(#REF!))</definedName>
    <definedName name="Former_Investor">OFFSET(#REF!,0,0,COUNTA(#REF!),1)</definedName>
    <definedName name="Forward_Calendar_Date">OFFSET(#REF!, COUNTA(#REF!)-1,0,-53,1)</definedName>
    <definedName name="Forward_Calendar_Volume">OFFSET(#REF!, COUNTA(#REF!)-1,0,-53,1)</definedName>
    <definedName name="From">#N/A</definedName>
    <definedName name="fsdgsdf">#REF!</definedName>
    <definedName name="fund">'[20]33104 snapshot data'!$H$2:$H$360</definedName>
    <definedName name="Fund_Aliases">#N/A</definedName>
    <definedName name="FundCompanies">#N/A</definedName>
    <definedName name="FundName">[21]Cover!$D$15</definedName>
    <definedName name="Fundraising_Data">OFFSET(#REF!,0,0,COUNTA(#REF!)-1,COUNTA(#REF!))</definedName>
    <definedName name="Funds" comment="SSG Model Name">[11]Control!$B$14:$B$28</definedName>
    <definedName name="FundsAliasList">#N/A</definedName>
    <definedName name="FundSelectionInputRange">#N/A</definedName>
    <definedName name="FundSize">#N/A</definedName>
    <definedName name="FundType">'[10]Data Sheet'!$AA$2:$AA$859</definedName>
    <definedName name="fx">#REF!</definedName>
    <definedName name="FXDate">#N/A</definedName>
    <definedName name="FY_DATE" hidden="1">"FY_DATE"</definedName>
    <definedName name="g">#REF!</definedName>
    <definedName name="GAIN_SALE_ASSETS" hidden="1">"GAIN_SALE_ASSETS"</definedName>
    <definedName name="geo">'[22]Burgiss Group'!$I$2:$I$661</definedName>
    <definedName name="geography">'[23]Burgiss Group'!$H$2:$H$1017</definedName>
    <definedName name="gfdsgdf">#REF!</definedName>
    <definedName name="ggg">INDEX(#REF!,COUNTA(#REF!)-#REF!+1):INDEX(#REF!,COUNTA(#REF!))</definedName>
    <definedName name="gghjh">#REF!</definedName>
    <definedName name="gh">INDEX(#REF!,COUNTA(#REF!)-#REF!+1):INDEX(#REF!,COUNTA(#REF!))</definedName>
    <definedName name="GICS_Sector" comment="SSG Model Name">'[11]Lists &amp; Categories'!$I$3:$I$14</definedName>
    <definedName name="GOODWILL_NET" hidden="1">"GOODWILL_NET"</definedName>
    <definedName name="GPName">'[10]Data Sheet'!$G$2:$G$859</definedName>
    <definedName name="Graph_BaseH">#N/A</definedName>
    <definedName name="Graph_BaseM">#N/A</definedName>
    <definedName name="Graph_BaseW">#N/A</definedName>
    <definedName name="Graph_IRR_H">#N/A</definedName>
    <definedName name="Graph_IRR_L">#N/A</definedName>
    <definedName name="Graph_IRR_M">#N/A</definedName>
    <definedName name="Graph_IRR_W">#N/A</definedName>
    <definedName name="Graph_LowM">#N/A</definedName>
    <definedName name="GROSS_DIVID" hidden="1">"GROSS_DIVID"</definedName>
    <definedName name="GROSS_MARGIN" hidden="1">"GROSS_MARGIN"</definedName>
    <definedName name="GROSS_PROFIT" hidden="1">"GROSS_PROFIT"</definedName>
    <definedName name="gsdfgs">#REF!</definedName>
    <definedName name="gsdfsd">#REF!</definedName>
    <definedName name="gsdgsd">#REF!</definedName>
    <definedName name="h" hidden="1">"LIPPER 2014 shared version.xls"</definedName>
    <definedName name="HIGHPRICE" hidden="1">"HIGHPRICE"</definedName>
    <definedName name="HLIRR_GrossCF">'[21]HL IRR'!$H$9:$H$397</definedName>
    <definedName name="HLIRR_GrossCFGPVal">'[7]HL IRR'!#REF!</definedName>
    <definedName name="HLIRR_GrossCompany">'[24]HL IRR'!$A$9:$A$283</definedName>
    <definedName name="HLIRR_GrossCountry">'[25]HL IRR'!$L$9:$L$283</definedName>
    <definedName name="HLIRR_GrossDate">'[21]HL IRR'!$C$9:$C$397</definedName>
    <definedName name="HLIRR_GrossEntryMult">'[26]HL IRR'!$U$9:$U$117</definedName>
    <definedName name="HLIRR_GrossEV">'[25]HL IRR'!$S$9:$S$283</definedName>
    <definedName name="HLIRR_GrossExitMethod">'[26]HL IRR'!$S$9:$S$117</definedName>
    <definedName name="HLIRR_GrossFund">'[21]HL IRR'!$B$9:$B$397</definedName>
    <definedName name="HLIRR_GrossInvested">'[27]HL IRR'!$D$9:$D$1015</definedName>
    <definedName name="HLIRR_GrossIRR">'[25]HL IRR'!$U$9:$U$283</definedName>
    <definedName name="HLIRR_GrossLead">'[25]HL IRR'!$O$9:$O$283</definedName>
    <definedName name="HLIRR_GrossLeverage">'[26]HL IRR'!$P$9:$P$117</definedName>
    <definedName name="HLIRR_GrossMultiple">'[25]HL IRR'!$T$9:$T$283</definedName>
    <definedName name="HLIRR_GrossOwn">'[25]HL IRR'!$P$9:$P$283</definedName>
    <definedName name="HLIRR_GrossRealized">'[27]HL IRR'!$E$9:$E$1015</definedName>
    <definedName name="HLIRR_GrossRegion">'[25]HL IRR'!$M$9:$M$283</definedName>
    <definedName name="HLIRR_GrossSector">'[25]HL IRR'!$K$9:$K$283</definedName>
    <definedName name="HLIRR_GrossSize">'[25]HL IRR'!$R$9:$R$283</definedName>
    <definedName name="HLIRR_GrossSource">'[25]HL IRR'!$N$9:$N$283</definedName>
    <definedName name="HLIRR_GrossStatus">'[21]HL IRR'!$J$9:$J$397</definedName>
    <definedName name="HLIRR_GrossType">'[25]HL IRR'!$Q$9:$Q$283</definedName>
    <definedName name="HLIRR_GrossUnrealizedHLVal">'[7]HL IRR'!#REF!</definedName>
    <definedName name="HLIRR_UnrealizedGPVal">'[24]HL IRR'!$F$9:$F$283</definedName>
    <definedName name="HLIRR_UnrealizedHLVal">'[7]HL IRR'!#REF!</definedName>
    <definedName name="HLIRRGross_Multiple">'[7]HL IRR'!#REF!</definedName>
    <definedName name="HLSummary_Company">'[21]HL Company Summary'!$A$10:$A$63</definedName>
    <definedName name="HLSummary_Country">'[7]HL Company Summary'!$P$10:$P$65</definedName>
    <definedName name="HLSummary_EntryMult">'[7]HL Company Summary'!$AS$10:$AS$65</definedName>
    <definedName name="HLSummary_EV">'[28]HL Company Summary'!$X$10:$X$18</definedName>
    <definedName name="HLSummary_ExitDate">'[7]HL Company Summary'!$D$10:$D$65</definedName>
    <definedName name="HLSummary_ExitMethod">'[26]HL Company Summary'!$Y$10:$Y$13</definedName>
    <definedName name="HLSummary_ExitMult">'[7]HL Company Summary'!$AT$10:$AT$65</definedName>
    <definedName name="HLSummary_Fund">'[21]HL Company Summary'!$B$10:$B$63</definedName>
    <definedName name="HLSummary_GrossIRR">'[7]HL Company Summary'!$J$10:$J$65</definedName>
    <definedName name="HLSummary_HLVal">'[7]HL Company Summary'!$BG$10:$BG$65</definedName>
    <definedName name="HLSummary_HoldingPeriod">'[7]HL Company Summary'!$E$10:$E$65</definedName>
    <definedName name="HLSummary_InvDate">'[7]HL Company Summary'!$C$10:$C$65</definedName>
    <definedName name="HLSummary_Invested">'[21]HL Company Summary'!$F$10:$F$63</definedName>
    <definedName name="HLSummary_Lead">'[7]HL Company Summary'!$S$10:$S$65</definedName>
    <definedName name="HLSummary_Leverage">'[26]HL Company Summary'!$AE$10:$AE$13</definedName>
    <definedName name="HLSummary_Multiple">'[7]HL Company Summary'!$I$10:$I$65</definedName>
    <definedName name="HLSummary_Own">'[7]HL Company Summary'!$U$10:$U$65</definedName>
    <definedName name="HLSummary_Realized">'[21]HL Company Summary'!$G$10:$G$63</definedName>
    <definedName name="HLSummary_Region">'[7]HL Company Summary'!$Q$10:$Q$65</definedName>
    <definedName name="HLSummary_Sector">'[7]HL Company Summary'!$N$10:$N$65</definedName>
    <definedName name="HLSummary_Size">'[28]HL Company Summary'!$W$10:$W$18</definedName>
    <definedName name="HLSummary_Source">'[7]HL Company Summary'!$R$10:$R$65</definedName>
    <definedName name="HLSummary_Stage">'[29]HL Company Summary'!$X$10:$X$41</definedName>
    <definedName name="HLSummary_Status">'[21]HL Company Summary'!$K$10:$K$63</definedName>
    <definedName name="HLSummary_Type">'[7]HL Company Summary'!$W$10:$W$65</definedName>
    <definedName name="HLSummary_UnRealized">'[21]HL Company Summary'!$H$10:$H$63</definedName>
    <definedName name="Hurdle">#N/A</definedName>
    <definedName name="HYdaily">OFFSET(#REF!,COUNTA(#REF!)-1,0,-254,1)</definedName>
    <definedName name="HYQTR">#REF!</definedName>
    <definedName name="HYVolMN">#REF!</definedName>
    <definedName name="HYVolumeYR">#REF!</definedName>
    <definedName name="iep">#REF!</definedName>
    <definedName name="Imputed">OFFSET(#REF!,COUNTA(#REF!)-1,0,-47,1)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ludeGlobalIC">#N/A</definedName>
    <definedName name="IncludeSpecialistIC">#N/A</definedName>
    <definedName name="IND">#REF!</definedName>
    <definedName name="IndCat">'[30]Und. Inv. Div. Industry Ex Lex'!$J$2:$J$102</definedName>
    <definedName name="IndCodeDescription">#REF!</definedName>
    <definedName name="Indices">#N/A</definedName>
    <definedName name="industry">'[23]Burgiss Group'!$F$2:$F$1017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VENTORY_TURNS" hidden="1">"INVENTORY_TURNS"</definedName>
    <definedName name="Investment_Name">#REF!</definedName>
    <definedName name="Investment_Type">#REF!</definedName>
    <definedName name="InvestmentCompanies">#N/A</definedName>
    <definedName name="InvestmentSiebelID">#N/A</definedName>
    <definedName name="InvestmentType">'[10]Data Sheet'!$I$2:$I$859</definedName>
    <definedName name="IPPIF">[5]summary!#REF!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BS_PERIOD_EST" hidden="1">"c16122"</definedName>
    <definedName name="IQ_ACCOUNT_CHANGE" hidden="1">"c1449"</definedName>
    <definedName name="IQ_ACCOUNT_CODE_INTEREST_PENALTIES" hidden="1">"c15741"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FO_DILUTED" hidden="1">"c16188"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UDITOR_NAME" hidden="1">"c1539"</definedName>
    <definedName name="IQ_AUDITOR_OPINION" hidden="1">"c1540"</definedName>
    <definedName name="IQ_AUTO_LOANS_TOTAL_LOANS" hidden="1">"c15713"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LT_INCENTIVE" hidden="1">"c18991"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PER_SUB" hidden="1">"c15763"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TASTROPHIC_LOSS_RATIO" hidden="1">"c15881"</definedName>
    <definedName name="IQ_CCE_FDIC" hidden="1">"c6296"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ECTION_DOMESTIC_FDIC" hidden="1">"c6387"</definedName>
    <definedName name="IQ_COMBINED_RATIO" hidden="1">"c176"</definedName>
    <definedName name="IQ_COMM_INDUSTRIAL_LL_REC_FFIEC" hidden="1">"c18880"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ERCIAL_RE_LOANS_TOTAL_LOANS" hidden="1">"c15710"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ITUENTS" hidden="1">"c19169"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TRUCTION_LOANS_TOTAL_LOANS" hidden="1">"c15711"</definedName>
    <definedName name="IQ_CONSUMER_LOANS" hidden="1">"c223"</definedName>
    <definedName name="IQ_CONSUMER_LOANS_TOTAL_LOANS" hidden="1">"c15712"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FUNDS" hidden="1">"c15726"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_PREMISE_EQUIP_CABLE_INVEST" hidden="1">"c15801"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FF_LASTCLOSE_TARGET_PRICE" hidden="1">"c1854"</definedName>
    <definedName name="IQ_DIFF_LASTCLOSE_TARGET_PRICE_REUT" hidden="1">"c5436"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NT_OPS_HOMEBUILDING_SALES" hidden="1">"c15817"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MPLOYEES_UNDER_UNION_CONTRACTS" hidden="1">"c16109"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EMAIL" hidden="1">"c19162"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"hexion"</definedName>
    <definedName name="IQ_EXPENSE_REIMBURSEMENTS" hidden="1">"c16020"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OREIGN_LOANS_TOTAL_LOANS" hidden="1">"c15714"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DEPOSITS_FDIC" hidden="1">"c6487"</definedName>
    <definedName name="IQ_FUND_PRIMARY_ADVISOR" hidden="1">"c19091"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ONFERENCE_SPACE" hidden="1">"c15971"</definedName>
    <definedName name="IQ_HG_EXP_DIRECT_CASINO_GAMING" hidden="1">"c15994"</definedName>
    <definedName name="IQ_HG_EXP_OTHER_DIRECT_HOTEL_MOTEL" hidden="1">"c15995"</definedName>
    <definedName name="IQ_HG_FOOD_BEV_EXP_DIRECT_OPERATING_EXP" hidden="1">"c15980"</definedName>
    <definedName name="IQ_HG_FOOD_BEV_REV_TOTAL_REV" hidden="1">"c15983"</definedName>
    <definedName name="IQ_HG_NUMBER_SUITES" hidden="1">"c15970"</definedName>
    <definedName name="IQ_HG_NUMBER_TABLES_AVG" hidden="1">"c15973"</definedName>
    <definedName name="IQ_HG_PROMO_ALLOW_GROSS_OPERATING_REV" hidden="1">"c15979"</definedName>
    <definedName name="IQ_HG_REV_GROSS_OPERATING" hidden="1">"c15993"</definedName>
    <definedName name="IQ_HG_REV_OTHER_CASINO" hidden="1">"c15992"</definedName>
    <definedName name="IQ_HG_REV_SLOT_MACHINE" hidden="1">"c15990"</definedName>
    <definedName name="IQ_HG_REV_TABLE" hidden="1">"c15991"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REV_TOTAL_REV" hidden="1">"c15984"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REUT" hidden="1">"c5317"</definedName>
    <definedName name="IQ_HIGHPRICE" hidden="1">"c545"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CT_UNRECOG_TAX_BENEFIT_EFFECTIVE_TAX" hidden="1">"c15748"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LT_INCENTIVE" hidden="1">"c19039"</definedName>
    <definedName name="IQ_INDIVIDUAL_MARKET_VALUE_SHARES_NOT_VESTED" hidden="1">"c19077"</definedName>
    <definedName name="IQ_INDIVIDUAL_NON_EQUITY_INCENTIVE" hidden="1">"c19048"</definedName>
    <definedName name="IQ_INDIVIDUAL_NUM_SHARED_NOT_VESTED" hidden="1">"c19076"</definedName>
    <definedName name="IQ_INDIVIDUAL_NUM_SHARES_ACQUIRED" hidden="1">"c19074"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RESTRICTED_STOCK_COMP" hidden="1">"c19038"</definedName>
    <definedName name="IQ_INDIVIDUAL_SALARY" hidden="1">"c19035"</definedName>
    <definedName name="IQ_INDIVIDUAL_ST_COMP" hidden="1">"c19042"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COME_AVG_ASSET" hidden="1">"c15704"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BANK_RATIO" hidden="1">"c19134"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EXPENSE" hidden="1">"c16039"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PO_POS_MEMBERS" hidden="1">"c15823"</definedName>
    <definedName name="IQ_MC_PPO_POS_PREMIUMS" hidden="1">"c15849"</definedName>
    <definedName name="IQ_MC_PREMIUMS" hidden="1">"c15861"</definedName>
    <definedName name="IQ_MC_RATIO" hidden="1">"c2783"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TM_ADJ" hidden="1">"c16000"</definedName>
    <definedName name="IQ_MULTIFAMILY_RESIDENTIAL_LOANS_FDIC" hidden="1">"c6311"</definedName>
    <definedName name="IQ_MUTUAL_FUND_LIST" hidden="1">"c19092"</definedName>
    <definedName name="IQ_NAMES_REVISION_DATE_" hidden="1">42233.8803240741</definedName>
    <definedName name="IQ_NAMES_REVISION_DATE__1" hidden="1">41578.8845486111</definedName>
    <definedName name="IQ_NAMES_REVISION_DATE__1_1" hidden="1">43038.5379513889</definedName>
    <definedName name="IQ_NAMES_REVISION_DATE__1_1_1" hidden="1">41578.8845486111</definedName>
    <definedName name="IQ_NAMES_REVISION_DATE__1_1_1_1" hidden="1">43038.5379513889</definedName>
    <definedName name="IQ_NAMES_REVISION_DATE__1_1_1_1_1" hidden="1">41578.8845486111</definedName>
    <definedName name="IQ_NAMES_REVISION_DATE__1_1_2" hidden="1">43858.8338425926</definedName>
    <definedName name="IQ_NAMES_REVISION_DATE__1_2" hidden="1">41578.5393981481</definedName>
    <definedName name="IQ_NAMES_REVISION_DATE__2" hidden="1">41578.5393981481</definedName>
    <definedName name="IQ_NAMES_REVISION_DATE__2_1" hidden="1">41578.8845486111</definedName>
    <definedName name="IQ_NAMES_REVISION_DATE__3" hidden="1">42493.0614351852</definedName>
    <definedName name="IQ_NAMES_REVISION_DATE__3_1" hidden="1">42493.0614351852</definedName>
    <definedName name="IQ_NAMES_REVISION_DATE__4" hidden="1">43858.8338425926</definedName>
    <definedName name="IQ_NAMES_REVISION_DATE__4_1" hidden="1">43857.5293865741</definedName>
    <definedName name="IQ_NAMES_REVISION_DATE__5" hidden="1">43700.5408564815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AVG_ASSETS_FFIEC" hidden="1">"c18878"</definedName>
    <definedName name="IQ_NON_INT_EXP_FDIC" hidden="1">"c6579"</definedName>
    <definedName name="IQ_NON_INT_EXPENSE_AVG_ASSET" hidden="1">"c15708"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_INCOME_AVG_ASSET" hidden="1">"c15707"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MENT_PRODUCTIVE_WELLS_DRILLED_GAS" hidden="1">"c15907"</definedName>
    <definedName name="IQ_OG_GROSS_DEVELOPMENT_PRODUCTIVE_WELLS_DRILLED_OIL" hidden="1">"c15906"</definedName>
    <definedName name="IQ_OG_GROSS_EXPLORATORY_PRODUCTIVE_WELLS_DRILLED_GAS" hidden="1">"c15905"</definedName>
    <definedName name="IQ_OG_GROSS_EXPLORATORY_PRODUCTIVE_WELLS_DRILLED_OIL" hidden="1">"c15904"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MENT_PRODUCTIVE_WELLS_DRILLED_GAS" hidden="1">"c15911"</definedName>
    <definedName name="IQ_OG_NET_DEVELOPMENT_PRODUCTIVE_WELLS_DRILLED_OIL" hidden="1">"c15910"</definedName>
    <definedName name="IQ_OG_NET_EXPLORATORY_PRODUCTIVE_WELLS_DRILLED_GAS" hidden="1">"c15909"</definedName>
    <definedName name="IQ_OG_NET_EXPLORATORY_PRODUCTIVE_WELLS_DRILLED_OIL" hidden="1">"c15908"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TOTAL_DEPOSITS" hidden="1">"c15724"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ANS_TOTAL_LOANS" hidden="1">"c15716"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D_RESERVES_COAL" hidden="1">"c15916"</definedName>
    <definedName name="IQ_OWNED_RESERVES_TO_TOTAL_RESERVES_COAL" hidden="1">"c15957"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RESERVES_TO_TOTAL_RESERVES_COAL" hidden="1">"c15953"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LT_INCENTIVE" hidden="1">"c18943"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N_RESERVES_TO_TOTAL_RESERVES_COAL" hidden="1">"c15952"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OAN_LOSS_AVG_ASSETS_FFIEC" hidden="1">"c18879"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D_COAL" hidden="1">"c15934"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ECIATION" hidden="1">"c16045"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RENTAL_EXPENSE" hidden="1">"c16036"</definedName>
    <definedName name="IQ_REAL_ESTATE" hidden="1">"c1093"</definedName>
    <definedName name="IQ_REAL_ESTATE_ASSETS" hidden="1">"c1094"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AVG_PROP" hidden="1">"c16056"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NLINE_REVENUES" hidden="1">"c9904"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REVENUES" hidden="1">"c9902"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" hidden="1">39545.6064814815</definedName>
    <definedName name="IQ_REVISION_DATE_" hidden="1">39545.6064814815</definedName>
    <definedName name="IQ_REVISION_DATE__1" hidden="1">39030.7493865741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SALARIES_OTHER_BENEFITS" hidden="1">"c16176"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CALABLE_INFRASTRUCTURE_CABLE_INVEST" hidden="1">"c15802"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ONSORS" hidden="1">"c18920"</definedName>
    <definedName name="IQ_SPONSORS_ID" hidden="1">"c18921"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BV_SHARE_REPORTED" hidden="1">"c19140"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ERIES_FDIC" hidden="1">"c6622"</definedName>
    <definedName name="IQ_TOTAL_RENTAL_REVENUE" hidden="1">"c16022"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NOI" hidden="1">"c16067"</definedName>
    <definedName name="IQ_UNDERGROUND_RESERVES_COAL" hidden="1">"c15922"</definedName>
    <definedName name="IQ_UNDERGROUND_RESERVES_TO_TOTAL_RESERVES_COAL" hidden="1">"c15960"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B5" hidden="1">"$B$6:$B$10"</definedName>
    <definedName name="IQRH37" hidden="1">"$H$38:$H$289"</definedName>
    <definedName name="IQRI37" hidden="1">"$I$38:$I$289"</definedName>
    <definedName name="IQRIdentifierToolH42" hidden="1">'[31]Identifier Tool'!$I$42:$M$42</definedName>
    <definedName name="IQRIdentifierToolH43" hidden="1">'[31]Identifier Tool'!$I$43:$M$43</definedName>
    <definedName name="IQRIdentifierToolH44" hidden="1">'[31]Identifier Tool'!$I$44:$M$44</definedName>
    <definedName name="IQRIdentifierToolH45" hidden="1">'[31]Identifier Tool'!$I$45:$M$45</definedName>
    <definedName name="IQRIdentifierToolH46" hidden="1">'[31]Identifier Tool'!$I$46:$M$46</definedName>
    <definedName name="IQRIdentifierToolH47" hidden="1">'[31]Identifier Tool'!$I$47:$M$47</definedName>
    <definedName name="IQRIdentifierToolH48" hidden="1">'[31]Identifier Tool'!$I$48:$M$48</definedName>
    <definedName name="IQRIdentifierToolH49" hidden="1">'[31]Identifier Tool'!$I$49:$M$49</definedName>
    <definedName name="IQRIdentifierToolH50" hidden="1">'[31]Identifier Tool'!$I$50:$M$50</definedName>
    <definedName name="IQRIdentifierToolH51" hidden="1">'[31]Identifier Tool'!$I$51:$M$51</definedName>
    <definedName name="IQRIdentifierToolH52" hidden="1">'[31]Identifier Tool'!$I$52:$M$52</definedName>
    <definedName name="IQRIdentifierToolH53" hidden="1">'[31]Identifier Tool'!$I$53:$M$53</definedName>
    <definedName name="IQRIdentifierToolH54" hidden="1">'[31]Identifier Tool'!$I$54:$M$54</definedName>
    <definedName name="IQRIdentifierToolH55" hidden="1">'[31]Identifier Tool'!$I$55:$K$55</definedName>
    <definedName name="IQRIdentifierToolH56" hidden="1">'[31]Identifier Tool'!$I$56:$M$56</definedName>
    <definedName name="IQRIdentifierToolH57" hidden="1">'[31]Identifier Tool'!$I$57:$M$57</definedName>
    <definedName name="IQRIdentifierToolH58" hidden="1">'[31]Identifier Tool'!$I$58:$M$58</definedName>
    <definedName name="IQRIdentifierToolH59" hidden="1">'[31]Identifier Tool'!$I$59:$M$59</definedName>
    <definedName name="IQRIdentifierToolH60" hidden="1">'[31]Identifier Tool'!$I$60:$M$60</definedName>
    <definedName name="IQRIdentifierToolH61" hidden="1">'[31]Identifier Tool'!$I$61:$M$61</definedName>
    <definedName name="IQRIdentifierToolH62" hidden="1">'[31]Identifier Tool'!$I$62:$M$62</definedName>
    <definedName name="IQRIdentifierToolH63" hidden="1">'[31]Identifier Tool'!$I$63:$K$63</definedName>
    <definedName name="IQRIdentifierToolH64" hidden="1">'[31]Identifier Tool'!$I$64:$M$64</definedName>
    <definedName name="IQRIdentifierToolH65" hidden="1">'[31]Identifier Tool'!$I$65</definedName>
    <definedName name="IQRIdentifierToolH66" hidden="1">'[31]Identifier Tool'!$I$66:$M$66</definedName>
    <definedName name="IQRIdentifierToolH67" hidden="1">'[31]Identifier Tool'!$I$67:$M$67</definedName>
    <definedName name="IQRIdentifierToolH68" hidden="1">'[31]Identifier Tool'!$I$68:$M$68</definedName>
    <definedName name="IQRIdentifierToolH69" hidden="1">'[31]Identifier Tool'!$I$69:$M$69</definedName>
    <definedName name="IQRIdentifierToolH70" hidden="1">'[31]Identifier Tool'!$I$70:$M$70</definedName>
    <definedName name="IQRIdentifierToolH71" hidden="1">'[31]Identifier Tool'!$I$71:$M$71</definedName>
    <definedName name="IQRIdentifierToolH72" hidden="1">'[31]Identifier Tool'!$I$72:$M$72</definedName>
    <definedName name="IQRIdentifierToolH73" hidden="1">'[31]Identifier Tool'!$I$73:$M$73</definedName>
    <definedName name="IQRIdentifierToolH74" hidden="1">'[31]Identifier Tool'!$I$74:$M$74</definedName>
    <definedName name="IQRIdentifierToolH75" hidden="1">'[31]Identifier Tool'!$I$75:$J$75</definedName>
    <definedName name="IQRIdentifierToolH76" hidden="1">'[31]Identifier Tool'!$I$76:$M$76</definedName>
    <definedName name="IQRIdentifierToolH77" hidden="1">'[31]Identifier Tool'!$I$77:$M$77</definedName>
    <definedName name="IQRIdentifierToolH78" hidden="1">'[31]Identifier Tool'!$I$78:$M$78</definedName>
    <definedName name="IQRIdentifierToolH79" hidden="1">'[31]Identifier Tool'!$I$79:$M$79</definedName>
    <definedName name="IQRIdentifierToolH80" hidden="1">'[31]Identifier Tool'!$I$80:$M$80</definedName>
    <definedName name="IQRIdentifierToolH81" hidden="1">'[31]Identifier Tool'!$I$81:$M$81</definedName>
    <definedName name="IQRIdentifierToolH82" hidden="1">'[31]Identifier Tool'!$I$82</definedName>
    <definedName name="IQRIdentifierToolH83" hidden="1">'[31]Identifier Tool'!$I$83:$M$83</definedName>
    <definedName name="IQRIdentifierToolH84" hidden="1">'[31]Identifier Tool'!$I$84:$M$84</definedName>
    <definedName name="IQRIdentifierToolH85" hidden="1">'[31]Identifier Tool'!$I$85:$M$85</definedName>
    <definedName name="IQRIdentifierToolI42" hidden="1">'[32]Identifier Tool'!$J$42:$N$42</definedName>
    <definedName name="IQRIdentifierToolI43" hidden="1">'[32]Identifier Tool'!$J$43:$N$43</definedName>
    <definedName name="IQRIdentifierToolI44" hidden="1">'[32]Identifier Tool'!$J$44:$N$44</definedName>
    <definedName name="IQRIdentifierToolI45" hidden="1">'[32]Identifier Tool'!$J$45:$N$45</definedName>
    <definedName name="IQRIdentifierToolI46" hidden="1">'[32]Identifier Tool'!$J$46:$N$46</definedName>
    <definedName name="IQRIdentifierToolI47" hidden="1">'[32]Identifier Tool'!$J$47:$N$47</definedName>
    <definedName name="IQRIdentifierToolI48" hidden="1">'[32]Identifier Tool'!$J$48:$N$48</definedName>
    <definedName name="IQRIdentifierToolI49" hidden="1">'[32]Identifier Tool'!$J$49:$N$49</definedName>
    <definedName name="IQRIdentifierToolI50" hidden="1">'[32]Identifier Tool'!$J$50:$N$50</definedName>
    <definedName name="IQRIdentifierToolI51" hidden="1">'[32]Identifier Tool'!$J$51:$N$51</definedName>
    <definedName name="IQRIdentifierToolI52" hidden="1">'[32]Identifier Tool'!$J$52:$N$52</definedName>
    <definedName name="IQRIdentifierToolI53" hidden="1">'[32]Identifier Tool'!$J$53:$N$53</definedName>
    <definedName name="IQRIdentifierToolI54" hidden="1">'[32]Identifier Tool'!$J$54:$N$54</definedName>
    <definedName name="IQRIdentifierToolI55" hidden="1">'[32]Identifier Tool'!$J$55:$L$55</definedName>
    <definedName name="IQRIdentifierToolI56" hidden="1">'[32]Identifier Tool'!$J$56:$N$56</definedName>
    <definedName name="IQRIdentifierToolI57" hidden="1">'[32]Identifier Tool'!$J$57:$N$57</definedName>
    <definedName name="IQRIdentifierToolI58" hidden="1">'[32]Identifier Tool'!$J$58:$N$58</definedName>
    <definedName name="IQRIdentifierToolI59" hidden="1">'[32]Identifier Tool'!$J$59:$N$59</definedName>
    <definedName name="IQRIdentifierToolI60" hidden="1">'[32]Identifier Tool'!$J$60:$N$60</definedName>
    <definedName name="IQRIdentifierToolI61" hidden="1">'[32]Identifier Tool'!$J$61:$N$61</definedName>
    <definedName name="IQRIdentifierToolI62" hidden="1">'[32]Identifier Tool'!$J$62:$N$62</definedName>
    <definedName name="IQRIdentifierToolI63" hidden="1">'[32]Identifier Tool'!$J$63:$L$63</definedName>
    <definedName name="IQRIdentifierToolI64" hidden="1">'[32]Identifier Tool'!$J$64:$N$64</definedName>
    <definedName name="IQRIdentifierToolI65" hidden="1">'[32]Identifier Tool'!$J$65</definedName>
    <definedName name="IQRIdentifierToolI66" hidden="1">'[32]Identifier Tool'!$J$66:$N$66</definedName>
    <definedName name="IQRIdentifierToolI67" hidden="1">'[32]Identifier Tool'!$J$67:$N$67</definedName>
    <definedName name="IQRIdentifierToolI68" hidden="1">'[32]Identifier Tool'!$J$68:$N$68</definedName>
    <definedName name="IQRIdentifierToolI69" hidden="1">'[32]Identifier Tool'!$J$69:$N$69</definedName>
    <definedName name="IQRIdentifierToolI70" hidden="1">'[32]Identifier Tool'!$J$70:$N$70</definedName>
    <definedName name="IQRIdentifierToolI71" hidden="1">'[32]Identifier Tool'!$J$71:$N$71</definedName>
    <definedName name="IQRIdentifierToolI72" hidden="1">'[32]Identifier Tool'!$J$72:$N$72</definedName>
    <definedName name="IQRIdentifierToolI73" hidden="1">'[32]Identifier Tool'!$J$73:$N$73</definedName>
    <definedName name="IQRIdentifierToolI74" hidden="1">'[32]Identifier Tool'!$J$74:$N$74</definedName>
    <definedName name="IQRIdentifierToolI75" hidden="1">'[32]Identifier Tool'!$J$75:$K$75</definedName>
    <definedName name="IQRIdentifierToolI76" hidden="1">'[32]Identifier Tool'!$J$76:$N$76</definedName>
    <definedName name="IQRIdentifierToolI77" hidden="1">'[32]Identifier Tool'!$J$77:$N$77</definedName>
    <definedName name="IQRIdentifierToolI78" hidden="1">'[32]Identifier Tool'!$J$78:$N$78</definedName>
    <definedName name="IQRIdentifierToolI79" hidden="1">'[32]Identifier Tool'!$J$79:$N$79</definedName>
    <definedName name="IQRIdentifierToolI80" hidden="1">'[32]Identifier Tool'!$J$80:$N$80</definedName>
    <definedName name="IQRIdentifierToolI81" hidden="1">'[32]Identifier Tool'!$J$81:$N$81</definedName>
    <definedName name="IQRIdentifierToolI82" hidden="1">'[32]Identifier Tool'!$J$82</definedName>
    <definedName name="IQRIdentifierToolI83" hidden="1">'[32]Identifier Tool'!$J$83:$N$83</definedName>
    <definedName name="IQRIdentifierToolI84" hidden="1">'[32]Identifier Tool'!$J$84:$N$84</definedName>
    <definedName name="IQRIdentifierToolI85" hidden="1">'[32]Identifier Tool'!$J$85:$N$85</definedName>
    <definedName name="IQRIdentifierToolI86" hidden="1">'[32]Identifier Tool'!$J$86:$N$86</definedName>
    <definedName name="IQRIdentifierToolI87" hidden="1">'[32]Identifier Tool'!$J$87:$N$87</definedName>
    <definedName name="IQRIdentifierToolI88" hidden="1">'[32]Identifier Tool'!$J$88:$N$88</definedName>
    <definedName name="IQRIdentifierToolI89" hidden="1">'[32]Identifier Tool'!$J$89:$N$89</definedName>
    <definedName name="IRR">#REF!</definedName>
    <definedName name="IRRCFCompanies">#N/A</definedName>
    <definedName name="IRRCFLP">#N/A</definedName>
    <definedName name="IRRflag">'[14]1_Main'!$C$6</definedName>
    <definedName name="ISS_DEBT_NET" hidden="1">"ISS_DEBT_NET"</definedName>
    <definedName name="ISS_STOCK_NET" hidden="1">"ISS_STOCK_NET"</definedName>
    <definedName name="iuyt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ivolumeMM">INDEX(#REF!,COUNTA(#REF!)-#REF!+1):INDEX(#REF!,COUNTA(#REF!))</definedName>
    <definedName name="IvolumeMMYR">INDEX(#REF!,COUNTA(#REF!)-#REF!+1):INDEX(#REF!,COUNTA(#REF!))</definedName>
    <definedName name="IvolumeSP">INDEX(#REF!,COUNTA(#REF!)-#REF!+1):INDEX(#REF!,COUNTA(#REF!))</definedName>
    <definedName name="ivolumeSPYR">INDEX(#REF!,COUNTA(#REF!)-#REF!+1):INDEX(#REF!,COUNTA(#REF!))</definedName>
    <definedName name="jhgf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k">INDEX(#REF!,COUNTA(#REF!)-#REF!+1):INDEX(#REF!,COUNTA(#REF!))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NE">[5]summary!#REF!</definedName>
    <definedName name="l">INDEX(#REF!,COUNTA(#REF!)-#REF!+1):INDEX(#REF!,COUNTA(#REF!))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Cell">#REF!</definedName>
    <definedName name="LASTSALEPRICE" hidden="1">"LASTSALEPRICE"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ess__Cash_and_Equivalents">[5]summary!#REF!</definedName>
    <definedName name="ListBidprice">#N/A</definedName>
    <definedName name="ListCountries">#N/A</definedName>
    <definedName name="ListFX">#N/A</definedName>
    <definedName name="ListInvestments">#N/A</definedName>
    <definedName name="lkjh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LOAN_LOSS" hidden="1">"LOAN_LOSS"</definedName>
    <definedName name="loanvolume">INDEX(#REF!,COUNTA(#REF!)-#REF!+1):INDEX(#REF!,COUNTA(#REF!))</definedName>
    <definedName name="LoanYieldDaily">OFFSET(#REF!,COUNTA(#REF!)-1,0,-254,1)</definedName>
    <definedName name="Long_Short">[13]DATA!$D$2:$D$8498</definedName>
    <definedName name="Long_Term_Debt">[5]summary!#REF!</definedName>
    <definedName name="LONG_TERM_GROWTH" hidden="1">"LONG_TERM_GROWTH"</definedName>
    <definedName name="LONG_TERM_INV" hidden="1">"LONG_TERM_INV"</definedName>
    <definedName name="LOWPRICE" hidden="1">"LOWPRICE"</definedName>
    <definedName name="LTM_Asset_Sales">[5]summary!#REF!</definedName>
    <definedName name="LTM_ATCF___LTM_Revenues">[5]summary!#REF!</definedName>
    <definedName name="LTM_Capex">[5]summary!#REF!</definedName>
    <definedName name="LTM_Capitalized_Interest">[5]summary!#REF!</definedName>
    <definedName name="LTM_Cash_Flow">[5]summary!#REF!</definedName>
    <definedName name="LTM_Current_Income_Tax">[5]summary!#REF!</definedName>
    <definedName name="LTM_DATE" hidden="1">"LTM_DATE"</definedName>
    <definedName name="LTM_DD_A">[5]summary!#REF!</definedName>
    <definedName name="LTM_Deferred_Income_Tax">[5]summary!#REF!</definedName>
    <definedName name="LTM_EBIT">[5]summary!#REF!</definedName>
    <definedName name="LTM_EBITDAX">[5]summary!#REF!</definedName>
    <definedName name="LTM_Exploration_Expense">[5]summary!#REF!</definedName>
    <definedName name="LTM_Interest_Expense">[5]summary!#REF!</definedName>
    <definedName name="LTM_Minority_Interest">[5]summary!#REF!</definedName>
    <definedName name="LTM_Net_Income">[5]summary!#REF!</definedName>
    <definedName name="LTM_Non_Cash_Items">[5]summary!#REF!</definedName>
    <definedName name="LTM_Other_Income">[5]summary!#REF!</definedName>
    <definedName name="LTM_Revenue">[5]summary!#REF!</definedName>
    <definedName name="LTM_REVENUE_OVER_EMPLOYEES" hidden="1">"LTM_REVENUE_OVER_EMPLOYEES"</definedName>
    <definedName name="LTM_Weighted_Average_Shares_Outstanding">[5]summary!#REF!</definedName>
    <definedName name="LTMAmount">OFFSET(#REF!,COUNTA(#REF!)-1,0,-47,1)</definedName>
    <definedName name="LTMCount">OFFSET(#REF!,COUNTA(#REF!)-1,0,-47,1)</definedName>
    <definedName name="MAIVolume">INDEX(#REF!,COUNTA(#REF!)-#REF!+1):INDEX(#REF!,COUNTA(#REF!))</definedName>
    <definedName name="MAIVolumeYR">INDEX(#REF!,COUNTA(#REF!)-#REF!+1):INDEX(#REF!,COUNTA(#REF!))</definedName>
    <definedName name="ManagerName">[8]Input!$D$30</definedName>
    <definedName name="ManHours">'[33]DT Man-hours Chart'!$A$2:$M$8</definedName>
    <definedName name="MAPRVol">INDEX(#REF!,COUNTA(#REF!)-#REF!+1):INDEX(#REF!,COUNTA(#REF!))</definedName>
    <definedName name="MAPRVolYR">INDEX(#REF!,COUNTA(#REF!)-#REF!+1):INDEX(#REF!,COUNTA(#REF!))</definedName>
    <definedName name="MAQTR">#REF!</definedName>
    <definedName name="mar">#REF!</definedName>
    <definedName name="market">#REF!</definedName>
    <definedName name="Market_Value">#REF!</definedName>
    <definedName name="MARKETCAP" hidden="1">"MARKETCAP"</definedName>
    <definedName name="Minority_Interest">[5]summary!#REF!</definedName>
    <definedName name="MISC_EARN_ADJ" hidden="1">"MISC_EARN_ADJ"</definedName>
    <definedName name="mkt">'[23]Burgiss Group'!$D$2:$D$1017</definedName>
    <definedName name="MMQTR">#REF!</definedName>
    <definedName name="MMVolMN">#REF!</definedName>
    <definedName name="MMVolumeYR">#REF!</definedName>
    <definedName name="mnbv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MngmtFee">#N/A</definedName>
    <definedName name="ModifiedTemp" hidden="1">{"Area1",#N/A,FALSE,"OREWACC";"Area2",#N/A,FALSE,"OREWACC"}</definedName>
    <definedName name="Monitoring_db_input_range">#N/A</definedName>
    <definedName name="mv">'[19]Industry - old'!$D$2:$D$186</definedName>
    <definedName name="myst">#REF!</definedName>
    <definedName name="NAV_LP">#N/A</definedName>
    <definedName name="NAVLP">#N/A</definedName>
    <definedName name="NCA">[5]summary!#REF!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Total_Book_Capitalization">[5]summary!#REF!</definedName>
    <definedName name="NetIrr">'[10]Data Sheet'!$S$2:$S$859</definedName>
    <definedName name="NGL">[5]summary!#REF!</definedName>
    <definedName name="NON_CASH" hidden="1">"NON_CASH"</definedName>
    <definedName name="NON_INTEREST_EXP" hidden="1">"NON_INTEREST_EXP"</definedName>
    <definedName name="NON_INTEREST_INC" hidden="1">"NON_INTEREST_INC"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ES_PAY" hidden="1">"NOTES_PAY"</definedName>
    <definedName name="NumberOfCompanies">#N/A</definedName>
    <definedName name="NUMBERQTR">#REF!</definedName>
    <definedName name="numbers">'[34]Pub VS Priv data'!#REF!</definedName>
    <definedName name="o">#REF!</definedName>
    <definedName name="oiuy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ok">OFFSET(#REF!,0,0,COUNTA(#REF!)-1,COUNTA(#REF!)-2)</definedName>
    <definedName name="OPENPRICE" hidden="1">"OPENPRICE"</definedName>
    <definedName name="OPER_INC" hidden="1">"OPER_INC"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utCurrencyString">#N/A</definedName>
    <definedName name="OutputCurrency">#N/A</definedName>
    <definedName name="OutputUnit">#N/A</definedName>
    <definedName name="OutToCHF">#N/A</definedName>
    <definedName name="OwnerMkt">#REF!</definedName>
    <definedName name="Ownership_Status">OFFSET(#REF!,0,0,COUNTA(#REF!),2)</definedName>
    <definedName name="p">OFFSET(#REF!,0,0,COUNTA(#REF!),COUNTA(#REF!))</definedName>
    <definedName name="PackagePremium">#N/A</definedName>
    <definedName name="Page_20_18_29">OFFSET(#REF!,0,0,COUNTA(#REF!)-17)</definedName>
    <definedName name="Page_20_30_39">OFFSET(#REF!,0,0,COUNTA(#REF!)-17)</definedName>
    <definedName name="Page_20_40_49">OFFSET(#REF!,0,0,COUNTA(#REF!)-17)</definedName>
    <definedName name="Page_20_50_59">OFFSET(#REF!,0,0,COUNTA(#REF!)-17)</definedName>
    <definedName name="Page_20_60_69">OFFSET(#REF!,0,0,COUNTA(#REF!)-17)</definedName>
    <definedName name="Page_20_70plus">OFFSET(#REF!,0,0,COUNTA(#REF!)-17)</definedName>
    <definedName name="Page_22_18">OFFSET(#REF!,0,0,COUNTA(#REF!)-13)</definedName>
    <definedName name="Page_22_30">OFFSET(#REF!,0,0,COUNTA(#REF!)-13)</definedName>
    <definedName name="Page_22_40">OFFSET(#REF!,0,0,COUNTA(#REF!)-13)</definedName>
    <definedName name="Page_22_50">OFFSET(#REF!,0,0,COUNTA(#REF!)-13)</definedName>
    <definedName name="Page_22_60">OFFSET(#REF!,0,0,COUNTA(#REF!)-13)</definedName>
    <definedName name="Page_22_70">OFFSET(#REF!,0,0,COUNTA(#REF!)-13)</definedName>
    <definedName name="Page_22_Date">OFFSET(#REF!,0,0,COUNTA(#REF!)-15)</definedName>
    <definedName name="Page_23_18">OFFSET(#REF!,0,0,COUNTA(#REF!)-13)</definedName>
    <definedName name="Page_23_30">OFFSET(#REF!,0,0,COUNTA(#REF!)-13)</definedName>
    <definedName name="Page_23_40">OFFSET(#REF!,0,0,COUNTA(#REF!)-13)</definedName>
    <definedName name="Page_23_50">OFFSET(#REF!,0,0,COUNTA(#REF!)-13)</definedName>
    <definedName name="Page_23_60">OFFSET(#REF!,0,0,COUNTA(#REF!)-13)</definedName>
    <definedName name="Page_23_70">OFFSET(#REF!,0,0,COUNTA(#REF!)-13)</definedName>
    <definedName name="Page_23_Date">OFFSET(#REF!,0,0,COUNTA(#REF!)-15)</definedName>
    <definedName name="Page_24_18">OFFSET(#REF!,0,0,COUNTA(#REF!)-13)</definedName>
    <definedName name="Page_24_30">OFFSET(#REF!,0,0,COUNTA(#REF!)-13)</definedName>
    <definedName name="Page_24_40">OFFSET(#REF!,0,0,COUNTA(#REF!)-13)</definedName>
    <definedName name="Page_24_50">OFFSET(#REF!,0,0,COUNTA(#REF!)-13)</definedName>
    <definedName name="Page_24_60">OFFSET(#REF!,0,0,COUNTA(#REF!)-13)</definedName>
    <definedName name="Page_24_70">OFFSET(#REF!,0,0,COUNTA(#REF!)-13)</definedName>
    <definedName name="Page_24_Date">OFFSET(#REF!,0,0,COUNTA(#REF!)-15)</definedName>
    <definedName name="Page_25_18">OFFSET(#REF!,0,0,COUNTA(#REF!)-13)</definedName>
    <definedName name="Page_25_30">OFFSET(#REF!,0,0,COUNTA(#REF!)-13)</definedName>
    <definedName name="Page_25_40">OFFSET(#REF!,0,0,COUNTA(#REF!)-13)</definedName>
    <definedName name="Page_25_50">OFFSET(#REF!,0,0,COUNTA(#REF!)-13)</definedName>
    <definedName name="Page_25_60">OFFSET(#REF!,0,0,COUNTA(#REF!)-13)</definedName>
    <definedName name="Page_25_70">OFFSET(#REF!,0,0,COUNTA(#REF!)-13)</definedName>
    <definedName name="Page_25_all">OFFSET(#REF!,0,0,COUNTA(#REF!)-13)</definedName>
    <definedName name="Page_25_Date">OFFSET(#REF!,0,0,COUNTA(#REF!)-15)</definedName>
    <definedName name="Page_26_18">OFFSET(#REF!,0,0,COUNTA(#REF!)-13)</definedName>
    <definedName name="Page_26_30">OFFSET(#REF!,0,0,COUNTA(#REF!)-13)</definedName>
    <definedName name="Page_26_40">OFFSET(#REF!,0,0,COUNTA(#REF!)-13)</definedName>
    <definedName name="Page_26_50">OFFSET(#REF!,0,0,COUNTA(#REF!)-13)</definedName>
    <definedName name="Page_26_60">OFFSET(#REF!,0,0,COUNTA(#REF!)-13)</definedName>
    <definedName name="Page_26_70">OFFSET(#REF!,0,0,COUNTA(#REF!)-13)</definedName>
    <definedName name="Page_26_all">OFFSET(#REF!,0,0,COUNTA(#REF!)-13)</definedName>
    <definedName name="Page_26_Date">OFFSET(#REF!,0,0,COUNTA(#REF!)-15)</definedName>
    <definedName name="Page_27_18">OFFSET(#REF!,0,0,COUNTA(#REF!)-13)</definedName>
    <definedName name="Page_27_30">OFFSET(#REF!,0,0,COUNTA(#REF!)-13)</definedName>
    <definedName name="Page_27_40">OFFSET(#REF!,0,0,COUNTA(#REF!)-13)</definedName>
    <definedName name="Page_27_50">OFFSET(#REF!,0,0,COUNTA(#REF!)-13)</definedName>
    <definedName name="Page_27_60">OFFSET(#REF!,0,0,COUNTA(#REF!)-13)</definedName>
    <definedName name="Page_27_70">OFFSET(#REF!,0,0,COUNTA(#REF!)-13)</definedName>
    <definedName name="Page_27_all">OFFSET(#REF!,0,0,COUNTA(#REF!)-13)</definedName>
    <definedName name="Page_27_Date">OFFSET(#REF!,0,0,COUNTA(#REF!)-15)</definedName>
    <definedName name="Page_28_18">OFFSET(#REF!,0,0,COUNTA(#REF!)-17)</definedName>
    <definedName name="Page_28_30">OFFSET(#REF!,0,0,COUNTA(#REF!)-17)</definedName>
    <definedName name="Page_28_40">OFFSET(#REF!,0,0,COUNTA(#REF!)-17)</definedName>
    <definedName name="Page_28_50">OFFSET(#REF!,0,0,COUNTA(#REF!)-17)</definedName>
    <definedName name="Page_28_all">OFFSET(#REF!,0,0,COUNTA(#REF!)-17)</definedName>
    <definedName name="Page_28_Date">OFFSET(#REF!,0,0,COUNTA(#REF!)-15)</definedName>
    <definedName name="Page_29_18">OFFSET(#REF!,0,0,COUNTA(#REF!)-13)</definedName>
    <definedName name="Page_29_30">OFFSET(#REF!,0,0,COUNTA(#REF!)-13)</definedName>
    <definedName name="Page_29_40">OFFSET(#REF!,0,0,COUNTA(#REF!)-13)</definedName>
    <definedName name="Page_29_50">OFFSET(#REF!,0,0,COUNTA(#REF!)-13)</definedName>
    <definedName name="Page_29_60">OFFSET(#REF!,0,0,COUNTA(#REF!)-13)</definedName>
    <definedName name="Page_29_70">OFFSET(#REF!,0,0,COUNTA(#REF!)-13)</definedName>
    <definedName name="Page_29_Date">OFFSET(#REF!,0,0,COUNTA(#REF!)-15)</definedName>
    <definedName name="Page_30_18">OFFSET(#REF!,0,0,COUNTA(#REF!)-13)</definedName>
    <definedName name="Page_30_30">OFFSET(#REF!,0,0,COUNTA(#REF!)-13)</definedName>
    <definedName name="Page_30_40">OFFSET(#REF!,0,0,COUNTA(#REF!)-13)</definedName>
    <definedName name="Page_30_50">OFFSET(#REF!,0,0,COUNTA(#REF!)-13)</definedName>
    <definedName name="Page_30_60">OFFSET(#REF!,0,0,COUNTA(#REF!)-13)</definedName>
    <definedName name="Page_30_70">OFFSET(#REF!,0,0,COUNTA(#REF!)-13)</definedName>
    <definedName name="Page_30_Date">OFFSET(#REF!,0,0,COUNTA(#REF!)-15)</definedName>
    <definedName name="Page10_CCavailable">OFFSET(#REF!,0,0,COUNTA(#REF!)+65)</definedName>
    <definedName name="Page10_CCbalance">OFFSET(#REF!,0,0,COUNTA(#REF!)+65)</definedName>
    <definedName name="Page10_CClimit">OFFSET(#REF!,0,0,COUNTA(#REF!)+65)</definedName>
    <definedName name="Page10_Date">OFFSET(#REF!,0,0,COUNTA(#REF!)+63)</definedName>
    <definedName name="Page10_HELOC">OFFSET(#REF!,0,0,COUNTA(#REF!)+65)</definedName>
    <definedName name="Page10_HELOCavailable">OFFSET(#REF!,0,0,COUNTA(#REF!)+65)</definedName>
    <definedName name="Page10_HELOClimit">OFFSET(#REF!,0,0,COUNTA(#REF!)+65)</definedName>
    <definedName name="Page11_120">OFFSET(#REF!,0,0,COUNTA(#REF!)-1)</definedName>
    <definedName name="Page11_30">OFFSET(#REF!,0,0,COUNTA(#REF!)-1)</definedName>
    <definedName name="Page11_60">OFFSET(#REF!,0,0,COUNTA(#REF!)-1)</definedName>
    <definedName name="Page11_90">OFFSET(#REF!,0,0,COUNTA(#REF!)-1)</definedName>
    <definedName name="Page11_Current">OFFSET(#REF!,0,0,COUNTA(#REF!)-1)</definedName>
    <definedName name="Page11_Date">OFFSET(#REF!,0,0,COUNTA(#REF!)-3)</definedName>
    <definedName name="Page11_SD">OFFSET(#REF!,0,0,COUNTA(#REF!)-1)</definedName>
    <definedName name="Page12_Auto">OFFSET(#REF!,0,0,COUNTA(#REF!)-1)</definedName>
    <definedName name="Page12_CC">OFFSET(#REF!,0,0,COUNTA(#REF!)-1)</definedName>
    <definedName name="Page12_Date">OFFSET(#REF!,0,0,COUNTA(#REF!)-3)</definedName>
    <definedName name="Page12_HELOC">OFFSET(#REF!,0,0,COUNTA(#REF!)-1)</definedName>
    <definedName name="Page12_Mortgage">OFFSET(#REF!,0,0,COUNTA(#REF!)-1)</definedName>
    <definedName name="Page12_Other">OFFSET(#REF!,0,0,COUNTA(#REF!)-1)</definedName>
    <definedName name="Page12_SL">OFFSET(#REF!,0,0,COUNTA(#REF!)-1)</definedName>
    <definedName name="Page13_Auto">OFFSET(#REF!,0,0,COUNTA(#REF!)-1)</definedName>
    <definedName name="Page13_CC">OFFSET(#REF!,0,0,COUNTA(#REF!)-1)</definedName>
    <definedName name="Page13_Date">OFFSET(#REF!,0,0,COUNTA(#REF!)-4)</definedName>
    <definedName name="Page13_HELOC">OFFSET(#REF!,0,0,COUNTA(#REF!)-2)</definedName>
    <definedName name="Page13_Mortgage">OFFSET(#REF!,0,0,COUNTA(#REF!)-1)</definedName>
    <definedName name="Page13_Other">OFFSET(#REF!,0,0,COUNTA(#REF!)-1)</definedName>
    <definedName name="Page13_SL">OFFSET(#REF!,0,0,COUNTA(#REF!)+3)</definedName>
    <definedName name="Page14_Auto">OFFSET(#REF!,0,0,COUNTA(#REF!)-1)</definedName>
    <definedName name="Page14_CC">OFFSET(#REF!,0,0,COUNTA(#REF!)-1)</definedName>
    <definedName name="Page14_Date">OFFSET(#REF!,0,0,COUNTA(#REF!)-4)</definedName>
    <definedName name="Page14_HELOC">OFFSET(#REF!,0,0,COUNTA(#REF!)-2)</definedName>
    <definedName name="Page14_Mortgage">OFFSET(#REF!,0,0,COUNTA(#REF!)-1)</definedName>
    <definedName name="Page14_Other">OFFSET(#REF!,0,0,COUNTA(#REF!)-1)</definedName>
    <definedName name="Page14_SL">OFFSET(#REF!,0,0,COUNTA(#REF!)+3)</definedName>
    <definedName name="Page15_3060">OFFSET(#REF!,0,0,COUNTA(#REF!)-1)</definedName>
    <definedName name="Page15_90">OFFSET(#REF!,0,0,COUNTA(#REF!)-1)</definedName>
    <definedName name="Page15_Date">OFFSET(#REF!,0,0,COUNTA(#REF!)-3)</definedName>
    <definedName name="Page16_90">OFFSET(#REF!,0,0,COUNTA(#REF!)-1)</definedName>
    <definedName name="Page16_Current">OFFSET(#REF!,0,0,COUNTA(#REF!)-1)</definedName>
    <definedName name="Page16_Date">OFFSET(#REF!,0,0,COUNTA(#REF!)-3)</definedName>
    <definedName name="Page17" hidden="1">#REF!</definedName>
    <definedName name="Page17_Bankruptcy">OFFSET(#REF!,0,0,COUNTA(#REF!)-1)</definedName>
    <definedName name="Page17_Date">OFFSET(#REF!,0,0,COUNTA(#REF!)-3)</definedName>
    <definedName name="Page17_Foreclosure">OFFSET(#REF!,0,0,COUNTA(#REF!)-1)</definedName>
    <definedName name="Page18_avgcollection">OFFSET(#REF!,0,0,COUNTA(#REF!)-1)</definedName>
    <definedName name="Page18_Date">OFFSET(#REF!,0,0,COUNTA(#REF!)-3)</definedName>
    <definedName name="Page18_numcollection">OFFSET(#REF!,0,0,COUNTA(#REF!)-1)</definedName>
    <definedName name="Page20_Date">OFFSET(#REF!,0,0,COUNTA(#REF!)-19)</definedName>
    <definedName name="Page21_Age">OFFSET(#REF!,0,0,1,COUNTA(#REF!))</definedName>
    <definedName name="Page21_Auto">OFFSET(#REF!,0,0,1,COUNTA(#REF!))</definedName>
    <definedName name="Page21_CC">OFFSET(#REF!,0,0,1,COUNTA(#REF!))</definedName>
    <definedName name="Page21_HELOC">OFFSET(#REF!,0,0,1,COUNTA(#REF!))</definedName>
    <definedName name="Page21_Mortgage">OFFSET(#REF!,0,0,1,COUNTA(#REF!))</definedName>
    <definedName name="Page21_Other">OFFSET(#REF!,0,0,1,COUNTA(#REF!))</definedName>
    <definedName name="Page21_SL">OFFSET(#REF!,0,0,1,COUNTA(#REF!))</definedName>
    <definedName name="Page3_Auto">OFFSET(#REF!,0,0,COUNTA(#REF!)-1)</definedName>
    <definedName name="Page3_CC">OFFSET(#REF!,0,0,COUNTA(#REF!)-1)</definedName>
    <definedName name="Page3_Date">OFFSET(#REF!,0,0,COUNTA(#REF!)-1)</definedName>
    <definedName name="Page3_HELOC">OFFSET(#REF!,0,0,COUNTA(#REF!)-1)</definedName>
    <definedName name="Page3_Mortgage">OFFSET(#REF!,0,0,COUNTA(#REF!)-1)</definedName>
    <definedName name="Page3_Other">OFFSET(#REF!,0,0,COUNTA(#REF!)-1)</definedName>
    <definedName name="Page3_SL">OFFSET(#REF!,0,0,COUNTA(#REF!)-1)</definedName>
    <definedName name="Page3_Total">OFFSET(#REF!,0,0,COUNTA(#REF!)-1)</definedName>
    <definedName name="Page32_All">OFFSET(#REF!,0,0,1,COUNTA(#REF!))</definedName>
    <definedName name="Page32_AZ">OFFSET(#REF!,0,0,1,COUNTA(#REF!))</definedName>
    <definedName name="Page32_CA">OFFSET(#REF!,0,0,1,COUNTA(#REF!))</definedName>
    <definedName name="Page32_Date">OFFSET(#REF!,0,0,1,COUNTA(#REF!))</definedName>
    <definedName name="Page32_FL">OFFSET(#REF!,0,0,1,COUNTA(#REF!))</definedName>
    <definedName name="Page32_IL">OFFSET(#REF!,0,0,1,COUNTA(#REF!))</definedName>
    <definedName name="Page32_MI">OFFSET(#REF!,0,0,1,COUNTA(#REF!))</definedName>
    <definedName name="Page32_NJ">OFFSET(#REF!,0,0,1,COUNTA(#REF!))</definedName>
    <definedName name="Page32_NV">OFFSET(#REF!,0,0,1,COUNTA(#REF!))</definedName>
    <definedName name="Page32_NY">OFFSET(#REF!,0,0,1,COUNTA(#REF!))</definedName>
    <definedName name="Page32_OH">OFFSET(#REF!,0,0,1,COUNTA(#REF!))</definedName>
    <definedName name="Page32_PA">OFFSET(#REF!,0,0,1,COUNTA(#REF!))</definedName>
    <definedName name="Page32_TX">OFFSET(#REF!,0,0,1,COUNTA(#REF!))</definedName>
    <definedName name="Page33_Auto">OFFSET(#REF!,0,0,COUNTA(#REF!)-1)</definedName>
    <definedName name="Page33_CC">OFFSET(#REF!,0,0,COUNTA(#REF!)-1)</definedName>
    <definedName name="Page33_HELOC">OFFSET(#REF!,0,0,COUNTA(#REF!)-1)</definedName>
    <definedName name="Page33_Mortgage">OFFSET(#REF!,0,0,COUNTA(#REF!)-1)</definedName>
    <definedName name="Page33_Other">OFFSET(#REF!,0,0,COUNTA(#REF!)-1)</definedName>
    <definedName name="Page33_SL">OFFSET(#REF!,0,0,COUNTA(#REF!)-1)</definedName>
    <definedName name="Page33_State">OFFSET(#REF!,0,0,COUNTA(#REF!)-5)</definedName>
    <definedName name="Page34_120">OFFSET(#REF!,0,0,COUNTA(#REF!)-1)</definedName>
    <definedName name="Page34_30">OFFSET(#REF!,0,0,COUNTA(#REF!)-1)</definedName>
    <definedName name="Page34_60">OFFSET(#REF!,0,0,COUNTA(#REF!)-1)</definedName>
    <definedName name="Page34_90">OFFSET(#REF!,0,0,COUNTA(#REF!)-1)</definedName>
    <definedName name="Page34_Current">OFFSET(#REF!,0,0,COUNTA(#REF!)-1)</definedName>
    <definedName name="Page34_Severe">OFFSET(#REF!,0,0,COUNTA(#REF!)-1)</definedName>
    <definedName name="Page34_State">OFFSET(#REF!,0,0,COUNTA(#REF!)-5)</definedName>
    <definedName name="Page35_All">OFFSET(#REF!,0,0,1,COUNTA(#REF!))</definedName>
    <definedName name="Page35_AZ">OFFSET(#REF!,0,0,1,COUNTA(#REF!))</definedName>
    <definedName name="Page35_CA">OFFSET(#REF!,0,0,1,COUNTA(#REF!))</definedName>
    <definedName name="Page35_Date">OFFSET(#REF!,0,0,1,COUNTA(#REF!))</definedName>
    <definedName name="Page35_FL">OFFSET(#REF!,0,0,1,COUNTA(#REF!))</definedName>
    <definedName name="Page35_IL">OFFSET(#REF!,0,0,1,COUNTA(#REF!))</definedName>
    <definedName name="Page35_MI">OFFSET(#REF!,0,0,1,COUNTA(#REF!))</definedName>
    <definedName name="Page35_NJ">OFFSET(#REF!,0,0,1,COUNTA(#REF!))</definedName>
    <definedName name="Page35_NV">OFFSET(#REF!,0,0,1,COUNTA(#REF!))</definedName>
    <definedName name="Page35_NY">OFFSET(#REF!,0,0,1,COUNTA(#REF!))</definedName>
    <definedName name="Page35_OH">OFFSET(#REF!,0,0,1,COUNTA(#REF!))</definedName>
    <definedName name="Page35_PA">OFFSET(#REF!,0,0,1,COUNTA(#REF!))</definedName>
    <definedName name="Page35_TX">OFFSET(#REF!,0,0,1,COUNTA(#REF!))</definedName>
    <definedName name="Page36_All">OFFSET(#REF!,0,0,1,COUNTA(#REF!))</definedName>
    <definedName name="Page36_AZ">OFFSET(#REF!,0,0,1,COUNTA(#REF!))</definedName>
    <definedName name="Page36_CA">OFFSET(#REF!,0,0,1,COUNTA(#REF!))</definedName>
    <definedName name="Page36_Date">OFFSET(#REF!,0,0,1,COUNTA(#REF!))</definedName>
    <definedName name="Page36_FL">OFFSET(#REF!,0,0,1,COUNTA(#REF!))</definedName>
    <definedName name="Page36_IL">OFFSET(#REF!,0,0,1,COUNTA(#REF!))</definedName>
    <definedName name="Page36_MI">OFFSET(#REF!,0,0,1,COUNTA(#REF!))</definedName>
    <definedName name="Page36_NJ">OFFSET(#REF!,0,0,1,COUNTA(#REF!))</definedName>
    <definedName name="Page36_NV">OFFSET(#REF!,0,0,1,COUNTA(#REF!))</definedName>
    <definedName name="Page36_NY">OFFSET(#REF!,0,0,1,COUNTA(#REF!))</definedName>
    <definedName name="Page36_OH">OFFSET(#REF!,0,0,1,COUNTA(#REF!))</definedName>
    <definedName name="Page36_PA">OFFSET(#REF!,0,0,1,COUNTA(#REF!))</definedName>
    <definedName name="Page36_TX">OFFSET(#REF!,0,0,1,COUNTA(#REF!))</definedName>
    <definedName name="Page37_AZ">OFFSET(#REF!,0,0,1,COUNTA(#REF!))</definedName>
    <definedName name="Page37_CA">OFFSET(#REF!,0,0,1,COUNTA(#REF!))</definedName>
    <definedName name="Page37_Date">OFFSET(#REF!,0,0,1,COUNTA(#REF!))</definedName>
    <definedName name="Page37_FL">OFFSET(#REF!,0,0,1,COUNTA(#REF!))</definedName>
    <definedName name="Page37_IL">OFFSET(#REF!,0,0,1,COUNTA(#REF!))</definedName>
    <definedName name="Page37_MI">OFFSET(#REF!,0,0,1,COUNTA(#REF!))</definedName>
    <definedName name="Page37_NJ">OFFSET(#REF!,0,0,1,COUNTA(#REF!))</definedName>
    <definedName name="Page37_NV">OFFSET(#REF!,0,0,1,COUNTA(#REF!))</definedName>
    <definedName name="Page37_NY">OFFSET(#REF!,0,0,1,COUNTA(#REF!))</definedName>
    <definedName name="Page37_OH">OFFSET(#REF!,0,0,1,COUNTA(#REF!))</definedName>
    <definedName name="Page37_PA">OFFSET(#REF!,0,0,1,COUNTA(#REF!))</definedName>
    <definedName name="Page37_TX">OFFSET(#REF!,0,0,1,COUNTA(#REF!))</definedName>
    <definedName name="Page37_US">OFFSET(#REF!,0,0,1,COUNTA(#REF!))</definedName>
    <definedName name="Page38_AZ">OFFSET(#REF!,0,0,1,COUNTA(#REF!))</definedName>
    <definedName name="Page38_CA">OFFSET(#REF!,0,0,1,COUNTA(#REF!))</definedName>
    <definedName name="Page38_Date">OFFSET(#REF!,0,0,1,COUNTA(#REF!))</definedName>
    <definedName name="Page38_FL">OFFSET(#REF!,0,0,1,COUNTA(#REF!))</definedName>
    <definedName name="Page38_IL">OFFSET(#REF!,0,0,1,COUNTA(#REF!))</definedName>
    <definedName name="Page38_MI">OFFSET(#REF!,0,0,1,COUNTA(#REF!))</definedName>
    <definedName name="Page38_NJ">OFFSET(#REF!,0,0,1,COUNTA(#REF!))</definedName>
    <definedName name="Page38_NV">OFFSET(#REF!,0,0,1,COUNTA(#REF!))</definedName>
    <definedName name="Page38_NY">OFFSET(#REF!,0,0,1,COUNTA(#REF!))</definedName>
    <definedName name="Page38_OH">OFFSET(#REF!,0,0,1,COUNTA(#REF!))</definedName>
    <definedName name="Page38_PA">OFFSET(#REF!,0,0,1,COUNTA(#REF!))</definedName>
    <definedName name="Page38_TX">OFFSET(#REF!,0,0,1,COUNTA(#REF!))</definedName>
    <definedName name="Page38_US">OFFSET(#REF!,0,0,1,COUNTA(#REF!))</definedName>
    <definedName name="Page39_ALL">OFFSET(#REF!,0,0,1,COUNTA(#REF!))</definedName>
    <definedName name="Page39_AZ">OFFSET(#REF!,0,0,1,COUNTA(#REF!))</definedName>
    <definedName name="Page39_CA">OFFSET(#REF!,0,0,1,COUNTA(#REF!))</definedName>
    <definedName name="Page39_Date">OFFSET(#REF!,0,0,1,COUNTA(#REF!))</definedName>
    <definedName name="Page39_FL">OFFSET(#REF!,0,0,1,COUNTA(#REF!))</definedName>
    <definedName name="Page39_IL">OFFSET(#REF!,0,0,1,COUNTA(#REF!))</definedName>
    <definedName name="Page39_MI">OFFSET(#REF!,0,0,1,COUNTA(#REF!))</definedName>
    <definedName name="Page39_NJ">OFFSET(#REF!,0,0,1,COUNTA(#REF!))</definedName>
    <definedName name="Page39_NV">OFFSET(#REF!,0,0,1,COUNTA(#REF!))</definedName>
    <definedName name="Page39_NY">OFFSET(#REF!,0,0,1,COUNTA(#REF!))</definedName>
    <definedName name="Page39_OH">OFFSET(#REF!,0,0,1,COUNTA(#REF!))</definedName>
    <definedName name="Page39_PA">OFFSET(#REF!,0,0,1,COUNTA(#REF!))</definedName>
    <definedName name="Page39_TX">OFFSET(#REF!,0,0,1,COUNTA(#REF!))</definedName>
    <definedName name="Page4_Auto">OFFSET(#REF!,0,0,COUNTA(#REF!)-1)</definedName>
    <definedName name="Page4_CC">OFFSET(#REF!,0,0,COUNTA(#REF!)-1)</definedName>
    <definedName name="Page4_Date">OFFSET(#REF!,0,0,COUNTA(#REF!)-1)</definedName>
    <definedName name="Page4_HELOC">OFFSET(#REF!,0,0,COUNTA(#REF!)-1)</definedName>
    <definedName name="Page4_Mortgage">OFFSET(#REF!,0,0,COUNTA(#REF!)-1)</definedName>
    <definedName name="Page40_ALL">OFFSET(#REF!,0,0,1,COUNTA(#REF!))</definedName>
    <definedName name="Page40_AZ">OFFSET(#REF!,0,0,1,COUNTA(#REF!))</definedName>
    <definedName name="Page40_CA">OFFSET(#REF!,0,0,1,COUNTA(#REF!))</definedName>
    <definedName name="Page40_Date">OFFSET(#REF!,0,0,1,COUNTA(#REF!))</definedName>
    <definedName name="Page40_FL">OFFSET(#REF!,0,0,1,COUNTA(#REF!))</definedName>
    <definedName name="Page40_IL">OFFSET(#REF!,0,0,1,COUNTA(#REF!))</definedName>
    <definedName name="Page40_MI">OFFSET(#REF!,0,0,1,COUNTA(#REF!))</definedName>
    <definedName name="Page40_NJ">OFFSET(#REF!,0,0,1,COUNTA(#REF!))</definedName>
    <definedName name="Page40_NV">OFFSET(#REF!,0,0,1,COUNTA(#REF!))</definedName>
    <definedName name="Page40_NY">OFFSET(#REF!,0,0,1,COUNTA(#REF!))</definedName>
    <definedName name="Page40_OH">OFFSET(#REF!,0,0,1,COUNTA(#REF!))</definedName>
    <definedName name="Page40_PA">OFFSET(#REF!,0,0,1,COUNTA(#REF!))</definedName>
    <definedName name="Page40_TX">OFFSET(#REF!,0,0,1,COUNTA(#REF!))</definedName>
    <definedName name="Page5_Closed">OFFSET(#REF!,0,0,COUNTA(#REF!)-1)</definedName>
    <definedName name="Page5_Date">OFFSET(#REF!,0,0,COUNTA(#REF!)-3)</definedName>
    <definedName name="Page5_Inquiry">OFFSET(#REF!,0,0,COUNTA(#REF!)-1)</definedName>
    <definedName name="Page5_Open">OFFSET(#REF!,0,0,COUNTA(#REF!)-1)</definedName>
    <definedName name="Page6_620">OFFSET(#REF!,0,0,COUNTA(#REF!)-1)</definedName>
    <definedName name="Page6_620to659">OFFSET(#REF!,0,0,COUNTA(#REF!)-1)</definedName>
    <definedName name="Page6_660to719">OFFSET(#REF!,0,0,COUNTA(#REF!)-1)</definedName>
    <definedName name="Page6_720to759">OFFSET(#REF!,0,0,COUNTA(#REF!)-1)</definedName>
    <definedName name="Page6_760">OFFSET(#REF!,0,0,COUNTA(#REF!)-1)</definedName>
    <definedName name="Page6_Date">OFFSET(#REF!,0,0,COUNTA(#REF!)-3)</definedName>
    <definedName name="Page7_10th">OFFSET(#REF!,0,0,COUNTA(#REF!)-16)</definedName>
    <definedName name="Page7_25th">OFFSET(#REF!,0,0,COUNTA(#REF!)-16)</definedName>
    <definedName name="Page7_Date">OFFSET(#REF!,0,0,COUNTA(#REF!)-17)</definedName>
    <definedName name="Page7_Median">OFFSET(#REF!,0,0,COUNTA(#REF!)-16)</definedName>
    <definedName name="Page8_620">OFFSET(#REF!,0,0,COUNTA(#REF!)-1)</definedName>
    <definedName name="Page8_620to659">OFFSET(#REF!,0,0,COUNTA(#REF!)-1)</definedName>
    <definedName name="Page8_660to719">OFFSET(#REF!,0,0,COUNTA(#REF!)-1)</definedName>
    <definedName name="Page8_720to759">OFFSET(#REF!,0,0,COUNTA(#REF!)-1)</definedName>
    <definedName name="Page8_760">OFFSET(#REF!,0,0,COUNTA(#REF!)-1)</definedName>
    <definedName name="Page8_Date">OFFSET(#REF!,0,0,COUNTA(#REF!)-3)</definedName>
    <definedName name="Page9_10th">OFFSET(#REF!,0,0,COUNTA(#REF!)-16)</definedName>
    <definedName name="Page9_25th">OFFSET(#REF!,0,0,COUNTA(#REF!)-16)</definedName>
    <definedName name="Page9_Date">OFFSET(#REF!,0,0,COUNTA(#REF!)-17)</definedName>
    <definedName name="Page9_Median">OFFSET(#REF!,0,0,COUNTA(#REF!)-17)</definedName>
    <definedName name="Paid_In_Capital">#REF!</definedName>
    <definedName name="PaidToSeller">#N/A</definedName>
    <definedName name="Partnership">'[19]Burgiss Group'!$O$2:$O$154</definedName>
    <definedName name="PAY_ACCRUED" hidden="1">"PAY_ACCRUED"</definedName>
    <definedName name="PCost">'[19]Burgiss Group'!$I$2:$I$154</definedName>
    <definedName name="PEL">[5]summary!#REF!</definedName>
    <definedName name="PercentDrawn">'[10]Data Sheet'!$AF$2:$AF$859</definedName>
    <definedName name="PerDate">[8]Input!$C$2</definedName>
    <definedName name="perf1">#REF!</definedName>
    <definedName name="PERIODDATE" hidden="1">"PERIODDATE"</definedName>
    <definedName name="pID">[35]Menu!$D$9</definedName>
    <definedName name="PIROutRangeFunds">#N/A</definedName>
    <definedName name="PIROutRangeSplits">#N/A</definedName>
    <definedName name="PIRPasteCell2">#N/A</definedName>
    <definedName name="PLE">[18]Control!$D$10</definedName>
    <definedName name="PMkt">'[19]Burgiss Group'!$J$2:$J$154</definedName>
    <definedName name="Pname">'[14]1_Main'!$C$5</definedName>
    <definedName name="PREF_DIVID" hidden="1">"PREF_DIVID"</definedName>
    <definedName name="PREF_STOCK" hidden="1">"PREF_STOCK"</definedName>
    <definedName name="pref2">#REF!</definedName>
    <definedName name="pref3">#REF!</definedName>
    <definedName name="Preferred_Stock">[5]summary!#REF!</definedName>
    <definedName name="Prem_Allocation">#N/A</definedName>
    <definedName name="PREPAID_EXPEN" hidden="1">"PREPAID_EXPEN"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Adjustment">#N/A</definedName>
    <definedName name="Print.Summ.VI.VII">"="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PERTY_GROSS" hidden="1">"PROPERTY_GROSS"</definedName>
    <definedName name="PROPERTY_NET" hidden="1">"PROPERTY_NET"</definedName>
    <definedName name="PRvolume">INDEX(#REF!,COUNTA(#REF!)-#REF!+1):INDEX(#REF!,COUNTA(#REF!))</definedName>
    <definedName name="PRvolumeMM">INDEX(#REF!,COUNTA(#REF!)-#REF!+1):INDEX(#REF!,COUNTA(#REF!))</definedName>
    <definedName name="PRVolumeMMYR">INDEX(#REF!,COUNTA(#REF!)-#REF!+1):INDEX(#REF!,COUNTA(#REF!))</definedName>
    <definedName name="PRvolumeSP">INDEX(#REF!,COUNTA(#REF!)-#REF!+1):INDEX(#REF!,COUNTA(#REF!))</definedName>
    <definedName name="PRVolumeSPYR">INDEX(#REF!,COUNTA(#REF!)-#REF!+1):INDEX(#REF!,COUNTA(#REF!))</definedName>
    <definedName name="PRvolumeYR">INDEX(#REF!,COUNTA(#REF!)-#REF!+1):INDEX(#REF!,COUNTA(#REF!))</definedName>
    <definedName name="ptData1">#REF!</definedName>
    <definedName name="ptData2">#REF!</definedName>
    <definedName name="ptHeader1">#REF!</definedName>
    <definedName name="ptHeader2">#REF!</definedName>
    <definedName name="ptHeader3">#REF!</definedName>
    <definedName name="Public">'[34]Pub VS Priv data'!$H$308:$H$341</definedName>
    <definedName name="publicprivate">'[34]Pub VS Priv data'!#REF!</definedName>
    <definedName name="pubpriv">'[36]Port. Comp. List. Partnership'!$I$6:$I$433</definedName>
    <definedName name="q">#REF!</definedName>
    <definedName name="QTR">'[9]cash flow'!$E$5:$E$397</definedName>
    <definedName name="qu">#REF!</definedName>
    <definedName name="QUICK_RATIO" hidden="1">"QUICK_RATIO"</definedName>
    <definedName name="qwer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range">'[9]S&amp;P 500'!#REF!</definedName>
    <definedName name="Rate">#REF!</definedName>
    <definedName name="RatingCFCover">#N/A</definedName>
    <definedName name="RatingDiv">#N/A</definedName>
    <definedName name="RatingHighQU">#N/A</definedName>
    <definedName name="RatingLev">#N/A</definedName>
    <definedName name="RatingLowQU">#N/A</definedName>
    <definedName name="RatingMidQU">#N/A</definedName>
    <definedName name="RatingPGCT">#N/A</definedName>
    <definedName name="RatingRefy">#N/A</definedName>
    <definedName name="RatingVola">#N/A</definedName>
    <definedName name="Real_Estate">#REF!</definedName>
    <definedName name="RealizationCompanies">#N/A</definedName>
    <definedName name="Realized">#N/A</definedName>
    <definedName name="RealizedAndSelectionCompanies">#N/A</definedName>
    <definedName name="RealizedCompanies">#N/A</definedName>
    <definedName name="RealizedThreshold">#N/A</definedName>
    <definedName name="REDEEM_PREF_STOCK" hidden="1">"REDEEM_PREF_STOCK"</definedName>
    <definedName name="RepCCY">[35]Menu!$D$15</definedName>
    <definedName name="Repcur">'[14]1_Main'!$C$15</definedName>
    <definedName name="repdate">[37]Control!$G$2</definedName>
    <definedName name="RepName">[35]Menu!$D$17</definedName>
    <definedName name="ReportDate">#N/A</definedName>
    <definedName name="RESEARCH_DEV" hidden="1">"RESEARCH_DEV"</definedName>
    <definedName name="RETAINED_EARN" hidden="1">"RETAINED_EARN"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VENUE" hidden="1">"REVENUE"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isk">#N/A</definedName>
    <definedName name="sd">INDEX(#REF!,COUNTA(#REF!)-#REF!+1):INDEX(#REF!,COUNTA(#REF!))</definedName>
    <definedName name="sdf">#REF!</definedName>
    <definedName name="sdfg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sdfsa" hidden="1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SearchCriteria">#REF!</definedName>
    <definedName name="SearchCriteriaType">#REF!</definedName>
    <definedName name="Sector_Filter" comment="SSG Model Name">[11]!spi_sub_sectors[sector_filter]</definedName>
    <definedName name="Securedvolume">INDEX(#REF!,COUNTA(#REF!)-#REF!+1):INDEX(#REF!,COUNTA(#REF!))</definedName>
    <definedName name="securedvolumeYR">INDEX(#REF!,COUNTA(#REF!)-#REF!+1):INDEX(#REF!,COUNTA(#REF!))</definedName>
    <definedName name="selectedchart">CHOOSE(#REF!,CHART1,CHART2,CHART3,CHART4,CHART5,CHART6,CHART7,CHART8,CHART9,CHART10,chart11,CHART12,CHART13,CHART14,CHART15,CHART16)</definedName>
    <definedName name="selectedchart1">CHOOSE(#REF!,CHART1,CHART2,CHART9a,CHART4,CHART5,CHART6,CHART7,CHART_9a,CHART9,CHART10,chart11,CHART12,CHART13,CHART14,CHART15,CHART16)</definedName>
    <definedName name="Selection">#N/A</definedName>
    <definedName name="SelectionCompanies">#N/A</definedName>
    <definedName name="SelectionLP">#N/A</definedName>
    <definedName name="SelectionRealized">#N/A</definedName>
    <definedName name="SelectRange">#N/A</definedName>
    <definedName name="SGA" hidden="1">"SGA"</definedName>
    <definedName name="SHARESOUTSTANDING" hidden="1">"SHARESOUTSTANDING"</definedName>
    <definedName name="Short_Term_Debt">[5]summary!#REF!</definedName>
    <definedName name="SHORT_TERM_INVEST" hidden="1">"SHORT_TERM_INVEST"</definedName>
    <definedName name="skr">#REF!</definedName>
    <definedName name="SLTLPERCENT">INDEX(#REF!,COUNTA(#REF!)-#REF!+1):INDEX(#REF!,COUNTA(#REF!))</definedName>
    <definedName name="SLTLPERCENT_YR">INDEX(#REF!,COUNTA(#REF!)-#REF!+1):INDEX(#REF!,COUNTA(#REF!))</definedName>
    <definedName name="SLTLQTR">#REF!</definedName>
    <definedName name="SLTLVOL">INDEX(#REF!,COUNTA(#REF!)-#REF!+1):INDEX(#REF!,COUNTA(#REF!))</definedName>
    <definedName name="SLTLVOLUME_YR">INDEX(#REF!,COUNTA(#REF!)-#REF!+1):INDEX(#REF!,COUNTA(#REF!))</definedName>
    <definedName name="SLTLVOLUMEMN">#REF!</definedName>
    <definedName name="SLTLVOLYR">#REF!</definedName>
    <definedName name="SNT">[5]summary!#REF!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ndi">#N/A</definedName>
    <definedName name="SortRangeCFCompanies">#N/A</definedName>
    <definedName name="SortRangeCFLP">#N/A</definedName>
    <definedName name="SP">'[16]Paid-in &amp; Disb by Inv Cat'!$A$2:$A$34</definedName>
    <definedName name="SPI_Funds_List" comment="SSG Model Name">[11]!spi_funds[fund_name]</definedName>
    <definedName name="SPI_GPs_List" comment="SSG Model Name">[11]!spi_generalpartners[gp_name]</definedName>
    <definedName name="SplitByRange">#N/A</definedName>
    <definedName name="sponsorLookUp">#REF!</definedName>
    <definedName name="SPVolMN">#REF!</definedName>
    <definedName name="SPVOLQTR">#REF!</definedName>
    <definedName name="SPVolumeYR">#REF!</definedName>
    <definedName name="SPWS_WBID">"D59E1A16-371E-4D0F-A93D-481B765CD67C"</definedName>
    <definedName name="SQL_Users" comment="SSG Model Name">'[11]Lists &amp; Categories'!$AF$3:$AF$7</definedName>
    <definedName name="Stage">'[10]Data Sheet'!$R$2:$R$859</definedName>
    <definedName name="STATE" hidden="1">"STATE"</definedName>
    <definedName name="Statistics" comment="SSG Model Name">'[11]Lists &amp; Categories'!$F$3:$F$5</definedName>
    <definedName name="Stats">INDEX(#REF!,COUNTA(#REF!)-#REF!+1):INDEX(#REF!,COUNTA(#REF!))</definedName>
    <definedName name="STM_100">OFFSET(#REF!,COUNTA(#REF!)-1,0,-61,1)</definedName>
    <definedName name="STM_ALL">OFFSET(#REF!,COUNTA(#REF!)-1,0,-61,1)</definedName>
    <definedName name="STM_B">OFFSET(#REF!,COUNTA(#REF!)-1,0,-61,1)</definedName>
    <definedName name="STM_BB">OFFSET(#REF!,COUNTA(#REF!)-1,0,-61,1)</definedName>
    <definedName name="STM_CovHeavy">OFFSET(#REF!,COUNT(#REF!)-1,0,-61,1)</definedName>
    <definedName name="STM_CovLite">OFFSET(#REF!,COUNT(#REF!)-1,0,-61,1)</definedName>
    <definedName name="STM_FL">OFFSET(#REF!,COUNT(#REF!)-1,0,-61,1)</definedName>
    <definedName name="STM_FL_B">OFFSET(#REF!,COUNT(#REF!)-1,0,-61,1)</definedName>
    <definedName name="STM_LC">OFFSET(#REF!,COUNT(#REF!)-1,0,-61,1)</definedName>
    <definedName name="STM_MM">OFFSET(#REF!,COUNT(#REF!)-1,0,-61,1)</definedName>
    <definedName name="STM_SL">OFFSET(#REF!,COUNT(#REF!)-1,0,-61,1)</definedName>
    <definedName name="STM_SL_B">OFFSET(#REF!,COUNT(#REF!)-1,0,-61,1)</definedName>
    <definedName name="STOCK_BASED" hidden="1">"STOCK_BASED"</definedName>
    <definedName name="SubTotalInvested">#N/A</definedName>
    <definedName name="SubtotalSelection">#N/A</definedName>
    <definedName name="subvolume">INDEX(#REF!,COUNTA(#REF!)-#REF!+1):INDEX(#REF!,COUNTA(#REF!))</definedName>
    <definedName name="subvolumeYR">INDEX(#REF!,COUNTA(#REF!)-#REF!+1):INDEX(#REF!,COUNTA(#REF!))</definedName>
    <definedName name="sum_Capital_Committed">#REF!</definedName>
    <definedName name="sum_Distributions">#REF!</definedName>
    <definedName name="sum_Market_Value">#REF!</definedName>
    <definedName name="sum_Paid_In_Capital">#REF!</definedName>
    <definedName name="Summary_Classification">[10]Petes_Fund_Set!$K$5:$K$241</definedName>
    <definedName name="Summary_Commitment">'[10]Performance - By Fund_MR'!$G$5:$G$245</definedName>
    <definedName name="Summary_Distributed">'[10]Performance - By Fund_MR'!$M$5:$M$245</definedName>
    <definedName name="Summary_Drawn">'[10]Performance - By Fund_MR'!$L$5:$L$245</definedName>
    <definedName name="Summary_FundName">'[10]Performance - By Fund_MR'!$A$5:$A$245</definedName>
    <definedName name="Summary_FundSize">'[10]Performance - By Fund_MR'!$F$5:$F$245</definedName>
    <definedName name="Summary_FundType">'[10]Performance - By Fund_MR'!$I$5:$I$245</definedName>
    <definedName name="Summary_Geography">'[10]Performance - By Fund_MR'!$Q$5:$Q$245</definedName>
    <definedName name="Summary_InvestmentType">'[10]Performance - By Fund_MR'!$C$5:$C$245</definedName>
    <definedName name="Summary_IRR">'[10]Performance - By Fund_MR'!$P$5:$P$245</definedName>
    <definedName name="Summary_NAV">'[10]Performance - By Fund_MR'!$N$5:$N$245</definedName>
    <definedName name="Summary_PercentDrawn">'[10]Performance - By Fund_MR'!$K$5:$K$245</definedName>
    <definedName name="Summary_TVPI">'[10]Performance - By Fund_MR'!$O$5:$O$245</definedName>
    <definedName name="Summary_Vintage">'[10]Performance - By Fund_MR'!$E$5:$E$245</definedName>
    <definedName name="SummaryNAV">'[10]Performance - By Fund_MR'!$N$5:$N$245</definedName>
    <definedName name="SWN">[5]summary!#REF!</definedName>
    <definedName name="t" hidden="1">{"Area1",#N/A,FALSE,"OREWACC";"Area2",#N/A,FALSE,"OREWACC"}</definedName>
    <definedName name="T1DataCFDate">#N/A</definedName>
    <definedName name="T2FundsBackUp">[8]T2Primary!#REF!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Evaluation">#N/A</definedName>
    <definedName name="TabList">[38]Valluga!$Y$22:$Y$29</definedName>
    <definedName name="TAX_RATE">#REF!</definedName>
    <definedName name="TEJ">[5]summary!#REF!</definedName>
    <definedName name="test">#REF!</definedName>
    <definedName name="test2">#REF!</definedName>
    <definedName name="TextRefCopyRangeCount" hidden="1">5</definedName>
    <definedName name="THX">[5]summary!#REF!</definedName>
    <definedName name="Ticker">[5]summary!#REF!</definedName>
    <definedName name="TimeZeroDatesCompanies">#N/A</definedName>
    <definedName name="To">#N/A</definedName>
    <definedName name="ToBeInvested">#N/A</definedName>
    <definedName name="TOTAL_ASSETS" hidden="1">"TOTAL_ASSETS"</definedName>
    <definedName name="Total_Book_Capitalization">[5]summary!#REF!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Companies">#N/A</definedName>
    <definedName name="TotalValueDrivers">#N/A</definedName>
    <definedName name="TPC">[5]summary!#REF!</definedName>
    <definedName name="TRADE_AR" hidden="1">"TRADE_AR"</definedName>
    <definedName name="TREASURY_STOCK" hidden="1">"TREASURY_STOCK"</definedName>
    <definedName name="TRP">[5]summary!#REF!</definedName>
    <definedName name="TRSLCost">'[19]Burgiss Group'!$L$2:$L$154</definedName>
    <definedName name="TRSLMkt">'[19]Burgiss Group'!$M$2:$M$154</definedName>
    <definedName name="try">#N/A</definedName>
    <definedName name="TVEDate">#N/A</definedName>
    <definedName name="type">#REF!</definedName>
    <definedName name="UNREALIZED_GAIN" hidden="1">"UNREALIZED_GAIN"</definedName>
    <definedName name="UnrealizedCompanies">#N/A</definedName>
    <definedName name="unsecvolume">INDEX(#REF!,COUNTA(#REF!)-#REF!+1):INDEX(#REF!,COUNTA(#REF!))</definedName>
    <definedName name="unsecvolumeYR">INDEX(#REF!,COUNTA(#REF!)-#REF!+1):INDEX(#REF!,COUNTA(#REF!))</definedName>
    <definedName name="UNUSUAL_EXP" hidden="1">"UNUSUAL_EXP"</definedName>
    <definedName name="US_GAAP" hidden="1">"US_GAAP"</definedName>
    <definedName name="USD">1</definedName>
    <definedName name="USDynamic">OFFSET(#REF!,0,0,COUNTA(#REF!),COUNTA(#REF!))</definedName>
    <definedName name="Users" comment="SSG Model Name">[11]!spi_users[First_Name + Last_Name]</definedName>
    <definedName name="Valo">#REF!</definedName>
    <definedName name="valSelOption">#REF!</definedName>
    <definedName name="ValuationDate">#N/A</definedName>
    <definedName name="value">'[16]Paid-in &amp; Disb by Inv Cat'!$B$2:$B$34</definedName>
    <definedName name="ValueDD">#N/A</definedName>
    <definedName name="ValueDivC">#N/A</definedName>
    <definedName name="ValueDivVD">#N/A</definedName>
    <definedName name="ValueLev">#N/A</definedName>
    <definedName name="ValuePC">#N/A</definedName>
    <definedName name="ValuePGCT">#N/A</definedName>
    <definedName name="ValueRefy">#N/A</definedName>
    <definedName name="ValueTVC">#N/A</definedName>
    <definedName name="ValueVola">#N/A</definedName>
    <definedName name="ValueVolaMult">#N/A</definedName>
    <definedName name="Vintage">#N/A</definedName>
    <definedName name="Vintage_Year">#REF!</definedName>
    <definedName name="vol">#REF!</definedName>
    <definedName name="VolbyCCRYR">#REF!</definedName>
    <definedName name="VolbyIndYR">#REF!</definedName>
    <definedName name="VolbypurpYR">#REF!</definedName>
    <definedName name="VolMN">#REF!</definedName>
    <definedName name="VOLUME" hidden="1">"VOLUME"</definedName>
    <definedName name="VOLUMEQTR">#REF!</definedName>
    <definedName name="volumerange">INDEX(#REF!,COUNTA(#REF!)-#REF!+1):INDEX(#REF!,COUNTA(#REF!))</definedName>
    <definedName name="volumerange1">INDEX(#REF!,COUNTA(#REF!)-#REF!+1):INDEX(#REF!,COUNTA(#REF!))</definedName>
    <definedName name="VolumerangeYR">INDEX(#REF!,COUNTA(#REF!)-#REF!+1):INDEX(#REF!,COUNTA(#REF!))</definedName>
    <definedName name="VolumeYR">#REF!</definedName>
    <definedName name="w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E">[5]summary!#REF!</definedName>
    <definedName name="wert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GR">[5]summary!#REF!</definedName>
    <definedName name="WMB">[5]summary!#REF!</definedName>
    <definedName name="WriteOffThreshold">#N/A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Netrev." hidden="1">{"NR",#N/A,FALSE,"RENETREV"}</definedName>
    <definedName name="wrn.print." hidden="1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wrn.print._.standalone." hidden="1">{"standalone1",#N/A,FALSE,"DCFBase";"standalone2",#N/A,FALSE,"DCFBase"}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hidden="1">{#N/A,#N/A,FALSE,"A&amp;E";#N/A,#N/A,FALSE,"HighTop";#N/A,#N/A,FALSE,"JG";#N/A,#N/A,FALSE,"RI";#N/A,#N/A,FALSE,"woHT";#N/A,#N/A,FALSE,"woHT&amp;JG"}</definedName>
    <definedName name="wrn.Wacc." hidden="1">{"Area1",#N/A,FALSE,"OREWACC";"Area2",#N/A,FALSE,"OREWACC"}</definedName>
    <definedName name="x" hidden="1">Table4</definedName>
    <definedName name="xcvb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xdg">OFFSET(#REF!,0,0,COUNTA(#REF!)-1,COUNTA(#REF!)-2)</definedName>
    <definedName name="XRefCopy1" hidden="1">#REF!</definedName>
    <definedName name="XRefCopyRangeCount" hidden="1">1</definedName>
    <definedName name="Year">'[27]HL IRR'!$Z$9:$Z$1015</definedName>
    <definedName name="YEARHIGH" hidden="1">"YEARHIGH"</definedName>
    <definedName name="YEARLOW" hidden="1">"YEARLOW"</definedName>
    <definedName name="yen">[17]Exch!$B$6</definedName>
    <definedName name="YTMBHY">OFFSET(#REF!,COUNTA(#REF!)-1,0,-758,1)</definedName>
    <definedName name="YTMBL">OFFSET(#REF!,COUNTA(#REF!)-1,0,-758,1)</definedName>
    <definedName name="YTMDateHY">OFFSET(#REF!,COUNTA(#REF!)-1,0,-758,1)</definedName>
    <definedName name="YTMHY">OFFSET(#REF!,COUNTA(#REF!)-1,0,-758,1)</definedName>
    <definedName name="YTMLLY">OFFSET(#REF!,COUNTA(#REF!)-1,0,-758,1)</definedName>
    <definedName name="zar">#REF!</definedName>
    <definedName name="zxcv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</definedNames>
  <calcPr calcId="191029"/>
  <pivotCaches>
    <pivotCache cacheId="0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7" i="1" l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6" i="1"/>
  <c r="AI465" i="1"/>
  <c r="AH465" i="1"/>
  <c r="AI466" i="1"/>
  <c r="AH466" i="1"/>
  <c r="AI467" i="1"/>
  <c r="AH467" i="1"/>
  <c r="AI468" i="1"/>
  <c r="AH468" i="1"/>
  <c r="AI469" i="1"/>
  <c r="AH469" i="1"/>
  <c r="AI470" i="1"/>
  <c r="AH470" i="1"/>
  <c r="AI471" i="1"/>
  <c r="AH471" i="1"/>
  <c r="AI472" i="1"/>
  <c r="AH472" i="1"/>
  <c r="AI473" i="1"/>
  <c r="AH473" i="1"/>
  <c r="AI474" i="1"/>
  <c r="AH474" i="1"/>
  <c r="AI475" i="1"/>
  <c r="AH475" i="1"/>
  <c r="AI476" i="1"/>
  <c r="AH476" i="1"/>
  <c r="AI481" i="1"/>
  <c r="AH481" i="1"/>
  <c r="AI177" i="1"/>
  <c r="AH177" i="1"/>
  <c r="AI191" i="1"/>
  <c r="AH191" i="1"/>
  <c r="AI192" i="1"/>
  <c r="AH192" i="1"/>
  <c r="AI193" i="1"/>
  <c r="AH193" i="1"/>
  <c r="AI194" i="1"/>
  <c r="AH194" i="1"/>
  <c r="AI195" i="1"/>
  <c r="AH195" i="1"/>
  <c r="AI196" i="1"/>
  <c r="AH196" i="1"/>
  <c r="AI197" i="1"/>
  <c r="AH197" i="1"/>
  <c r="AH391" i="1"/>
  <c r="AI391" i="1"/>
  <c r="AH390" i="1"/>
  <c r="AI390" i="1"/>
  <c r="AH389" i="1"/>
  <c r="AI389" i="1"/>
  <c r="AH388" i="1"/>
  <c r="AI388" i="1"/>
  <c r="AH387" i="1"/>
  <c r="AI387" i="1"/>
  <c r="AH386" i="1"/>
  <c r="AI386" i="1"/>
  <c r="AH385" i="1"/>
  <c r="AI385" i="1"/>
  <c r="AH384" i="1"/>
  <c r="AI384" i="1"/>
  <c r="AH383" i="1"/>
  <c r="AI383" i="1"/>
  <c r="AH382" i="1"/>
  <c r="AI382" i="1"/>
  <c r="AH381" i="1"/>
  <c r="AI381" i="1"/>
  <c r="AH380" i="1"/>
  <c r="AI380" i="1"/>
  <c r="AH379" i="1"/>
  <c r="AI379" i="1"/>
  <c r="AH378" i="1"/>
  <c r="AI378" i="1"/>
  <c r="AH377" i="1"/>
  <c r="AI377" i="1"/>
  <c r="AH376" i="1"/>
  <c r="AI376" i="1"/>
  <c r="AH375" i="1"/>
  <c r="AI375" i="1"/>
  <c r="AH374" i="1"/>
  <c r="AI374" i="1"/>
  <c r="AH373" i="1"/>
  <c r="AI373" i="1"/>
  <c r="AH372" i="1"/>
  <c r="AI372" i="1"/>
  <c r="AH371" i="1"/>
  <c r="AI371" i="1"/>
  <c r="AH370" i="1"/>
  <c r="AI370" i="1"/>
  <c r="AH369" i="1"/>
  <c r="AI369" i="1"/>
  <c r="AH368" i="1"/>
  <c r="AI368" i="1"/>
  <c r="AH367" i="1"/>
  <c r="AI367" i="1"/>
  <c r="AH366" i="1"/>
  <c r="AI366" i="1"/>
  <c r="AH365" i="1"/>
  <c r="AI365" i="1"/>
  <c r="AH364" i="1"/>
  <c r="AI364" i="1"/>
  <c r="AH363" i="1"/>
  <c r="AI363" i="1"/>
  <c r="AH362" i="1"/>
  <c r="AI362" i="1"/>
  <c r="AH361" i="1"/>
  <c r="AI361" i="1"/>
  <c r="AH360" i="1"/>
  <c r="AI360" i="1"/>
  <c r="AH359" i="1"/>
  <c r="AI359" i="1"/>
  <c r="AH358" i="1"/>
  <c r="AI358" i="1"/>
  <c r="AH357" i="1"/>
  <c r="AI357" i="1"/>
  <c r="AH356" i="1"/>
  <c r="AI356" i="1"/>
  <c r="AH355" i="1"/>
  <c r="AI355" i="1"/>
  <c r="AH354" i="1"/>
  <c r="AI354" i="1"/>
  <c r="AH353" i="1"/>
  <c r="AI353" i="1"/>
  <c r="AH352" i="1"/>
  <c r="AI352" i="1"/>
  <c r="AH351" i="1"/>
  <c r="AI351" i="1"/>
  <c r="AH350" i="1"/>
  <c r="AI350" i="1"/>
  <c r="AH349" i="1"/>
  <c r="AI349" i="1"/>
  <c r="AH348" i="1"/>
  <c r="AI348" i="1"/>
  <c r="AH347" i="1"/>
  <c r="AI347" i="1"/>
  <c r="AH346" i="1"/>
  <c r="AI346" i="1"/>
  <c r="AH345" i="1"/>
  <c r="AI345" i="1"/>
  <c r="AH344" i="1"/>
  <c r="AI344" i="1"/>
  <c r="AH343" i="1"/>
  <c r="AI343" i="1"/>
  <c r="AH342" i="1"/>
  <c r="AI342" i="1"/>
  <c r="AH341" i="1"/>
  <c r="AI341" i="1"/>
  <c r="AH340" i="1"/>
  <c r="AI340" i="1"/>
  <c r="AH339" i="1"/>
  <c r="AI339" i="1"/>
  <c r="AH338" i="1"/>
  <c r="AI338" i="1"/>
  <c r="AH337" i="1"/>
  <c r="AI337" i="1"/>
  <c r="AI306" i="1"/>
  <c r="AH306" i="1"/>
  <c r="AI305" i="1"/>
  <c r="AH305" i="1"/>
  <c r="AI304" i="1"/>
  <c r="AH304" i="1"/>
  <c r="AI303" i="1"/>
  <c r="AH303" i="1"/>
  <c r="AI302" i="1"/>
  <c r="AH302" i="1"/>
  <c r="AI301" i="1"/>
  <c r="AH301" i="1"/>
  <c r="AI300" i="1"/>
  <c r="AH300" i="1"/>
  <c r="AI299" i="1"/>
  <c r="AH299" i="1"/>
  <c r="AI298" i="1"/>
  <c r="AH298" i="1"/>
  <c r="AI297" i="1"/>
  <c r="AH297" i="1"/>
  <c r="AI296" i="1"/>
  <c r="AH296" i="1"/>
  <c r="AI295" i="1"/>
  <c r="AH295" i="1"/>
  <c r="AI294" i="1"/>
  <c r="AH294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181" i="1"/>
  <c r="AH181" i="1"/>
  <c r="AI180" i="1"/>
  <c r="AH180" i="1"/>
  <c r="AI179" i="1"/>
  <c r="AH179" i="1"/>
  <c r="AI178" i="1"/>
  <c r="AH178" i="1"/>
  <c r="AI477" i="1"/>
  <c r="AH477" i="1"/>
  <c r="AI478" i="1"/>
  <c r="AH478" i="1"/>
  <c r="AI479" i="1"/>
  <c r="AH479" i="1"/>
  <c r="AI480" i="1"/>
  <c r="AH480" i="1"/>
  <c r="AI332" i="1"/>
  <c r="AH332" i="1"/>
  <c r="AI333" i="1"/>
  <c r="AH333" i="1"/>
  <c r="AI334" i="1"/>
  <c r="AH334" i="1"/>
  <c r="AI335" i="1"/>
  <c r="AH335" i="1"/>
  <c r="AI198" i="1"/>
  <c r="AH198" i="1"/>
  <c r="AI199" i="1"/>
  <c r="AH199" i="1"/>
  <c r="AI200" i="1"/>
  <c r="AH200" i="1"/>
  <c r="AI226" i="1"/>
  <c r="AH226" i="1"/>
  <c r="AI227" i="1"/>
  <c r="AH227" i="1"/>
  <c r="AI228" i="1"/>
  <c r="AH228" i="1"/>
  <c r="AI229" i="1"/>
  <c r="AH229" i="1"/>
  <c r="AI230" i="1"/>
  <c r="AH230" i="1"/>
  <c r="AI231" i="1"/>
  <c r="AH231" i="1"/>
  <c r="AI232" i="1"/>
  <c r="AH232" i="1"/>
  <c r="AI233" i="1"/>
  <c r="AH233" i="1"/>
  <c r="AI234" i="1"/>
  <c r="AH234" i="1"/>
  <c r="AI235" i="1"/>
  <c r="AH235" i="1"/>
  <c r="AI236" i="1"/>
  <c r="AH236" i="1"/>
  <c r="AI237" i="1"/>
  <c r="AH237" i="1"/>
  <c r="AI238" i="1"/>
  <c r="AH238" i="1"/>
  <c r="AI239" i="1"/>
  <c r="AH239" i="1"/>
  <c r="AI240" i="1"/>
  <c r="AH240" i="1"/>
  <c r="AI241" i="1"/>
  <c r="AH241" i="1"/>
  <c r="AI242" i="1"/>
  <c r="AH242" i="1"/>
  <c r="AI243" i="1"/>
  <c r="AH243" i="1"/>
  <c r="AI244" i="1"/>
  <c r="AH244" i="1"/>
  <c r="AI245" i="1"/>
  <c r="AH245" i="1"/>
  <c r="AI246" i="1"/>
  <c r="AH246" i="1"/>
  <c r="AI247" i="1"/>
  <c r="AH247" i="1"/>
  <c r="AI248" i="1"/>
  <c r="AH248" i="1"/>
  <c r="AI249" i="1"/>
  <c r="AH249" i="1"/>
  <c r="AI250" i="1"/>
  <c r="AH250" i="1"/>
  <c r="AI251" i="1"/>
  <c r="AH251" i="1"/>
  <c r="AI252" i="1"/>
  <c r="AH252" i="1"/>
  <c r="AI253" i="1"/>
  <c r="AH253" i="1"/>
  <c r="AI254" i="1"/>
  <c r="AH254" i="1"/>
  <c r="AI255" i="1"/>
  <c r="AH255" i="1"/>
  <c r="AI256" i="1"/>
  <c r="AH256" i="1"/>
  <c r="AI257" i="1"/>
  <c r="AH257" i="1"/>
  <c r="AI258" i="1"/>
  <c r="AH258" i="1"/>
  <c r="AI259" i="1"/>
  <c r="AH259" i="1"/>
  <c r="AI260" i="1"/>
  <c r="AH260" i="1"/>
  <c r="AI261" i="1"/>
  <c r="AH261" i="1"/>
  <c r="AI262" i="1"/>
  <c r="AH262" i="1"/>
  <c r="AI263" i="1"/>
  <c r="AH263" i="1"/>
  <c r="AI264" i="1"/>
  <c r="AH264" i="1"/>
  <c r="AI265" i="1"/>
  <c r="AH265" i="1"/>
  <c r="AI266" i="1"/>
  <c r="AH266" i="1"/>
  <c r="AI267" i="1"/>
  <c r="AH267" i="1"/>
  <c r="AI268" i="1"/>
  <c r="AH268" i="1"/>
  <c r="AI269" i="1"/>
  <c r="AH269" i="1"/>
  <c r="AI270" i="1"/>
  <c r="AH270" i="1"/>
  <c r="AI271" i="1"/>
  <c r="AH271" i="1"/>
  <c r="AI272" i="1"/>
  <c r="AH272" i="1"/>
  <c r="AI273" i="1"/>
  <c r="AH273" i="1"/>
  <c r="AI274" i="1"/>
  <c r="AH274" i="1"/>
  <c r="AI275" i="1"/>
  <c r="AH275" i="1"/>
  <c r="AI276" i="1"/>
  <c r="AH276" i="1"/>
  <c r="AI277" i="1"/>
  <c r="AH277" i="1"/>
  <c r="AI278" i="1"/>
  <c r="AH278" i="1"/>
  <c r="AI279" i="1"/>
  <c r="AH279" i="1"/>
  <c r="AI280" i="1"/>
  <c r="AH280" i="1"/>
  <c r="AI281" i="1"/>
  <c r="AH281" i="1"/>
  <c r="AI282" i="1"/>
  <c r="AH282" i="1"/>
  <c r="AI283" i="1"/>
  <c r="AH283" i="1"/>
  <c r="AI284" i="1"/>
  <c r="AH284" i="1"/>
  <c r="AI285" i="1"/>
  <c r="AH285" i="1"/>
  <c r="AI286" i="1"/>
  <c r="AH286" i="1"/>
  <c r="AI287" i="1"/>
  <c r="AH287" i="1"/>
  <c r="AI288" i="1"/>
  <c r="AH288" i="1"/>
  <c r="AI289" i="1"/>
  <c r="AH289" i="1"/>
  <c r="AI290" i="1"/>
  <c r="AH290" i="1"/>
  <c r="AI291" i="1"/>
  <c r="AH291" i="1"/>
  <c r="AI292" i="1"/>
  <c r="AH292" i="1"/>
  <c r="AI293" i="1"/>
  <c r="AH293" i="1"/>
  <c r="AI201" i="1"/>
  <c r="AH201" i="1"/>
  <c r="AI202" i="1"/>
  <c r="AH202" i="1"/>
  <c r="AI203" i="1"/>
  <c r="AH203" i="1"/>
  <c r="AI204" i="1"/>
  <c r="AH204" i="1"/>
  <c r="AI205" i="1"/>
  <c r="AH205" i="1"/>
  <c r="AI206" i="1"/>
  <c r="AH206" i="1"/>
  <c r="AI207" i="1"/>
  <c r="AH207" i="1"/>
  <c r="AI208" i="1"/>
  <c r="AH208" i="1"/>
  <c r="AI209" i="1"/>
  <c r="AH209" i="1"/>
  <c r="AI210" i="1"/>
  <c r="AH210" i="1"/>
  <c r="AI211" i="1"/>
  <c r="AH211" i="1"/>
  <c r="AI212" i="1"/>
  <c r="AH212" i="1"/>
  <c r="AI213" i="1"/>
  <c r="AH213" i="1"/>
  <c r="AI214" i="1"/>
  <c r="AH214" i="1"/>
  <c r="AI215" i="1"/>
  <c r="AH215" i="1"/>
  <c r="AI216" i="1"/>
  <c r="AH216" i="1"/>
  <c r="AI217" i="1"/>
  <c r="AH217" i="1"/>
  <c r="AI218" i="1"/>
  <c r="AH218" i="1"/>
  <c r="AI219" i="1"/>
  <c r="AH219" i="1"/>
  <c r="AI220" i="1"/>
  <c r="AH220" i="1"/>
  <c r="AI221" i="1"/>
  <c r="AH221" i="1"/>
  <c r="AI222" i="1"/>
  <c r="AH222" i="1"/>
  <c r="AI223" i="1"/>
  <c r="AH223" i="1"/>
  <c r="AI224" i="1"/>
  <c r="AH224" i="1"/>
  <c r="AI225" i="1"/>
  <c r="AH225" i="1"/>
  <c r="AI547" i="1"/>
  <c r="AH547" i="1"/>
  <c r="AI548" i="1"/>
  <c r="AH548" i="1"/>
  <c r="AI549" i="1"/>
  <c r="AH549" i="1"/>
  <c r="AI550" i="1"/>
  <c r="AH550" i="1"/>
  <c r="AI551" i="1"/>
  <c r="AH551" i="1"/>
  <c r="AI552" i="1"/>
  <c r="AH552" i="1"/>
  <c r="AI553" i="1"/>
  <c r="AH553" i="1"/>
  <c r="AI554" i="1"/>
  <c r="AH554" i="1"/>
  <c r="AI555" i="1"/>
  <c r="AH555" i="1"/>
  <c r="AI556" i="1"/>
  <c r="AH556" i="1"/>
  <c r="AI557" i="1"/>
  <c r="AH557" i="1"/>
  <c r="AI558" i="1"/>
  <c r="AH558" i="1"/>
  <c r="AI559" i="1"/>
  <c r="AH559" i="1"/>
  <c r="AI560" i="1"/>
  <c r="AH560" i="1"/>
  <c r="AI561" i="1"/>
  <c r="AH561" i="1"/>
  <c r="AI562" i="1"/>
  <c r="AH562" i="1"/>
  <c r="AI563" i="1"/>
  <c r="AH563" i="1"/>
  <c r="AI564" i="1"/>
  <c r="AH564" i="1"/>
  <c r="AI565" i="1"/>
  <c r="AH565" i="1"/>
  <c r="AI566" i="1"/>
  <c r="AH566" i="1"/>
  <c r="AI567" i="1"/>
  <c r="AH567" i="1"/>
  <c r="AI568" i="1"/>
  <c r="AH568" i="1"/>
  <c r="AI569" i="1"/>
  <c r="AH569" i="1"/>
  <c r="AI570" i="1"/>
  <c r="AH570" i="1"/>
  <c r="AI571" i="1"/>
  <c r="AH571" i="1"/>
  <c r="AI572" i="1"/>
  <c r="AH572" i="1"/>
  <c r="AI573" i="1"/>
  <c r="AH573" i="1"/>
  <c r="AI574" i="1"/>
  <c r="AH574" i="1"/>
  <c r="AI575" i="1"/>
  <c r="AH575" i="1"/>
  <c r="AI576" i="1"/>
  <c r="AH576" i="1"/>
  <c r="AI577" i="1"/>
  <c r="AH577" i="1"/>
  <c r="AI578" i="1"/>
  <c r="AH578" i="1"/>
  <c r="AI579" i="1"/>
  <c r="AH579" i="1"/>
  <c r="AI580" i="1"/>
  <c r="AH580" i="1"/>
  <c r="AI581" i="1"/>
  <c r="AH581" i="1"/>
  <c r="AI482" i="1"/>
  <c r="AH482" i="1"/>
  <c r="AI483" i="1"/>
  <c r="AH483" i="1"/>
  <c r="AI484" i="1"/>
  <c r="AH484" i="1"/>
  <c r="AI485" i="1"/>
  <c r="AH485" i="1"/>
  <c r="AI486" i="1"/>
  <c r="AH486" i="1"/>
  <c r="AI487" i="1"/>
  <c r="AH487" i="1"/>
  <c r="AI488" i="1"/>
  <c r="AH488" i="1"/>
  <c r="AI489" i="1"/>
  <c r="AH489" i="1"/>
  <c r="AI490" i="1"/>
  <c r="AH490" i="1"/>
  <c r="AI491" i="1"/>
  <c r="AH491" i="1"/>
  <c r="AI492" i="1"/>
  <c r="AH492" i="1"/>
  <c r="AI493" i="1"/>
  <c r="AH493" i="1"/>
  <c r="AI494" i="1"/>
  <c r="AH494" i="1"/>
  <c r="AI495" i="1"/>
  <c r="AH495" i="1"/>
  <c r="AI496" i="1"/>
  <c r="AH496" i="1"/>
  <c r="AI497" i="1"/>
  <c r="AH497" i="1"/>
  <c r="AI498" i="1"/>
  <c r="AH498" i="1"/>
  <c r="AI499" i="1"/>
  <c r="AH499" i="1"/>
  <c r="AI500" i="1"/>
  <c r="AH500" i="1"/>
  <c r="AI501" i="1"/>
  <c r="AH501" i="1"/>
  <c r="AI502" i="1"/>
  <c r="AH502" i="1"/>
  <c r="AI503" i="1"/>
  <c r="AH503" i="1"/>
  <c r="AI504" i="1"/>
  <c r="AH504" i="1"/>
  <c r="AI505" i="1"/>
  <c r="AH505" i="1"/>
  <c r="AI506" i="1"/>
  <c r="AH506" i="1"/>
  <c r="AI507" i="1"/>
  <c r="AH507" i="1"/>
  <c r="AI508" i="1"/>
  <c r="AH508" i="1"/>
  <c r="AI509" i="1"/>
  <c r="AH509" i="1"/>
  <c r="AI510" i="1"/>
  <c r="AH510" i="1"/>
  <c r="AI511" i="1"/>
  <c r="AH511" i="1"/>
  <c r="AI512" i="1"/>
  <c r="AH512" i="1"/>
  <c r="AI513" i="1"/>
  <c r="AH513" i="1"/>
  <c r="AI514" i="1"/>
  <c r="AH514" i="1"/>
  <c r="AI515" i="1"/>
  <c r="AH515" i="1"/>
  <c r="AI516" i="1"/>
  <c r="AH516" i="1"/>
  <c r="AI517" i="1"/>
  <c r="AH517" i="1"/>
  <c r="AI518" i="1"/>
  <c r="AH518" i="1"/>
  <c r="AI519" i="1"/>
  <c r="AH519" i="1"/>
  <c r="AI520" i="1"/>
  <c r="AH520" i="1"/>
  <c r="AI521" i="1"/>
  <c r="AH521" i="1"/>
  <c r="AI522" i="1"/>
  <c r="AH522" i="1"/>
  <c r="AI523" i="1"/>
  <c r="AH523" i="1"/>
  <c r="AI524" i="1"/>
  <c r="AH524" i="1"/>
  <c r="AI525" i="1"/>
  <c r="AH525" i="1"/>
  <c r="AI526" i="1"/>
  <c r="AH526" i="1"/>
  <c r="AI527" i="1"/>
  <c r="AH527" i="1"/>
  <c r="AI528" i="1"/>
  <c r="AH528" i="1"/>
  <c r="AI529" i="1"/>
  <c r="AH529" i="1"/>
  <c r="AI530" i="1"/>
  <c r="AH530" i="1"/>
  <c r="AI531" i="1"/>
  <c r="AH531" i="1"/>
  <c r="AI532" i="1"/>
  <c r="AH532" i="1"/>
  <c r="AI533" i="1"/>
  <c r="AH533" i="1"/>
  <c r="AI534" i="1"/>
  <c r="AH534" i="1"/>
  <c r="AI535" i="1"/>
  <c r="AH535" i="1"/>
  <c r="AI536" i="1"/>
  <c r="AH536" i="1"/>
  <c r="AI537" i="1"/>
  <c r="AH537" i="1"/>
  <c r="AI538" i="1"/>
  <c r="AH538" i="1"/>
  <c r="AI539" i="1"/>
  <c r="AH539" i="1"/>
  <c r="AI540" i="1"/>
  <c r="AH540" i="1"/>
  <c r="AI541" i="1"/>
  <c r="AH541" i="1"/>
  <c r="AI542" i="1"/>
  <c r="AH542" i="1"/>
  <c r="AI543" i="1"/>
  <c r="AH543" i="1"/>
  <c r="AI544" i="1"/>
  <c r="AH544" i="1"/>
  <c r="AI545" i="1"/>
  <c r="AH545" i="1"/>
  <c r="AI546" i="1"/>
  <c r="AH546" i="1"/>
  <c r="AI117" i="1"/>
  <c r="AH117" i="1"/>
  <c r="AI118" i="1"/>
  <c r="AH118" i="1"/>
  <c r="AI119" i="1"/>
  <c r="AH119" i="1"/>
  <c r="AI120" i="1"/>
  <c r="AH120" i="1"/>
  <c r="AI121" i="1"/>
  <c r="AH121" i="1"/>
  <c r="AI122" i="1"/>
  <c r="AH122" i="1"/>
  <c r="AI123" i="1"/>
  <c r="AH123" i="1"/>
  <c r="AI124" i="1"/>
  <c r="AH124" i="1"/>
  <c r="AI125" i="1"/>
  <c r="AH125" i="1"/>
  <c r="AI126" i="1"/>
  <c r="AH126" i="1"/>
  <c r="AI127" i="1"/>
  <c r="AH127" i="1"/>
  <c r="AI128" i="1"/>
  <c r="AH128" i="1"/>
  <c r="AI129" i="1"/>
  <c r="AH129" i="1"/>
  <c r="AI130" i="1"/>
  <c r="AH130" i="1"/>
  <c r="AI131" i="1"/>
  <c r="AH131" i="1"/>
  <c r="AI132" i="1"/>
  <c r="AH132" i="1"/>
  <c r="AI133" i="1"/>
  <c r="AH133" i="1"/>
  <c r="AI134" i="1"/>
  <c r="AH134" i="1"/>
  <c r="AI135" i="1"/>
  <c r="AH135" i="1"/>
  <c r="AI136" i="1"/>
  <c r="AH136" i="1"/>
  <c r="AI137" i="1"/>
  <c r="AH137" i="1"/>
  <c r="AI138" i="1"/>
  <c r="AH138" i="1"/>
  <c r="AI139" i="1"/>
  <c r="AH139" i="1"/>
  <c r="AI140" i="1"/>
  <c r="AH140" i="1"/>
  <c r="AI141" i="1"/>
  <c r="AH141" i="1"/>
  <c r="AI142" i="1"/>
  <c r="AH142" i="1"/>
  <c r="AI143" i="1"/>
  <c r="AH143" i="1"/>
  <c r="AI144" i="1"/>
  <c r="AH144" i="1"/>
  <c r="AI145" i="1"/>
  <c r="AH145" i="1"/>
  <c r="AI146" i="1"/>
  <c r="AH146" i="1"/>
  <c r="AI147" i="1"/>
  <c r="AH147" i="1"/>
  <c r="AI148" i="1"/>
  <c r="AH148" i="1"/>
  <c r="AI149" i="1"/>
  <c r="AH149" i="1"/>
  <c r="AI150" i="1"/>
  <c r="AH150" i="1"/>
  <c r="AI151" i="1"/>
  <c r="AH151" i="1"/>
  <c r="AI152" i="1"/>
  <c r="AH152" i="1"/>
  <c r="AI153" i="1"/>
  <c r="AH153" i="1"/>
  <c r="AI154" i="1"/>
  <c r="AH154" i="1"/>
  <c r="AI155" i="1"/>
  <c r="AH155" i="1"/>
  <c r="AI156" i="1"/>
  <c r="AH156" i="1"/>
  <c r="AI157" i="1"/>
  <c r="AH157" i="1"/>
  <c r="AI158" i="1"/>
  <c r="AH158" i="1"/>
  <c r="AI159" i="1"/>
  <c r="AH159" i="1"/>
  <c r="AI160" i="1"/>
  <c r="AH160" i="1"/>
  <c r="AI161" i="1"/>
  <c r="AH161" i="1"/>
  <c r="AI162" i="1"/>
  <c r="AH162" i="1"/>
  <c r="AI163" i="1"/>
  <c r="AH163" i="1"/>
  <c r="AI164" i="1"/>
  <c r="AH164" i="1"/>
  <c r="AI165" i="1"/>
  <c r="AH165" i="1"/>
  <c r="AI166" i="1"/>
  <c r="AH166" i="1"/>
  <c r="AI167" i="1"/>
  <c r="AH167" i="1"/>
  <c r="AI168" i="1"/>
  <c r="AH168" i="1"/>
  <c r="AI169" i="1"/>
  <c r="AH169" i="1"/>
  <c r="AI170" i="1"/>
  <c r="AH170" i="1"/>
  <c r="AI171" i="1"/>
  <c r="AH171" i="1"/>
  <c r="AI172" i="1"/>
  <c r="AH172" i="1"/>
  <c r="AI173" i="1"/>
  <c r="AH173" i="1"/>
  <c r="AI174" i="1"/>
  <c r="AH174" i="1"/>
  <c r="AI175" i="1"/>
  <c r="AH175" i="1"/>
  <c r="AI176" i="1"/>
  <c r="AH176" i="1"/>
  <c r="AI75" i="1"/>
  <c r="AH75" i="1"/>
  <c r="AI76" i="1"/>
  <c r="AH76" i="1"/>
  <c r="AI77" i="1"/>
  <c r="AH77" i="1"/>
  <c r="AI78" i="1"/>
  <c r="AH78" i="1"/>
  <c r="AI79" i="1"/>
  <c r="AH79" i="1"/>
  <c r="AI80" i="1"/>
  <c r="AH80" i="1"/>
  <c r="AI81" i="1"/>
  <c r="AH81" i="1"/>
  <c r="AI82" i="1"/>
  <c r="AH82" i="1"/>
  <c r="AI83" i="1"/>
  <c r="AH83" i="1"/>
  <c r="AI84" i="1"/>
  <c r="AH84" i="1"/>
  <c r="AI85" i="1"/>
  <c r="AH85" i="1"/>
  <c r="AI86" i="1"/>
  <c r="AH86" i="1"/>
  <c r="AI87" i="1"/>
  <c r="AH87" i="1"/>
  <c r="AI88" i="1"/>
  <c r="AH88" i="1"/>
  <c r="AI89" i="1"/>
  <c r="AH89" i="1"/>
  <c r="AI90" i="1"/>
  <c r="AH90" i="1"/>
  <c r="AI91" i="1"/>
  <c r="AH91" i="1"/>
  <c r="AI92" i="1"/>
  <c r="AH92" i="1"/>
  <c r="AI93" i="1"/>
  <c r="AH93" i="1"/>
  <c r="AI94" i="1"/>
  <c r="AH94" i="1"/>
  <c r="AI95" i="1"/>
  <c r="AH95" i="1"/>
  <c r="AI96" i="1"/>
  <c r="AH96" i="1"/>
  <c r="AI97" i="1"/>
  <c r="AH97" i="1"/>
  <c r="AI98" i="1"/>
  <c r="AH98" i="1"/>
  <c r="AI99" i="1"/>
  <c r="AH99" i="1"/>
  <c r="AI100" i="1"/>
  <c r="AH100" i="1"/>
  <c r="AI101" i="1"/>
  <c r="AH101" i="1"/>
  <c r="AI102" i="1"/>
  <c r="AH102" i="1"/>
  <c r="AI103" i="1"/>
  <c r="AH103" i="1"/>
  <c r="AI104" i="1"/>
  <c r="AH104" i="1"/>
  <c r="AI105" i="1"/>
  <c r="AH105" i="1"/>
  <c r="AI106" i="1"/>
  <c r="AH106" i="1"/>
  <c r="AI107" i="1"/>
  <c r="AH107" i="1"/>
  <c r="AI108" i="1"/>
  <c r="AH108" i="1"/>
  <c r="AI109" i="1"/>
  <c r="AH109" i="1"/>
  <c r="AI110" i="1"/>
  <c r="AH110" i="1"/>
  <c r="AI111" i="1"/>
  <c r="AH111" i="1"/>
  <c r="AI112" i="1"/>
  <c r="AH112" i="1"/>
  <c r="AI113" i="1"/>
  <c r="AH113" i="1"/>
  <c r="AI114" i="1"/>
  <c r="AH114" i="1"/>
  <c r="AI115" i="1"/>
  <c r="AH115" i="1"/>
  <c r="AI116" i="1"/>
  <c r="AH116" i="1"/>
  <c r="AI392" i="1"/>
  <c r="AH392" i="1"/>
  <c r="AI393" i="1"/>
  <c r="AH393" i="1"/>
  <c r="AI394" i="1"/>
  <c r="AH394" i="1"/>
  <c r="AI395" i="1"/>
  <c r="AH395" i="1"/>
  <c r="AI396" i="1"/>
  <c r="AH396" i="1"/>
  <c r="AI397" i="1"/>
  <c r="AH397" i="1"/>
  <c r="AI398" i="1"/>
  <c r="AH398" i="1"/>
  <c r="AI399" i="1"/>
  <c r="AH399" i="1"/>
  <c r="AI400" i="1"/>
  <c r="AH400" i="1"/>
  <c r="AI401" i="1"/>
  <c r="AH401" i="1"/>
  <c r="AI402" i="1"/>
  <c r="AH402" i="1"/>
  <c r="AI403" i="1"/>
  <c r="AH403" i="1"/>
  <c r="AI404" i="1"/>
  <c r="AH404" i="1"/>
  <c r="AI405" i="1"/>
  <c r="AH405" i="1"/>
  <c r="AI406" i="1"/>
  <c r="AH406" i="1"/>
  <c r="AI407" i="1"/>
  <c r="AH407" i="1"/>
  <c r="AI408" i="1"/>
  <c r="AH408" i="1"/>
  <c r="AI409" i="1"/>
  <c r="AH409" i="1"/>
  <c r="AI410" i="1"/>
  <c r="AH410" i="1"/>
  <c r="AI411" i="1"/>
  <c r="AH411" i="1"/>
  <c r="AI412" i="1"/>
  <c r="AH412" i="1"/>
  <c r="AI413" i="1"/>
  <c r="AH413" i="1"/>
  <c r="AI414" i="1"/>
  <c r="AH414" i="1"/>
  <c r="AI415" i="1"/>
  <c r="AH415" i="1"/>
  <c r="AI416" i="1"/>
  <c r="AH416" i="1"/>
  <c r="AI417" i="1"/>
  <c r="AH417" i="1"/>
  <c r="AI418" i="1"/>
  <c r="AH418" i="1"/>
  <c r="AI419" i="1"/>
  <c r="AH419" i="1"/>
  <c r="AI420" i="1"/>
  <c r="AH420" i="1"/>
  <c r="AI421" i="1"/>
  <c r="AH421" i="1"/>
  <c r="AI422" i="1"/>
  <c r="AH422" i="1"/>
  <c r="AI423" i="1"/>
  <c r="AH423" i="1"/>
  <c r="AI424" i="1"/>
  <c r="AH424" i="1"/>
  <c r="AI425" i="1"/>
  <c r="AH425" i="1"/>
  <c r="AI426" i="1"/>
  <c r="AH426" i="1"/>
  <c r="AI427" i="1"/>
  <c r="AH427" i="1"/>
  <c r="AI428" i="1"/>
  <c r="AH428" i="1"/>
  <c r="AI429" i="1"/>
  <c r="AH429" i="1"/>
  <c r="AI430" i="1"/>
  <c r="AH430" i="1"/>
  <c r="AI431" i="1"/>
  <c r="AH431" i="1"/>
  <c r="AI432" i="1"/>
  <c r="AH432" i="1"/>
  <c r="AI433" i="1"/>
  <c r="AH433" i="1"/>
  <c r="AI434" i="1"/>
  <c r="AH434" i="1"/>
  <c r="AI435" i="1"/>
  <c r="AH435" i="1"/>
  <c r="AI436" i="1"/>
  <c r="AH436" i="1"/>
  <c r="AI437" i="1"/>
  <c r="AH437" i="1"/>
  <c r="AI438" i="1"/>
  <c r="AH438" i="1"/>
  <c r="AI439" i="1"/>
  <c r="AH439" i="1"/>
  <c r="AI440" i="1"/>
  <c r="AH440" i="1"/>
  <c r="AI441" i="1"/>
  <c r="AH441" i="1"/>
  <c r="AI442" i="1"/>
  <c r="AH442" i="1"/>
  <c r="AI443" i="1"/>
  <c r="AH443" i="1"/>
  <c r="AI444" i="1"/>
  <c r="AH444" i="1"/>
  <c r="AI445" i="1"/>
  <c r="AH445" i="1"/>
  <c r="AI446" i="1"/>
  <c r="AH446" i="1"/>
  <c r="AI447" i="1"/>
  <c r="AH447" i="1"/>
  <c r="AI448" i="1"/>
  <c r="AH448" i="1"/>
  <c r="AI449" i="1"/>
  <c r="AH449" i="1"/>
  <c r="AI450" i="1"/>
  <c r="AH450" i="1"/>
  <c r="AI451" i="1"/>
  <c r="AH451" i="1"/>
  <c r="AI452" i="1"/>
  <c r="AH452" i="1"/>
  <c r="AI453" i="1"/>
  <c r="AH453" i="1"/>
  <c r="AI454" i="1"/>
  <c r="AH454" i="1"/>
  <c r="AI455" i="1"/>
  <c r="AH455" i="1"/>
  <c r="AI456" i="1"/>
  <c r="AH456" i="1"/>
  <c r="AI457" i="1"/>
  <c r="AH457" i="1"/>
  <c r="AI458" i="1"/>
  <c r="AH458" i="1"/>
  <c r="AI459" i="1"/>
  <c r="AH459" i="1"/>
  <c r="AI460" i="1"/>
  <c r="AH460" i="1"/>
  <c r="AI461" i="1"/>
  <c r="AH461" i="1"/>
  <c r="AI462" i="1"/>
  <c r="AH462" i="1"/>
  <c r="AI463" i="1"/>
  <c r="AH463" i="1"/>
  <c r="AI464" i="1"/>
  <c r="AH464" i="1"/>
  <c r="AI2" i="1"/>
  <c r="AH2" i="1"/>
  <c r="AI3" i="1"/>
  <c r="AH3" i="1"/>
  <c r="AI4" i="1"/>
  <c r="AH4" i="1"/>
  <c r="AI5" i="1"/>
  <c r="AH5" i="1"/>
  <c r="AI6" i="1"/>
  <c r="AH6" i="1"/>
  <c r="AI7" i="1"/>
  <c r="AH7" i="1"/>
  <c r="AI8" i="1"/>
  <c r="AH8" i="1"/>
  <c r="AI9" i="1"/>
  <c r="AH9" i="1"/>
  <c r="AI10" i="1"/>
  <c r="AH10" i="1"/>
  <c r="AI11" i="1"/>
  <c r="AH11" i="1"/>
  <c r="AI12" i="1"/>
  <c r="AH12" i="1"/>
  <c r="AI13" i="1"/>
  <c r="AH13" i="1"/>
  <c r="AI14" i="1"/>
  <c r="AH14" i="1"/>
  <c r="AI15" i="1"/>
  <c r="AH15" i="1"/>
  <c r="AI16" i="1"/>
  <c r="AH16" i="1"/>
  <c r="AI17" i="1"/>
  <c r="AH17" i="1"/>
  <c r="AI18" i="1"/>
  <c r="AH18" i="1"/>
  <c r="AI19" i="1"/>
  <c r="AH19" i="1"/>
  <c r="AI20" i="1"/>
  <c r="AH20" i="1"/>
  <c r="AI21" i="1"/>
  <c r="AH21" i="1"/>
  <c r="AI22" i="1"/>
  <c r="AH22" i="1"/>
  <c r="AI23" i="1"/>
  <c r="AH23" i="1"/>
  <c r="AI24" i="1"/>
  <c r="AH24" i="1"/>
  <c r="AI25" i="1"/>
  <c r="AH25" i="1"/>
  <c r="AI26" i="1"/>
  <c r="AH26" i="1"/>
  <c r="AI27" i="1"/>
  <c r="AH27" i="1"/>
  <c r="AI28" i="1"/>
  <c r="AH28" i="1"/>
  <c r="AI29" i="1"/>
  <c r="AH29" i="1"/>
  <c r="AI30" i="1"/>
  <c r="AH30" i="1"/>
  <c r="AI31" i="1"/>
  <c r="AH31" i="1"/>
  <c r="AI32" i="1"/>
  <c r="AH32" i="1"/>
  <c r="AI33" i="1"/>
  <c r="AH33" i="1"/>
  <c r="AI34" i="1"/>
  <c r="AH34" i="1"/>
  <c r="AI35" i="1"/>
  <c r="AH35" i="1"/>
  <c r="AI36" i="1"/>
  <c r="AH36" i="1"/>
  <c r="AI37" i="1"/>
  <c r="AH37" i="1"/>
  <c r="AI38" i="1"/>
  <c r="AH38" i="1"/>
  <c r="AI39" i="1"/>
  <c r="AH39" i="1"/>
  <c r="AI40" i="1"/>
  <c r="AH40" i="1"/>
  <c r="AI41" i="1"/>
  <c r="AH41" i="1"/>
  <c r="AI42" i="1"/>
  <c r="AH42" i="1"/>
  <c r="AI43" i="1"/>
  <c r="AH43" i="1"/>
  <c r="AI44" i="1"/>
  <c r="AH44" i="1"/>
  <c r="AI45" i="1"/>
  <c r="AH45" i="1"/>
  <c r="AI46" i="1"/>
  <c r="AH46" i="1"/>
  <c r="AI47" i="1"/>
  <c r="AH47" i="1"/>
  <c r="AI48" i="1"/>
  <c r="AH48" i="1"/>
  <c r="AI49" i="1"/>
  <c r="AH49" i="1"/>
  <c r="AI50" i="1"/>
  <c r="AH50" i="1"/>
  <c r="AI51" i="1"/>
  <c r="AH51" i="1"/>
  <c r="AI52" i="1"/>
  <c r="AH52" i="1"/>
  <c r="AI53" i="1"/>
  <c r="AH53" i="1"/>
  <c r="AI54" i="1"/>
  <c r="AH54" i="1"/>
  <c r="AI55" i="1"/>
  <c r="AH55" i="1"/>
  <c r="AI56" i="1"/>
  <c r="AH56" i="1"/>
  <c r="AI57" i="1"/>
  <c r="AH57" i="1"/>
  <c r="AI58" i="1"/>
  <c r="AH58" i="1"/>
  <c r="AI59" i="1"/>
  <c r="AH59" i="1"/>
  <c r="AI60" i="1"/>
  <c r="AH60" i="1"/>
  <c r="AI61" i="1"/>
  <c r="AH61" i="1"/>
  <c r="AI62" i="1"/>
  <c r="AH62" i="1"/>
  <c r="AI63" i="1"/>
  <c r="AH63" i="1"/>
  <c r="AI64" i="1"/>
  <c r="AH64" i="1"/>
  <c r="AI65" i="1"/>
  <c r="AH65" i="1"/>
  <c r="AI66" i="1"/>
  <c r="AH66" i="1"/>
  <c r="AI67" i="1"/>
  <c r="AH67" i="1"/>
  <c r="AI68" i="1"/>
  <c r="AH68" i="1"/>
  <c r="AI69" i="1"/>
  <c r="AH69" i="1"/>
  <c r="AI70" i="1"/>
  <c r="AH70" i="1"/>
  <c r="AI71" i="1"/>
  <c r="AH71" i="1"/>
  <c r="AI72" i="1"/>
  <c r="AH72" i="1"/>
  <c r="AI73" i="1"/>
  <c r="AH73" i="1"/>
  <c r="AI74" i="1"/>
  <c r="AH74" i="1"/>
</calcChain>
</file>

<file path=xl/sharedStrings.xml><?xml version="1.0" encoding="utf-8"?>
<sst xmlns="http://schemas.openxmlformats.org/spreadsheetml/2006/main" count="2447" uniqueCount="139">
  <si>
    <t>fund_id</t>
  </si>
  <si>
    <t>fund_name</t>
  </si>
  <si>
    <t>ticker</t>
  </si>
  <si>
    <t>month_end</t>
  </si>
  <si>
    <t>nav</t>
  </si>
  <si>
    <t>nav_per_share</t>
  </si>
  <si>
    <t>monthly_return</t>
  </si>
  <si>
    <t>cik</t>
  </si>
  <si>
    <t>fund_type</t>
  </si>
  <si>
    <t>yfinance_link</t>
  </si>
  <si>
    <t>share_class</t>
  </si>
  <si>
    <t>expense_ratio</t>
  </si>
  <si>
    <t>sec_name</t>
  </si>
  <si>
    <t>direct_statement_name</t>
  </si>
  <si>
    <t>icapital_name</t>
  </si>
  <si>
    <t>ms_name</t>
  </si>
  <si>
    <t>website_link</t>
  </si>
  <si>
    <t>Bow River Evergreen PE</t>
  </si>
  <si>
    <t>Carlyle Alpinvest</t>
  </si>
  <si>
    <t>Cliffwater</t>
  </si>
  <si>
    <t>Coller Secondaries</t>
  </si>
  <si>
    <t>Stepstone PC Income</t>
  </si>
  <si>
    <t>Stepstone Private Markets</t>
  </si>
  <si>
    <t>Stepstone PV/Growth</t>
  </si>
  <si>
    <t>AMG Pantheon</t>
  </si>
  <si>
    <t>Hamilton Lane</t>
  </si>
  <si>
    <t>JPMF</t>
  </si>
  <si>
    <t>FLEX</t>
  </si>
  <si>
    <t>Tender</t>
  </si>
  <si>
    <t>Interval</t>
  </si>
  <si>
    <t>https://www.bowriverevergreen.com/</t>
  </si>
  <si>
    <t>https://www.carlyle.com/capm</t>
  </si>
  <si>
    <t>https://www.cliffwaterfunds.com/celfx</t>
  </si>
  <si>
    <t>https://cspef.com/</t>
  </si>
  <si>
    <t>https://www.stepstonegroup.com/what-we-do/solutions-services/private-wealth-solutions/crdex/</t>
  </si>
  <si>
    <t>https://www.stepstonegroup.com/what-we-do/solutions-services/private-wealth-solutions/sprim/</t>
  </si>
  <si>
    <t>https://www.stepstonegroup.com/what-we-do/solutions-services/private-wealth-solutions/spring/</t>
  </si>
  <si>
    <t>https://www.pantheon.com/private-wealth-overview/amg-pantheon-fund/</t>
  </si>
  <si>
    <t>https://www.flexpe.com</t>
  </si>
  <si>
    <t>https://www.hamiltonlane.com/en-us/strategies/evergreen/us-private-wealth/private-assets-fund</t>
  </si>
  <si>
    <t>https://am.jpmorgan.com/us/en/asset-management/adv/products/jpmorgan-private-markets-fund-i-48130f306</t>
  </si>
  <si>
    <t>Class I</t>
  </si>
  <si>
    <t>Class 3</t>
  </si>
  <si>
    <t>EVERX</t>
  </si>
  <si>
    <t>XCPIX</t>
  </si>
  <si>
    <t>CELFX</t>
  </si>
  <si>
    <t>CRDEX</t>
  </si>
  <si>
    <t>XPMIX</t>
  </si>
  <si>
    <t>XSPIX</t>
  </si>
  <si>
    <t>XPEIX</t>
  </si>
  <si>
    <t>XHLIX</t>
  </si>
  <si>
    <t>Bow River Capital Evergreen Fund</t>
  </si>
  <si>
    <t>Carlyle AlpInvest Private Markets Fund</t>
  </si>
  <si>
    <t>Cliffwater Enhanced Lending Fund</t>
  </si>
  <si>
    <t>Coller Secondaries Private Equity Opportunities Fund</t>
  </si>
  <si>
    <t>StepStone Private Credit Income Fund</t>
  </si>
  <si>
    <t>StepStone Private Markets</t>
  </si>
  <si>
    <t>StepStone Private Venture and Growth Fund</t>
  </si>
  <si>
    <t>Franklin Lexington Private Markets Fund</t>
  </si>
  <si>
    <t>Hamilton Lane Private Assets Fund</t>
  </si>
  <si>
    <t>JPMorgan Private Markets Fund</t>
  </si>
  <si>
    <t>BOW RIVER CAP EVERGREEN FD CL I</t>
  </si>
  <si>
    <t>Carlyle Alphinvest Prvte Mrkts I</t>
  </si>
  <si>
    <t>CLIFFWATER ENHANCED LENDING FUND CL I</t>
  </si>
  <si>
    <t>STEPSTONE PRIVATE CREDIT INCOME FD CL I</t>
  </si>
  <si>
    <t>STEPSTONE PRIVATE MARKETS I</t>
  </si>
  <si>
    <t>STEPSTONE PRIVATE VENTURE AND GROWTH FD CL I</t>
  </si>
  <si>
    <t>AMG PANTHEON FUND, LLC ESC</t>
  </si>
  <si>
    <t>FLEX - CLASS I ESC</t>
  </si>
  <si>
    <t>HAMILTON LANE PAF (I) ESC</t>
  </si>
  <si>
    <t>JPMF CLASS I ESC</t>
  </si>
  <si>
    <t>AMG PANTHEON FUND CLASS 3</t>
  </si>
  <si>
    <t>HAMILTON LANE PVT ASSET FUND CL I</t>
  </si>
  <si>
    <t>JPMORGAN PRIVATE MARKETS FUND - I</t>
  </si>
  <si>
    <t>https://finance.yahoo.com/quote/EVERX/</t>
  </si>
  <si>
    <t>https://finance.yahoo.com/quote/XCPIX/</t>
  </si>
  <si>
    <t>https://finance.yahoo.com/quote/CELFX/</t>
  </si>
  <si>
    <t>https://finance.yahoo.com/quote/CRDEX/history/</t>
  </si>
  <si>
    <t>https://finance.yahoo.com/quote/XPMIX/</t>
  </si>
  <si>
    <t>https://finance.yahoo.com/quote/XSPIX/</t>
  </si>
  <si>
    <t>https://finance.yahoo.com/quote/XHLIX/</t>
  </si>
  <si>
    <t>gp_count</t>
  </si>
  <si>
    <t>nav_source</t>
  </si>
  <si>
    <t>nav_per_share_source</t>
  </si>
  <si>
    <t>monthly_return_source</t>
  </si>
  <si>
    <t>gp_count_source</t>
  </si>
  <si>
    <t>distributions_per_share</t>
  </si>
  <si>
    <t>gav</t>
  </si>
  <si>
    <t>gav_source</t>
  </si>
  <si>
    <t>pitchbook</t>
  </si>
  <si>
    <t>distributions_per_share_source</t>
  </si>
  <si>
    <t>strategy</t>
  </si>
  <si>
    <t>shares_owned</t>
  </si>
  <si>
    <t>sgg_nav</t>
  </si>
  <si>
    <t>shares_owned_source</t>
  </si>
  <si>
    <t>sgg_nav_source</t>
  </si>
  <si>
    <t>sgg_holding</t>
  </si>
  <si>
    <t>y</t>
  </si>
  <si>
    <t>sgg_purchases</t>
  </si>
  <si>
    <t>sgg_purchases_source</t>
  </si>
  <si>
    <t>sgg_redemptions</t>
  </si>
  <si>
    <t>sgg_distributions</t>
  </si>
  <si>
    <t>sgg_redemptions_source</t>
  </si>
  <si>
    <t>sgg_distributions_source</t>
  </si>
  <si>
    <t>black diamond</t>
  </si>
  <si>
    <t>direct fund statement</t>
  </si>
  <si>
    <t>icapital</t>
  </si>
  <si>
    <t>morgan stanley statement</t>
  </si>
  <si>
    <t>yfinance</t>
  </si>
  <si>
    <t>shares_outstanding</t>
  </si>
  <si>
    <t>shares_outstanding_source</t>
  </si>
  <si>
    <t>share_class_count</t>
  </si>
  <si>
    <t>nport_portfolio_count</t>
  </si>
  <si>
    <t>management_fee</t>
  </si>
  <si>
    <t>class_inception_date</t>
  </si>
  <si>
    <t>private_equity</t>
  </si>
  <si>
    <t>private_credit</t>
  </si>
  <si>
    <t>secondaries</t>
  </si>
  <si>
    <t>venture</t>
  </si>
  <si>
    <t>AMG Pantheon Fund, LLC</t>
  </si>
  <si>
    <t>N-CSRS</t>
  </si>
  <si>
    <t>N-CSR</t>
  </si>
  <si>
    <t>factsheet</t>
  </si>
  <si>
    <t>pitchbook_index</t>
  </si>
  <si>
    <t>gate</t>
  </si>
  <si>
    <t>incentive_fee</t>
  </si>
  <si>
    <t>redemptions</t>
  </si>
  <si>
    <t>Grand Total</t>
  </si>
  <si>
    <t xml:space="preserve">monthly_return </t>
  </si>
  <si>
    <t xml:space="preserve">sgg_nav </t>
  </si>
  <si>
    <t xml:space="preserve">nav_per_share </t>
  </si>
  <si>
    <t>redemptions_source</t>
  </si>
  <si>
    <t>email</t>
  </si>
  <si>
    <t>distributions</t>
  </si>
  <si>
    <t>distributions_source</t>
  </si>
  <si>
    <t>aum</t>
  </si>
  <si>
    <t>aum_source</t>
  </si>
  <si>
    <t>steptone_pm_index</t>
  </si>
  <si>
    <t>sp500_index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</si>
</sst>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%"/>
    <numFmt numFmtId="166" formatCode="mm/dd/yyyy"/>
    <numFmt numFmtId="167" formatCode="&quot;$&quot;#,##0"/>
    <numFmt numFmtId="168" formatCode="&quot;$&quot;#,##0.00"/>
    <numFmt numFmtId="169" formatCode="_(* #,##0_);_(* \(#,##0\);_(* &quot;-&quot;??_);_(@_)"/>
    <numFmt numFmtId="170" formatCode="_(* #,##0.00_);_(* \(#,##0.00\);_(* 0.00_);_(@_)"/>
    <numFmt numFmtId="171" formatCode="#,##0.00;\(#,##0.00\);0"/>
    <numFmt numFmtId="172" formatCode="0.00;\(0.00\);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2"/>
    <xf numFmtId="10" fontId="0" fillId="0" borderId="0" xfId="3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39" fontId="0" fillId="0" borderId="0" xfId="4" applyNumberFormat="1" applyFont="1"/>
    <xf numFmtId="170" fontId="0" fillId="0" borderId="0" xfId="4" applyNumberFormat="1" applyFont="1"/>
    <xf numFmtId="171" fontId="0" fillId="0" borderId="0" xfId="0" applyNumberFormat="1"/>
    <xf numFmtId="172" fontId="0" fillId="0" borderId="0" xfId="0" applyNumberFormat="1"/>
    <xf numFmtId="43" fontId="0" fillId="0" borderId="0" xfId="4" applyFont="1"/>
  </cellXfs>
  <cellStyles count="5">
    <cellStyle name="Comma" xfId="4" builtinId="3"/>
    <cellStyle name="Hyperlink" xfId="2" builtinId="8"/>
    <cellStyle name="Normal" xfId="0" builtinId="0"/>
    <cellStyle name="Normal 2" xfId="1" xr:uid="{9056FB7C-326A-4195-865F-19F0531EFADC}"/>
    <cellStyle name="Percent" xfId="3" builtinId="5"/>
  </cellStyles>
  <dxfs count="44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&quot;$&quot;#,##0.00"/>
    </dxf>
    <dxf>
      <numFmt numFmtId="167" formatCode="&quot;$&quot;#,##0"/>
    </dxf>
    <dxf>
      <numFmt numFmtId="14" formatCode="0.00%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3" formatCode="#,##0"/>
    </dxf>
    <dxf>
      <numFmt numFmtId="14" formatCode="0.00%"/>
    </dxf>
    <dxf>
      <numFmt numFmtId="4" formatCode="#,##0.00"/>
    </dxf>
    <dxf>
      <numFmt numFmtId="4" formatCode="#,##0.00"/>
    </dxf>
    <dxf>
      <numFmt numFmtId="3" formatCode="#,##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me\documents\Funds\LGP\LGP%20Virtual%20Fundv7%20-%20ICA%20w%20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C:%20DOCUME~1%20siktky%20LOCALS~1%20Temp%20c.notes.data%20Board%20paper%20oCT%202002%20LCT3.doc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erlakeny1\users\share\Gartner%20Group\Diligence%20Models\Diligence%20Model%2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folio%20Management\Strategic%20Planning%20Project\2000-2005%20-%20Segments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cefs9038\DOCUME~1\blpuk\LOCALS~1\Temp\EPM5E99.tmp\Chatrny\NRG\NRG%20Compco\Oil%20&amp;%20Gas\LG-Indep%20E&amp;P_LF\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bmail.cc.columbia.edu/tbg/share/merchant/bcpii/rh/domestic/fs/2001/111472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DD\FR\Navis\Navis%20Asia%20Fund%20VI%20-%20FR%20Tables%20-%20DEC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Operations\REAL\Bottom-up\Investment%20Process\EUROPEAN%20PRIMARIES\11.%20Global%20Primary%20Performance\201504%2015%20Manager%20data%20R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%20FIRE%20&amp;%20POLICE\Quarterly%20Reports\1st%20Qtr%202005\charts%20for%20exec.%20summa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Due%20Diligence\Research\HL%20Track%20Record%20Review\Offsite%20Track%20Record%20Info%20-%20Aug%201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1%20-%20Research/SPI/Performance%20Uploads/Cashflow%20Conversion%20Process/New%20Models%20-%20(3)%20Approved%20&amp;%20Uploaded/Torchlight/Torchlight_Track_Record_Dec2019.xlsm" TargetMode="External"/><Relationship Id="rId1" Type="http://schemas.openxmlformats.org/officeDocument/2006/relationships/externalLinkPath" Target="/01%20-%20Research/SPI/Performance%20Uploads/Cashflow%20Conversion%20Process/New%20Models%20-%20(3)%20Approved%20&amp;%20Uploaded/Torchlight/Torchlight_Track_Record_Dec2019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lauer\Local%20Settings\Temporary%20Internet%20Files\OLKF8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marquez\AppData\Local\Temp\Temp1_2007.zip\20070331%20PA%20from%20copied%20database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epstone.local\38%20-%20Private%20Debt\OPERATIONS\30_Reporting\10_Client%20Reporting\01_Direct%20Lending_and%20mixed%20PF\10_SC%20Private%20Debt%20Fund%20III\_ClientRequests\Reporting%20Package\202303\20230331_PositionsReport_Template_PDFIII.xlsm?D9B86EA5" TargetMode="External"/><Relationship Id="rId1" Type="http://schemas.openxmlformats.org/officeDocument/2006/relationships/externalLinkPath" Target="file:///\\D9B86EA5\20230331_PositionsReport_Template_PDFIII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cefs9038\DOCUME~1\blpuk\LOCALS~1\Temp\EPM4136.tmp\Historic%20comps\Jun%2007\Historic%20Comps%2008Jun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Royal%20Mail\Quarterly%20Reports\1st%20Qtr%202005\1st%20Qtr%20Exec%20Summary%20Graph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XA%20Secondary\ASF%20-%20Deal%20Flow\Dossiers%20en%20cours\Mercure\Mod&#232;les\Hermes%20Model%20-%2020-6-2000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38%20-%20Private%20Debt/OPERATIONS/30_Reporting/10_Client%20Reporting/01_Direct%20Lending_and%20mixed%20PF/70_Viridium/2_ClientRequests/_Monthly%20Reporting/2023/202308/Positions/positionReporting_VIRIDIUM-StepStone_VG_Template_202308%20v1.1.xlsm" TargetMode="External"/><Relationship Id="rId2" Type="http://schemas.microsoft.com/office/2019/04/relationships/externalLinkLongPath" Target="/38%20-%20Private%20Debt/OPERATIONS/30_Reporting/10_Client%20Reporting/01_Direct%20Lending_and%20mixed%20PF/70_Viridium/2_ClientRequests/_Monthly%20Reporting/2023/202308/Positions/positionReporting_VIRIDIUM-StepStone_VG_Template_202308%20v1.1.xlsm?217C994B" TargetMode="External"/><Relationship Id="rId1" Type="http://schemas.openxmlformats.org/officeDocument/2006/relationships/externalLinkPath" Target="file:///\\217C994B\positionReporting_VIRIDIUM-StepStone_VG_Template_202308%20v1.1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SL\RE\TRSL%20Real%20Estate%20Projec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prasomsan\Local%20Settings\Temporary%20Internet%20Files\OLK10D\Swarthmore%20TE%2033104%20-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Moore\Local%20Settings\Temporary%20Internet%20Files\OLK67\Track%20Record%20Template%20-%20Version%203.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%20FIRE%20&amp;%20POLICE\Quarterly%20Reports\2nd%20Qtr%202005\LAFP%20charts%20for%20Exec.%20Summar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CERS\Quarterly%20reports\2nd%20qtr%202005\PORTFOLIO%20UPDATE%20CHARTS%206-30-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NAVIS%20-%20draft%20-%2021%2011%2008_%23%20of%20deal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gsepe\Application%20Data\Microsoft\Excel\NAVIS%20-%20draft%20-%2031%2010%2008%20(version%201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Xenon\Xenon%20Private%20Equity%20V%20-%20HLIRR%20-%2020090505_v02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Investments\Funds\1%20DD%20Master%20Template\Due%20Diligence\Investment%20Report\HLAARCHIVEInvestments\Funds\S\Southern%20Cross%20Latin%20America%20Private%20Equity%20Fund%20IV_2010\Due%20Diligence\IRR%20&amp;%20Models\Southern%20Cross%20Latin%20America%20Private%20Equity%20Fund%20?EBA8E24E" TargetMode="External"/><Relationship Id="rId1" Type="http://schemas.openxmlformats.org/officeDocument/2006/relationships/externalLinkPath" Target="file:///\\EBA8E24E\Southern%20Cross%20Latin%20America%20Private%20Equity%20Fund%20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Screenings\V-Z\Clessidra\Clessidra%20Capital%20Partners%20II%20-%20March%2007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Funds\B\Brait%20V,%20L.P%20-%202008\Due%20Diligence\IRR%20&amp;%20Models\Brait%20V%20-%20draft%2005%2011%200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IAM\Quarterly%20Reports\1st%20Qtr%202004\IAM%203%2031%2004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tjohnson_stepstoneglobal_com/Documents/Desktop/Storage/Hellman%20&amp;%20Friedman%20VIII%20Track%20Record%20Model%20Example.xlsx" TargetMode="External"/><Relationship Id="rId1" Type="http://schemas.openxmlformats.org/officeDocument/2006/relationships/externalLinkPath" Target="/personal/tjohnson_stepstoneglobal_com/Documents/Desktop/Storage/Hellman%20&amp;%20Friedman%20VIII%20Track%20Record%20Model%20Example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tjohnson_stepstoneglobal_com/Documents/Desktop/Storage/StepStone%20Research%20Track%20Record%20Model%20v1.061%20-%20Attributes%20test.xlsm" TargetMode="External"/><Relationship Id="rId1" Type="http://schemas.openxmlformats.org/officeDocument/2006/relationships/externalLinkPath" Target="/personal/tjohnson_stepstoneglobal_com/Documents/Desktop/Storage/StepStone%20Research%20Track%20Record%20Model%20v1.061%20-%20Attributes%20test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kki\HL%20Style%20Guide%20\Graphic%20Identity%20Guidelines\Templates\Microsoft%20Office\Macintosh%20HDUsers\nkuhn\Documents\Microsoft%20User%20Data\Saved%20Attachments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Swarthmore\Quarterly%20Reports\3rd%20Qtr%202002\Mock%20Report93002-Swarthmor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38%20-%20Private%20Debt\OPERATIONS\30_Reporting\20_Monthly%20Processes\Viridium\202011\BorrowerSummary_Template_v7%20(Tranches)_VG_2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IAM\Quarterly%20Reports\3rd%20Qtr%202004\3rd%20Qtr%202004.xls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38%20-%20Private%20Debt/OPERATIONS/30_Reporting/10_Client%20Reporting/01_Direct%20Lending_and%20mixed%20PF/70_Viridium/2_ClientRequests/_Monthly%20Reporting/2023/202307/Positions/New/positionReporting_VIRIDIUM-StepStone_VG_Template_202307_%20test%20run.xlsm" TargetMode="External"/><Relationship Id="rId2" Type="http://schemas.microsoft.com/office/2019/04/relationships/externalLinkLongPath" Target="/38%20-%20Private%20Debt/OPERATIONS/30_Reporting/10_Client%20Reporting/01_Direct%20Lending_and%20mixed%20PF/70_Viridium/2_ClientRequests/_Monthly%20Reporting/2023/202307/Positions/New/positionReporting_VIRIDIUM-StepStone_VG_Template_202307_%20test%20run.xlsm?73FBF586" TargetMode="External"/><Relationship Id="rId1" Type="http://schemas.openxmlformats.org/officeDocument/2006/relationships/externalLinkPath" Target="file:///\\73FBF586\positionReporting_VIRIDIUM-StepStone_VG_Template_202307_%20test%20run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kokkinos\OneDrive%20-%20STEPSTONE%20GROUP%20LP\Documents\3_Funds%20Portfolios\SSG%20Valluga\SSG%20Valluga_Short%20Overview_20200630_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Industry"/>
      <sheetName val="Attribution - S&amp;E (2)"/>
      <sheetName val="Attribution"/>
      <sheetName val="comp perf"/>
      <sheetName val="Graph- Competitors - MOI"/>
      <sheetName val="Graph- Competitors- IRR"/>
      <sheetName val="Graph"/>
      <sheetName val="Calc"/>
      <sheetName val="Sheet1"/>
      <sheetName val="Output &amp; Attribution"/>
      <sheetName val="Fund Summary"/>
      <sheetName val="LGP Transaction Calculation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1">
          <cell r="AW1" t="str">
            <v>LEONARD GREEN &amp; PARTNERS, L.P.</v>
          </cell>
        </row>
        <row r="29">
          <cell r="AX29" t="str">
            <v>Almac's Supermarkets, Inc.</v>
          </cell>
          <cell r="AY29">
            <v>126.8</v>
          </cell>
          <cell r="BA29">
            <v>0</v>
          </cell>
          <cell r="BG29">
            <v>1.62</v>
          </cell>
        </row>
        <row r="30">
          <cell r="AX30" t="str">
            <v>Kash n' Karry Food Stores, Inc.</v>
          </cell>
          <cell r="AY30">
            <v>365</v>
          </cell>
          <cell r="BA30">
            <v>0</v>
          </cell>
          <cell r="BG30">
            <v>2E-3</v>
          </cell>
        </row>
        <row r="31">
          <cell r="AX31" t="str">
            <v>Australian Resources Limited</v>
          </cell>
          <cell r="AY31">
            <v>50</v>
          </cell>
          <cell r="BA31">
            <v>0</v>
          </cell>
          <cell r="BG31">
            <v>165.63093306000002</v>
          </cell>
        </row>
        <row r="32">
          <cell r="AX32" t="str">
            <v>Thrifty Payless Corporation</v>
          </cell>
          <cell r="AY32">
            <v>1608.5</v>
          </cell>
          <cell r="BA32">
            <v>0</v>
          </cell>
          <cell r="BG32">
            <v>491.00697607500001</v>
          </cell>
        </row>
        <row r="35">
          <cell r="AX35" t="str">
            <v>MC Sports</v>
          </cell>
          <cell r="AY35">
            <v>13.5</v>
          </cell>
          <cell r="BA35">
            <v>0</v>
          </cell>
          <cell r="BB35" t="str">
            <v>(d)</v>
          </cell>
          <cell r="BG35">
            <v>14.1396</v>
          </cell>
        </row>
        <row r="36">
          <cell r="AX36" t="str">
            <v>Gart Bros Sports</v>
          </cell>
          <cell r="AY36">
            <v>46</v>
          </cell>
          <cell r="BA36">
            <v>0</v>
          </cell>
          <cell r="BB36" t="str">
            <v>(d)</v>
          </cell>
          <cell r="BG36">
            <v>146.20532649999998</v>
          </cell>
        </row>
        <row r="37">
          <cell r="AX37" t="str">
            <v>Big 5 Sporting Goods</v>
          </cell>
          <cell r="AY37">
            <v>145</v>
          </cell>
          <cell r="BA37">
            <v>0</v>
          </cell>
          <cell r="BG37">
            <v>231.27114288000001</v>
          </cell>
        </row>
        <row r="38">
          <cell r="AX38" t="str">
            <v>Family Restaurants, Inc.</v>
          </cell>
          <cell r="AY38">
            <v>690</v>
          </cell>
          <cell r="BA38">
            <v>0</v>
          </cell>
          <cell r="BG38">
            <v>1.2312660625</v>
          </cell>
        </row>
        <row r="39">
          <cell r="AX39" t="str">
            <v>Arrow Group Industries</v>
          </cell>
          <cell r="AY39">
            <v>129.30000000000001</v>
          </cell>
          <cell r="BA39">
            <v>0</v>
          </cell>
          <cell r="BG39">
            <v>0</v>
          </cell>
        </row>
        <row r="40">
          <cell r="AX40" t="str">
            <v>Communications &amp; Power Industries - GEI II</v>
          </cell>
          <cell r="AY40">
            <v>210</v>
          </cell>
          <cell r="BA40">
            <v>-1E-3</v>
          </cell>
          <cell r="BG40">
            <v>98.570633919999992</v>
          </cell>
        </row>
        <row r="41">
          <cell r="AX41" t="str">
            <v>Twin Laboratories</v>
          </cell>
          <cell r="AY41">
            <v>225</v>
          </cell>
          <cell r="BA41">
            <v>-1E-3</v>
          </cell>
          <cell r="BG41">
            <v>140.16003504000003</v>
          </cell>
        </row>
        <row r="42">
          <cell r="AX42" t="str">
            <v>Wavetek Corporation</v>
          </cell>
          <cell r="AY42">
            <v>215</v>
          </cell>
          <cell r="BA42">
            <v>-1E-3</v>
          </cell>
          <cell r="BG42">
            <v>7</v>
          </cell>
        </row>
        <row r="43">
          <cell r="AX43" t="str">
            <v>Leslie's Poolmart, Inc.</v>
          </cell>
          <cell r="AY43">
            <v>145</v>
          </cell>
          <cell r="BA43">
            <v>-1E-3</v>
          </cell>
          <cell r="BG43">
            <v>161.06288599999999</v>
          </cell>
        </row>
        <row r="44">
          <cell r="AX44" t="str">
            <v>Builders Square &amp; Hechinger</v>
          </cell>
          <cell r="AY44">
            <v>800</v>
          </cell>
          <cell r="BA44">
            <v>-1E-3</v>
          </cell>
          <cell r="BG44">
            <v>0</v>
          </cell>
        </row>
        <row r="45">
          <cell r="AX45" t="str">
            <v>Liberty Group Publishing - GEI II</v>
          </cell>
          <cell r="AY45">
            <v>329.1</v>
          </cell>
          <cell r="BA45">
            <v>-1E-3</v>
          </cell>
          <cell r="BG45">
            <v>92.343004999999991</v>
          </cell>
        </row>
        <row r="46">
          <cell r="AX46" t="str">
            <v>Diamond Triumph Auto Glass</v>
          </cell>
          <cell r="AY46">
            <v>170</v>
          </cell>
          <cell r="BA46">
            <v>-1E-3</v>
          </cell>
          <cell r="BG46">
            <v>7.5000000799999977</v>
          </cell>
        </row>
        <row r="47">
          <cell r="AX47" t="str">
            <v>Dollar Financial Group</v>
          </cell>
          <cell r="AY47">
            <v>247.7</v>
          </cell>
          <cell r="BA47">
            <v>-1E-3</v>
          </cell>
          <cell r="BG47">
            <v>135.4813455</v>
          </cell>
        </row>
        <row r="48">
          <cell r="AX48" t="str">
            <v>Rite Aid</v>
          </cell>
          <cell r="AY48">
            <v>300</v>
          </cell>
          <cell r="BA48">
            <v>0</v>
          </cell>
          <cell r="BG48">
            <v>496.18753126999997</v>
          </cell>
        </row>
        <row r="49">
          <cell r="AX49" t="str">
            <v>White Cap Industries</v>
          </cell>
          <cell r="AY49">
            <v>263.3</v>
          </cell>
          <cell r="BA49">
            <v>0</v>
          </cell>
          <cell r="BG49">
            <v>222.98776468</v>
          </cell>
        </row>
        <row r="50">
          <cell r="AX50" t="str">
            <v>Liberty Group Publishing - GEI III</v>
          </cell>
          <cell r="AY50" t="str">
            <v>--</v>
          </cell>
          <cell r="BA50">
            <v>0</v>
          </cell>
          <cell r="BG50">
            <v>154.21436700000004</v>
          </cell>
        </row>
        <row r="51">
          <cell r="AX51" t="str">
            <v>Veterinary Centers of America</v>
          </cell>
          <cell r="AY51">
            <v>529.9</v>
          </cell>
          <cell r="BA51">
            <v>0</v>
          </cell>
          <cell r="BG51">
            <v>428.43946199999999</v>
          </cell>
        </row>
        <row r="52">
          <cell r="AX52" t="str">
            <v>Petco</v>
          </cell>
          <cell r="AY52">
            <v>612.4</v>
          </cell>
          <cell r="BA52">
            <v>0</v>
          </cell>
          <cell r="BG52">
            <v>538.04619383749991</v>
          </cell>
        </row>
        <row r="53">
          <cell r="AX53" t="str">
            <v>Phoenix Scientific</v>
          </cell>
          <cell r="AY53">
            <v>319</v>
          </cell>
          <cell r="BA53">
            <v>0</v>
          </cell>
          <cell r="BG53">
            <v>178.38514299999997</v>
          </cell>
        </row>
        <row r="54">
          <cell r="AX54" t="str">
            <v>Merrill</v>
          </cell>
          <cell r="AY54" t="str">
            <v>--</v>
          </cell>
          <cell r="BA54">
            <v>0</v>
          </cell>
          <cell r="BG54">
            <v>3.1720000000000002</v>
          </cell>
        </row>
        <row r="55">
          <cell r="AX55" t="str">
            <v>MEMC</v>
          </cell>
          <cell r="AY55">
            <v>937.4</v>
          </cell>
          <cell r="BA55">
            <v>0</v>
          </cell>
          <cell r="BG55">
            <v>746.11532006000004</v>
          </cell>
        </row>
        <row r="56">
          <cell r="AX56" t="str">
            <v>Werner Holding</v>
          </cell>
          <cell r="AY56">
            <v>642.70000000000005</v>
          </cell>
          <cell r="BA56">
            <v>0</v>
          </cell>
          <cell r="BG56">
            <v>0</v>
          </cell>
        </row>
        <row r="57">
          <cell r="AX57" t="str">
            <v>Communications &amp; Power Industries - GEI III</v>
          </cell>
          <cell r="AY57" t="str">
            <v>--</v>
          </cell>
          <cell r="BA57">
            <v>0</v>
          </cell>
          <cell r="BG57">
            <v>5.4914570000000005</v>
          </cell>
        </row>
        <row r="58">
          <cell r="AX58" t="str">
            <v>FTD</v>
          </cell>
          <cell r="AY58">
            <v>442</v>
          </cell>
          <cell r="BA58">
            <v>0</v>
          </cell>
          <cell r="BG58">
            <v>399.31748716000004</v>
          </cell>
        </row>
        <row r="59">
          <cell r="AX59" t="str">
            <v xml:space="preserve">      Realized &amp; Public Investments</v>
          </cell>
          <cell r="AY59">
            <v>9863.1</v>
          </cell>
          <cell r="BA59">
            <v>-8.0000000000000002E-3</v>
          </cell>
          <cell r="BG59">
            <v>4932.8768181250007</v>
          </cell>
        </row>
        <row r="62">
          <cell r="AX62" t="str">
            <v>Intercontinental Art</v>
          </cell>
        </row>
        <row r="63">
          <cell r="AX63" t="str">
            <v>AsianMedia</v>
          </cell>
        </row>
        <row r="64">
          <cell r="AX64" t="str">
            <v>Rand McNally</v>
          </cell>
        </row>
        <row r="65">
          <cell r="AX65" t="str">
            <v>Varsity Brands</v>
          </cell>
        </row>
        <row r="66">
          <cell r="AX66" t="str">
            <v>Jetro</v>
          </cell>
        </row>
        <row r="67">
          <cell r="AX67" t="str">
            <v>The Tire Rack</v>
          </cell>
        </row>
        <row r="68">
          <cell r="AX68" t="str">
            <v>Neiman Marcus</v>
          </cell>
        </row>
        <row r="69">
          <cell r="AX69" t="str">
            <v>Claim Jumper</v>
          </cell>
        </row>
        <row r="70">
          <cell r="AX70" t="str">
            <v>HITS</v>
          </cell>
        </row>
        <row r="71">
          <cell r="AX71" t="str">
            <v>Sagittarius (Captain D's / Del Taco)</v>
          </cell>
        </row>
        <row r="72">
          <cell r="AX72" t="str">
            <v>The Sports Authority, Inc.</v>
          </cell>
        </row>
        <row r="73">
          <cell r="AX73" t="str">
            <v xml:space="preserve">   Total Unrealized Investments</v>
          </cell>
        </row>
        <row r="75">
          <cell r="AX75" t="str">
            <v xml:space="preserve">      Total LGP Investments</v>
          </cell>
        </row>
        <row r="78">
          <cell r="AX78" t="str">
            <v xml:space="preserve">   All Investments by GEI</v>
          </cell>
        </row>
        <row r="81">
          <cell r="AX81" t="str">
            <v xml:space="preserve">   All Investments by GEI II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Analysis by Type"/>
      <sheetName val="Analysis by date"/>
      <sheetName val="VC-Lucy's Data"/>
      <sheetName val="MM Restated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Return Scenarios"/>
      <sheetName val="Options"/>
      <sheetName val="Operating Scenarios"/>
      <sheetName val="Comps"/>
      <sheetName val="Printable IRR Slide"/>
      <sheetName val="DetailSummaryFundCommitments 1 "/>
      <sheetName val="Allocation of Debt Iss. Costs"/>
      <sheetName val="Adjusted"/>
      <sheetName val="FX"/>
      <sheetName val="Salaries"/>
      <sheetName val="workings (keep)"/>
      <sheetName val="Sheet2"/>
      <sheetName val="mappings"/>
      <sheetName val="Dropdown"/>
      <sheetName val="AA360"/>
      <sheetName val="AM Scorecard Spending by BU"/>
      <sheetName val="working"/>
      <sheetName val="cosofsal"/>
      <sheetName val="Commitment Summary"/>
      <sheetName val="CFIG MFEE 2008"/>
      <sheetName val="CFIG Support"/>
      <sheetName val="Input Data"/>
      <sheetName val="G - NAV"/>
      <sheetName val="Lookups"/>
      <sheetName val="Return_Scenarios"/>
      <sheetName val="Product List"/>
      <sheetName val="I - Chunk Call"/>
      <sheetName val="Navigation"/>
      <sheetName val="R - Cash Schedule"/>
      <sheetName val="E2 - Investran Inv cost&amp;MV"/>
      <sheetName val="N - Other Receivables"/>
      <sheetName val="F - Accruals 2013"/>
      <sheetName val="P - Due to Affiliate"/>
      <sheetName val="O - Other payables"/>
      <sheetName val="J - Contrib Roll"/>
      <sheetName val="K - Distrib Roll"/>
      <sheetName val="L - Partners Capital"/>
      <sheetName val="E1.2 - SOI Investran_ Current"/>
      <sheetName val="Drop-downs"/>
      <sheetName val="Return_Scenarios1"/>
      <sheetName val="Operating_Scenarios"/>
      <sheetName val="Printable_IRR_Slide"/>
      <sheetName val="DetailSummaryFundCommitments_1_"/>
      <sheetName val="CFIG_Support"/>
      <sheetName val="Commitment_Summary"/>
      <sheetName val="CFIG_MFEE_2008"/>
      <sheetName val="Input_Data"/>
      <sheetName val="G_-_NAV"/>
      <sheetName val="Product_List"/>
      <sheetName val="I_-_Chunk_Call"/>
      <sheetName val="R_-_Cash_Schedule"/>
      <sheetName val="E2_-_Investran_Inv_cost&amp;MV"/>
      <sheetName val="N_-_Other_Receivables"/>
      <sheetName val="F_-_Accruals_2013"/>
      <sheetName val="P_-_Due_to_Affiliate"/>
      <sheetName val="O_-_Other_payables"/>
      <sheetName val="J_-_Contrib_Roll"/>
      <sheetName val="K_-_Distrib_Roll"/>
      <sheetName val="L_-_Partners_Capital"/>
      <sheetName val="E1_2_-_SOI_Investran__Current"/>
      <sheetName val="Return_Scenarios2"/>
      <sheetName val="Operating_Scenarios1"/>
      <sheetName val="Printable_IRR_Slide1"/>
      <sheetName val="DetailSummaryFundCommitments_11"/>
      <sheetName val="CFIG_Support1"/>
      <sheetName val="Commitment_Summary1"/>
      <sheetName val="CFIG_MFEE_20081"/>
      <sheetName val="Input_Data1"/>
      <sheetName val="G_-_NAV1"/>
      <sheetName val="Product_List1"/>
      <sheetName val="I_-_Chunk_Call1"/>
      <sheetName val="R_-_Cash_Schedule1"/>
      <sheetName val="E2_-_Investran_Inv_cost&amp;MV1"/>
      <sheetName val="N_-_Other_Receivables1"/>
      <sheetName val="F_-_Accruals_20131"/>
      <sheetName val="P_-_Due_to_Affiliate1"/>
      <sheetName val="O_-_Other_payables1"/>
      <sheetName val="J_-_Contrib_Roll1"/>
      <sheetName val="K_-_Distrib_Roll1"/>
      <sheetName val="L_-_Partners_Capital1"/>
      <sheetName val="E1_2_-_SOI_Investran__Current1"/>
      <sheetName val="FX Rates &amp; Reference"/>
      <sheetName val="Diligence Model 6"/>
      <sheetName val="Classifications"/>
      <sheetName val="Projections"/>
      <sheetName val="workings_(keep)"/>
      <sheetName val="Allocation_of_Debt_Iss__Costs"/>
      <sheetName val="AM_Scorecard_Spending_by_BU"/>
      <sheetName val="workings_(keep)1"/>
      <sheetName val="Allocation_of_Debt_Iss__Costs1"/>
      <sheetName val="AM_Scorecard_Spending_by_BU1"/>
      <sheetName val="Carry &amp; MC"/>
      <sheetName val="List"/>
      <sheetName val="Distriubiton"/>
      <sheetName val="Legend"/>
      <sheetName val="Return_Scenarios3"/>
      <sheetName val="Operating_Scenarios2"/>
      <sheetName val="Printable_IRR_Slide2"/>
      <sheetName val="DetailSummaryFundCommitments_12"/>
      <sheetName val="CFIG_Support2"/>
      <sheetName val="Commitment_Summary2"/>
      <sheetName val="CFIG_MFEE_20082"/>
      <sheetName val="Input_Data2"/>
      <sheetName val="G_-_NAV2"/>
      <sheetName val="Product_List2"/>
      <sheetName val="I_-_Chunk_Call2"/>
      <sheetName val="R_-_Cash_Schedule2"/>
      <sheetName val="E2_-_Investran_Inv_cost&amp;MV2"/>
      <sheetName val="N_-_Other_Receivables2"/>
      <sheetName val="F_-_Accruals_20132"/>
      <sheetName val="P_-_Due_to_Affiliate2"/>
      <sheetName val="O_-_Other_payables2"/>
      <sheetName val="J_-_Contrib_Roll2"/>
      <sheetName val="K_-_Distrib_Roll2"/>
      <sheetName val="L_-_Partners_Capital2"/>
      <sheetName val="E1_2_-_SOI_Investran__Current2"/>
      <sheetName val="FX_Rates_&amp;_Reference"/>
      <sheetName val="Diligence_Model_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6">
          <cell r="B6" t="str">
            <v>Research Revenues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6">
          <cell r="B6" t="str">
            <v>Research Revenues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>
        <row r="6">
          <cell r="B6" t="str">
            <v>Research Revenues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PEG"/>
      <sheetName val="Summary"/>
      <sheetName val="2000-05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Word Setup Summary"/>
      <sheetName val="Overviews"/>
      <sheetName val="summary"/>
      <sheetName val="__FDSCACHE__"/>
      <sheetName val="WACC"/>
      <sheetName val="1997 Return vs Value Chart"/>
      <sheetName val="1998 Return vs. Value Chart"/>
      <sheetName val="Return Analysis"/>
      <sheetName val="Detailed Summary_Cir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-rata Int. Calc."/>
      <sheetName val="RH 3-26-01 Int. Exp. Alloc.USE"/>
      <sheetName val="12-31-31 p&amp;L. use this"/>
      <sheetName val="Part Cap"/>
      <sheetName val="Tax Allocation"/>
      <sheetName val="1st,  2nd, 3rd, &amp; 4th Q P&amp;L"/>
      <sheetName val="Chem. - Lex. Trans. Inv % Calc."/>
      <sheetName val="D&amp;T Fees"/>
      <sheetName val="Ddown 2001.INCORRECT"/>
      <sheetName val="Output (For Conso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 Company Summary"/>
      <sheetName val="HL Company Sorts - by multiple"/>
      <sheetName val="HL IRR"/>
      <sheetName val="HL Attribution - Real."/>
      <sheetName val="Prior Funds"/>
      <sheetName val="Front Half"/>
      <sheetName val="1.1 Approach"/>
      <sheetName val="1.2 Portfolio Composition"/>
      <sheetName val="1.3 Exit"/>
      <sheetName val="1.4 Peer Group"/>
      <sheetName val="2.1 Organization"/>
      <sheetName val="Carried Interest"/>
      <sheetName val="2.2a Fund Team"/>
      <sheetName val="2.2b Principals' Time"/>
      <sheetName val="2.3 Team Exp"/>
      <sheetName val="3.1 Perf Table"/>
      <sheetName val="3.2 Net Perf Table"/>
      <sheetName val="3.3 Loss Ratio"/>
      <sheetName val="3.4 Multiple Analysis"/>
      <sheetName val="3.5a Benchmark Analysis"/>
      <sheetName val="3.5b Benchmark Peers"/>
      <sheetName val="3.6 Attribution (Real.)"/>
      <sheetName val="3.7 Remaining Capital"/>
      <sheetName val="3.8 Investment Pace"/>
      <sheetName val="3.9 Sponsors"/>
      <sheetName val="Back Half"/>
      <sheetName val="4.A Team Size"/>
      <sheetName val="B. Use of Leverage"/>
      <sheetName val="4.B Geographical Focus"/>
      <sheetName val="4.B Revenue value"/>
      <sheetName val="4.C Deal Sourcing"/>
      <sheetName val="4.D Realized Multiples (by reg)"/>
      <sheetName val="4.D Realized multiples (by co.)"/>
      <sheetName val="4.D Unrealiz. Portfolio"/>
      <sheetName val="4.D Potential Exits"/>
      <sheetName val="4.E Pipeline"/>
      <sheetName val="4.D Bangkok Ranch"/>
      <sheetName val="Appendix"/>
      <sheetName val="6.2 HL Company Sorts"/>
      <sheetName val="Other"/>
      <sheetName val="Column Chart"/>
      <sheetName val="Enterprise Value"/>
      <sheetName val="Peer Benchmark"/>
      <sheetName val="Pie Chart"/>
      <sheetName val="Line Chart"/>
      <sheetName val="Industry Focus"/>
      <sheetName val="Column Cht Mult Series"/>
      <sheetName val="Stacked Column"/>
      <sheetName val="Tables"/>
      <sheetName val="EV Range"/>
      <sheetName val="Inv. Pace"/>
      <sheetName val="Realized Returns"/>
      <sheetName val="Attribution"/>
      <sheetName val="Managed Capital"/>
      <sheetName val="Competition"/>
      <sheetName val="Tear Sheet"/>
      <sheetName val="approach"/>
      <sheetName val="Revenue value (old)"/>
      <sheetName val="3.5b Benchmark Peers (old)"/>
      <sheetName val="4.A Bench Peers"/>
    </sheetNames>
    <sheetDataSet>
      <sheetData sheetId="0">
        <row r="10">
          <cell r="C10">
            <v>36830</v>
          </cell>
          <cell r="D10">
            <v>38472</v>
          </cell>
          <cell r="E10">
            <v>4.5</v>
          </cell>
          <cell r="I10">
            <v>1.6198742221142468</v>
          </cell>
          <cell r="J10">
            <v>0.16267473101615904</v>
          </cell>
          <cell r="N10" t="str">
            <v>Food</v>
          </cell>
          <cell r="P10" t="str">
            <v>Thailand</v>
          </cell>
          <cell r="Q10" t="str">
            <v>Southeast Asia</v>
          </cell>
          <cell r="R10" t="str">
            <v>Intermediary</v>
          </cell>
          <cell r="S10" t="str">
            <v>Richard Foyston</v>
          </cell>
          <cell r="U10">
            <v>0.9</v>
          </cell>
          <cell r="AS10" t="str">
            <v>NA</v>
          </cell>
          <cell r="AT10">
            <v>9.5980368191387555</v>
          </cell>
          <cell r="BG10">
            <v>0</v>
          </cell>
        </row>
        <row r="11">
          <cell r="C11">
            <v>39416</v>
          </cell>
          <cell r="D11">
            <v>39629</v>
          </cell>
          <cell r="E11">
            <v>0.58333333333333337</v>
          </cell>
          <cell r="I11">
            <v>1.3078160952237119</v>
          </cell>
          <cell r="J11">
            <v>0.58385763764381415</v>
          </cell>
          <cell r="N11" t="str">
            <v>Services</v>
          </cell>
          <cell r="P11" t="str">
            <v>India</v>
          </cell>
          <cell r="Q11" t="str">
            <v>India</v>
          </cell>
          <cell r="R11" t="str">
            <v>Direct Approach / Intermediary</v>
          </cell>
          <cell r="S11" t="str">
            <v>Michael Octoman</v>
          </cell>
          <cell r="U11">
            <v>0.60799999999999998</v>
          </cell>
          <cell r="AS11">
            <v>10.6</v>
          </cell>
          <cell r="AT11">
            <v>9.01</v>
          </cell>
          <cell r="BG11">
            <v>0</v>
          </cell>
        </row>
        <row r="12">
          <cell r="C12">
            <v>36830</v>
          </cell>
          <cell r="D12">
            <v>39629</v>
          </cell>
          <cell r="E12">
            <v>7.666666666666667</v>
          </cell>
          <cell r="I12">
            <v>9.3275906399124793</v>
          </cell>
          <cell r="J12">
            <v>0.44871217608451852</v>
          </cell>
          <cell r="N12" t="str">
            <v>Food</v>
          </cell>
          <cell r="P12" t="str">
            <v>Thailand</v>
          </cell>
          <cell r="Q12" t="str">
            <v>Southeast Asia</v>
          </cell>
          <cell r="R12" t="str">
            <v>Intermediary</v>
          </cell>
          <cell r="S12" t="str">
            <v>Richard Foyston</v>
          </cell>
          <cell r="U12">
            <v>0.83</v>
          </cell>
          <cell r="AS12">
            <v>4.32</v>
          </cell>
          <cell r="AT12">
            <v>8.6540225913621267</v>
          </cell>
          <cell r="BG12">
            <v>0</v>
          </cell>
        </row>
        <row r="13">
          <cell r="C13">
            <v>37833</v>
          </cell>
          <cell r="D13">
            <v>39599</v>
          </cell>
          <cell r="E13">
            <v>4.833333333333333</v>
          </cell>
          <cell r="I13">
            <v>3.2409555528242024</v>
          </cell>
          <cell r="J13">
            <v>0.35656067728996277</v>
          </cell>
          <cell r="N13" t="str">
            <v>Media</v>
          </cell>
          <cell r="P13" t="str">
            <v>Malaysia</v>
          </cell>
          <cell r="Q13" t="str">
            <v>Southeast Asia</v>
          </cell>
          <cell r="R13" t="str">
            <v>Direct Approach</v>
          </cell>
          <cell r="S13" t="str">
            <v>Richard Foyston</v>
          </cell>
          <cell r="U13">
            <v>0.56000000000000005</v>
          </cell>
          <cell r="AS13">
            <v>4.82258064516129</v>
          </cell>
          <cell r="AT13">
            <v>3.1760860396457189</v>
          </cell>
          <cell r="BG13">
            <v>0</v>
          </cell>
        </row>
        <row r="14">
          <cell r="C14">
            <v>37833</v>
          </cell>
          <cell r="D14">
            <v>39599</v>
          </cell>
          <cell r="E14">
            <v>4.833333333333333</v>
          </cell>
          <cell r="I14">
            <v>3.2412226875800259</v>
          </cell>
          <cell r="J14">
            <v>0.35664587616920473</v>
          </cell>
          <cell r="N14" t="str">
            <v>Media</v>
          </cell>
          <cell r="P14" t="str">
            <v>Malaysia</v>
          </cell>
          <cell r="Q14" t="str">
            <v>Southeast Asia</v>
          </cell>
          <cell r="R14" t="str">
            <v>Direct Approach</v>
          </cell>
          <cell r="S14" t="str">
            <v>Richard Foyston</v>
          </cell>
          <cell r="U14">
            <v>0.56000000000000005</v>
          </cell>
          <cell r="AS14">
            <v>4.82258064516129</v>
          </cell>
          <cell r="AT14">
            <v>3.1760860396457189</v>
          </cell>
          <cell r="BG14">
            <v>0</v>
          </cell>
        </row>
        <row r="15">
          <cell r="C15">
            <v>39294</v>
          </cell>
          <cell r="D15">
            <v>39629</v>
          </cell>
          <cell r="E15">
            <v>0.91666666666666663</v>
          </cell>
          <cell r="I15">
            <v>0.92258327124732997</v>
          </cell>
          <cell r="J15">
            <v>-8.4633114933967593E-2</v>
          </cell>
          <cell r="N15" t="str">
            <v>Food</v>
          </cell>
          <cell r="P15" t="str">
            <v>Thailand</v>
          </cell>
          <cell r="Q15" t="str">
            <v>Southeast Asia</v>
          </cell>
          <cell r="R15" t="str">
            <v>Direct Approach</v>
          </cell>
          <cell r="S15" t="str">
            <v>Richard Foyston</v>
          </cell>
          <cell r="U15">
            <v>0.44</v>
          </cell>
          <cell r="AS15">
            <v>7.3107967843695931</v>
          </cell>
          <cell r="AT15">
            <v>8.6540225913621267</v>
          </cell>
          <cell r="BG15">
            <v>0</v>
          </cell>
        </row>
        <row r="16">
          <cell r="C16">
            <v>39294</v>
          </cell>
          <cell r="D16">
            <v>39629</v>
          </cell>
          <cell r="E16">
            <v>0.91666666666666663</v>
          </cell>
          <cell r="I16">
            <v>0.91107254494117473</v>
          </cell>
          <cell r="J16">
            <v>-9.6547144651412981E-2</v>
          </cell>
          <cell r="N16" t="str">
            <v>Food</v>
          </cell>
          <cell r="P16" t="str">
            <v>Thailand</v>
          </cell>
          <cell r="Q16" t="str">
            <v>Southeast Asia</v>
          </cell>
          <cell r="R16" t="str">
            <v>Direct Approach</v>
          </cell>
          <cell r="S16" t="str">
            <v>Richard Foyston</v>
          </cell>
          <cell r="U16">
            <v>0.44</v>
          </cell>
          <cell r="AS16">
            <v>7.3107967843695931</v>
          </cell>
          <cell r="AT16">
            <v>8.6540225913621267</v>
          </cell>
          <cell r="BG16">
            <v>0</v>
          </cell>
        </row>
        <row r="17">
          <cell r="C17">
            <v>39416</v>
          </cell>
          <cell r="D17">
            <v>39629</v>
          </cell>
          <cell r="E17">
            <v>0.58333333333333337</v>
          </cell>
          <cell r="I17">
            <v>0.82763865887171706</v>
          </cell>
          <cell r="J17">
            <v>-0.29991064667701717</v>
          </cell>
          <cell r="N17" t="str">
            <v>Leisure</v>
          </cell>
          <cell r="P17" t="str">
            <v>Regional</v>
          </cell>
          <cell r="Q17" t="str">
            <v>Multi-region</v>
          </cell>
          <cell r="R17" t="str">
            <v>Direct Approach</v>
          </cell>
          <cell r="S17" t="str">
            <v>Nicholas Bloy</v>
          </cell>
          <cell r="U17">
            <v>0.79</v>
          </cell>
          <cell r="AS17">
            <v>7.4</v>
          </cell>
          <cell r="AT17">
            <v>8.7899999999999991</v>
          </cell>
          <cell r="BG17">
            <v>0</v>
          </cell>
        </row>
        <row r="18">
          <cell r="C18">
            <v>36585</v>
          </cell>
          <cell r="D18">
            <v>38717</v>
          </cell>
          <cell r="E18">
            <v>5.833333333333333</v>
          </cell>
          <cell r="I18">
            <v>1.0361314173897034</v>
          </cell>
          <cell r="J18">
            <v>6.8381518125534045E-3</v>
          </cell>
          <cell r="N18" t="str">
            <v>Industrial</v>
          </cell>
          <cell r="P18" t="str">
            <v>Regional</v>
          </cell>
          <cell r="Q18" t="str">
            <v>Multi-region</v>
          </cell>
          <cell r="R18" t="str">
            <v>Direct Approach</v>
          </cell>
          <cell r="S18" t="str">
            <v>Nicholas Bloy</v>
          </cell>
          <cell r="U18">
            <v>0.01</v>
          </cell>
          <cell r="AS18" t="str">
            <v>NA</v>
          </cell>
          <cell r="AT18" t="str">
            <v>NA</v>
          </cell>
          <cell r="BG18">
            <v>0</v>
          </cell>
        </row>
        <row r="19">
          <cell r="C19">
            <v>37256</v>
          </cell>
          <cell r="D19">
            <v>38807</v>
          </cell>
          <cell r="E19">
            <v>4.25</v>
          </cell>
          <cell r="I19">
            <v>3.3231417987228187</v>
          </cell>
          <cell r="J19">
            <v>0.34877157807350168</v>
          </cell>
          <cell r="N19" t="str">
            <v>Media</v>
          </cell>
          <cell r="P19" t="str">
            <v>Thailand</v>
          </cell>
          <cell r="Q19" t="str">
            <v>Southeast Asia</v>
          </cell>
          <cell r="R19" t="str">
            <v>Direct Approach</v>
          </cell>
          <cell r="S19" t="str">
            <v>Rodney Muse</v>
          </cell>
          <cell r="U19">
            <v>1</v>
          </cell>
          <cell r="AS19">
            <v>5.2630032899890331</v>
          </cell>
          <cell r="AT19">
            <v>7.58</v>
          </cell>
          <cell r="BG19">
            <v>0</v>
          </cell>
        </row>
        <row r="20">
          <cell r="C20">
            <v>37986</v>
          </cell>
          <cell r="D20">
            <v>39507</v>
          </cell>
          <cell r="E20">
            <v>4.1638888888888888</v>
          </cell>
          <cell r="I20">
            <v>3.3348443394257412</v>
          </cell>
          <cell r="J20">
            <v>0.37308511137962341</v>
          </cell>
          <cell r="N20" t="str">
            <v>Services</v>
          </cell>
          <cell r="P20" t="str">
            <v>Australia</v>
          </cell>
          <cell r="Q20" t="str">
            <v>Australia</v>
          </cell>
          <cell r="R20" t="str">
            <v>Direct Approach</v>
          </cell>
          <cell r="S20" t="str">
            <v>Rodney Muse</v>
          </cell>
          <cell r="U20">
            <v>0.92700000000000005</v>
          </cell>
          <cell r="AS20">
            <v>8.6</v>
          </cell>
          <cell r="AT20">
            <v>12.531946737425198</v>
          </cell>
          <cell r="BG20">
            <v>0</v>
          </cell>
        </row>
        <row r="21">
          <cell r="C21">
            <v>38837</v>
          </cell>
          <cell r="D21">
            <v>39629</v>
          </cell>
          <cell r="E21">
            <v>2.1666666666666665</v>
          </cell>
          <cell r="I21">
            <v>1.1706912721448237</v>
          </cell>
          <cell r="J21">
            <v>9.2128255963325509E-2</v>
          </cell>
          <cell r="N21" t="str">
            <v>Food</v>
          </cell>
          <cell r="P21" t="str">
            <v>Thailand</v>
          </cell>
          <cell r="Q21" t="str">
            <v>Southeast Asia</v>
          </cell>
          <cell r="R21" t="str">
            <v>Direct Approach</v>
          </cell>
          <cell r="S21" t="str">
            <v>David Ireland</v>
          </cell>
          <cell r="U21">
            <v>0.7</v>
          </cell>
          <cell r="AS21">
            <v>6.9</v>
          </cell>
          <cell r="AT21">
            <v>7.84</v>
          </cell>
          <cell r="BG21">
            <v>0</v>
          </cell>
        </row>
        <row r="22">
          <cell r="C22">
            <v>38837</v>
          </cell>
          <cell r="D22">
            <v>39629</v>
          </cell>
          <cell r="E22">
            <v>2.1666666666666665</v>
          </cell>
          <cell r="I22">
            <v>1.1737272239873022</v>
          </cell>
          <cell r="J22">
            <v>8.5451284050941462E-2</v>
          </cell>
          <cell r="N22" t="str">
            <v>Food</v>
          </cell>
          <cell r="P22" t="str">
            <v>Thailand</v>
          </cell>
          <cell r="Q22" t="str">
            <v>Southeast Asia</v>
          </cell>
          <cell r="R22" t="str">
            <v>Direct Approach</v>
          </cell>
          <cell r="S22" t="str">
            <v>David Ireland</v>
          </cell>
          <cell r="U22">
            <v>0.7</v>
          </cell>
          <cell r="AS22">
            <v>6.9</v>
          </cell>
          <cell r="AT22">
            <v>7.84</v>
          </cell>
          <cell r="BG22">
            <v>0</v>
          </cell>
        </row>
        <row r="23">
          <cell r="C23">
            <v>36950</v>
          </cell>
          <cell r="D23">
            <v>38442</v>
          </cell>
          <cell r="E23">
            <v>4.083333333333333</v>
          </cell>
          <cell r="I23">
            <v>6.7931153526820145</v>
          </cell>
          <cell r="J23">
            <v>1.0474985480308532</v>
          </cell>
          <cell r="N23" t="str">
            <v>Consumables</v>
          </cell>
          <cell r="P23" t="str">
            <v>Malaysia</v>
          </cell>
          <cell r="Q23" t="str">
            <v>Southeast Asia</v>
          </cell>
          <cell r="R23" t="str">
            <v>Auction</v>
          </cell>
          <cell r="S23" t="str">
            <v>Rodney Muse</v>
          </cell>
          <cell r="U23">
            <v>0.98</v>
          </cell>
          <cell r="AS23">
            <v>8.1578947368421062</v>
          </cell>
          <cell r="AT23">
            <v>8.9</v>
          </cell>
          <cell r="BG23">
            <v>0</v>
          </cell>
        </row>
        <row r="24">
          <cell r="C24">
            <v>39233</v>
          </cell>
          <cell r="D24">
            <v>39629</v>
          </cell>
          <cell r="E24">
            <v>1.0833333333333333</v>
          </cell>
          <cell r="I24">
            <v>1.6622132301504553</v>
          </cell>
          <cell r="J24">
            <v>0.63852822184562696</v>
          </cell>
          <cell r="N24" t="str">
            <v>Services</v>
          </cell>
          <cell r="P24" t="str">
            <v>Singapore</v>
          </cell>
          <cell r="Q24" t="str">
            <v>Southeast Asia</v>
          </cell>
          <cell r="R24" t="str">
            <v>Direct Approach</v>
          </cell>
          <cell r="S24" t="str">
            <v>Nicholas Bloy</v>
          </cell>
          <cell r="U24">
            <v>0.89100000000000001</v>
          </cell>
          <cell r="AS24">
            <v>7.2808988764044944</v>
          </cell>
          <cell r="AT24">
            <v>7.83</v>
          </cell>
          <cell r="BG24">
            <v>0</v>
          </cell>
        </row>
        <row r="25">
          <cell r="C25">
            <v>39233</v>
          </cell>
          <cell r="D25">
            <v>39629</v>
          </cell>
          <cell r="E25">
            <v>1.0833333333333333</v>
          </cell>
          <cell r="I25">
            <v>1.6622132301504553</v>
          </cell>
          <cell r="J25">
            <v>0.6385281026363373</v>
          </cell>
          <cell r="N25" t="str">
            <v>Services</v>
          </cell>
          <cell r="P25" t="str">
            <v>Singapore</v>
          </cell>
          <cell r="Q25" t="str">
            <v>Southeast Asia</v>
          </cell>
          <cell r="R25" t="str">
            <v>Direct Approach</v>
          </cell>
          <cell r="S25" t="str">
            <v>Nicholas Bloy</v>
          </cell>
          <cell r="U25">
            <v>0.89100000000000001</v>
          </cell>
          <cell r="AS25">
            <v>7.2808988764044944</v>
          </cell>
          <cell r="AT25">
            <v>7.83</v>
          </cell>
          <cell r="BG25">
            <v>0</v>
          </cell>
        </row>
        <row r="26">
          <cell r="C26">
            <v>37833</v>
          </cell>
          <cell r="D26">
            <v>39629</v>
          </cell>
          <cell r="E26">
            <v>4.916666666666667</v>
          </cell>
          <cell r="I26">
            <v>1.1212157108947649</v>
          </cell>
          <cell r="J26">
            <v>2.3524644970893866E-2</v>
          </cell>
          <cell r="N26" t="str">
            <v>Media</v>
          </cell>
          <cell r="P26" t="str">
            <v>Philippines</v>
          </cell>
          <cell r="Q26" t="str">
            <v>Southeast Asia</v>
          </cell>
          <cell r="R26" t="str">
            <v>Direct Approach</v>
          </cell>
          <cell r="S26" t="str">
            <v>Rodney Muse</v>
          </cell>
          <cell r="U26">
            <v>0.7</v>
          </cell>
          <cell r="AS26">
            <v>7.3837209302325597</v>
          </cell>
          <cell r="AT26">
            <v>6.15</v>
          </cell>
          <cell r="BG26">
            <v>0</v>
          </cell>
        </row>
        <row r="27">
          <cell r="C27">
            <v>38352</v>
          </cell>
          <cell r="D27">
            <v>39629</v>
          </cell>
          <cell r="E27">
            <v>3.5</v>
          </cell>
          <cell r="I27">
            <v>1.8807253615390673</v>
          </cell>
          <cell r="J27">
            <v>0.20626330971717841</v>
          </cell>
          <cell r="N27" t="str">
            <v>Services</v>
          </cell>
          <cell r="P27" t="str">
            <v>Australia</v>
          </cell>
          <cell r="Q27" t="str">
            <v>Australia</v>
          </cell>
          <cell r="R27" t="str">
            <v>Direct Approach</v>
          </cell>
          <cell r="S27" t="str">
            <v>Rodney Muse</v>
          </cell>
          <cell r="U27">
            <v>0.3</v>
          </cell>
          <cell r="AS27">
            <v>10.4</v>
          </cell>
          <cell r="AT27">
            <v>18.866479035037337</v>
          </cell>
          <cell r="BG27">
            <v>0</v>
          </cell>
        </row>
        <row r="28">
          <cell r="C28">
            <v>38352</v>
          </cell>
          <cell r="D28">
            <v>39629</v>
          </cell>
          <cell r="E28">
            <v>3.5</v>
          </cell>
          <cell r="I28">
            <v>1.6942904982519784</v>
          </cell>
          <cell r="J28">
            <v>0.21854115128517151</v>
          </cell>
          <cell r="N28" t="str">
            <v>Services</v>
          </cell>
          <cell r="P28" t="str">
            <v>Australia</v>
          </cell>
          <cell r="Q28" t="str">
            <v>Australia</v>
          </cell>
          <cell r="R28" t="str">
            <v>Direct Approach</v>
          </cell>
          <cell r="S28" t="str">
            <v>Rodney Muse</v>
          </cell>
          <cell r="U28">
            <v>0.55000000000000004</v>
          </cell>
          <cell r="AS28">
            <v>10.4</v>
          </cell>
          <cell r="AT28">
            <v>18.866479035037337</v>
          </cell>
          <cell r="BG28">
            <v>0</v>
          </cell>
        </row>
        <row r="29">
          <cell r="C29">
            <v>37711</v>
          </cell>
          <cell r="D29">
            <v>39629</v>
          </cell>
          <cell r="E29">
            <v>5.25</v>
          </cell>
          <cell r="I29">
            <v>0</v>
          </cell>
          <cell r="J29">
            <v>0</v>
          </cell>
          <cell r="N29" t="str">
            <v>Consumables</v>
          </cell>
          <cell r="P29" t="str">
            <v>Philippines</v>
          </cell>
          <cell r="Q29" t="str">
            <v>Southeast Asia</v>
          </cell>
          <cell r="R29" t="str">
            <v>Intermediary</v>
          </cell>
          <cell r="S29" t="str">
            <v>Rodney Muse</v>
          </cell>
          <cell r="U29">
            <v>0.66500000000000004</v>
          </cell>
          <cell r="AS29">
            <v>7.1</v>
          </cell>
          <cell r="AT29" t="str">
            <v>NA</v>
          </cell>
          <cell r="BG29">
            <v>0</v>
          </cell>
        </row>
        <row r="30">
          <cell r="C30">
            <v>37711</v>
          </cell>
          <cell r="D30">
            <v>39629</v>
          </cell>
          <cell r="E30">
            <v>5.25</v>
          </cell>
          <cell r="I30">
            <v>0</v>
          </cell>
          <cell r="J30">
            <v>0</v>
          </cell>
          <cell r="N30" t="str">
            <v>Consumables</v>
          </cell>
          <cell r="P30" t="str">
            <v>Philippines</v>
          </cell>
          <cell r="Q30" t="str">
            <v>Southeast Asia</v>
          </cell>
          <cell r="R30" t="str">
            <v>Intermediary</v>
          </cell>
          <cell r="S30" t="str">
            <v>Rodney Muse</v>
          </cell>
          <cell r="U30">
            <v>0.66500000000000004</v>
          </cell>
          <cell r="AS30">
            <v>7.1</v>
          </cell>
          <cell r="AT30" t="str">
            <v>NA</v>
          </cell>
          <cell r="BG30">
            <v>0</v>
          </cell>
        </row>
        <row r="31">
          <cell r="C31">
            <v>37711</v>
          </cell>
          <cell r="D31">
            <v>39629</v>
          </cell>
          <cell r="E31">
            <v>5.25</v>
          </cell>
          <cell r="I31">
            <v>0</v>
          </cell>
          <cell r="J31">
            <v>0</v>
          </cell>
          <cell r="N31" t="str">
            <v>Consumables</v>
          </cell>
          <cell r="P31" t="str">
            <v>Philippines</v>
          </cell>
          <cell r="Q31" t="str">
            <v>Southeast Asia</v>
          </cell>
          <cell r="R31" t="str">
            <v>Intermediary</v>
          </cell>
          <cell r="S31" t="str">
            <v>Rodney Muse</v>
          </cell>
          <cell r="U31">
            <v>0.66500000000000004</v>
          </cell>
          <cell r="AS31">
            <v>7.1</v>
          </cell>
          <cell r="AT31" t="str">
            <v>NA</v>
          </cell>
          <cell r="BG31">
            <v>0</v>
          </cell>
        </row>
        <row r="32">
          <cell r="C32">
            <v>38503</v>
          </cell>
          <cell r="D32">
            <v>39629</v>
          </cell>
          <cell r="E32">
            <v>3.0833333333333335</v>
          </cell>
          <cell r="I32">
            <v>1.2249722846441948</v>
          </cell>
          <cell r="J32">
            <v>7.0164933800697313E-2</v>
          </cell>
          <cell r="N32" t="str">
            <v>Services</v>
          </cell>
          <cell r="P32" t="str">
            <v>Regional</v>
          </cell>
          <cell r="Q32" t="str">
            <v>Multi-region</v>
          </cell>
          <cell r="R32" t="str">
            <v>Direct Approach</v>
          </cell>
          <cell r="S32" t="str">
            <v>Rodney Muse</v>
          </cell>
          <cell r="U32">
            <v>0.92</v>
          </cell>
          <cell r="AS32">
            <v>5.7</v>
          </cell>
          <cell r="AT32" t="str">
            <v>NA</v>
          </cell>
          <cell r="BG32">
            <v>0</v>
          </cell>
        </row>
        <row r="33">
          <cell r="C33">
            <v>38503</v>
          </cell>
          <cell r="D33">
            <v>39629</v>
          </cell>
          <cell r="E33">
            <v>3.0833333333333335</v>
          </cell>
          <cell r="I33">
            <v>1.1978059275521404</v>
          </cell>
          <cell r="J33">
            <v>6.9762453436851501E-2</v>
          </cell>
          <cell r="N33" t="str">
            <v>Services</v>
          </cell>
          <cell r="P33" t="str">
            <v>Regional</v>
          </cell>
          <cell r="Q33" t="str">
            <v>Multi-region</v>
          </cell>
          <cell r="R33" t="str">
            <v>Direct Approach</v>
          </cell>
          <cell r="S33" t="str">
            <v>Rodney Muse</v>
          </cell>
          <cell r="U33">
            <v>0.92</v>
          </cell>
          <cell r="AS33">
            <v>5.7</v>
          </cell>
          <cell r="AT33" t="str">
            <v>NA</v>
          </cell>
          <cell r="BG33">
            <v>0</v>
          </cell>
        </row>
        <row r="34">
          <cell r="C34">
            <v>39294</v>
          </cell>
          <cell r="D34">
            <v>39629</v>
          </cell>
          <cell r="E34">
            <v>0.91666666666666663</v>
          </cell>
          <cell r="I34">
            <v>1.5362687443529137</v>
          </cell>
          <cell r="J34">
            <v>0.61660446524620072</v>
          </cell>
          <cell r="N34" t="str">
            <v>Food</v>
          </cell>
          <cell r="P34" t="str">
            <v>Hong Kong</v>
          </cell>
          <cell r="Q34" t="str">
            <v>Hong-Kong</v>
          </cell>
          <cell r="R34" t="str">
            <v>Direct Approach / Intermediary</v>
          </cell>
          <cell r="S34" t="str">
            <v>Bruno Seghin</v>
          </cell>
          <cell r="U34">
            <v>0.96179999999999999</v>
          </cell>
          <cell r="AS34">
            <v>5.1450689206239071</v>
          </cell>
          <cell r="AT34">
            <v>7.84</v>
          </cell>
          <cell r="BG34">
            <v>0</v>
          </cell>
        </row>
        <row r="35">
          <cell r="C35">
            <v>39294</v>
          </cell>
          <cell r="D35">
            <v>39629</v>
          </cell>
          <cell r="E35">
            <v>0.91666666666666663</v>
          </cell>
          <cell r="I35">
            <v>1.5353630627484831</v>
          </cell>
          <cell r="J35">
            <v>0.61548913121223459</v>
          </cell>
          <cell r="N35" t="str">
            <v>Food</v>
          </cell>
          <cell r="P35" t="str">
            <v>Hong Kong</v>
          </cell>
          <cell r="Q35" t="str">
            <v>Hong-Kong</v>
          </cell>
          <cell r="R35" t="str">
            <v>Direct Approach / Intermediary</v>
          </cell>
          <cell r="S35" t="str">
            <v>Bruno Seghin</v>
          </cell>
          <cell r="U35">
            <v>0.96179999999999999</v>
          </cell>
          <cell r="AS35">
            <v>5.1450689206239071</v>
          </cell>
          <cell r="AT35">
            <v>7.84</v>
          </cell>
          <cell r="BG35">
            <v>0</v>
          </cell>
        </row>
        <row r="36">
          <cell r="C36">
            <v>39447</v>
          </cell>
          <cell r="D36">
            <v>39629</v>
          </cell>
          <cell r="E36">
            <v>0.5</v>
          </cell>
          <cell r="I36">
            <v>1.635</v>
          </cell>
          <cell r="J36">
            <v>1.680456149578095</v>
          </cell>
          <cell r="N36" t="str">
            <v>Services</v>
          </cell>
          <cell r="P36" t="str">
            <v>India</v>
          </cell>
          <cell r="Q36" t="str">
            <v>India</v>
          </cell>
          <cell r="R36" t="str">
            <v>Direct Approach</v>
          </cell>
          <cell r="S36" t="str">
            <v>Richard Foyston</v>
          </cell>
          <cell r="U36">
            <v>0.08</v>
          </cell>
          <cell r="AS36" t="str">
            <v>NA</v>
          </cell>
          <cell r="AT36" t="str">
            <v>NA</v>
          </cell>
          <cell r="BG36">
            <v>0</v>
          </cell>
        </row>
        <row r="37">
          <cell r="C37">
            <v>37986</v>
          </cell>
          <cell r="D37">
            <v>39629</v>
          </cell>
          <cell r="E37">
            <v>4.5</v>
          </cell>
          <cell r="I37">
            <v>0</v>
          </cell>
          <cell r="J37">
            <v>0</v>
          </cell>
          <cell r="N37" t="str">
            <v>Services</v>
          </cell>
          <cell r="P37" t="str">
            <v>Malaysia</v>
          </cell>
          <cell r="Q37" t="str">
            <v>Southeast Asia</v>
          </cell>
          <cell r="R37" t="str">
            <v>Direct Approach</v>
          </cell>
          <cell r="S37" t="str">
            <v>Timothy McKinlay</v>
          </cell>
          <cell r="U37">
            <v>1</v>
          </cell>
          <cell r="AS37">
            <v>3.9</v>
          </cell>
          <cell r="AT37" t="str">
            <v>NA</v>
          </cell>
          <cell r="BG37">
            <v>0</v>
          </cell>
        </row>
        <row r="38">
          <cell r="C38">
            <v>37986</v>
          </cell>
          <cell r="D38">
            <v>39629</v>
          </cell>
          <cell r="E38">
            <v>4.5</v>
          </cell>
          <cell r="I38">
            <v>0</v>
          </cell>
          <cell r="J38">
            <v>0</v>
          </cell>
          <cell r="N38" t="str">
            <v>Services</v>
          </cell>
          <cell r="P38" t="str">
            <v>Malaysia</v>
          </cell>
          <cell r="Q38" t="str">
            <v>Southeast Asia</v>
          </cell>
          <cell r="R38" t="str">
            <v>Direct Approach</v>
          </cell>
          <cell r="S38" t="str">
            <v>Timothy McKinlay</v>
          </cell>
          <cell r="U38">
            <v>1</v>
          </cell>
          <cell r="AS38">
            <v>3.9</v>
          </cell>
          <cell r="AT38" t="str">
            <v>NA</v>
          </cell>
          <cell r="BG38">
            <v>0</v>
          </cell>
        </row>
        <row r="39">
          <cell r="C39">
            <v>38321</v>
          </cell>
          <cell r="D39">
            <v>39629</v>
          </cell>
          <cell r="E39">
            <v>3.5833333333333335</v>
          </cell>
          <cell r="I39">
            <v>1.5776334474356357</v>
          </cell>
          <cell r="J39">
            <v>0.13567482829093935</v>
          </cell>
          <cell r="N39" t="str">
            <v>Food</v>
          </cell>
          <cell r="P39" t="str">
            <v>Hong Kong</v>
          </cell>
          <cell r="Q39" t="str">
            <v>Hong-Kong</v>
          </cell>
          <cell r="R39" t="str">
            <v>Auction</v>
          </cell>
          <cell r="S39" t="str">
            <v>Nicholas Bloy</v>
          </cell>
          <cell r="U39">
            <v>0.75</v>
          </cell>
          <cell r="AS39">
            <v>6.9357495881383855</v>
          </cell>
          <cell r="AT39">
            <v>7.84</v>
          </cell>
          <cell r="BG39">
            <v>0</v>
          </cell>
        </row>
        <row r="40">
          <cell r="C40">
            <v>38321</v>
          </cell>
          <cell r="D40">
            <v>39629</v>
          </cell>
          <cell r="E40">
            <v>3.5833333333333335</v>
          </cell>
          <cell r="I40">
            <v>1.5778614031411853</v>
          </cell>
          <cell r="J40">
            <v>0.13572061657905576</v>
          </cell>
          <cell r="N40" t="str">
            <v>Food</v>
          </cell>
          <cell r="P40" t="str">
            <v>Hong Kong</v>
          </cell>
          <cell r="Q40" t="str">
            <v>Hong-Kong</v>
          </cell>
          <cell r="R40" t="str">
            <v>Auction</v>
          </cell>
          <cell r="S40" t="str">
            <v>Nicholas Bloy</v>
          </cell>
          <cell r="U40">
            <v>0.75</v>
          </cell>
          <cell r="AS40">
            <v>6.9357495881383855</v>
          </cell>
          <cell r="AT40">
            <v>7.84</v>
          </cell>
          <cell r="BG40">
            <v>0</v>
          </cell>
        </row>
        <row r="41">
          <cell r="C41">
            <v>38656</v>
          </cell>
          <cell r="D41">
            <v>39629</v>
          </cell>
          <cell r="E41">
            <v>2.6666666666666665</v>
          </cell>
          <cell r="I41">
            <v>3.7991074091224819</v>
          </cell>
          <cell r="J41">
            <v>0.99556323289871229</v>
          </cell>
          <cell r="N41" t="str">
            <v>Industrial</v>
          </cell>
          <cell r="P41" t="str">
            <v>Regional</v>
          </cell>
          <cell r="Q41" t="str">
            <v>Multi-region</v>
          </cell>
          <cell r="R41" t="str">
            <v>Auction</v>
          </cell>
          <cell r="S41" t="str">
            <v>Nicholas Bloy</v>
          </cell>
          <cell r="U41">
            <v>0.93</v>
          </cell>
          <cell r="AS41">
            <v>6.5</v>
          </cell>
          <cell r="AT41">
            <v>14.335664335664335</v>
          </cell>
          <cell r="BG41">
            <v>0</v>
          </cell>
        </row>
        <row r="42">
          <cell r="C42">
            <v>38656</v>
          </cell>
          <cell r="D42">
            <v>39629</v>
          </cell>
          <cell r="E42">
            <v>2.6666666666666665</v>
          </cell>
          <cell r="I42">
            <v>5.4585987261146496</v>
          </cell>
          <cell r="J42">
            <v>1.2653329014778139</v>
          </cell>
          <cell r="N42" t="str">
            <v>Industrial</v>
          </cell>
          <cell r="P42" t="str">
            <v>Regional</v>
          </cell>
          <cell r="Q42" t="str">
            <v>Multi-region</v>
          </cell>
          <cell r="R42" t="str">
            <v>Auction</v>
          </cell>
          <cell r="S42" t="str">
            <v>Nicholas Bloy</v>
          </cell>
          <cell r="U42">
            <v>0.93</v>
          </cell>
          <cell r="AS42">
            <v>6.5</v>
          </cell>
          <cell r="AT42">
            <v>14.335664335664335</v>
          </cell>
          <cell r="BG42">
            <v>0</v>
          </cell>
        </row>
        <row r="43">
          <cell r="C43">
            <v>38656</v>
          </cell>
          <cell r="D43">
            <v>39629</v>
          </cell>
          <cell r="E43">
            <v>2.6666666666666665</v>
          </cell>
          <cell r="I43">
            <v>1.6243293017881946</v>
          </cell>
          <cell r="J43">
            <v>0.20655646920204171</v>
          </cell>
          <cell r="N43" t="str">
            <v>Services</v>
          </cell>
          <cell r="P43" t="str">
            <v>India</v>
          </cell>
          <cell r="Q43" t="str">
            <v>India</v>
          </cell>
          <cell r="R43" t="str">
            <v>Direct Approach</v>
          </cell>
          <cell r="S43" t="str">
            <v>Richard Foyston</v>
          </cell>
          <cell r="U43">
            <v>0.74</v>
          </cell>
          <cell r="AS43">
            <v>10.6</v>
          </cell>
          <cell r="AT43">
            <v>16.684840597042925</v>
          </cell>
          <cell r="BG43">
            <v>0</v>
          </cell>
        </row>
        <row r="44">
          <cell r="C44">
            <v>38625</v>
          </cell>
          <cell r="D44">
            <v>39629</v>
          </cell>
          <cell r="E44">
            <v>2.75</v>
          </cell>
          <cell r="I44">
            <v>1.0476109067236883</v>
          </cell>
          <cell r="J44">
            <v>3.1012722849845888E-2</v>
          </cell>
          <cell r="N44" t="str">
            <v>Services</v>
          </cell>
          <cell r="P44" t="str">
            <v>Singapore</v>
          </cell>
          <cell r="Q44" t="str">
            <v>Southeast Asia</v>
          </cell>
          <cell r="R44" t="str">
            <v>Direct Approach</v>
          </cell>
          <cell r="S44" t="str">
            <v>Nicholas Bloy</v>
          </cell>
          <cell r="U44">
            <v>0.19</v>
          </cell>
          <cell r="AS44">
            <v>7.3</v>
          </cell>
          <cell r="AT44">
            <v>10.49</v>
          </cell>
          <cell r="BG44">
            <v>0</v>
          </cell>
        </row>
        <row r="45">
          <cell r="C45">
            <v>38625</v>
          </cell>
          <cell r="D45">
            <v>39629</v>
          </cell>
          <cell r="E45">
            <v>2.75</v>
          </cell>
          <cell r="I45">
            <v>1.144353513866128</v>
          </cell>
          <cell r="J45">
            <v>8.4253153204917913E-2</v>
          </cell>
          <cell r="N45" t="str">
            <v>Services</v>
          </cell>
          <cell r="P45" t="str">
            <v>Singapore</v>
          </cell>
          <cell r="Q45" t="str">
            <v>Southeast Asia</v>
          </cell>
          <cell r="R45" t="str">
            <v>Direct Approach</v>
          </cell>
          <cell r="S45" t="str">
            <v>Nicholas Bloy</v>
          </cell>
          <cell r="U45">
            <v>0.19</v>
          </cell>
          <cell r="AS45">
            <v>7.3</v>
          </cell>
          <cell r="AT45">
            <v>10.49</v>
          </cell>
          <cell r="BG45">
            <v>0</v>
          </cell>
        </row>
        <row r="46">
          <cell r="C46">
            <v>39233</v>
          </cell>
          <cell r="D46">
            <v>39629</v>
          </cell>
          <cell r="E46">
            <v>1.0833333333333333</v>
          </cell>
          <cell r="I46">
            <v>0.70607523884948908</v>
          </cell>
          <cell r="J46">
            <v>-0.27442325949668878</v>
          </cell>
          <cell r="N46" t="str">
            <v>Services</v>
          </cell>
          <cell r="P46" t="str">
            <v>Singapore</v>
          </cell>
          <cell r="Q46" t="str">
            <v>Southeast Asia</v>
          </cell>
          <cell r="R46" t="str">
            <v>Direct Approach</v>
          </cell>
          <cell r="S46" t="str">
            <v>Nicholas Bloy</v>
          </cell>
          <cell r="U46">
            <v>0.52</v>
          </cell>
          <cell r="AS46">
            <v>8.0552604303510762</v>
          </cell>
          <cell r="AT46">
            <v>10.49</v>
          </cell>
          <cell r="BG46">
            <v>0</v>
          </cell>
        </row>
        <row r="47">
          <cell r="C47">
            <v>38898</v>
          </cell>
          <cell r="D47">
            <v>39629</v>
          </cell>
          <cell r="E47">
            <v>2</v>
          </cell>
          <cell r="I47">
            <v>1.6130079169921818</v>
          </cell>
          <cell r="J47">
            <v>0.32811259627342226</v>
          </cell>
          <cell r="N47" t="str">
            <v>Food</v>
          </cell>
          <cell r="P47" t="str">
            <v>India</v>
          </cell>
          <cell r="Q47" t="str">
            <v>India</v>
          </cell>
          <cell r="R47" t="str">
            <v>Direct Approach</v>
          </cell>
          <cell r="S47" t="str">
            <v>Nicholas Bloy</v>
          </cell>
          <cell r="U47">
            <v>1</v>
          </cell>
          <cell r="AS47" t="str">
            <v>NA</v>
          </cell>
          <cell r="AT47" t="str">
            <v>NA</v>
          </cell>
          <cell r="BG47">
            <v>0</v>
          </cell>
        </row>
        <row r="48">
          <cell r="C48">
            <v>38898</v>
          </cell>
          <cell r="D48">
            <v>39629</v>
          </cell>
          <cell r="E48">
            <v>2</v>
          </cell>
          <cell r="I48">
            <v>1.6130079161725868</v>
          </cell>
          <cell r="J48">
            <v>0.32811264395713813</v>
          </cell>
          <cell r="N48" t="str">
            <v>Food</v>
          </cell>
          <cell r="P48" t="str">
            <v>India</v>
          </cell>
          <cell r="Q48" t="str">
            <v>India</v>
          </cell>
          <cell r="R48" t="str">
            <v>Direct Approach</v>
          </cell>
          <cell r="S48" t="str">
            <v>Nicholas Bloy</v>
          </cell>
          <cell r="U48">
            <v>1</v>
          </cell>
          <cell r="AS48" t="str">
            <v>NA</v>
          </cell>
          <cell r="AT48" t="str">
            <v>NA</v>
          </cell>
          <cell r="BG48">
            <v>0</v>
          </cell>
        </row>
        <row r="49">
          <cell r="C49">
            <v>39113</v>
          </cell>
          <cell r="D49">
            <v>39629</v>
          </cell>
          <cell r="E49">
            <v>1.4166666666666667</v>
          </cell>
          <cell r="I49">
            <v>1.3018406966909586</v>
          </cell>
          <cell r="J49">
            <v>0.29275401234626786</v>
          </cell>
          <cell r="N49" t="str">
            <v>Services</v>
          </cell>
          <cell r="P49" t="str">
            <v>Australia</v>
          </cell>
          <cell r="Q49" t="str">
            <v>Australia</v>
          </cell>
          <cell r="R49" t="str">
            <v>Intermediary</v>
          </cell>
          <cell r="S49" t="str">
            <v>Rodney Muse</v>
          </cell>
          <cell r="U49">
            <v>0.39600000000000002</v>
          </cell>
          <cell r="AS49" t="str">
            <v>NA</v>
          </cell>
          <cell r="AT49" t="str">
            <v>NA</v>
          </cell>
          <cell r="BG49">
            <v>0</v>
          </cell>
        </row>
        <row r="50">
          <cell r="C50">
            <v>38990</v>
          </cell>
          <cell r="D50">
            <v>39629</v>
          </cell>
          <cell r="E50">
            <v>1.75</v>
          </cell>
          <cell r="I50">
            <v>0.58966243699801257</v>
          </cell>
          <cell r="J50">
            <v>-0.27124657034873967</v>
          </cell>
          <cell r="N50" t="str">
            <v>Consumables</v>
          </cell>
          <cell r="P50" t="str">
            <v>India</v>
          </cell>
          <cell r="Q50" t="str">
            <v>India</v>
          </cell>
          <cell r="R50" t="str">
            <v>Intermediary</v>
          </cell>
          <cell r="S50" t="str">
            <v>Richard Foyston</v>
          </cell>
          <cell r="U50">
            <v>0.7</v>
          </cell>
          <cell r="AS50">
            <v>5.6</v>
          </cell>
          <cell r="AT50">
            <v>6.62</v>
          </cell>
          <cell r="BG50">
            <v>0</v>
          </cell>
        </row>
        <row r="51">
          <cell r="C51">
            <v>39507</v>
          </cell>
          <cell r="D51">
            <v>39629</v>
          </cell>
          <cell r="E51">
            <v>0.33333333333333331</v>
          </cell>
          <cell r="I51">
            <v>0.64614676477355226</v>
          </cell>
          <cell r="J51">
            <v>-0.72926260232925411</v>
          </cell>
          <cell r="N51" t="str">
            <v>Services</v>
          </cell>
          <cell r="P51" t="str">
            <v>Australia</v>
          </cell>
          <cell r="Q51" t="str">
            <v>Australia</v>
          </cell>
          <cell r="R51" t="str">
            <v>Intermediary</v>
          </cell>
          <cell r="S51" t="str">
            <v>Rodney Muse</v>
          </cell>
          <cell r="U51">
            <v>0.57499999999999996</v>
          </cell>
          <cell r="AS51">
            <v>7.2</v>
          </cell>
          <cell r="AT51">
            <v>4.371600304347826</v>
          </cell>
          <cell r="BG51">
            <v>0</v>
          </cell>
        </row>
        <row r="52">
          <cell r="C52">
            <v>39538</v>
          </cell>
          <cell r="D52">
            <v>39629</v>
          </cell>
          <cell r="E52">
            <v>0.25</v>
          </cell>
          <cell r="I52">
            <v>1</v>
          </cell>
          <cell r="J52">
            <v>2.7120113372802739E-7</v>
          </cell>
          <cell r="N52" t="str">
            <v>Industrial</v>
          </cell>
          <cell r="P52" t="str">
            <v>Vietnam</v>
          </cell>
          <cell r="Q52" t="str">
            <v>Southeast Asia</v>
          </cell>
          <cell r="R52" t="str">
            <v>Direct Approach / Intermediary</v>
          </cell>
          <cell r="S52" t="str">
            <v>David Ireland</v>
          </cell>
          <cell r="U52">
            <v>0.41499999999999998</v>
          </cell>
          <cell r="AS52">
            <v>9.52112676056338</v>
          </cell>
          <cell r="AT52">
            <v>15.720930232558139</v>
          </cell>
          <cell r="BG52">
            <v>0</v>
          </cell>
        </row>
        <row r="53">
          <cell r="C53">
            <v>39538</v>
          </cell>
          <cell r="D53">
            <v>39629</v>
          </cell>
          <cell r="E53">
            <v>0.25</v>
          </cell>
          <cell r="I53">
            <v>1</v>
          </cell>
          <cell r="J53">
            <v>6.2584877014160159E-8</v>
          </cell>
          <cell r="N53" t="str">
            <v>Industrial</v>
          </cell>
          <cell r="P53" t="str">
            <v>Vietnam</v>
          </cell>
          <cell r="Q53" t="str">
            <v>Southeast Asia</v>
          </cell>
          <cell r="R53" t="str">
            <v>Direct Approach / Intermediary</v>
          </cell>
          <cell r="S53" t="str">
            <v>David Ireland</v>
          </cell>
          <cell r="U53">
            <v>0.41499999999999998</v>
          </cell>
          <cell r="AS53">
            <v>9.52112676056338</v>
          </cell>
          <cell r="AT53">
            <v>15.720930232558139</v>
          </cell>
          <cell r="BG53">
            <v>0</v>
          </cell>
        </row>
        <row r="54">
          <cell r="C54">
            <v>39325</v>
          </cell>
          <cell r="D54">
            <v>39629</v>
          </cell>
          <cell r="E54">
            <v>0.83333333333333337</v>
          </cell>
          <cell r="I54">
            <v>1.8132435190255811</v>
          </cell>
          <cell r="J54">
            <v>1.0432306408882142</v>
          </cell>
          <cell r="N54" t="str">
            <v>Industrial</v>
          </cell>
          <cell r="P54" t="str">
            <v>Singapore/Indonesia</v>
          </cell>
          <cell r="Q54" t="str">
            <v>Southeast Asia</v>
          </cell>
          <cell r="R54" t="str">
            <v>Direct Approach / Intermediary</v>
          </cell>
          <cell r="S54" t="str">
            <v>Rodney Muse</v>
          </cell>
          <cell r="U54">
            <v>0.6</v>
          </cell>
          <cell r="AS54">
            <v>5.1333556522709518</v>
          </cell>
          <cell r="AT54">
            <v>12.57</v>
          </cell>
          <cell r="BG54">
            <v>0</v>
          </cell>
        </row>
        <row r="55">
          <cell r="C55">
            <v>39325</v>
          </cell>
          <cell r="D55">
            <v>39629</v>
          </cell>
          <cell r="E55">
            <v>0.83333333333333337</v>
          </cell>
          <cell r="I55">
            <v>1.8132435190255813</v>
          </cell>
          <cell r="J55">
            <v>1.0432305932044983</v>
          </cell>
          <cell r="N55" t="str">
            <v>Industrial</v>
          </cell>
          <cell r="P55" t="str">
            <v>Singapore/Indonesia</v>
          </cell>
          <cell r="Q55" t="str">
            <v>Southeast Asia</v>
          </cell>
          <cell r="R55" t="str">
            <v>Direct Approach / Intermediary</v>
          </cell>
          <cell r="S55" t="str">
            <v>Rodney Muse</v>
          </cell>
          <cell r="U55">
            <v>0.6</v>
          </cell>
          <cell r="AS55">
            <v>5.1333556522709518</v>
          </cell>
          <cell r="AT55">
            <v>12.57</v>
          </cell>
          <cell r="BG55">
            <v>0</v>
          </cell>
        </row>
        <row r="56">
          <cell r="C56">
            <v>38046</v>
          </cell>
          <cell r="D56">
            <v>39629</v>
          </cell>
          <cell r="E56">
            <v>4.333333333333333</v>
          </cell>
          <cell r="I56">
            <v>0.36976350767099114</v>
          </cell>
          <cell r="J56">
            <v>-0.26235418915748598</v>
          </cell>
          <cell r="N56" t="str">
            <v>Industrial</v>
          </cell>
          <cell r="P56" t="str">
            <v>Thailand</v>
          </cell>
          <cell r="Q56" t="str">
            <v>Southeast Asia</v>
          </cell>
          <cell r="R56" t="str">
            <v>Direct Approach</v>
          </cell>
          <cell r="S56" t="str">
            <v>Richard Foyston</v>
          </cell>
          <cell r="U56">
            <v>0.87</v>
          </cell>
          <cell r="AS56">
            <v>4.0999999999999996</v>
          </cell>
          <cell r="AT56" t="str">
            <v>NA</v>
          </cell>
          <cell r="BG56">
            <v>0</v>
          </cell>
        </row>
        <row r="57">
          <cell r="C57">
            <v>38046</v>
          </cell>
          <cell r="D57">
            <v>39629</v>
          </cell>
          <cell r="E57">
            <v>4.333333333333333</v>
          </cell>
          <cell r="I57">
            <v>0.36997152050606924</v>
          </cell>
          <cell r="J57">
            <v>-0.26233251690864556</v>
          </cell>
          <cell r="N57" t="str">
            <v>Industrial</v>
          </cell>
          <cell r="P57" t="str">
            <v>Thailand</v>
          </cell>
          <cell r="Q57" t="str">
            <v>Southeast Asia</v>
          </cell>
          <cell r="R57" t="str">
            <v>Direct Approach</v>
          </cell>
          <cell r="S57" t="str">
            <v>Richard Foyston</v>
          </cell>
          <cell r="U57">
            <v>0.87</v>
          </cell>
          <cell r="AS57">
            <v>4.0999999999999996</v>
          </cell>
          <cell r="AT57" t="str">
            <v>NA</v>
          </cell>
          <cell r="BG57">
            <v>0</v>
          </cell>
        </row>
        <row r="58">
          <cell r="C58">
            <v>38230</v>
          </cell>
          <cell r="D58">
            <v>39629</v>
          </cell>
          <cell r="E58">
            <v>3.8333333333333335</v>
          </cell>
          <cell r="I58">
            <v>4.6767668060345295</v>
          </cell>
          <cell r="J58">
            <v>0.58819329142570509</v>
          </cell>
          <cell r="N58" t="str">
            <v>Services</v>
          </cell>
          <cell r="P58" t="str">
            <v>India</v>
          </cell>
          <cell r="Q58" t="str">
            <v>India</v>
          </cell>
          <cell r="R58" t="str">
            <v>Direct Approach</v>
          </cell>
          <cell r="S58" t="str">
            <v>Bruno Seghin</v>
          </cell>
          <cell r="U58">
            <v>0.74</v>
          </cell>
          <cell r="AS58">
            <v>6.875</v>
          </cell>
          <cell r="AT58">
            <v>13.893462469733658</v>
          </cell>
          <cell r="BG58">
            <v>0</v>
          </cell>
        </row>
        <row r="59">
          <cell r="C59">
            <v>38230</v>
          </cell>
          <cell r="D59">
            <v>39629</v>
          </cell>
          <cell r="E59">
            <v>3.8333333333333335</v>
          </cell>
          <cell r="I59">
            <v>4.3368080753405929</v>
          </cell>
          <cell r="J59">
            <v>0.57939386963844308</v>
          </cell>
          <cell r="N59" t="str">
            <v>Services</v>
          </cell>
          <cell r="P59" t="str">
            <v>India</v>
          </cell>
          <cell r="Q59" t="str">
            <v>India</v>
          </cell>
          <cell r="R59" t="str">
            <v>Direct Approach</v>
          </cell>
          <cell r="S59" t="str">
            <v>Bruno Seghin</v>
          </cell>
          <cell r="U59">
            <v>0.74</v>
          </cell>
          <cell r="AS59">
            <v>6.875</v>
          </cell>
          <cell r="AT59">
            <v>13.893462469733658</v>
          </cell>
          <cell r="BG59">
            <v>0</v>
          </cell>
        </row>
        <row r="60">
          <cell r="C60">
            <v>38595</v>
          </cell>
          <cell r="D60">
            <v>39629</v>
          </cell>
          <cell r="E60">
            <v>2.8333333333333335</v>
          </cell>
          <cell r="I60">
            <v>4.4821794113328304</v>
          </cell>
          <cell r="J60">
            <v>0.69814373254775997</v>
          </cell>
          <cell r="N60" t="str">
            <v>Services</v>
          </cell>
          <cell r="P60" t="str">
            <v>Hong Kong</v>
          </cell>
          <cell r="Q60" t="str">
            <v>Hong-Kong</v>
          </cell>
          <cell r="R60" t="str">
            <v>Intermediary</v>
          </cell>
          <cell r="S60" t="str">
            <v>Bruno Seghin</v>
          </cell>
          <cell r="U60">
            <v>0.7</v>
          </cell>
          <cell r="AS60">
            <v>4.29</v>
          </cell>
          <cell r="AT60">
            <v>7.74</v>
          </cell>
          <cell r="BG60">
            <v>0</v>
          </cell>
        </row>
        <row r="61">
          <cell r="C61">
            <v>38837</v>
          </cell>
          <cell r="D61">
            <v>39629</v>
          </cell>
          <cell r="E61">
            <v>2.1666666666666665</v>
          </cell>
          <cell r="I61">
            <v>1.3092432158206901</v>
          </cell>
          <cell r="J61">
            <v>0.16903739571571355</v>
          </cell>
          <cell r="N61" t="str">
            <v>Services</v>
          </cell>
          <cell r="P61" t="str">
            <v>Thailand</v>
          </cell>
          <cell r="Q61" t="str">
            <v>Southeast Asia</v>
          </cell>
          <cell r="R61" t="str">
            <v>Direct Approach</v>
          </cell>
          <cell r="S61" t="str">
            <v>Richard Foyston</v>
          </cell>
          <cell r="U61">
            <v>0.75</v>
          </cell>
          <cell r="BG61">
            <v>0</v>
          </cell>
        </row>
        <row r="62">
          <cell r="C62">
            <v>38837</v>
          </cell>
          <cell r="D62">
            <v>39629</v>
          </cell>
          <cell r="E62">
            <v>2.1666666666666665</v>
          </cell>
          <cell r="I62">
            <v>1.3092432965577228</v>
          </cell>
          <cell r="J62">
            <v>0.1690374553203583</v>
          </cell>
          <cell r="N62" t="str">
            <v>Services</v>
          </cell>
          <cell r="P62" t="str">
            <v>Thailand</v>
          </cell>
          <cell r="Q62" t="str">
            <v>Southeast Asia</v>
          </cell>
          <cell r="R62" t="str">
            <v>Direct Approach</v>
          </cell>
          <cell r="S62" t="str">
            <v>Richard Foyston</v>
          </cell>
          <cell r="U62">
            <v>0.75</v>
          </cell>
          <cell r="BG62">
            <v>0</v>
          </cell>
        </row>
        <row r="63">
          <cell r="C63">
            <v>38929</v>
          </cell>
          <cell r="D63">
            <v>39629</v>
          </cell>
          <cell r="E63">
            <v>1.9166666666666667</v>
          </cell>
          <cell r="I63">
            <v>1.0502522751036405</v>
          </cell>
          <cell r="J63">
            <v>2.6773914694786072E-2</v>
          </cell>
          <cell r="N63" t="str">
            <v>Food</v>
          </cell>
          <cell r="P63" t="str">
            <v>Australia</v>
          </cell>
          <cell r="Q63" t="str">
            <v>Australia</v>
          </cell>
          <cell r="R63" t="str">
            <v>Direct Approach / Intermediary</v>
          </cell>
          <cell r="S63" t="str">
            <v>Rodney Muse</v>
          </cell>
          <cell r="U63">
            <v>0.94</v>
          </cell>
          <cell r="AS63">
            <v>6.4</v>
          </cell>
          <cell r="AT63">
            <v>7.84</v>
          </cell>
          <cell r="BG63">
            <v>0</v>
          </cell>
        </row>
        <row r="64">
          <cell r="C64">
            <v>38868</v>
          </cell>
          <cell r="D64">
            <v>39629</v>
          </cell>
          <cell r="E64">
            <v>2.0833333333333335</v>
          </cell>
          <cell r="I64">
            <v>0.21373389782271393</v>
          </cell>
          <cell r="J64">
            <v>-0.56267575509846224</v>
          </cell>
          <cell r="N64" t="str">
            <v>Services</v>
          </cell>
          <cell r="P64" t="str">
            <v>Australia</v>
          </cell>
          <cell r="Q64" t="str">
            <v>Australia</v>
          </cell>
          <cell r="R64" t="str">
            <v>Direct Approach</v>
          </cell>
          <cell r="S64" t="str">
            <v>Rodney Muse</v>
          </cell>
          <cell r="U64">
            <v>0.95</v>
          </cell>
          <cell r="AS64">
            <v>7.6</v>
          </cell>
          <cell r="AT64">
            <v>5.01</v>
          </cell>
          <cell r="BG64">
            <v>0</v>
          </cell>
        </row>
        <row r="65">
          <cell r="C65">
            <v>38868</v>
          </cell>
          <cell r="D65">
            <v>39629</v>
          </cell>
          <cell r="E65">
            <v>2.0833333333333335</v>
          </cell>
          <cell r="I65">
            <v>0.21373389782271393</v>
          </cell>
          <cell r="J65">
            <v>-0.56267574504017848</v>
          </cell>
          <cell r="N65" t="str">
            <v>Services</v>
          </cell>
          <cell r="P65" t="str">
            <v>Australia</v>
          </cell>
          <cell r="Q65" t="str">
            <v>Australia</v>
          </cell>
          <cell r="R65" t="str">
            <v>Direct Approach</v>
          </cell>
          <cell r="S65" t="str">
            <v>Rodney Muse</v>
          </cell>
          <cell r="U65">
            <v>0.95</v>
          </cell>
          <cell r="AS65">
            <v>7.6</v>
          </cell>
          <cell r="AT65">
            <v>5.01</v>
          </cell>
          <cell r="BG65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s"/>
      <sheetName val="Macros"/>
      <sheetName val="Log"/>
      <sheetName val="LoopMacros"/>
      <sheetName val="Update"/>
      <sheetName val="Input"/>
      <sheetName val="LoopInputs"/>
      <sheetName val="InputExceptions"/>
      <sheetName val="T2Primary"/>
      <sheetName val="T2PrimaryPooled"/>
      <sheetName val="T2Secondary"/>
      <sheetName val="T2SecondaryPooled"/>
      <sheetName val="T2DirectEquity"/>
      <sheetName val="T2DirectEquityPooled"/>
      <sheetName val="T2DirectDebt"/>
      <sheetName val="T2DirectDebtPooled"/>
      <sheetName val="T2FundManagers"/>
      <sheetName val="Table1.1tmp"/>
      <sheetName val="Output"/>
      <sheetName val="Table1.1"/>
      <sheetName val="Table1.2tmp"/>
      <sheetName val="Table1.2"/>
      <sheetName val="InveParentID"/>
      <sheetName val="ManagerNames"/>
      <sheetName val="Managers"/>
      <sheetName val="Update1.3"/>
      <sheetName val="Table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&amp;P 500"/>
      <sheetName val="Portfolio Driver"/>
      <sheetName val="different driver"/>
      <sheetName val="Driver back-up (2)"/>
      <sheetName val="Driver back-up"/>
      <sheetName val="Cumulative IRR Graph"/>
      <sheetName val="3 year CF "/>
      <sheetName val="2 year CF "/>
      <sheetName val="1 year CF"/>
      <sheetName val="Cost vs. MV 3-31-05"/>
      <sheetName val="PERFORMANCE SUMMARY"/>
      <sheetName val="Quart. Cash Flow Summary"/>
      <sheetName val="Top 10 Company Holdings"/>
      <sheetName val="Cost and Fair MV"/>
      <sheetName val="Companies &gt;=&lt; Cost"/>
      <sheetName val="Yearly Cash Flow"/>
      <sheetName val="Sheet3"/>
      <sheetName val="Sheet2"/>
    </sheetNames>
    <sheetDataSet>
      <sheetData sheetId="0">
        <row r="5">
          <cell r="E5" t="str">
            <v>1Q1997</v>
          </cell>
          <cell r="G5">
            <v>446952.17</v>
          </cell>
        </row>
        <row r="6">
          <cell r="E6" t="str">
            <v>1Q1997</v>
          </cell>
          <cell r="G6">
            <v>-1535.74</v>
          </cell>
        </row>
        <row r="7">
          <cell r="E7" t="str">
            <v>1Q1997</v>
          </cell>
          <cell r="G7">
            <v>481187.22</v>
          </cell>
        </row>
        <row r="8">
          <cell r="E8" t="str">
            <v>1Q1997</v>
          </cell>
          <cell r="G8">
            <v>-64225.46</v>
          </cell>
        </row>
        <row r="9">
          <cell r="E9" t="str">
            <v>2Q1997</v>
          </cell>
          <cell r="G9">
            <v>942995.13</v>
          </cell>
        </row>
        <row r="10">
          <cell r="E10" t="str">
            <v>2Q1997</v>
          </cell>
          <cell r="G10">
            <v>1806892.27</v>
          </cell>
        </row>
        <row r="11">
          <cell r="E11" t="str">
            <v>3Q1997</v>
          </cell>
          <cell r="G11">
            <v>886215.44</v>
          </cell>
        </row>
        <row r="12">
          <cell r="E12" t="str">
            <v>4Q1997</v>
          </cell>
          <cell r="G12">
            <v>2250000</v>
          </cell>
        </row>
        <row r="13">
          <cell r="E13" t="str">
            <v>4Q1997</v>
          </cell>
          <cell r="G13">
            <v>-90843.16</v>
          </cell>
        </row>
        <row r="14">
          <cell r="E14" t="str">
            <v>4Q1997</v>
          </cell>
          <cell r="G14">
            <v>2250000</v>
          </cell>
        </row>
        <row r="15">
          <cell r="E15" t="str">
            <v>1Q1998</v>
          </cell>
          <cell r="G15">
            <v>6000000</v>
          </cell>
        </row>
        <row r="16">
          <cell r="E16" t="str">
            <v>1Q1998</v>
          </cell>
          <cell r="G16">
            <v>-217233.81</v>
          </cell>
        </row>
        <row r="17">
          <cell r="E17" t="str">
            <v>2Q1998</v>
          </cell>
          <cell r="G17">
            <v>484202</v>
          </cell>
        </row>
        <row r="18">
          <cell r="E18" t="str">
            <v>2Q1998</v>
          </cell>
          <cell r="G18">
            <v>101812</v>
          </cell>
        </row>
        <row r="19">
          <cell r="E19" t="str">
            <v>2Q1998</v>
          </cell>
          <cell r="G19">
            <v>29431</v>
          </cell>
        </row>
        <row r="20">
          <cell r="E20" t="str">
            <v>2Q1998</v>
          </cell>
          <cell r="G20">
            <v>-150</v>
          </cell>
        </row>
        <row r="21">
          <cell r="E21" t="str">
            <v>2Q1998</v>
          </cell>
          <cell r="G21">
            <v>-54712</v>
          </cell>
        </row>
        <row r="22">
          <cell r="E22" t="str">
            <v>2Q1998</v>
          </cell>
          <cell r="G22">
            <v>-308245.61</v>
          </cell>
        </row>
        <row r="23">
          <cell r="E23" t="str">
            <v>2Q1998</v>
          </cell>
          <cell r="G23">
            <v>481073</v>
          </cell>
        </row>
        <row r="24">
          <cell r="E24" t="str">
            <v>3Q1998</v>
          </cell>
          <cell r="G24">
            <v>82004</v>
          </cell>
        </row>
        <row r="25">
          <cell r="E25" t="str">
            <v>3Q1998</v>
          </cell>
          <cell r="G25">
            <v>173671</v>
          </cell>
        </row>
        <row r="26">
          <cell r="E26" t="str">
            <v>3Q1998</v>
          </cell>
          <cell r="G26">
            <v>2616040.81</v>
          </cell>
        </row>
        <row r="27">
          <cell r="E27" t="str">
            <v>3Q1998</v>
          </cell>
          <cell r="G27">
            <v>43478</v>
          </cell>
        </row>
        <row r="28">
          <cell r="E28" t="str">
            <v>3Q1998</v>
          </cell>
          <cell r="G28">
            <v>-189</v>
          </cell>
        </row>
        <row r="29">
          <cell r="E29" t="str">
            <v>3Q1998</v>
          </cell>
          <cell r="G29">
            <v>-29235</v>
          </cell>
        </row>
        <row r="30">
          <cell r="E30" t="str">
            <v>3Q1998</v>
          </cell>
          <cell r="G30">
            <v>-5713.43</v>
          </cell>
        </row>
        <row r="31">
          <cell r="E31" t="str">
            <v>3Q1998</v>
          </cell>
          <cell r="G31">
            <v>-612153.55000000005</v>
          </cell>
        </row>
        <row r="32">
          <cell r="E32" t="str">
            <v>3Q1998</v>
          </cell>
          <cell r="G32">
            <v>-78669.55</v>
          </cell>
        </row>
        <row r="33">
          <cell r="E33" t="str">
            <v>3Q1998</v>
          </cell>
          <cell r="G33">
            <v>296005.71999999997</v>
          </cell>
        </row>
        <row r="34">
          <cell r="E34" t="str">
            <v>3Q1998</v>
          </cell>
          <cell r="G34">
            <v>-108362.23</v>
          </cell>
        </row>
        <row r="35">
          <cell r="E35" t="str">
            <v>3Q1998</v>
          </cell>
          <cell r="G35">
            <v>474316.25</v>
          </cell>
        </row>
        <row r="36">
          <cell r="E36" t="str">
            <v>3Q1998</v>
          </cell>
          <cell r="G36">
            <v>-18154.169999999998</v>
          </cell>
        </row>
        <row r="37">
          <cell r="E37" t="str">
            <v>3Q1998</v>
          </cell>
          <cell r="G37">
            <v>-2812.08</v>
          </cell>
        </row>
        <row r="38">
          <cell r="E38" t="str">
            <v>4Q1998</v>
          </cell>
          <cell r="G38">
            <v>173913</v>
          </cell>
        </row>
        <row r="39">
          <cell r="E39" t="str">
            <v>4Q1998</v>
          </cell>
          <cell r="G39">
            <v>1304348</v>
          </cell>
        </row>
        <row r="40">
          <cell r="E40" t="str">
            <v>4Q1998</v>
          </cell>
          <cell r="G40">
            <v>277552.26</v>
          </cell>
        </row>
        <row r="41">
          <cell r="E41" t="str">
            <v>4Q1998</v>
          </cell>
          <cell r="G41">
            <v>-166693.13</v>
          </cell>
        </row>
        <row r="42">
          <cell r="E42" t="str">
            <v>4Q1998</v>
          </cell>
          <cell r="G42">
            <v>173914</v>
          </cell>
        </row>
        <row r="43">
          <cell r="E43" t="str">
            <v>1Q1999</v>
          </cell>
          <cell r="G43">
            <v>112500</v>
          </cell>
        </row>
        <row r="44">
          <cell r="E44" t="str">
            <v>1Q1999</v>
          </cell>
          <cell r="G44">
            <v>92909</v>
          </cell>
        </row>
        <row r="45">
          <cell r="E45" t="str">
            <v>1Q1999</v>
          </cell>
          <cell r="G45">
            <v>1132087</v>
          </cell>
        </row>
        <row r="46">
          <cell r="E46" t="str">
            <v>1Q1999</v>
          </cell>
          <cell r="G46">
            <v>1819770.72</v>
          </cell>
        </row>
        <row r="47">
          <cell r="E47" t="str">
            <v>1Q1999</v>
          </cell>
          <cell r="G47">
            <v>130435</v>
          </cell>
        </row>
        <row r="48">
          <cell r="E48" t="str">
            <v>1Q1999</v>
          </cell>
          <cell r="G48">
            <v>-151</v>
          </cell>
        </row>
        <row r="49">
          <cell r="E49" t="str">
            <v>1Q1999</v>
          </cell>
          <cell r="G49">
            <v>-22848</v>
          </cell>
        </row>
        <row r="50">
          <cell r="E50" t="str">
            <v>1Q1999</v>
          </cell>
          <cell r="G50">
            <v>1552300.43</v>
          </cell>
        </row>
        <row r="51">
          <cell r="E51" t="str">
            <v>1Q1999</v>
          </cell>
          <cell r="G51">
            <v>-287865.21999999997</v>
          </cell>
        </row>
        <row r="52">
          <cell r="E52" t="str">
            <v>2Q1999</v>
          </cell>
          <cell r="G52">
            <v>99914</v>
          </cell>
        </row>
        <row r="53">
          <cell r="E53" t="str">
            <v>2Q1999</v>
          </cell>
          <cell r="G53">
            <v>-7495.18</v>
          </cell>
        </row>
        <row r="54">
          <cell r="E54" t="str">
            <v>2Q1999</v>
          </cell>
          <cell r="G54">
            <v>-714399.11</v>
          </cell>
        </row>
        <row r="55">
          <cell r="E55" t="str">
            <v>2Q1999</v>
          </cell>
          <cell r="G55">
            <v>-379167.07</v>
          </cell>
        </row>
        <row r="56">
          <cell r="E56" t="str">
            <v>2Q1999</v>
          </cell>
          <cell r="G56">
            <v>1627553</v>
          </cell>
        </row>
        <row r="57">
          <cell r="E57" t="str">
            <v>2Q1999</v>
          </cell>
          <cell r="G57">
            <v>1487500</v>
          </cell>
        </row>
        <row r="58">
          <cell r="E58" t="str">
            <v>3Q1999</v>
          </cell>
          <cell r="G58">
            <v>107560</v>
          </cell>
        </row>
        <row r="59">
          <cell r="E59" t="str">
            <v>3Q1999</v>
          </cell>
          <cell r="G59">
            <v>17899</v>
          </cell>
        </row>
        <row r="60">
          <cell r="E60" t="str">
            <v>3Q1999</v>
          </cell>
          <cell r="G60">
            <v>216015</v>
          </cell>
        </row>
        <row r="61">
          <cell r="E61" t="str">
            <v>3Q1999</v>
          </cell>
          <cell r="G61">
            <v>25500</v>
          </cell>
        </row>
        <row r="62">
          <cell r="E62" t="str">
            <v>3Q1999</v>
          </cell>
          <cell r="G62">
            <v>1000442.17</v>
          </cell>
        </row>
        <row r="63">
          <cell r="E63" t="str">
            <v>3Q1999</v>
          </cell>
          <cell r="G63">
            <v>-2372</v>
          </cell>
        </row>
        <row r="64">
          <cell r="E64" t="str">
            <v>3Q1999</v>
          </cell>
          <cell r="G64">
            <v>-348379</v>
          </cell>
        </row>
        <row r="65">
          <cell r="E65" t="str">
            <v>3Q1999</v>
          </cell>
          <cell r="G65">
            <v>-6033</v>
          </cell>
        </row>
        <row r="66">
          <cell r="E66" t="str">
            <v>3Q1999</v>
          </cell>
          <cell r="G66">
            <v>-483494</v>
          </cell>
        </row>
        <row r="67">
          <cell r="E67" t="str">
            <v>3Q1999</v>
          </cell>
          <cell r="G67">
            <v>-3271.56</v>
          </cell>
        </row>
        <row r="68">
          <cell r="E68" t="str">
            <v>3Q1999</v>
          </cell>
          <cell r="G68">
            <v>86957</v>
          </cell>
        </row>
        <row r="69">
          <cell r="E69" t="str">
            <v>3Q1999</v>
          </cell>
          <cell r="G69">
            <v>434435.9</v>
          </cell>
        </row>
        <row r="70">
          <cell r="E70" t="str">
            <v>4Q1999</v>
          </cell>
          <cell r="G70">
            <v>1615000</v>
          </cell>
        </row>
        <row r="71">
          <cell r="E71" t="str">
            <v>4Q1999</v>
          </cell>
          <cell r="G71">
            <v>213117.65</v>
          </cell>
        </row>
        <row r="72">
          <cell r="E72" t="str">
            <v>4Q1999</v>
          </cell>
          <cell r="G72">
            <v>-270072.71000000002</v>
          </cell>
        </row>
        <row r="73">
          <cell r="E73" t="str">
            <v>4Q1999</v>
          </cell>
          <cell r="G73">
            <v>425000</v>
          </cell>
        </row>
        <row r="74">
          <cell r="E74" t="str">
            <v>4Q1999</v>
          </cell>
          <cell r="G74">
            <v>86537</v>
          </cell>
        </row>
        <row r="75">
          <cell r="E75" t="str">
            <v>4Q1999</v>
          </cell>
          <cell r="G75">
            <v>1190000</v>
          </cell>
        </row>
        <row r="76">
          <cell r="E76" t="str">
            <v>4Q1999</v>
          </cell>
          <cell r="G76">
            <v>1807999</v>
          </cell>
        </row>
        <row r="77">
          <cell r="E77" t="str">
            <v>4Q1999</v>
          </cell>
          <cell r="G77">
            <v>586416.21</v>
          </cell>
        </row>
        <row r="78">
          <cell r="E78" t="str">
            <v>4Q1999</v>
          </cell>
          <cell r="G78">
            <v>-271040.46000000002</v>
          </cell>
        </row>
        <row r="79">
          <cell r="E79" t="str">
            <v>4Q1999</v>
          </cell>
          <cell r="G79">
            <v>724127.53</v>
          </cell>
        </row>
        <row r="80">
          <cell r="E80" t="str">
            <v>4Q1999</v>
          </cell>
          <cell r="G80">
            <v>2273003</v>
          </cell>
        </row>
        <row r="81">
          <cell r="E81" t="str">
            <v>4Q1999</v>
          </cell>
          <cell r="G81">
            <v>-34114.67</v>
          </cell>
        </row>
        <row r="82">
          <cell r="E82" t="str">
            <v>4Q1999</v>
          </cell>
          <cell r="G82">
            <v>-16822</v>
          </cell>
        </row>
        <row r="83">
          <cell r="E83" t="str">
            <v>4Q1999</v>
          </cell>
          <cell r="G83">
            <v>-204000</v>
          </cell>
        </row>
        <row r="84">
          <cell r="E84" t="str">
            <v>4Q1999</v>
          </cell>
          <cell r="G84">
            <v>-722</v>
          </cell>
        </row>
        <row r="85">
          <cell r="E85" t="str">
            <v>4Q1999</v>
          </cell>
          <cell r="G85">
            <v>-328318</v>
          </cell>
        </row>
        <row r="86">
          <cell r="E86" t="str">
            <v>1Q2000</v>
          </cell>
          <cell r="G86">
            <v>70687</v>
          </cell>
        </row>
        <row r="87">
          <cell r="E87" t="str">
            <v>1Q2000</v>
          </cell>
          <cell r="G87">
            <v>76979</v>
          </cell>
        </row>
        <row r="88">
          <cell r="E88" t="str">
            <v>1Q2000</v>
          </cell>
          <cell r="G88">
            <v>1361505</v>
          </cell>
        </row>
        <row r="89">
          <cell r="E89" t="str">
            <v>1Q2000</v>
          </cell>
          <cell r="G89">
            <v>1500000</v>
          </cell>
        </row>
        <row r="90">
          <cell r="E90" t="str">
            <v>1Q2000</v>
          </cell>
          <cell r="G90">
            <v>630000.05000000005</v>
          </cell>
        </row>
        <row r="91">
          <cell r="E91" t="str">
            <v>1Q2000</v>
          </cell>
          <cell r="G91">
            <v>1300120</v>
          </cell>
        </row>
        <row r="92">
          <cell r="E92" t="str">
            <v>1Q2000</v>
          </cell>
          <cell r="G92">
            <v>448880</v>
          </cell>
        </row>
        <row r="93">
          <cell r="E93" t="str">
            <v>1Q2000</v>
          </cell>
          <cell r="G93">
            <v>500000</v>
          </cell>
        </row>
        <row r="94">
          <cell r="E94" t="str">
            <v>1Q2000</v>
          </cell>
          <cell r="G94">
            <v>491897</v>
          </cell>
        </row>
        <row r="95">
          <cell r="E95" t="str">
            <v>1Q2000</v>
          </cell>
          <cell r="G95">
            <v>133057</v>
          </cell>
        </row>
        <row r="96">
          <cell r="E96" t="str">
            <v>1Q2000</v>
          </cell>
          <cell r="G96">
            <v>586513.63</v>
          </cell>
        </row>
        <row r="97">
          <cell r="E97" t="str">
            <v>1Q2000</v>
          </cell>
          <cell r="G97">
            <v>228322</v>
          </cell>
        </row>
        <row r="98">
          <cell r="E98" t="str">
            <v>1Q2000</v>
          </cell>
          <cell r="G98">
            <v>70430</v>
          </cell>
        </row>
        <row r="99">
          <cell r="E99" t="str">
            <v>1Q2000</v>
          </cell>
          <cell r="G99">
            <v>643213</v>
          </cell>
        </row>
        <row r="100">
          <cell r="E100" t="str">
            <v>1Q2000</v>
          </cell>
          <cell r="G100">
            <v>26196</v>
          </cell>
        </row>
        <row r="101">
          <cell r="E101" t="str">
            <v>1Q2000</v>
          </cell>
          <cell r="G101">
            <v>38003</v>
          </cell>
        </row>
        <row r="102">
          <cell r="E102" t="str">
            <v>1Q2000</v>
          </cell>
          <cell r="G102">
            <v>-167453.42000000001</v>
          </cell>
        </row>
        <row r="103">
          <cell r="E103" t="str">
            <v>1Q2000</v>
          </cell>
          <cell r="G103">
            <v>21235</v>
          </cell>
        </row>
        <row r="104">
          <cell r="E104" t="str">
            <v>2Q2000</v>
          </cell>
          <cell r="G104">
            <v>506417.63</v>
          </cell>
        </row>
        <row r="105">
          <cell r="E105" t="str">
            <v>2Q2000</v>
          </cell>
          <cell r="G105">
            <v>250000</v>
          </cell>
        </row>
        <row r="106">
          <cell r="E106" t="str">
            <v>2Q2000</v>
          </cell>
          <cell r="G106">
            <v>119426</v>
          </cell>
        </row>
        <row r="107">
          <cell r="E107" t="str">
            <v>2Q2000</v>
          </cell>
          <cell r="G107">
            <v>88720</v>
          </cell>
        </row>
        <row r="108">
          <cell r="E108" t="str">
            <v>2Q2000</v>
          </cell>
          <cell r="G108">
            <v>500000</v>
          </cell>
        </row>
        <row r="109">
          <cell r="E109" t="str">
            <v>2Q2000</v>
          </cell>
          <cell r="G109">
            <v>447849</v>
          </cell>
        </row>
        <row r="110">
          <cell r="E110" t="str">
            <v>2Q2000</v>
          </cell>
          <cell r="G110">
            <v>144895</v>
          </cell>
        </row>
        <row r="111">
          <cell r="E111" t="str">
            <v>2Q2000</v>
          </cell>
          <cell r="G111">
            <v>-118954</v>
          </cell>
        </row>
        <row r="112">
          <cell r="E112" t="str">
            <v>2Q2000</v>
          </cell>
          <cell r="G112">
            <v>323237</v>
          </cell>
        </row>
        <row r="113">
          <cell r="E113" t="str">
            <v>2Q2000</v>
          </cell>
          <cell r="G113">
            <v>307604.93</v>
          </cell>
        </row>
        <row r="114">
          <cell r="E114" t="str">
            <v>2Q2000</v>
          </cell>
          <cell r="G114">
            <v>1000000</v>
          </cell>
        </row>
        <row r="115">
          <cell r="E115" t="str">
            <v>2Q2000</v>
          </cell>
          <cell r="G115">
            <v>977500</v>
          </cell>
        </row>
        <row r="116">
          <cell r="E116" t="str">
            <v>2Q2000</v>
          </cell>
          <cell r="G116">
            <v>-10230.08</v>
          </cell>
        </row>
        <row r="117">
          <cell r="E117" t="str">
            <v>2Q2000</v>
          </cell>
          <cell r="G117">
            <v>500000</v>
          </cell>
        </row>
        <row r="118">
          <cell r="E118" t="str">
            <v>2Q2000</v>
          </cell>
          <cell r="G118">
            <v>115445</v>
          </cell>
        </row>
        <row r="119">
          <cell r="E119" t="str">
            <v>3Q2000</v>
          </cell>
          <cell r="G119">
            <v>70687</v>
          </cell>
        </row>
        <row r="120">
          <cell r="E120" t="str">
            <v>3Q2000</v>
          </cell>
          <cell r="G120">
            <v>112136</v>
          </cell>
        </row>
        <row r="121">
          <cell r="E121" t="str">
            <v>3Q2000</v>
          </cell>
          <cell r="G121">
            <v>61658</v>
          </cell>
        </row>
        <row r="122">
          <cell r="E122" t="str">
            <v>3Q2000</v>
          </cell>
          <cell r="G122">
            <v>-1264843.25</v>
          </cell>
        </row>
        <row r="123">
          <cell r="E123" t="str">
            <v>3Q2000</v>
          </cell>
          <cell r="G123">
            <v>1000000</v>
          </cell>
        </row>
        <row r="124">
          <cell r="E124" t="str">
            <v>3Q2000</v>
          </cell>
          <cell r="G124">
            <v>164200</v>
          </cell>
        </row>
        <row r="125">
          <cell r="E125" t="str">
            <v>3Q2000</v>
          </cell>
          <cell r="G125">
            <v>53147</v>
          </cell>
        </row>
        <row r="126">
          <cell r="E126" t="str">
            <v>3Q2000</v>
          </cell>
          <cell r="G126">
            <v>-1705</v>
          </cell>
        </row>
        <row r="127">
          <cell r="E127" t="str">
            <v>3Q2000</v>
          </cell>
          <cell r="G127">
            <v>-86999</v>
          </cell>
        </row>
        <row r="128">
          <cell r="E128" t="str">
            <v>3Q2000</v>
          </cell>
          <cell r="G128">
            <v>91442.22</v>
          </cell>
        </row>
        <row r="129">
          <cell r="E129" t="str">
            <v>3Q2000</v>
          </cell>
          <cell r="G129">
            <v>68000</v>
          </cell>
        </row>
        <row r="130">
          <cell r="E130" t="str">
            <v>3Q2000</v>
          </cell>
          <cell r="G130">
            <v>29855</v>
          </cell>
        </row>
        <row r="131">
          <cell r="E131" t="str">
            <v>3Q2000</v>
          </cell>
          <cell r="G131">
            <v>9663</v>
          </cell>
        </row>
        <row r="132">
          <cell r="E132" t="str">
            <v>3Q2000</v>
          </cell>
          <cell r="G132">
            <v>93456</v>
          </cell>
        </row>
        <row r="133">
          <cell r="E133" t="str">
            <v>3Q2000</v>
          </cell>
          <cell r="G133">
            <v>34000</v>
          </cell>
        </row>
        <row r="134">
          <cell r="E134" t="str">
            <v>3Q2000</v>
          </cell>
          <cell r="G134">
            <v>27054.87</v>
          </cell>
        </row>
        <row r="135">
          <cell r="E135" t="str">
            <v>3Q2000</v>
          </cell>
          <cell r="G135">
            <v>26869</v>
          </cell>
        </row>
        <row r="136">
          <cell r="E136" t="str">
            <v>3Q2000</v>
          </cell>
          <cell r="G136">
            <v>13790</v>
          </cell>
        </row>
        <row r="137">
          <cell r="E137" t="str">
            <v>3Q2000</v>
          </cell>
          <cell r="G137">
            <v>500000</v>
          </cell>
        </row>
        <row r="138">
          <cell r="E138" t="str">
            <v>3Q2000</v>
          </cell>
          <cell r="G138">
            <v>-919</v>
          </cell>
        </row>
        <row r="139">
          <cell r="E139" t="str">
            <v>3Q2000</v>
          </cell>
          <cell r="G139">
            <v>205472</v>
          </cell>
        </row>
        <row r="140">
          <cell r="E140" t="str">
            <v>3Q2000</v>
          </cell>
          <cell r="G140">
            <v>-310401.56</v>
          </cell>
        </row>
        <row r="141">
          <cell r="E141" t="str">
            <v>3Q2000</v>
          </cell>
          <cell r="G141">
            <v>-157661.79</v>
          </cell>
        </row>
        <row r="142">
          <cell r="E142" t="str">
            <v>4Q2000</v>
          </cell>
          <cell r="G142">
            <v>28349</v>
          </cell>
        </row>
        <row r="143">
          <cell r="E143" t="str">
            <v>4Q2000</v>
          </cell>
          <cell r="G143">
            <v>500000</v>
          </cell>
        </row>
        <row r="144">
          <cell r="E144" t="str">
            <v>4Q2000</v>
          </cell>
          <cell r="G144">
            <v>-4383.51</v>
          </cell>
        </row>
        <row r="145">
          <cell r="E145" t="str">
            <v>4Q2000</v>
          </cell>
          <cell r="G145">
            <v>-72447.48</v>
          </cell>
        </row>
        <row r="146">
          <cell r="E146" t="str">
            <v>4Q2000</v>
          </cell>
          <cell r="G146">
            <v>500000</v>
          </cell>
        </row>
        <row r="147">
          <cell r="E147" t="str">
            <v>4Q2000</v>
          </cell>
          <cell r="G147">
            <v>-137736</v>
          </cell>
        </row>
        <row r="148">
          <cell r="E148" t="str">
            <v>4Q2000</v>
          </cell>
          <cell r="G148">
            <v>790976</v>
          </cell>
        </row>
        <row r="149">
          <cell r="E149" t="str">
            <v>4Q2000</v>
          </cell>
          <cell r="G149">
            <v>256043</v>
          </cell>
        </row>
        <row r="150">
          <cell r="E150" t="str">
            <v>4Q2000</v>
          </cell>
          <cell r="G150">
            <v>1000000</v>
          </cell>
        </row>
        <row r="151">
          <cell r="E151" t="str">
            <v>4Q2000</v>
          </cell>
          <cell r="G151">
            <v>64047.85</v>
          </cell>
        </row>
        <row r="152">
          <cell r="E152" t="str">
            <v>4Q2000</v>
          </cell>
          <cell r="G152">
            <v>-257473.88</v>
          </cell>
        </row>
        <row r="153">
          <cell r="E153" t="str">
            <v>4Q2000</v>
          </cell>
          <cell r="G153">
            <v>1000000</v>
          </cell>
        </row>
        <row r="154">
          <cell r="E154" t="str">
            <v>4Q2000</v>
          </cell>
          <cell r="G154">
            <v>242590.95</v>
          </cell>
        </row>
        <row r="155">
          <cell r="E155" t="str">
            <v>4Q2000</v>
          </cell>
          <cell r="G155">
            <v>108283</v>
          </cell>
        </row>
        <row r="156">
          <cell r="E156" t="str">
            <v>4Q2000</v>
          </cell>
          <cell r="G156">
            <v>18460</v>
          </cell>
        </row>
        <row r="157">
          <cell r="E157" t="str">
            <v>1Q2001</v>
          </cell>
          <cell r="G157">
            <v>102269</v>
          </cell>
        </row>
        <row r="158">
          <cell r="E158" t="str">
            <v>1Q2001</v>
          </cell>
          <cell r="G158">
            <v>13702.5</v>
          </cell>
        </row>
        <row r="159">
          <cell r="E159" t="str">
            <v>1Q2001</v>
          </cell>
          <cell r="G159">
            <v>7247</v>
          </cell>
        </row>
        <row r="160">
          <cell r="E160" t="str">
            <v>1Q2001</v>
          </cell>
          <cell r="G160">
            <v>-641134.68000000005</v>
          </cell>
        </row>
        <row r="161">
          <cell r="E161" t="str">
            <v>1Q2001</v>
          </cell>
          <cell r="G161">
            <v>-632417.23</v>
          </cell>
        </row>
        <row r="162">
          <cell r="E162" t="str">
            <v>1Q2001</v>
          </cell>
          <cell r="G162">
            <v>154055.89000000001</v>
          </cell>
        </row>
        <row r="163">
          <cell r="E163" t="str">
            <v>1Q2001</v>
          </cell>
          <cell r="G163">
            <v>212500</v>
          </cell>
        </row>
        <row r="164">
          <cell r="E164" t="str">
            <v>1Q2001</v>
          </cell>
          <cell r="G164">
            <v>-141779.07</v>
          </cell>
        </row>
        <row r="165">
          <cell r="E165" t="str">
            <v>2Q2001</v>
          </cell>
          <cell r="G165">
            <v>28967.3</v>
          </cell>
        </row>
        <row r="166">
          <cell r="E166" t="str">
            <v>2Q2001</v>
          </cell>
          <cell r="G166">
            <v>-721</v>
          </cell>
        </row>
        <row r="167">
          <cell r="E167" t="str">
            <v>2Q2001</v>
          </cell>
          <cell r="G167">
            <v>750000</v>
          </cell>
        </row>
        <row r="168">
          <cell r="E168" t="str">
            <v>2Q2001</v>
          </cell>
          <cell r="G168">
            <v>909731.26</v>
          </cell>
        </row>
        <row r="169">
          <cell r="E169" t="str">
            <v>2Q2001</v>
          </cell>
          <cell r="G169">
            <v>750000</v>
          </cell>
        </row>
        <row r="170">
          <cell r="E170" t="str">
            <v>2Q2001</v>
          </cell>
          <cell r="G170">
            <v>-2439319.21</v>
          </cell>
        </row>
        <row r="171">
          <cell r="E171" t="str">
            <v>2Q2001</v>
          </cell>
          <cell r="G171">
            <v>43478</v>
          </cell>
        </row>
        <row r="172">
          <cell r="E172" t="str">
            <v>2Q2001</v>
          </cell>
          <cell r="G172">
            <v>-294150.58</v>
          </cell>
        </row>
        <row r="173">
          <cell r="E173" t="str">
            <v>2Q2001</v>
          </cell>
          <cell r="G173">
            <v>-6567.33</v>
          </cell>
        </row>
        <row r="174">
          <cell r="E174" t="str">
            <v>3Q2001</v>
          </cell>
          <cell r="G174">
            <v>102269</v>
          </cell>
        </row>
        <row r="175">
          <cell r="E175" t="str">
            <v>3Q2001</v>
          </cell>
          <cell r="G175">
            <v>0</v>
          </cell>
        </row>
        <row r="176">
          <cell r="E176" t="str">
            <v>3Q2001</v>
          </cell>
          <cell r="G176">
            <v>37500</v>
          </cell>
        </row>
        <row r="177">
          <cell r="E177" t="str">
            <v>3Q2001</v>
          </cell>
          <cell r="G177">
            <v>191314</v>
          </cell>
        </row>
        <row r="178">
          <cell r="E178" t="str">
            <v>3Q2001</v>
          </cell>
          <cell r="G178">
            <v>2314</v>
          </cell>
        </row>
        <row r="179">
          <cell r="E179" t="str">
            <v>3Q2001</v>
          </cell>
          <cell r="G179">
            <v>1132587.53</v>
          </cell>
        </row>
        <row r="180">
          <cell r="E180" t="str">
            <v>3Q2001</v>
          </cell>
          <cell r="G180">
            <v>-77038.990000000005</v>
          </cell>
        </row>
        <row r="181">
          <cell r="E181" t="str">
            <v>3Q2001</v>
          </cell>
          <cell r="G181">
            <v>4380</v>
          </cell>
        </row>
        <row r="182">
          <cell r="E182" t="str">
            <v>3Q2001</v>
          </cell>
          <cell r="G182">
            <v>71593</v>
          </cell>
        </row>
        <row r="183">
          <cell r="E183" t="str">
            <v>3Q2001</v>
          </cell>
          <cell r="G183">
            <v>40856</v>
          </cell>
        </row>
        <row r="184">
          <cell r="E184" t="str">
            <v>3Q2001</v>
          </cell>
          <cell r="G184">
            <v>-49370</v>
          </cell>
        </row>
        <row r="185">
          <cell r="E185" t="str">
            <v>3Q2001</v>
          </cell>
          <cell r="G185">
            <v>-542067.51</v>
          </cell>
        </row>
        <row r="186">
          <cell r="E186" t="str">
            <v>3Q2001</v>
          </cell>
          <cell r="G186">
            <v>-57</v>
          </cell>
        </row>
        <row r="187">
          <cell r="E187" t="str">
            <v>3Q2001</v>
          </cell>
          <cell r="G187">
            <v>-4452</v>
          </cell>
        </row>
        <row r="188">
          <cell r="E188" t="str">
            <v>3Q2001</v>
          </cell>
          <cell r="G188">
            <v>992375</v>
          </cell>
        </row>
        <row r="189">
          <cell r="E189" t="str">
            <v>3Q2001</v>
          </cell>
          <cell r="G189">
            <v>-205844.37</v>
          </cell>
        </row>
        <row r="190">
          <cell r="E190" t="str">
            <v>3Q2001</v>
          </cell>
          <cell r="G190">
            <v>-957632.5</v>
          </cell>
        </row>
        <row r="191">
          <cell r="E191" t="str">
            <v>4Q2001</v>
          </cell>
          <cell r="G191">
            <v>-596</v>
          </cell>
        </row>
        <row r="192">
          <cell r="E192" t="str">
            <v>4Q2001</v>
          </cell>
          <cell r="G192">
            <v>-38250</v>
          </cell>
        </row>
        <row r="193">
          <cell r="E193" t="str">
            <v>4Q2001</v>
          </cell>
          <cell r="G193">
            <v>28295</v>
          </cell>
        </row>
        <row r="194">
          <cell r="E194" t="str">
            <v>4Q2001</v>
          </cell>
          <cell r="G194">
            <v>408351</v>
          </cell>
        </row>
        <row r="195">
          <cell r="E195" t="str">
            <v>4Q2001</v>
          </cell>
          <cell r="G195">
            <v>14050.17</v>
          </cell>
        </row>
        <row r="196">
          <cell r="E196" t="str">
            <v>4Q2001</v>
          </cell>
          <cell r="G196">
            <v>163558</v>
          </cell>
        </row>
        <row r="197">
          <cell r="E197" t="str">
            <v>4Q2001</v>
          </cell>
          <cell r="G197">
            <v>1984</v>
          </cell>
        </row>
        <row r="198">
          <cell r="E198" t="str">
            <v>4Q2001</v>
          </cell>
          <cell r="G198">
            <v>-1247533</v>
          </cell>
        </row>
        <row r="199">
          <cell r="E199" t="str">
            <v>4Q2001</v>
          </cell>
          <cell r="G199">
            <v>-3168346.4</v>
          </cell>
        </row>
        <row r="200">
          <cell r="E200" t="str">
            <v>4Q2001</v>
          </cell>
          <cell r="G200">
            <v>-124411</v>
          </cell>
        </row>
        <row r="201">
          <cell r="E201" t="str">
            <v>4Q2001</v>
          </cell>
          <cell r="G201">
            <v>38870</v>
          </cell>
        </row>
        <row r="202">
          <cell r="E202" t="str">
            <v>4Q2001</v>
          </cell>
          <cell r="G202">
            <v>278265</v>
          </cell>
        </row>
        <row r="203">
          <cell r="E203" t="str">
            <v>4Q2001</v>
          </cell>
          <cell r="G203">
            <v>-129393</v>
          </cell>
        </row>
        <row r="204">
          <cell r="E204" t="str">
            <v>4Q2001</v>
          </cell>
          <cell r="G204">
            <v>225648</v>
          </cell>
        </row>
        <row r="205">
          <cell r="E205" t="str">
            <v>4Q2001</v>
          </cell>
          <cell r="G205">
            <v>2771</v>
          </cell>
        </row>
        <row r="206">
          <cell r="E206" t="str">
            <v>4Q2001</v>
          </cell>
          <cell r="G206">
            <v>-297363.44</v>
          </cell>
        </row>
        <row r="207">
          <cell r="E207" t="str">
            <v>4Q2001</v>
          </cell>
          <cell r="G207">
            <v>72397.06</v>
          </cell>
        </row>
        <row r="208">
          <cell r="E208" t="str">
            <v>1Q2002</v>
          </cell>
          <cell r="G208">
            <v>85545</v>
          </cell>
        </row>
        <row r="209">
          <cell r="E209" t="str">
            <v>1Q2002</v>
          </cell>
          <cell r="G209">
            <v>98566</v>
          </cell>
        </row>
        <row r="210">
          <cell r="E210" t="str">
            <v>1Q2002</v>
          </cell>
          <cell r="G210">
            <v>-374930.15</v>
          </cell>
        </row>
        <row r="211">
          <cell r="E211" t="str">
            <v>1Q2002</v>
          </cell>
          <cell r="G211">
            <v>1026</v>
          </cell>
        </row>
        <row r="212">
          <cell r="E212" t="str">
            <v>1Q2002</v>
          </cell>
          <cell r="G212">
            <v>248813.78</v>
          </cell>
        </row>
        <row r="213">
          <cell r="E213" t="str">
            <v>1Q2002</v>
          </cell>
          <cell r="G213">
            <v>54000</v>
          </cell>
        </row>
        <row r="214">
          <cell r="E214" t="str">
            <v>1Q2002</v>
          </cell>
          <cell r="G214">
            <v>-167405</v>
          </cell>
        </row>
        <row r="215">
          <cell r="E215" t="str">
            <v>1Q2002</v>
          </cell>
          <cell r="G215">
            <v>87560.33</v>
          </cell>
        </row>
        <row r="216">
          <cell r="E216" t="str">
            <v>1Q2002</v>
          </cell>
          <cell r="G216">
            <v>-83657.929999999993</v>
          </cell>
        </row>
        <row r="217">
          <cell r="E217" t="str">
            <v>1Q2002</v>
          </cell>
          <cell r="G217">
            <v>1682.17</v>
          </cell>
        </row>
        <row r="218">
          <cell r="E218" t="str">
            <v>1Q2002</v>
          </cell>
          <cell r="G218">
            <v>-329907</v>
          </cell>
        </row>
        <row r="219">
          <cell r="E219" t="str">
            <v>1Q2002</v>
          </cell>
          <cell r="G219">
            <v>143201</v>
          </cell>
        </row>
        <row r="220">
          <cell r="E220" t="str">
            <v>2Q2002</v>
          </cell>
          <cell r="G220">
            <v>32255</v>
          </cell>
        </row>
        <row r="221">
          <cell r="E221" t="str">
            <v>2Q2002</v>
          </cell>
          <cell r="G221">
            <v>-1250000</v>
          </cell>
        </row>
        <row r="222">
          <cell r="E222" t="str">
            <v>2Q2002</v>
          </cell>
          <cell r="G222">
            <v>119571</v>
          </cell>
        </row>
        <row r="223">
          <cell r="E223" t="str">
            <v>2Q2002</v>
          </cell>
          <cell r="G223">
            <v>-43478</v>
          </cell>
        </row>
        <row r="224">
          <cell r="E224" t="str">
            <v>2Q2002</v>
          </cell>
          <cell r="G224">
            <v>126568.88</v>
          </cell>
        </row>
        <row r="225">
          <cell r="E225" t="str">
            <v>2Q2002</v>
          </cell>
          <cell r="G225">
            <v>-157133</v>
          </cell>
        </row>
        <row r="226">
          <cell r="E226" t="str">
            <v>2Q2002</v>
          </cell>
          <cell r="G226">
            <v>-50847</v>
          </cell>
        </row>
        <row r="227">
          <cell r="E227" t="str">
            <v>2Q2002</v>
          </cell>
          <cell r="G227">
            <v>-6144227.0300000003</v>
          </cell>
        </row>
        <row r="228">
          <cell r="E228" t="str">
            <v>2Q2002</v>
          </cell>
          <cell r="G228">
            <v>-750000</v>
          </cell>
        </row>
        <row r="229">
          <cell r="E229" t="str">
            <v>2Q2002</v>
          </cell>
          <cell r="G229">
            <v>73909</v>
          </cell>
        </row>
        <row r="230">
          <cell r="E230" t="str">
            <v>2Q2002</v>
          </cell>
          <cell r="G230">
            <v>153559.98000000001</v>
          </cell>
        </row>
        <row r="231">
          <cell r="E231" t="str">
            <v>2Q2002</v>
          </cell>
          <cell r="G231">
            <v>-2838044.73</v>
          </cell>
        </row>
        <row r="232">
          <cell r="E232" t="str">
            <v>2Q2002</v>
          </cell>
          <cell r="G232">
            <v>7390.51</v>
          </cell>
        </row>
        <row r="233">
          <cell r="E233" t="str">
            <v>2Q2002</v>
          </cell>
          <cell r="G233">
            <v>-413.09</v>
          </cell>
        </row>
        <row r="234">
          <cell r="E234" t="str">
            <v>2Q2002</v>
          </cell>
          <cell r="G234">
            <v>187072</v>
          </cell>
        </row>
        <row r="235">
          <cell r="E235" t="str">
            <v>3Q2002</v>
          </cell>
          <cell r="G235">
            <v>85545</v>
          </cell>
        </row>
        <row r="236">
          <cell r="E236" t="str">
            <v>3Q2002</v>
          </cell>
          <cell r="G236">
            <v>44239</v>
          </cell>
        </row>
        <row r="237">
          <cell r="E237" t="str">
            <v>3Q2002</v>
          </cell>
          <cell r="G237">
            <v>37500</v>
          </cell>
        </row>
        <row r="238">
          <cell r="E238" t="str">
            <v>3Q2002</v>
          </cell>
          <cell r="G238">
            <v>-20104</v>
          </cell>
        </row>
        <row r="239">
          <cell r="E239" t="str">
            <v>3Q2002</v>
          </cell>
          <cell r="G239">
            <v>12817</v>
          </cell>
        </row>
        <row r="240">
          <cell r="E240" t="str">
            <v>3Q2002</v>
          </cell>
          <cell r="G240">
            <v>85000</v>
          </cell>
        </row>
        <row r="241">
          <cell r="E241" t="str">
            <v>3Q2002</v>
          </cell>
          <cell r="G241">
            <v>-313022.19</v>
          </cell>
        </row>
        <row r="242">
          <cell r="E242" t="str">
            <v>3Q2002</v>
          </cell>
          <cell r="G242">
            <v>395683.31</v>
          </cell>
        </row>
        <row r="243">
          <cell r="E243" t="str">
            <v>3Q2002</v>
          </cell>
          <cell r="G243">
            <v>547869.43999999994</v>
          </cell>
        </row>
        <row r="244">
          <cell r="E244" t="str">
            <v>3Q2002</v>
          </cell>
          <cell r="G244">
            <v>-153559.98000000001</v>
          </cell>
        </row>
        <row r="245">
          <cell r="E245" t="str">
            <v>3Q2002</v>
          </cell>
          <cell r="G245">
            <v>-542067.68000000005</v>
          </cell>
        </row>
        <row r="246">
          <cell r="E246" t="str">
            <v>4Q2002</v>
          </cell>
          <cell r="G246">
            <v>776644.18</v>
          </cell>
        </row>
        <row r="247">
          <cell r="E247" t="str">
            <v>4Q2002</v>
          </cell>
          <cell r="G247">
            <v>-77007</v>
          </cell>
        </row>
        <row r="248">
          <cell r="E248" t="str">
            <v>4Q2002</v>
          </cell>
          <cell r="G248">
            <v>-12906</v>
          </cell>
        </row>
        <row r="249">
          <cell r="E249" t="str">
            <v>4Q2002</v>
          </cell>
          <cell r="G249">
            <v>55045.07</v>
          </cell>
        </row>
        <row r="250">
          <cell r="E250" t="str">
            <v>4Q2002</v>
          </cell>
          <cell r="G250">
            <v>-55045.07</v>
          </cell>
        </row>
        <row r="251">
          <cell r="E251" t="str">
            <v>4Q2002</v>
          </cell>
          <cell r="G251">
            <v>33303</v>
          </cell>
        </row>
        <row r="252">
          <cell r="E252" t="str">
            <v>4Q2002</v>
          </cell>
          <cell r="G252">
            <v>127500</v>
          </cell>
        </row>
        <row r="253">
          <cell r="E253" t="str">
            <v>4Q2002</v>
          </cell>
          <cell r="G253">
            <v>88822</v>
          </cell>
        </row>
        <row r="254">
          <cell r="E254" t="str">
            <v>4Q2002</v>
          </cell>
          <cell r="G254">
            <v>1031</v>
          </cell>
        </row>
        <row r="255">
          <cell r="E255" t="str">
            <v>4Q2002</v>
          </cell>
          <cell r="G255">
            <v>44783</v>
          </cell>
        </row>
        <row r="256">
          <cell r="E256" t="str">
            <v>4Q2002</v>
          </cell>
          <cell r="G256">
            <v>14491</v>
          </cell>
        </row>
        <row r="257">
          <cell r="E257" t="str">
            <v>4Q2002</v>
          </cell>
          <cell r="G257">
            <v>-24</v>
          </cell>
        </row>
        <row r="258">
          <cell r="E258" t="str">
            <v>4Q2002</v>
          </cell>
          <cell r="G258">
            <v>-1662</v>
          </cell>
        </row>
        <row r="259">
          <cell r="E259" t="str">
            <v>4Q2002</v>
          </cell>
          <cell r="G259">
            <v>-1445513.81</v>
          </cell>
        </row>
        <row r="260">
          <cell r="E260" t="str">
            <v>4Q2002</v>
          </cell>
          <cell r="G260">
            <v>403484</v>
          </cell>
        </row>
        <row r="261">
          <cell r="E261" t="str">
            <v>4Q2002</v>
          </cell>
          <cell r="G261">
            <v>347831</v>
          </cell>
        </row>
        <row r="262">
          <cell r="E262" t="str">
            <v>4Q2002</v>
          </cell>
          <cell r="G262">
            <v>-37866</v>
          </cell>
        </row>
        <row r="263">
          <cell r="E263" t="str">
            <v>4Q2002</v>
          </cell>
          <cell r="G263">
            <v>21878</v>
          </cell>
        </row>
        <row r="264">
          <cell r="E264" t="str">
            <v>4Q2002</v>
          </cell>
          <cell r="G264">
            <v>265782</v>
          </cell>
        </row>
        <row r="265">
          <cell r="E265" t="str">
            <v>4Q2002</v>
          </cell>
          <cell r="G265">
            <v>3339</v>
          </cell>
        </row>
        <row r="266">
          <cell r="E266" t="str">
            <v>4Q2002</v>
          </cell>
          <cell r="G266">
            <v>-768389.47</v>
          </cell>
        </row>
        <row r="267">
          <cell r="E267" t="str">
            <v>4Q2002</v>
          </cell>
          <cell r="G267">
            <v>-392518.28</v>
          </cell>
        </row>
        <row r="268">
          <cell r="E268" t="str">
            <v>4Q2002</v>
          </cell>
          <cell r="G268">
            <v>-657612</v>
          </cell>
        </row>
        <row r="269">
          <cell r="E269" t="str">
            <v>4Q2002</v>
          </cell>
          <cell r="G269">
            <v>-212799</v>
          </cell>
        </row>
        <row r="270">
          <cell r="E270" t="str">
            <v>4Q2002</v>
          </cell>
          <cell r="G270">
            <v>2700000</v>
          </cell>
        </row>
        <row r="271">
          <cell r="E271" t="str">
            <v>4Q2002</v>
          </cell>
          <cell r="G271">
            <v>-1345</v>
          </cell>
        </row>
        <row r="272">
          <cell r="E272" t="str">
            <v>4Q2002</v>
          </cell>
          <cell r="G272">
            <v>1345</v>
          </cell>
        </row>
        <row r="273">
          <cell r="E273" t="str">
            <v>4Q2002</v>
          </cell>
          <cell r="G273">
            <v>-435</v>
          </cell>
        </row>
        <row r="274">
          <cell r="E274" t="str">
            <v>4Q2002</v>
          </cell>
          <cell r="G274">
            <v>435</v>
          </cell>
        </row>
        <row r="275">
          <cell r="E275" t="str">
            <v>1Q2003</v>
          </cell>
          <cell r="G275">
            <v>101612</v>
          </cell>
        </row>
        <row r="276">
          <cell r="E276" t="str">
            <v>1Q2003</v>
          </cell>
          <cell r="G276">
            <v>34375</v>
          </cell>
        </row>
        <row r="277">
          <cell r="E277" t="str">
            <v>1Q2003</v>
          </cell>
          <cell r="G277">
            <v>-1000000</v>
          </cell>
        </row>
        <row r="278">
          <cell r="E278" t="str">
            <v>1Q2003</v>
          </cell>
          <cell r="G278">
            <v>-1105</v>
          </cell>
        </row>
        <row r="279">
          <cell r="E279" t="str">
            <v>1Q2003</v>
          </cell>
          <cell r="G279">
            <v>-233997</v>
          </cell>
        </row>
        <row r="280">
          <cell r="E280" t="str">
            <v>1Q2003</v>
          </cell>
          <cell r="G280">
            <v>-851</v>
          </cell>
        </row>
        <row r="281">
          <cell r="E281" t="str">
            <v>1Q2003</v>
          </cell>
          <cell r="G281">
            <v>-64606</v>
          </cell>
        </row>
        <row r="282">
          <cell r="E282" t="str">
            <v>1Q2003</v>
          </cell>
          <cell r="G282">
            <v>765000</v>
          </cell>
        </row>
        <row r="283">
          <cell r="E283" t="str">
            <v>1Q2003</v>
          </cell>
          <cell r="G283">
            <v>11007</v>
          </cell>
        </row>
        <row r="284">
          <cell r="E284" t="str">
            <v>1Q2003</v>
          </cell>
          <cell r="G284">
            <v>-11007</v>
          </cell>
        </row>
        <row r="285">
          <cell r="E285" t="str">
            <v>1Q2003</v>
          </cell>
          <cell r="G285">
            <v>37500</v>
          </cell>
        </row>
        <row r="286">
          <cell r="E286" t="str">
            <v>1Q2003</v>
          </cell>
          <cell r="G286">
            <v>-37500</v>
          </cell>
        </row>
        <row r="287">
          <cell r="E287" t="str">
            <v>1Q2003</v>
          </cell>
          <cell r="G287">
            <v>-500000</v>
          </cell>
        </row>
        <row r="288">
          <cell r="E288" t="str">
            <v>1Q2003</v>
          </cell>
          <cell r="G288">
            <v>-232</v>
          </cell>
        </row>
        <row r="289">
          <cell r="E289" t="str">
            <v>1Q2003</v>
          </cell>
          <cell r="G289">
            <v>-63000</v>
          </cell>
        </row>
        <row r="290">
          <cell r="E290" t="str">
            <v>1Q2003</v>
          </cell>
          <cell r="G290">
            <v>-500000</v>
          </cell>
        </row>
        <row r="291">
          <cell r="E291" t="str">
            <v>1Q2003</v>
          </cell>
          <cell r="G291">
            <v>-1896252</v>
          </cell>
        </row>
        <row r="292">
          <cell r="E292" t="str">
            <v>1Q2003</v>
          </cell>
          <cell r="G292">
            <v>-632410.75</v>
          </cell>
        </row>
        <row r="293">
          <cell r="E293" t="str">
            <v>1Q2003</v>
          </cell>
          <cell r="G293">
            <v>-335972.38</v>
          </cell>
        </row>
        <row r="294">
          <cell r="E294" t="str">
            <v>1Q2003</v>
          </cell>
          <cell r="G294">
            <v>-108926</v>
          </cell>
        </row>
        <row r="295">
          <cell r="E295" t="str">
            <v>1Q2003</v>
          </cell>
          <cell r="G295">
            <v>315000</v>
          </cell>
        </row>
        <row r="296">
          <cell r="E296" t="str">
            <v>2Q2003</v>
          </cell>
          <cell r="G296">
            <v>246973</v>
          </cell>
        </row>
        <row r="297">
          <cell r="E297" t="str">
            <v>2Q2003</v>
          </cell>
          <cell r="G297">
            <v>3080</v>
          </cell>
        </row>
        <row r="298">
          <cell r="E298" t="str">
            <v>2Q2003</v>
          </cell>
          <cell r="G298">
            <v>18048</v>
          </cell>
        </row>
        <row r="299">
          <cell r="E299" t="str">
            <v>2Q2003</v>
          </cell>
          <cell r="G299">
            <v>180000</v>
          </cell>
        </row>
        <row r="300">
          <cell r="E300" t="str">
            <v>2Q2003</v>
          </cell>
          <cell r="G300">
            <v>-603599.38</v>
          </cell>
        </row>
        <row r="301">
          <cell r="E301" t="str">
            <v>2Q2003</v>
          </cell>
          <cell r="G301">
            <v>-386304</v>
          </cell>
        </row>
        <row r="302">
          <cell r="E302" t="str">
            <v>2Q2003</v>
          </cell>
          <cell r="G302">
            <v>-6017284.3799999999</v>
          </cell>
        </row>
        <row r="303">
          <cell r="E303" t="str">
            <v>2Q2003</v>
          </cell>
          <cell r="G303">
            <v>167835</v>
          </cell>
        </row>
        <row r="304">
          <cell r="E304" t="str">
            <v>2Q2003</v>
          </cell>
          <cell r="G304">
            <v>-86</v>
          </cell>
        </row>
        <row r="305">
          <cell r="E305" t="str">
            <v>2Q2003</v>
          </cell>
          <cell r="G305">
            <v>-2578</v>
          </cell>
        </row>
        <row r="306">
          <cell r="E306" t="str">
            <v>2Q2003</v>
          </cell>
          <cell r="G306">
            <v>-500000</v>
          </cell>
        </row>
        <row r="307">
          <cell r="E307" t="str">
            <v>2Q2003</v>
          </cell>
          <cell r="G307">
            <v>-281674</v>
          </cell>
        </row>
        <row r="308">
          <cell r="E308" t="str">
            <v>2Q2003</v>
          </cell>
          <cell r="G308">
            <v>-126572</v>
          </cell>
        </row>
        <row r="309">
          <cell r="E309" t="str">
            <v>2Q2003</v>
          </cell>
          <cell r="G309">
            <v>-42177</v>
          </cell>
        </row>
        <row r="310">
          <cell r="E310" t="str">
            <v>2Q2003</v>
          </cell>
          <cell r="G310">
            <v>-801061.41</v>
          </cell>
        </row>
        <row r="311">
          <cell r="E311" t="str">
            <v>2Q2003</v>
          </cell>
          <cell r="G311">
            <v>-64103.05</v>
          </cell>
        </row>
        <row r="312">
          <cell r="E312" t="str">
            <v>3Q2003</v>
          </cell>
          <cell r="G312">
            <v>101612</v>
          </cell>
        </row>
        <row r="313">
          <cell r="E313" t="str">
            <v>3Q2003</v>
          </cell>
          <cell r="G313">
            <v>8432</v>
          </cell>
        </row>
        <row r="314">
          <cell r="E314" t="str">
            <v>3Q2003</v>
          </cell>
          <cell r="G314">
            <v>9723</v>
          </cell>
        </row>
        <row r="315">
          <cell r="E315" t="str">
            <v>3Q2003</v>
          </cell>
          <cell r="G315">
            <v>37500</v>
          </cell>
        </row>
        <row r="316">
          <cell r="E316" t="str">
            <v>3Q2003</v>
          </cell>
          <cell r="G316">
            <v>-19184</v>
          </cell>
        </row>
        <row r="317">
          <cell r="E317" t="str">
            <v>3Q2003</v>
          </cell>
          <cell r="G317">
            <v>-500000</v>
          </cell>
        </row>
        <row r="318">
          <cell r="E318" t="str">
            <v>3Q2003</v>
          </cell>
          <cell r="G318">
            <v>-407</v>
          </cell>
        </row>
        <row r="319">
          <cell r="E319" t="str">
            <v>3Q2003</v>
          </cell>
          <cell r="G319">
            <v>-841352</v>
          </cell>
        </row>
        <row r="320">
          <cell r="E320" t="str">
            <v>3Q2003</v>
          </cell>
          <cell r="G320">
            <v>-297056</v>
          </cell>
        </row>
        <row r="321">
          <cell r="E321" t="str">
            <v>3Q2003</v>
          </cell>
          <cell r="G321">
            <v>-4498</v>
          </cell>
        </row>
        <row r="322">
          <cell r="E322" t="str">
            <v>3Q2003</v>
          </cell>
          <cell r="G322">
            <v>-250000</v>
          </cell>
        </row>
        <row r="323">
          <cell r="E323" t="str">
            <v>3Q2003</v>
          </cell>
          <cell r="G323">
            <v>122668</v>
          </cell>
        </row>
        <row r="324">
          <cell r="E324" t="str">
            <v>3Q2003</v>
          </cell>
          <cell r="G324">
            <v>1463</v>
          </cell>
        </row>
        <row r="325">
          <cell r="E325" t="str">
            <v>3Q2003</v>
          </cell>
          <cell r="G325">
            <v>128002</v>
          </cell>
        </row>
        <row r="326">
          <cell r="E326" t="str">
            <v>3Q2003</v>
          </cell>
          <cell r="G326">
            <v>-394412.62</v>
          </cell>
        </row>
        <row r="327">
          <cell r="E327" t="str">
            <v>3Q2003</v>
          </cell>
          <cell r="G327">
            <v>-4350.53</v>
          </cell>
        </row>
        <row r="328">
          <cell r="E328" t="str">
            <v>3Q2003</v>
          </cell>
          <cell r="G328">
            <v>-53965</v>
          </cell>
        </row>
        <row r="329">
          <cell r="E329" t="str">
            <v>4Q2003</v>
          </cell>
          <cell r="G329">
            <v>-362160</v>
          </cell>
        </row>
        <row r="330">
          <cell r="E330" t="str">
            <v>4Q2003</v>
          </cell>
          <cell r="G330">
            <v>24629</v>
          </cell>
        </row>
        <row r="331">
          <cell r="E331" t="str">
            <v>4Q2003</v>
          </cell>
          <cell r="G331">
            <v>144698</v>
          </cell>
        </row>
        <row r="332">
          <cell r="E332" t="str">
            <v>4Q2003</v>
          </cell>
          <cell r="G332">
            <v>-1515514.06</v>
          </cell>
        </row>
        <row r="333">
          <cell r="E333" t="str">
            <v>4Q2003</v>
          </cell>
          <cell r="G333">
            <v>-47157</v>
          </cell>
        </row>
        <row r="334">
          <cell r="E334" t="str">
            <v>4Q2003</v>
          </cell>
          <cell r="G334">
            <v>253515</v>
          </cell>
        </row>
        <row r="335">
          <cell r="E335" t="str">
            <v>4Q2003</v>
          </cell>
          <cell r="G335">
            <v>2972</v>
          </cell>
        </row>
        <row r="336">
          <cell r="E336" t="str">
            <v>4Q2003</v>
          </cell>
          <cell r="G336">
            <v>-875583</v>
          </cell>
        </row>
        <row r="337">
          <cell r="E337" t="str">
            <v>4Q2003</v>
          </cell>
          <cell r="G337">
            <v>-283333</v>
          </cell>
        </row>
        <row r="338">
          <cell r="E338" t="str">
            <v>4Q2003</v>
          </cell>
          <cell r="G338">
            <v>278265</v>
          </cell>
        </row>
        <row r="339">
          <cell r="E339" t="str">
            <v>4Q2003</v>
          </cell>
          <cell r="G339">
            <v>-1867037</v>
          </cell>
        </row>
        <row r="340">
          <cell r="E340" t="str">
            <v>4Q2003</v>
          </cell>
          <cell r="G340">
            <v>220500</v>
          </cell>
        </row>
        <row r="341">
          <cell r="E341" t="str">
            <v>4Q2003</v>
          </cell>
          <cell r="G341">
            <v>109121</v>
          </cell>
        </row>
        <row r="342">
          <cell r="E342" t="str">
            <v>4Q2003</v>
          </cell>
          <cell r="G342">
            <v>-2097</v>
          </cell>
        </row>
        <row r="343">
          <cell r="E343" t="str">
            <v>4Q2003</v>
          </cell>
          <cell r="G343">
            <v>278586</v>
          </cell>
        </row>
        <row r="344">
          <cell r="E344" t="str">
            <v>4Q2003</v>
          </cell>
          <cell r="G344">
            <v>3297</v>
          </cell>
        </row>
        <row r="345">
          <cell r="E345" t="str">
            <v>4Q2003</v>
          </cell>
          <cell r="G345">
            <v>-1613137.16</v>
          </cell>
        </row>
        <row r="346">
          <cell r="E346" t="str">
            <v>4Q2003</v>
          </cell>
          <cell r="G346">
            <v>-188332</v>
          </cell>
        </row>
        <row r="347">
          <cell r="E347" t="str">
            <v>4Q2003</v>
          </cell>
          <cell r="G347">
            <v>-131918</v>
          </cell>
        </row>
        <row r="348">
          <cell r="E348" t="str">
            <v>4Q2003</v>
          </cell>
          <cell r="G348">
            <v>-850117</v>
          </cell>
        </row>
        <row r="349">
          <cell r="E349" t="str">
            <v>4Q2003</v>
          </cell>
          <cell r="G349">
            <v>-544</v>
          </cell>
        </row>
        <row r="350">
          <cell r="E350" t="str">
            <v>4Q2003</v>
          </cell>
          <cell r="G350">
            <v>-40401</v>
          </cell>
        </row>
        <row r="351">
          <cell r="E351" t="str">
            <v>1Q2004</v>
          </cell>
          <cell r="G351">
            <v>38144</v>
          </cell>
        </row>
        <row r="352">
          <cell r="E352" t="str">
            <v>1Q2004</v>
          </cell>
          <cell r="G352">
            <v>25585</v>
          </cell>
        </row>
        <row r="353">
          <cell r="E353" t="str">
            <v>1Q2004</v>
          </cell>
          <cell r="G353">
            <v>467500</v>
          </cell>
        </row>
        <row r="354">
          <cell r="E354" t="str">
            <v>1Q2004</v>
          </cell>
          <cell r="G354">
            <v>613342</v>
          </cell>
        </row>
        <row r="355">
          <cell r="E355" t="str">
            <v>1Q2004</v>
          </cell>
          <cell r="G355">
            <v>7317</v>
          </cell>
        </row>
        <row r="356">
          <cell r="E356" t="str">
            <v>1Q2004</v>
          </cell>
          <cell r="G356">
            <v>-386304</v>
          </cell>
        </row>
        <row r="357">
          <cell r="E357" t="str">
            <v>1Q2004</v>
          </cell>
          <cell r="G357">
            <v>-95</v>
          </cell>
        </row>
        <row r="358">
          <cell r="E358" t="str">
            <v>1Q2004</v>
          </cell>
          <cell r="G358">
            <v>-72250</v>
          </cell>
        </row>
        <row r="359">
          <cell r="E359" t="str">
            <v>1Q2004</v>
          </cell>
          <cell r="G359">
            <v>-11946</v>
          </cell>
        </row>
        <row r="360">
          <cell r="E360" t="str">
            <v>1Q2004</v>
          </cell>
          <cell r="G360">
            <v>11946</v>
          </cell>
        </row>
        <row r="361">
          <cell r="E361" t="str">
            <v>1Q2004</v>
          </cell>
          <cell r="G361">
            <v>-6211</v>
          </cell>
        </row>
        <row r="362">
          <cell r="E362" t="str">
            <v>1Q2004</v>
          </cell>
          <cell r="G362">
            <v>-10939</v>
          </cell>
        </row>
        <row r="363">
          <cell r="E363" t="str">
            <v>1Q2004</v>
          </cell>
          <cell r="G363">
            <v>-78</v>
          </cell>
        </row>
        <row r="364">
          <cell r="E364" t="str">
            <v>1Q2004</v>
          </cell>
          <cell r="G364">
            <v>-45000</v>
          </cell>
        </row>
        <row r="365">
          <cell r="E365" t="str">
            <v>1Q2004</v>
          </cell>
          <cell r="G365">
            <v>-659532</v>
          </cell>
        </row>
        <row r="366">
          <cell r="E366" t="str">
            <v>1Q2004</v>
          </cell>
          <cell r="G366">
            <v>-121327</v>
          </cell>
        </row>
        <row r="367">
          <cell r="E367" t="str">
            <v>1Q2004</v>
          </cell>
          <cell r="G367">
            <v>182945.93</v>
          </cell>
        </row>
        <row r="368">
          <cell r="E368" t="str">
            <v>1Q2004</v>
          </cell>
          <cell r="G368">
            <v>27262.94</v>
          </cell>
        </row>
        <row r="369">
          <cell r="E369" t="str">
            <v>1Q2004</v>
          </cell>
          <cell r="G369">
            <v>-153038</v>
          </cell>
        </row>
        <row r="370">
          <cell r="E370" t="str">
            <v>1Q2004</v>
          </cell>
          <cell r="G370">
            <v>-2225</v>
          </cell>
        </row>
        <row r="371">
          <cell r="E371" t="str">
            <v>1Q2004</v>
          </cell>
          <cell r="G371">
            <v>-184002</v>
          </cell>
        </row>
        <row r="372">
          <cell r="E372" t="str">
            <v>1Q2004</v>
          </cell>
          <cell r="G372">
            <v>-725580.39</v>
          </cell>
        </row>
        <row r="373">
          <cell r="E373" t="str">
            <v>1Q2004</v>
          </cell>
          <cell r="G373">
            <v>-369635.52</v>
          </cell>
        </row>
        <row r="374">
          <cell r="E374" t="str">
            <v>1Q2004</v>
          </cell>
          <cell r="G374">
            <v>32723</v>
          </cell>
        </row>
        <row r="375">
          <cell r="E375" t="str">
            <v>1Q2004</v>
          </cell>
          <cell r="G375">
            <v>369</v>
          </cell>
        </row>
        <row r="376">
          <cell r="E376" t="str">
            <v>2Q2004</v>
          </cell>
          <cell r="G376">
            <v>-1004389</v>
          </cell>
        </row>
        <row r="377">
          <cell r="E377" t="str">
            <v>2Q2004</v>
          </cell>
          <cell r="G377">
            <v>-69395</v>
          </cell>
        </row>
        <row r="378">
          <cell r="E378" t="str">
            <v>2Q2004</v>
          </cell>
          <cell r="G378">
            <v>-76851</v>
          </cell>
        </row>
        <row r="379">
          <cell r="E379" t="str">
            <v>2Q2004</v>
          </cell>
          <cell r="G379">
            <v>255000</v>
          </cell>
        </row>
        <row r="380">
          <cell r="E380" t="str">
            <v>2Q2004</v>
          </cell>
          <cell r="G380">
            <v>0</v>
          </cell>
        </row>
        <row r="381">
          <cell r="E381" t="str">
            <v>2Q2004</v>
          </cell>
          <cell r="G381">
            <v>-66896</v>
          </cell>
        </row>
        <row r="382">
          <cell r="E382" t="str">
            <v>2Q2004</v>
          </cell>
          <cell r="G382">
            <v>-10</v>
          </cell>
        </row>
        <row r="383">
          <cell r="E383" t="str">
            <v>2Q2004</v>
          </cell>
          <cell r="G383">
            <v>-859</v>
          </cell>
        </row>
        <row r="384">
          <cell r="E384" t="str">
            <v>2Q2004</v>
          </cell>
          <cell r="G384">
            <v>-314432</v>
          </cell>
        </row>
        <row r="385">
          <cell r="E385" t="str">
            <v>2Q2004</v>
          </cell>
          <cell r="G385">
            <v>-813177.19</v>
          </cell>
        </row>
        <row r="386">
          <cell r="E386" t="str">
            <v>2Q2004</v>
          </cell>
          <cell r="G386">
            <v>-637000.1</v>
          </cell>
        </row>
        <row r="387">
          <cell r="E387" t="str">
            <v>2Q2004</v>
          </cell>
          <cell r="G387">
            <v>42500</v>
          </cell>
        </row>
        <row r="388">
          <cell r="E388" t="str">
            <v>2Q2004</v>
          </cell>
          <cell r="G388">
            <v>-289728</v>
          </cell>
        </row>
        <row r="389">
          <cell r="E389" t="str">
            <v>2Q2004</v>
          </cell>
          <cell r="G389">
            <v>23144.18</v>
          </cell>
        </row>
        <row r="390">
          <cell r="E390" t="str">
            <v>2Q2004</v>
          </cell>
          <cell r="G390">
            <v>3795</v>
          </cell>
        </row>
        <row r="391">
          <cell r="E391" t="str">
            <v>2Q2004</v>
          </cell>
          <cell r="G391">
            <v>-2073301</v>
          </cell>
        </row>
        <row r="392">
          <cell r="E392" t="str">
            <v>2Q2004</v>
          </cell>
          <cell r="G392">
            <v>165913</v>
          </cell>
        </row>
        <row r="393">
          <cell r="E393" t="str">
            <v>2Q2004</v>
          </cell>
          <cell r="G393">
            <v>255000</v>
          </cell>
        </row>
        <row r="394">
          <cell r="E394" t="str">
            <v>2Q2004</v>
          </cell>
          <cell r="G394">
            <v>-410248.76</v>
          </cell>
        </row>
        <row r="395">
          <cell r="E395" t="str">
            <v>2Q2004</v>
          </cell>
          <cell r="G395">
            <v>-960123.06</v>
          </cell>
        </row>
        <row r="396">
          <cell r="E396" t="str">
            <v>2Q2004</v>
          </cell>
          <cell r="G396">
            <v>-867308.29</v>
          </cell>
        </row>
        <row r="397">
          <cell r="E397" t="str">
            <v>2Q2004</v>
          </cell>
          <cell r="G397">
            <v>1715.05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_Slides"/>
      <sheetName val="Aggregate"/>
      <sheetName val="Buyout"/>
      <sheetName val="Venture"/>
      <sheetName val="SpecialSits"/>
      <sheetName val="Mezz"/>
      <sheetName val="RE"/>
      <sheetName val="US"/>
      <sheetName val="EURO"/>
      <sheetName val="Venture_Allocation"/>
      <sheetName val="Size_matters(2)"/>
      <sheetName val="Size_Matters"/>
      <sheetName val="Outlier_Analysis"/>
      <sheetName val="Pick_better_funds"/>
      <sheetName val="PreQuin_Metrics"/>
      <sheetName val="VE_Benchmarks"/>
      <sheetName val="Geography"/>
      <sheetName val="Size"/>
      <sheetName val="Size (2)"/>
      <sheetName val="Strategy"/>
      <sheetName val="Quartiles"/>
      <sheetName val="Sheet for Sorting"/>
      <sheetName val="tearsheets"/>
      <sheetName val="TS_Sorts"/>
      <sheetName val="Petes_Fund_Set"/>
      <sheetName val="Performance - By Fund_MR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K5" t="str">
            <v>SMID</v>
          </cell>
        </row>
        <row r="7">
          <cell r="K7" t="str">
            <v>SMID</v>
          </cell>
        </row>
        <row r="8">
          <cell r="K8" t="str">
            <v>SMID</v>
          </cell>
        </row>
        <row r="12">
          <cell r="K12" t="str">
            <v>General</v>
          </cell>
        </row>
        <row r="13">
          <cell r="K13" t="str">
            <v>SMID</v>
          </cell>
        </row>
        <row r="16">
          <cell r="K16" t="str">
            <v>Distressed</v>
          </cell>
        </row>
        <row r="17">
          <cell r="K17" t="str">
            <v>SMID</v>
          </cell>
        </row>
        <row r="18">
          <cell r="K18" t="str">
            <v>SMID</v>
          </cell>
        </row>
        <row r="20">
          <cell r="K20" t="str">
            <v>Large</v>
          </cell>
        </row>
        <row r="21">
          <cell r="K21" t="str">
            <v>Large</v>
          </cell>
        </row>
        <row r="22">
          <cell r="K22" t="str">
            <v>Large</v>
          </cell>
        </row>
        <row r="25">
          <cell r="K25" t="str">
            <v>SMID</v>
          </cell>
        </row>
        <row r="29">
          <cell r="K29" t="str">
            <v>Distressed</v>
          </cell>
        </row>
        <row r="30">
          <cell r="K30" t="str">
            <v>Distressed</v>
          </cell>
        </row>
        <row r="31">
          <cell r="K31" t="str">
            <v>SMID</v>
          </cell>
        </row>
        <row r="32">
          <cell r="K32" t="str">
            <v>SMID</v>
          </cell>
        </row>
        <row r="33">
          <cell r="K33" t="str">
            <v>SMID</v>
          </cell>
        </row>
        <row r="34">
          <cell r="K34" t="str">
            <v>Large</v>
          </cell>
        </row>
        <row r="35">
          <cell r="K35" t="str">
            <v>Large</v>
          </cell>
        </row>
        <row r="36">
          <cell r="K36" t="str">
            <v>General</v>
          </cell>
        </row>
        <row r="40">
          <cell r="K40" t="str">
            <v>Distressed</v>
          </cell>
        </row>
        <row r="41">
          <cell r="K41" t="str">
            <v>Distressed</v>
          </cell>
        </row>
        <row r="42">
          <cell r="K42" t="str">
            <v>Distressed</v>
          </cell>
        </row>
        <row r="43">
          <cell r="K43" t="str">
            <v>SMID</v>
          </cell>
        </row>
        <row r="44">
          <cell r="K44" t="str">
            <v>SMID</v>
          </cell>
        </row>
        <row r="45">
          <cell r="K45" t="str">
            <v>SMID</v>
          </cell>
        </row>
        <row r="46">
          <cell r="K46" t="str">
            <v>SMID</v>
          </cell>
        </row>
        <row r="47">
          <cell r="K47" t="str">
            <v>SMID</v>
          </cell>
        </row>
        <row r="49">
          <cell r="K49" t="str">
            <v>SMID</v>
          </cell>
        </row>
        <row r="51">
          <cell r="K51" t="str">
            <v>Large</v>
          </cell>
        </row>
        <row r="52">
          <cell r="K52" t="str">
            <v>Large</v>
          </cell>
        </row>
        <row r="53">
          <cell r="K53" t="str">
            <v>Large</v>
          </cell>
        </row>
        <row r="55">
          <cell r="K55" t="str">
            <v>General</v>
          </cell>
        </row>
        <row r="56">
          <cell r="K56" t="str">
            <v>Distressed</v>
          </cell>
        </row>
        <row r="57">
          <cell r="K57" t="str">
            <v>Large</v>
          </cell>
        </row>
        <row r="58">
          <cell r="K58" t="str">
            <v>Large</v>
          </cell>
        </row>
        <row r="59">
          <cell r="K59" t="str">
            <v>General</v>
          </cell>
        </row>
        <row r="62">
          <cell r="K62" t="str">
            <v>SMID</v>
          </cell>
        </row>
        <row r="63">
          <cell r="K63" t="str">
            <v>SMID</v>
          </cell>
        </row>
        <row r="70">
          <cell r="K70" t="str">
            <v>Large</v>
          </cell>
        </row>
        <row r="71">
          <cell r="K71" t="str">
            <v>Large</v>
          </cell>
        </row>
        <row r="72">
          <cell r="K72" t="str">
            <v>Large</v>
          </cell>
        </row>
        <row r="73">
          <cell r="K73" t="str">
            <v>Large</v>
          </cell>
        </row>
        <row r="75">
          <cell r="K75" t="str">
            <v>Large</v>
          </cell>
        </row>
        <row r="79">
          <cell r="K79" t="str">
            <v>SMID</v>
          </cell>
        </row>
        <row r="80">
          <cell r="K80" t="str">
            <v>SMID</v>
          </cell>
        </row>
        <row r="81">
          <cell r="K81" t="str">
            <v>Large</v>
          </cell>
        </row>
        <row r="82">
          <cell r="K82" t="str">
            <v>SMID</v>
          </cell>
        </row>
        <row r="85">
          <cell r="K85" t="str">
            <v>SMID</v>
          </cell>
        </row>
        <row r="87">
          <cell r="K87" t="str">
            <v>General</v>
          </cell>
        </row>
        <row r="88">
          <cell r="K88" t="str">
            <v>SMID</v>
          </cell>
        </row>
        <row r="90">
          <cell r="K90" t="str">
            <v>SMID</v>
          </cell>
        </row>
        <row r="91">
          <cell r="K91" t="str">
            <v>SMID</v>
          </cell>
        </row>
        <row r="92">
          <cell r="K92" t="str">
            <v>SMID</v>
          </cell>
        </row>
        <row r="93">
          <cell r="K93" t="str">
            <v>SMID</v>
          </cell>
        </row>
        <row r="94">
          <cell r="K94" t="str">
            <v>SMID</v>
          </cell>
        </row>
        <row r="95">
          <cell r="K95" t="str">
            <v>SMID</v>
          </cell>
        </row>
        <row r="96">
          <cell r="K96" t="str">
            <v>SMID</v>
          </cell>
        </row>
        <row r="97">
          <cell r="K97" t="str">
            <v>Large</v>
          </cell>
        </row>
        <row r="98">
          <cell r="K98" t="str">
            <v>SMID</v>
          </cell>
        </row>
        <row r="99">
          <cell r="K99" t="str">
            <v>Large</v>
          </cell>
        </row>
        <row r="100">
          <cell r="K100" t="str">
            <v>Large</v>
          </cell>
        </row>
        <row r="101">
          <cell r="K101" t="str">
            <v>SMID</v>
          </cell>
        </row>
        <row r="102">
          <cell r="K102" t="str">
            <v>SMID</v>
          </cell>
        </row>
        <row r="104">
          <cell r="K104" t="str">
            <v>SMID</v>
          </cell>
        </row>
        <row r="111">
          <cell r="K111" t="str">
            <v>SMID</v>
          </cell>
        </row>
        <row r="112">
          <cell r="K112" t="str">
            <v>SMID</v>
          </cell>
        </row>
        <row r="114">
          <cell r="K114" t="str">
            <v>SMID</v>
          </cell>
        </row>
        <row r="115">
          <cell r="K115" t="str">
            <v>SMID</v>
          </cell>
        </row>
        <row r="116">
          <cell r="K116" t="str">
            <v>SMID</v>
          </cell>
        </row>
        <row r="117">
          <cell r="K117" t="str">
            <v>Large</v>
          </cell>
        </row>
        <row r="118">
          <cell r="K118" t="str">
            <v>Large</v>
          </cell>
        </row>
        <row r="120">
          <cell r="K120" t="str">
            <v>SMID</v>
          </cell>
        </row>
        <row r="121">
          <cell r="K121" t="str">
            <v>SMID</v>
          </cell>
        </row>
        <row r="122">
          <cell r="K122" t="str">
            <v>SMID</v>
          </cell>
        </row>
        <row r="123">
          <cell r="K123" t="str">
            <v>Distressed</v>
          </cell>
        </row>
        <row r="124">
          <cell r="K124" t="str">
            <v>Distressed</v>
          </cell>
        </row>
        <row r="125">
          <cell r="K125" t="str">
            <v>SMID</v>
          </cell>
        </row>
        <row r="126">
          <cell r="K126" t="str">
            <v>SMID</v>
          </cell>
        </row>
        <row r="127">
          <cell r="K127" t="str">
            <v>SMID</v>
          </cell>
        </row>
        <row r="130">
          <cell r="K130" t="str">
            <v>Large</v>
          </cell>
        </row>
        <row r="131">
          <cell r="K131" t="str">
            <v>Large</v>
          </cell>
        </row>
        <row r="132">
          <cell r="K132" t="str">
            <v>SMID</v>
          </cell>
        </row>
        <row r="133">
          <cell r="K133" t="str">
            <v>SMID</v>
          </cell>
        </row>
        <row r="134">
          <cell r="K134" t="str">
            <v>Large</v>
          </cell>
        </row>
        <row r="135">
          <cell r="K135" t="str">
            <v>Large</v>
          </cell>
        </row>
        <row r="136">
          <cell r="K136" t="str">
            <v>SMID</v>
          </cell>
        </row>
        <row r="144">
          <cell r="K144" t="str">
            <v>SMID</v>
          </cell>
        </row>
        <row r="145">
          <cell r="K145" t="str">
            <v>General</v>
          </cell>
        </row>
        <row r="148">
          <cell r="K148" t="str">
            <v>SMID</v>
          </cell>
        </row>
        <row r="149">
          <cell r="K149" t="str">
            <v>Large</v>
          </cell>
        </row>
        <row r="150">
          <cell r="K150" t="str">
            <v>SMID</v>
          </cell>
        </row>
        <row r="151">
          <cell r="K151" t="str">
            <v>Large</v>
          </cell>
        </row>
        <row r="152">
          <cell r="K152" t="str">
            <v>SMID</v>
          </cell>
        </row>
        <row r="157">
          <cell r="K157" t="str">
            <v>Distressed</v>
          </cell>
        </row>
        <row r="158">
          <cell r="K158" t="str">
            <v>Distressed</v>
          </cell>
        </row>
        <row r="159">
          <cell r="K159" t="str">
            <v>Distressed</v>
          </cell>
        </row>
        <row r="160">
          <cell r="K160" t="str">
            <v>Distressed</v>
          </cell>
        </row>
        <row r="161">
          <cell r="K161" t="str">
            <v>Distressed</v>
          </cell>
        </row>
        <row r="162">
          <cell r="K162" t="str">
            <v>General</v>
          </cell>
        </row>
        <row r="163">
          <cell r="K163" t="str">
            <v>SMID</v>
          </cell>
        </row>
        <row r="166">
          <cell r="K166" t="str">
            <v>SMID</v>
          </cell>
        </row>
        <row r="167">
          <cell r="K167" t="str">
            <v>SMID</v>
          </cell>
        </row>
        <row r="168">
          <cell r="K168" t="str">
            <v>SMID</v>
          </cell>
        </row>
        <row r="169">
          <cell r="K169" t="str">
            <v>SMID</v>
          </cell>
        </row>
        <row r="170">
          <cell r="K170" t="str">
            <v>Large</v>
          </cell>
        </row>
        <row r="171">
          <cell r="K171" t="str">
            <v>Large</v>
          </cell>
        </row>
        <row r="172">
          <cell r="K172" t="str">
            <v>General</v>
          </cell>
        </row>
        <row r="173">
          <cell r="K173" t="str">
            <v>SMID</v>
          </cell>
        </row>
        <row r="174">
          <cell r="K174" t="str">
            <v>SMID</v>
          </cell>
        </row>
        <row r="175">
          <cell r="K175" t="str">
            <v>SMID</v>
          </cell>
        </row>
        <row r="177">
          <cell r="K177" t="str">
            <v>SMID</v>
          </cell>
        </row>
        <row r="178">
          <cell r="K178" t="str">
            <v>SMID</v>
          </cell>
        </row>
        <row r="183">
          <cell r="K183" t="str">
            <v>SMID</v>
          </cell>
        </row>
        <row r="184">
          <cell r="K184" t="str">
            <v>General</v>
          </cell>
        </row>
        <row r="185">
          <cell r="K185" t="str">
            <v>Large</v>
          </cell>
        </row>
        <row r="186">
          <cell r="K186" t="str">
            <v>Large</v>
          </cell>
        </row>
        <row r="187">
          <cell r="K187" t="str">
            <v>Large</v>
          </cell>
        </row>
        <row r="188">
          <cell r="K188" t="str">
            <v>Large</v>
          </cell>
        </row>
        <row r="190">
          <cell r="K190" t="str">
            <v>SMID</v>
          </cell>
        </row>
        <row r="191">
          <cell r="K191" t="str">
            <v>Distressed</v>
          </cell>
        </row>
        <row r="193">
          <cell r="K193" t="str">
            <v>SMID</v>
          </cell>
        </row>
        <row r="194">
          <cell r="K194" t="str">
            <v>SMID</v>
          </cell>
        </row>
        <row r="195">
          <cell r="K195" t="str">
            <v>SMID</v>
          </cell>
        </row>
        <row r="196">
          <cell r="K196" t="str">
            <v>SMID</v>
          </cell>
        </row>
        <row r="197">
          <cell r="K197" t="str">
            <v>SMID</v>
          </cell>
        </row>
        <row r="204">
          <cell r="K204" t="str">
            <v>SMID</v>
          </cell>
        </row>
        <row r="206">
          <cell r="K206" t="str">
            <v>SMID</v>
          </cell>
        </row>
        <row r="207">
          <cell r="K207" t="str">
            <v>SMID</v>
          </cell>
        </row>
        <row r="208">
          <cell r="K208" t="str">
            <v>SMID</v>
          </cell>
        </row>
        <row r="209">
          <cell r="K209" t="str">
            <v>Large</v>
          </cell>
        </row>
        <row r="213">
          <cell r="K213" t="str">
            <v>Large</v>
          </cell>
        </row>
        <row r="214">
          <cell r="K214" t="str">
            <v>Distressed</v>
          </cell>
        </row>
        <row r="216">
          <cell r="K216" t="str">
            <v>SMID</v>
          </cell>
        </row>
        <row r="218">
          <cell r="K218" t="str">
            <v>Large</v>
          </cell>
        </row>
        <row r="219">
          <cell r="K219" t="str">
            <v>Large</v>
          </cell>
        </row>
        <row r="220">
          <cell r="K220" t="str">
            <v>Large</v>
          </cell>
        </row>
        <row r="221">
          <cell r="K221" t="str">
            <v>Large</v>
          </cell>
        </row>
        <row r="223">
          <cell r="K223" t="str">
            <v>Large</v>
          </cell>
        </row>
        <row r="224">
          <cell r="K224" t="str">
            <v>Large</v>
          </cell>
        </row>
        <row r="225">
          <cell r="K225" t="str">
            <v>Large</v>
          </cell>
        </row>
        <row r="226">
          <cell r="K226" t="str">
            <v>General</v>
          </cell>
        </row>
        <row r="229">
          <cell r="K229" t="str">
            <v>General</v>
          </cell>
        </row>
        <row r="230">
          <cell r="K230" t="str">
            <v>Large</v>
          </cell>
        </row>
        <row r="231">
          <cell r="K231" t="str">
            <v>SMID</v>
          </cell>
        </row>
        <row r="232">
          <cell r="K232" t="str">
            <v>General</v>
          </cell>
        </row>
        <row r="233">
          <cell r="K233" t="str">
            <v>General</v>
          </cell>
        </row>
        <row r="234">
          <cell r="K234" t="str">
            <v>General</v>
          </cell>
        </row>
        <row r="235">
          <cell r="K235" t="str">
            <v>Large</v>
          </cell>
        </row>
        <row r="237">
          <cell r="K237" t="str">
            <v>SMID</v>
          </cell>
        </row>
        <row r="238">
          <cell r="K238" t="str">
            <v>SMID</v>
          </cell>
        </row>
        <row r="241">
          <cell r="K241" t="str">
            <v>SMID</v>
          </cell>
        </row>
      </sheetData>
      <sheetData sheetId="25">
        <row r="5">
          <cell r="A5" t="str">
            <v>3i Europartners V, L.P.</v>
          </cell>
          <cell r="C5" t="str">
            <v>Primary Partnership</v>
          </cell>
          <cell r="E5" t="str">
            <v>2006</v>
          </cell>
          <cell r="F5">
            <v>7310.25</v>
          </cell>
          <cell r="G5">
            <v>81.548030249998945</v>
          </cell>
          <cell r="I5" t="str">
            <v>Corporate Finance/Buyout</v>
          </cell>
          <cell r="K5">
            <v>0.33574174221086467</v>
          </cell>
          <cell r="L5">
            <v>27.379077749998942</v>
          </cell>
          <cell r="M5">
            <v>2.7785827722582144</v>
          </cell>
          <cell r="N5">
            <v>27.757036103765405</v>
          </cell>
          <cell r="O5">
            <v>1.1152902648820886</v>
          </cell>
          <cell r="P5">
            <v>0.28735433272743394</v>
          </cell>
          <cell r="Q5" t="str">
            <v>Western Europe</v>
          </cell>
        </row>
        <row r="6">
          <cell r="A6" t="str">
            <v>Access Technology Partners, L.P.</v>
          </cell>
          <cell r="C6" t="str">
            <v>Primary Partnership</v>
          </cell>
          <cell r="E6" t="str">
            <v>1999</v>
          </cell>
          <cell r="F6">
            <v>267.67550590000002</v>
          </cell>
          <cell r="G6">
            <v>15</v>
          </cell>
          <cell r="I6" t="str">
            <v>Venture Capital</v>
          </cell>
          <cell r="K6">
            <v>1</v>
          </cell>
          <cell r="L6">
            <v>15</v>
          </cell>
          <cell r="M6">
            <v>10.060285067500001</v>
          </cell>
          <cell r="N6">
            <v>0</v>
          </cell>
          <cell r="O6">
            <v>0.67068567116666666</v>
          </cell>
          <cell r="P6">
            <v>-0.14560970185543776</v>
          </cell>
          <cell r="Q6" t="str">
            <v>U.S.</v>
          </cell>
        </row>
        <row r="7">
          <cell r="A7" t="str">
            <v>ACI Capital Investors II, L.P.</v>
          </cell>
          <cell r="C7" t="str">
            <v>Primary Partnership</v>
          </cell>
          <cell r="E7" t="str">
            <v>2006</v>
          </cell>
          <cell r="F7">
            <v>335</v>
          </cell>
          <cell r="G7">
            <v>10</v>
          </cell>
          <cell r="I7" t="str">
            <v>Corporate Finance/Buyout</v>
          </cell>
          <cell r="K7">
            <v>0.12280962499999999</v>
          </cell>
          <cell r="L7">
            <v>1.2280962499999999</v>
          </cell>
          <cell r="M7">
            <v>0</v>
          </cell>
          <cell r="N7">
            <v>0.35590899999999998</v>
          </cell>
          <cell r="O7">
            <v>0.28980546109476357</v>
          </cell>
          <cell r="P7">
            <v>-0.86181210876224323</v>
          </cell>
          <cell r="Q7" t="str">
            <v>U.S.</v>
          </cell>
        </row>
        <row r="8">
          <cell r="A8" t="str">
            <v>Acon-Bastion Partners II, L.P.</v>
          </cell>
          <cell r="C8" t="str">
            <v>Primary Partnership</v>
          </cell>
          <cell r="E8" t="str">
            <v>2006</v>
          </cell>
          <cell r="F8">
            <v>334.51369999999997</v>
          </cell>
          <cell r="G8">
            <v>40</v>
          </cell>
          <cell r="I8" t="str">
            <v>Corporate Finance/Buyout</v>
          </cell>
          <cell r="K8">
            <v>0.29089114999999999</v>
          </cell>
          <cell r="L8">
            <v>11.635645999999999</v>
          </cell>
          <cell r="M8">
            <v>0</v>
          </cell>
          <cell r="N8">
            <v>10.600434</v>
          </cell>
          <cell r="O8">
            <v>0.91103098186383469</v>
          </cell>
          <cell r="P8">
            <v>-0.1544189315853548</v>
          </cell>
          <cell r="Q8" t="str">
            <v>U.S.</v>
          </cell>
        </row>
        <row r="9">
          <cell r="A9" t="str">
            <v>Advanced Technology Ventures V, LP</v>
          </cell>
          <cell r="C9" t="str">
            <v>Primary Partnership</v>
          </cell>
          <cell r="E9" t="str">
            <v>1998</v>
          </cell>
          <cell r="F9">
            <v>175</v>
          </cell>
          <cell r="G9">
            <v>4</v>
          </cell>
          <cell r="I9" t="str">
            <v>Venture Capital</v>
          </cell>
          <cell r="K9">
            <v>1</v>
          </cell>
          <cell r="L9">
            <v>4</v>
          </cell>
          <cell r="M9">
            <v>1.59698125</v>
          </cell>
          <cell r="N9">
            <v>0.44745200000000002</v>
          </cell>
          <cell r="O9">
            <v>0.51110831249999999</v>
          </cell>
          <cell r="P9">
            <v>-0.13271605319006097</v>
          </cell>
          <cell r="Q9" t="str">
            <v>U.S.</v>
          </cell>
        </row>
        <row r="10">
          <cell r="A10" t="str">
            <v>Advanced Technology Ventures VI, L.P.</v>
          </cell>
          <cell r="C10" t="str">
            <v>Primary Partnership</v>
          </cell>
          <cell r="E10" t="str">
            <v>2000</v>
          </cell>
          <cell r="F10">
            <v>400</v>
          </cell>
          <cell r="G10">
            <v>13</v>
          </cell>
          <cell r="I10" t="str">
            <v>Venture Capital</v>
          </cell>
          <cell r="K10">
            <v>1</v>
          </cell>
          <cell r="L10">
            <v>13</v>
          </cell>
          <cell r="M10">
            <v>0.31316482000000001</v>
          </cell>
          <cell r="N10">
            <v>2.7419699999999998</v>
          </cell>
          <cell r="O10">
            <v>0.23501037076923076</v>
          </cell>
          <cell r="P10">
            <v>-0.24959024683743414</v>
          </cell>
          <cell r="Q10" t="str">
            <v>U.S.</v>
          </cell>
        </row>
        <row r="11">
          <cell r="A11" t="str">
            <v>Advanced Technology Ventures VII, L.P.</v>
          </cell>
          <cell r="C11" t="str">
            <v>Primary Partnership</v>
          </cell>
          <cell r="E11" t="str">
            <v>2001</v>
          </cell>
          <cell r="F11">
            <v>679.61818200000005</v>
          </cell>
          <cell r="G11">
            <v>25.2</v>
          </cell>
          <cell r="I11" t="str">
            <v>Venture Capital</v>
          </cell>
          <cell r="K11">
            <v>0.85498888888888891</v>
          </cell>
          <cell r="L11">
            <v>21.545719999999999</v>
          </cell>
          <cell r="M11">
            <v>6.1420857599999996</v>
          </cell>
          <cell r="N11">
            <v>18.485499000000001</v>
          </cell>
          <cell r="O11">
            <v>1.1430383742107482</v>
          </cell>
          <cell r="P11">
            <v>5.3656198707119795E-2</v>
          </cell>
          <cell r="Q11" t="str">
            <v>U.S.</v>
          </cell>
        </row>
        <row r="12">
          <cell r="A12" t="str">
            <v>Advent Global Private Equity IV, L.P.</v>
          </cell>
          <cell r="C12" t="str">
            <v>Primary Partnership</v>
          </cell>
          <cell r="E12" t="str">
            <v>2002</v>
          </cell>
          <cell r="F12">
            <v>820.781475</v>
          </cell>
          <cell r="G12">
            <v>29.742842</v>
          </cell>
          <cell r="I12" t="str">
            <v>Special Situation</v>
          </cell>
          <cell r="K12">
            <v>0.95161329909226566</v>
          </cell>
          <cell r="L12">
            <v>28.303684000000001</v>
          </cell>
          <cell r="M12">
            <v>66.54644955229999</v>
          </cell>
          <cell r="N12">
            <v>5.8813329771000005</v>
          </cell>
          <cell r="O12">
            <v>2.5589524858106807</v>
          </cell>
          <cell r="P12">
            <v>0.49365725058838578</v>
          </cell>
          <cell r="Q12" t="str">
            <v>Western Europe</v>
          </cell>
        </row>
        <row r="13">
          <cell r="A13" t="str">
            <v>Advent Latin American Private Equity Fund II, L.P.</v>
          </cell>
          <cell r="C13" t="str">
            <v>Primary Partnership</v>
          </cell>
          <cell r="E13" t="str">
            <v>2001</v>
          </cell>
          <cell r="F13">
            <v>127.5</v>
          </cell>
          <cell r="G13">
            <v>5</v>
          </cell>
          <cell r="I13" t="str">
            <v>Corporate Finance/Buyout</v>
          </cell>
          <cell r="K13">
            <v>0.97</v>
          </cell>
          <cell r="L13">
            <v>4.8499999999999996</v>
          </cell>
          <cell r="M13">
            <v>2.8289599999999999</v>
          </cell>
          <cell r="N13">
            <v>20.933968</v>
          </cell>
          <cell r="O13">
            <v>4.899572783505155</v>
          </cell>
          <cell r="P13">
            <v>0.5073314745989852</v>
          </cell>
          <cell r="Q13" t="str">
            <v>Latin America</v>
          </cell>
        </row>
        <row r="14">
          <cell r="A14" t="str">
            <v>Alta California Partners II, LP</v>
          </cell>
          <cell r="C14" t="str">
            <v>Primary Partnership</v>
          </cell>
          <cell r="E14" t="str">
            <v>1998</v>
          </cell>
          <cell r="F14">
            <v>224.39393899999999</v>
          </cell>
          <cell r="G14">
            <v>4</v>
          </cell>
          <cell r="I14" t="str">
            <v>Venture Capital</v>
          </cell>
          <cell r="K14">
            <v>1</v>
          </cell>
          <cell r="L14">
            <v>4</v>
          </cell>
          <cell r="M14">
            <v>2.0267286158000002</v>
          </cell>
          <cell r="N14">
            <v>0.94046300000000005</v>
          </cell>
          <cell r="O14">
            <v>0.74179790395</v>
          </cell>
          <cell r="P14">
            <v>-6.0729159870736682E-2</v>
          </cell>
          <cell r="Q14" t="str">
            <v>U.S.</v>
          </cell>
        </row>
        <row r="15">
          <cell r="A15" t="str">
            <v>Alta California Partners III, L.P.</v>
          </cell>
          <cell r="C15" t="str">
            <v>Primary Partnership</v>
          </cell>
          <cell r="E15" t="str">
            <v>2000</v>
          </cell>
          <cell r="F15">
            <v>228.914141</v>
          </cell>
          <cell r="G15">
            <v>5</v>
          </cell>
          <cell r="I15" t="str">
            <v>Venture Capital</v>
          </cell>
          <cell r="K15">
            <v>1</v>
          </cell>
          <cell r="L15">
            <v>5</v>
          </cell>
          <cell r="M15">
            <v>1.0970633089999999</v>
          </cell>
          <cell r="N15">
            <v>3.3008540000000002</v>
          </cell>
          <cell r="O15">
            <v>0.87958346180000002</v>
          </cell>
          <cell r="P15">
            <v>-3.0860451401169442E-2</v>
          </cell>
          <cell r="Q15" t="str">
            <v>U.S.</v>
          </cell>
        </row>
        <row r="16">
          <cell r="A16" t="str">
            <v>American Securities Opportunities Fund, L.P.</v>
          </cell>
          <cell r="C16" t="str">
            <v>Primary Partnership</v>
          </cell>
          <cell r="E16" t="str">
            <v>2007</v>
          </cell>
          <cell r="F16">
            <v>233.272727</v>
          </cell>
          <cell r="G16">
            <v>75</v>
          </cell>
          <cell r="I16" t="str">
            <v>Special Situation</v>
          </cell>
          <cell r="K16">
            <v>1.4509559466666667E-2</v>
          </cell>
          <cell r="L16">
            <v>1.08821696</v>
          </cell>
          <cell r="M16">
            <v>4.4938130000000007E-2</v>
          </cell>
          <cell r="N16">
            <v>0.85128199999999998</v>
          </cell>
          <cell r="O16">
            <v>0.8235675080822118</v>
          </cell>
          <cell r="P16">
            <v>-0.2890085325296361</v>
          </cell>
          <cell r="Q16" t="str">
            <v>U.S.</v>
          </cell>
        </row>
        <row r="17">
          <cell r="A17" t="str">
            <v>American Securities Partners III, L.P.</v>
          </cell>
          <cell r="C17" t="str">
            <v>Primary Partnership</v>
          </cell>
          <cell r="E17" t="str">
            <v>2002</v>
          </cell>
          <cell r="F17">
            <v>650</v>
          </cell>
          <cell r="G17">
            <v>20</v>
          </cell>
          <cell r="I17" t="str">
            <v>Corporate Finance/Buyout</v>
          </cell>
          <cell r="K17">
            <v>0.85431643000000024</v>
          </cell>
          <cell r="L17">
            <v>17.086328600000005</v>
          </cell>
          <cell r="M17">
            <v>14.50667393</v>
          </cell>
          <cell r="N17">
            <v>16.771775000000002</v>
          </cell>
          <cell r="O17">
            <v>1.8306126296786773</v>
          </cell>
          <cell r="P17">
            <v>0.26480477736679675</v>
          </cell>
          <cell r="Q17" t="str">
            <v>U.S.</v>
          </cell>
        </row>
        <row r="18">
          <cell r="A18" t="str">
            <v>American Securities Partners IV, L.P.</v>
          </cell>
          <cell r="C18" t="str">
            <v>Primary Partnership</v>
          </cell>
          <cell r="E18" t="str">
            <v>2006</v>
          </cell>
          <cell r="F18">
            <v>1000</v>
          </cell>
          <cell r="G18">
            <v>60</v>
          </cell>
          <cell r="I18" t="str">
            <v>Corporate Finance/Buyout</v>
          </cell>
          <cell r="K18">
            <v>0.53355889050000005</v>
          </cell>
          <cell r="L18">
            <v>32.013533430000003</v>
          </cell>
          <cell r="M18">
            <v>4.2391279999999996E-2</v>
          </cell>
          <cell r="N18">
            <v>39.243808000000001</v>
          </cell>
          <cell r="O18">
            <v>1.2271747311461956</v>
          </cell>
          <cell r="P18">
            <v>0.24035408637550915</v>
          </cell>
          <cell r="Q18" t="str">
            <v>U.S.</v>
          </cell>
        </row>
        <row r="19">
          <cell r="A19" t="str">
            <v>Apax Excelsior VI, L.P.</v>
          </cell>
          <cell r="C19" t="str">
            <v>Primary Partnership</v>
          </cell>
          <cell r="E19" t="str">
            <v>2000</v>
          </cell>
          <cell r="F19">
            <v>926.86868600000003</v>
          </cell>
          <cell r="G19">
            <v>10</v>
          </cell>
          <cell r="I19" t="str">
            <v>Venture Capital</v>
          </cell>
          <cell r="K19">
            <v>0.95363760000000009</v>
          </cell>
          <cell r="L19">
            <v>9.5363760000000006</v>
          </cell>
          <cell r="M19">
            <v>9.8522660000000002</v>
          </cell>
          <cell r="N19">
            <v>3.389005</v>
          </cell>
          <cell r="O19">
            <v>1.3885013552317989</v>
          </cell>
          <cell r="P19">
            <v>0.1026429672388196</v>
          </cell>
          <cell r="Q19" t="str">
            <v>U.S.</v>
          </cell>
        </row>
        <row r="20">
          <cell r="A20" t="str">
            <v>Apollo Investment Fund IV, L.P.</v>
          </cell>
          <cell r="C20" t="str">
            <v>Primary Partnership</v>
          </cell>
          <cell r="E20" t="str">
            <v>1998</v>
          </cell>
          <cell r="F20">
            <v>3600</v>
          </cell>
          <cell r="G20">
            <v>10</v>
          </cell>
          <cell r="I20" t="str">
            <v>Corporate Finance/Buyout</v>
          </cell>
          <cell r="K20">
            <v>0.97592680000000009</v>
          </cell>
          <cell r="L20">
            <v>9.7592680000000005</v>
          </cell>
          <cell r="M20">
            <v>11.750716000000001</v>
          </cell>
          <cell r="N20">
            <v>5.0165309999999996</v>
          </cell>
          <cell r="O20">
            <v>1.7180844915827704</v>
          </cell>
          <cell r="P20">
            <v>9.5871721883079797E-2</v>
          </cell>
          <cell r="Q20" t="str">
            <v>Global</v>
          </cell>
        </row>
        <row r="21">
          <cell r="A21" t="str">
            <v>Apollo Investment Fund V, L.P.</v>
          </cell>
          <cell r="C21" t="str">
            <v>Primary Partnership</v>
          </cell>
          <cell r="E21" t="str">
            <v>2001</v>
          </cell>
          <cell r="F21">
            <v>3741.951</v>
          </cell>
          <cell r="G21">
            <v>90</v>
          </cell>
          <cell r="I21" t="str">
            <v>Corporate Finance/Buyout</v>
          </cell>
          <cell r="K21">
            <v>1.0899743888888889</v>
          </cell>
          <cell r="L21">
            <v>98.097695000000002</v>
          </cell>
          <cell r="M21">
            <v>140.915918</v>
          </cell>
          <cell r="N21">
            <v>112.66933400000001</v>
          </cell>
          <cell r="O21">
            <v>2.5850276298540962</v>
          </cell>
          <cell r="P21">
            <v>0.47684909728353825</v>
          </cell>
          <cell r="Q21" t="str">
            <v>Global</v>
          </cell>
        </row>
        <row r="22">
          <cell r="A22" t="str">
            <v>Apollo Investment Fund VI, L.P.</v>
          </cell>
          <cell r="C22" t="str">
            <v>Primary Partnership</v>
          </cell>
          <cell r="E22" t="str">
            <v>2006</v>
          </cell>
          <cell r="F22">
            <v>10100</v>
          </cell>
          <cell r="G22">
            <v>95</v>
          </cell>
          <cell r="I22" t="str">
            <v>Corporate Finance/Buyout</v>
          </cell>
          <cell r="K22">
            <v>0.49231365073684208</v>
          </cell>
          <cell r="L22">
            <v>46.769796819999996</v>
          </cell>
          <cell r="M22">
            <v>11.260020000000001</v>
          </cell>
          <cell r="N22">
            <v>45.529398999999998</v>
          </cell>
          <cell r="O22">
            <v>1.214232749792818</v>
          </cell>
          <cell r="P22">
            <v>0.3027149875935724</v>
          </cell>
          <cell r="Q22" t="str">
            <v>Global</v>
          </cell>
        </row>
        <row r="23">
          <cell r="A23" t="str">
            <v>Aslan Realty Partners II, L.P.</v>
          </cell>
          <cell r="C23" t="str">
            <v>Primary Partnership</v>
          </cell>
          <cell r="E23" t="str">
            <v>2002</v>
          </cell>
          <cell r="F23">
            <v>680</v>
          </cell>
          <cell r="G23">
            <v>10</v>
          </cell>
          <cell r="I23" t="str">
            <v>Real Estate</v>
          </cell>
          <cell r="K23">
            <v>0.81084040000000002</v>
          </cell>
          <cell r="L23">
            <v>8.1084040000000002</v>
          </cell>
          <cell r="M23">
            <v>9.9761310000000005</v>
          </cell>
          <cell r="N23">
            <v>2.8346</v>
          </cell>
          <cell r="O23">
            <v>1.5799324996633124</v>
          </cell>
          <cell r="P23">
            <v>0.19613213986935452</v>
          </cell>
          <cell r="Q23" t="str">
            <v>U.S.</v>
          </cell>
        </row>
        <row r="24">
          <cell r="A24" t="str">
            <v>Aslan Realty Partners III, L.L.C.</v>
          </cell>
          <cell r="C24" t="str">
            <v>Primary Partnership</v>
          </cell>
          <cell r="E24" t="str">
            <v>2005</v>
          </cell>
          <cell r="F24">
            <v>800</v>
          </cell>
          <cell r="G24">
            <v>15</v>
          </cell>
          <cell r="I24" t="str">
            <v>Real Estate</v>
          </cell>
          <cell r="K24">
            <v>0.66287320000000005</v>
          </cell>
          <cell r="L24">
            <v>9.9430980000000009</v>
          </cell>
          <cell r="M24">
            <v>0.58726599999999995</v>
          </cell>
          <cell r="N24">
            <v>10.545607</v>
          </cell>
          <cell r="O24">
            <v>1.1196583801145277</v>
          </cell>
          <cell r="P24">
            <v>0.1014333252268016</v>
          </cell>
          <cell r="Q24" t="str">
            <v>U.S.</v>
          </cell>
        </row>
        <row r="25">
          <cell r="A25" t="str">
            <v>Aurora Equity Partners II, L.P.</v>
          </cell>
          <cell r="C25" t="str">
            <v>Primary Partnership</v>
          </cell>
          <cell r="E25" t="str">
            <v>1998</v>
          </cell>
          <cell r="F25">
            <v>754.35</v>
          </cell>
          <cell r="G25">
            <v>5</v>
          </cell>
          <cell r="I25" t="str">
            <v>Corporate Finance/Buyout</v>
          </cell>
          <cell r="K25">
            <v>1.096951</v>
          </cell>
          <cell r="L25">
            <v>5.4847549999999998</v>
          </cell>
          <cell r="M25">
            <v>3.8828399999999998</v>
          </cell>
          <cell r="N25">
            <v>4.248132</v>
          </cell>
          <cell r="O25">
            <v>1.4824676763137095</v>
          </cell>
          <cell r="P25">
            <v>7.2656742282295683E-2</v>
          </cell>
          <cell r="Q25" t="str">
            <v>U.S.</v>
          </cell>
        </row>
        <row r="26">
          <cell r="A26" t="str">
            <v>Austin Ventures VI, L.P.</v>
          </cell>
          <cell r="C26" t="str">
            <v>Primary Partnership</v>
          </cell>
          <cell r="E26" t="str">
            <v>1998</v>
          </cell>
          <cell r="F26">
            <v>320</v>
          </cell>
          <cell r="G26">
            <v>10.213713390000001</v>
          </cell>
          <cell r="I26" t="str">
            <v>Venture Capital</v>
          </cell>
          <cell r="K26">
            <v>1.0119369308051438</v>
          </cell>
          <cell r="L26">
            <v>10.33563378</v>
          </cell>
          <cell r="M26">
            <v>6.1660784113301039</v>
          </cell>
          <cell r="N26">
            <v>0.79025900000000004</v>
          </cell>
          <cell r="O26">
            <v>0.6730441073474358</v>
          </cell>
          <cell r="P26">
            <v>-7.2136652209529695E-2</v>
          </cell>
          <cell r="Q26" t="str">
            <v>U.S.</v>
          </cell>
        </row>
        <row r="27">
          <cell r="A27" t="str">
            <v>Austin Ventures VII, L.P.</v>
          </cell>
          <cell r="C27" t="str">
            <v>Primary Partnership</v>
          </cell>
          <cell r="E27" t="str">
            <v>1999</v>
          </cell>
          <cell r="F27">
            <v>825</v>
          </cell>
          <cell r="G27">
            <v>19.40606</v>
          </cell>
          <cell r="I27" t="str">
            <v>Venture Capital</v>
          </cell>
          <cell r="K27">
            <v>0.97969994939725003</v>
          </cell>
          <cell r="L27">
            <v>19.012115999999999</v>
          </cell>
          <cell r="M27">
            <v>9.4697599689611991</v>
          </cell>
          <cell r="N27">
            <v>6.0662079999999996</v>
          </cell>
          <cell r="O27">
            <v>0.81716143373842232</v>
          </cell>
          <cell r="P27">
            <v>-4.9250785385681395E-2</v>
          </cell>
          <cell r="Q27" t="str">
            <v>U.S.</v>
          </cell>
        </row>
        <row r="28">
          <cell r="A28" t="str">
            <v>Austin Ventures VIII, L.P.</v>
          </cell>
          <cell r="C28" t="str">
            <v>Primary Partnership</v>
          </cell>
          <cell r="E28" t="str">
            <v>2001</v>
          </cell>
          <cell r="F28">
            <v>830</v>
          </cell>
          <cell r="G28">
            <v>10.217953</v>
          </cell>
          <cell r="I28" t="str">
            <v>Venture Capital</v>
          </cell>
          <cell r="K28">
            <v>0.99025599256524277</v>
          </cell>
          <cell r="L28">
            <v>10.11838919</v>
          </cell>
          <cell r="M28">
            <v>10.724030920000001</v>
          </cell>
          <cell r="N28">
            <v>2.353901</v>
          </cell>
          <cell r="O28">
            <v>1.2924914899423829</v>
          </cell>
          <cell r="P28">
            <v>0.14776788553505282</v>
          </cell>
          <cell r="Q28" t="str">
            <v>U.S.</v>
          </cell>
        </row>
        <row r="29">
          <cell r="A29" t="str">
            <v>Avenue Special Situations Fund IV, L.P.</v>
          </cell>
          <cell r="C29" t="str">
            <v>Primary Partnership</v>
          </cell>
          <cell r="E29" t="str">
            <v>2006</v>
          </cell>
          <cell r="F29">
            <v>1684.25</v>
          </cell>
          <cell r="G29">
            <v>25</v>
          </cell>
          <cell r="I29" t="str">
            <v>Special Situation</v>
          </cell>
          <cell r="K29">
            <v>1</v>
          </cell>
          <cell r="L29">
            <v>25</v>
          </cell>
          <cell r="M29">
            <v>0</v>
          </cell>
          <cell r="N29">
            <v>28.149816000000001</v>
          </cell>
          <cell r="O29">
            <v>1.12599264</v>
          </cell>
          <cell r="P29">
            <v>9.0630072683033122E-2</v>
          </cell>
          <cell r="Q29" t="str">
            <v>U.S.</v>
          </cell>
        </row>
        <row r="30">
          <cell r="A30" t="str">
            <v>Avenue Special Situations Fund V, L.P.</v>
          </cell>
          <cell r="C30" t="str">
            <v>Primary Partnership</v>
          </cell>
          <cell r="E30" t="str">
            <v>2007</v>
          </cell>
          <cell r="F30">
            <v>6100</v>
          </cell>
          <cell r="G30">
            <v>145</v>
          </cell>
          <cell r="I30" t="str">
            <v>Special Situation</v>
          </cell>
          <cell r="K30">
            <v>0.31899146896551722</v>
          </cell>
          <cell r="L30">
            <v>46.253762999999999</v>
          </cell>
          <cell r="M30">
            <v>0.32546700000000001</v>
          </cell>
          <cell r="N30">
            <v>42.954802999999998</v>
          </cell>
          <cell r="O30">
            <v>0.93571348994891512</v>
          </cell>
          <cell r="P30">
            <v>-0.17577900090223728</v>
          </cell>
          <cell r="Q30" t="str">
            <v>U.S.</v>
          </cell>
        </row>
        <row r="31">
          <cell r="A31" t="str">
            <v>Beecken Petty O'Keefe Fund II, L.P.</v>
          </cell>
          <cell r="C31" t="str">
            <v>Primary Partnership</v>
          </cell>
          <cell r="E31" t="str">
            <v>2005</v>
          </cell>
          <cell r="F31">
            <v>325</v>
          </cell>
          <cell r="G31">
            <v>28</v>
          </cell>
          <cell r="I31" t="str">
            <v>Corporate Finance/Buyout</v>
          </cell>
          <cell r="K31">
            <v>0.68616398071428575</v>
          </cell>
          <cell r="L31">
            <v>19.212591460000002</v>
          </cell>
          <cell r="M31">
            <v>3.7627456800000001</v>
          </cell>
          <cell r="N31">
            <v>18.421113060000003</v>
          </cell>
          <cell r="O31">
            <v>1.1546520825254669</v>
          </cell>
          <cell r="P31">
            <v>9.1831669962715079E-2</v>
          </cell>
          <cell r="Q31" t="str">
            <v>U.S.</v>
          </cell>
        </row>
        <row r="32">
          <cell r="A32" t="str">
            <v>Behrman Capital III L.P.</v>
          </cell>
          <cell r="C32" t="str">
            <v>Primary Partnership</v>
          </cell>
          <cell r="E32" t="str">
            <v>2000</v>
          </cell>
          <cell r="F32">
            <v>1155.0505049999999</v>
          </cell>
          <cell r="G32">
            <v>69.749644000000004</v>
          </cell>
          <cell r="I32" t="str">
            <v>Corporate Finance/Buyout</v>
          </cell>
          <cell r="K32">
            <v>0.90290126785449965</v>
          </cell>
          <cell r="L32">
            <v>62.977041999999997</v>
          </cell>
          <cell r="M32">
            <v>65.407398000000001</v>
          </cell>
          <cell r="N32">
            <v>21.545607</v>
          </cell>
          <cell r="O32">
            <v>1.3807095766739887</v>
          </cell>
          <cell r="P32">
            <v>0.11938437932568814</v>
          </cell>
          <cell r="Q32" t="str">
            <v>U.S.</v>
          </cell>
        </row>
        <row r="33">
          <cell r="A33" t="str">
            <v>Birch Hill Equity Partners III, L.P.</v>
          </cell>
          <cell r="C33" t="str">
            <v>Primary Partnership</v>
          </cell>
          <cell r="E33" t="str">
            <v>2006</v>
          </cell>
          <cell r="F33">
            <v>366.86784165251999</v>
          </cell>
          <cell r="G33">
            <v>29.232067522757202</v>
          </cell>
          <cell r="I33" t="str">
            <v>Corporate Finance/Buyout</v>
          </cell>
          <cell r="K33">
            <v>0.42126862090040307</v>
          </cell>
          <cell r="L33">
            <v>12.314552771379388</v>
          </cell>
          <cell r="M33">
            <v>1.0407751138236245</v>
          </cell>
          <cell r="N33">
            <v>12.7382568180972</v>
          </cell>
          <cell r="O33">
            <v>1.1189226428055978</v>
          </cell>
          <cell r="P33">
            <v>0.10680625728693084</v>
          </cell>
          <cell r="Q33" t="str">
            <v>U.S.</v>
          </cell>
        </row>
        <row r="34">
          <cell r="A34" t="str">
            <v>Blackstone Capital Partners IV L.P.</v>
          </cell>
          <cell r="C34" t="str">
            <v>Primary Partnership</v>
          </cell>
          <cell r="E34" t="str">
            <v>2003</v>
          </cell>
          <cell r="F34">
            <v>6348.9898990000002</v>
          </cell>
          <cell r="G34">
            <v>60</v>
          </cell>
          <cell r="I34" t="str">
            <v>Corporate Finance/Buyout</v>
          </cell>
          <cell r="K34">
            <v>0.9329137833333333</v>
          </cell>
          <cell r="L34">
            <v>55.974826999999998</v>
          </cell>
          <cell r="M34">
            <v>72.810603459999996</v>
          </cell>
          <cell r="N34">
            <v>46.367299000000003</v>
          </cell>
          <cell r="O34">
            <v>2.1291339133571596</v>
          </cell>
          <cell r="P34">
            <v>0.4274270989930542</v>
          </cell>
          <cell r="Q34" t="str">
            <v>U.S.</v>
          </cell>
        </row>
        <row r="35">
          <cell r="A35" t="str">
            <v>Blackstone Capital Partners V, L.P.</v>
          </cell>
          <cell r="C35" t="str">
            <v>Primary Partnership</v>
          </cell>
          <cell r="E35" t="str">
            <v>2006</v>
          </cell>
          <cell r="F35">
            <v>20365.965326000001</v>
          </cell>
          <cell r="G35">
            <v>165</v>
          </cell>
          <cell r="I35" t="str">
            <v>Corporate Finance/Buyout</v>
          </cell>
          <cell r="K35">
            <v>0.55390825454545456</v>
          </cell>
          <cell r="L35">
            <v>91.394862000000003</v>
          </cell>
          <cell r="M35">
            <v>7.9705839999999997</v>
          </cell>
          <cell r="N35">
            <v>88.984853999999999</v>
          </cell>
          <cell r="O35">
            <v>1.0608412319720992</v>
          </cell>
          <cell r="P35">
            <v>6.2208237063181793E-2</v>
          </cell>
          <cell r="Q35" t="str">
            <v>U.S.</v>
          </cell>
        </row>
        <row r="36">
          <cell r="A36" t="str">
            <v>Blackstone Communications Partners I, L.P.</v>
          </cell>
          <cell r="C36" t="str">
            <v>Primary Partnership</v>
          </cell>
          <cell r="E36" t="str">
            <v>2000</v>
          </cell>
          <cell r="F36">
            <v>2018.6</v>
          </cell>
          <cell r="G36">
            <v>35</v>
          </cell>
          <cell r="I36" t="str">
            <v>Special Situation</v>
          </cell>
          <cell r="K36">
            <v>0.98531545714285718</v>
          </cell>
          <cell r="L36">
            <v>34.486041</v>
          </cell>
          <cell r="M36">
            <v>53.431168499999998</v>
          </cell>
          <cell r="N36">
            <v>6.4265860000000004</v>
          </cell>
          <cell r="O36">
            <v>1.735709660033171</v>
          </cell>
          <cell r="P36">
            <v>0.22458500276327764</v>
          </cell>
          <cell r="Q36" t="str">
            <v>U.S.</v>
          </cell>
        </row>
        <row r="37">
          <cell r="A37" t="str">
            <v>Blackstone Mezzanine Partners, L.P.</v>
          </cell>
          <cell r="C37" t="str">
            <v>Primary Partnership</v>
          </cell>
          <cell r="E37" t="str">
            <v>1999</v>
          </cell>
          <cell r="F37">
            <v>1141</v>
          </cell>
          <cell r="G37">
            <v>4</v>
          </cell>
          <cell r="I37" t="str">
            <v>Mezzanine</v>
          </cell>
          <cell r="K37">
            <v>0.62758550000000002</v>
          </cell>
          <cell r="L37">
            <v>2.5103420000000001</v>
          </cell>
          <cell r="M37">
            <v>3.2609445299999997</v>
          </cell>
          <cell r="N37">
            <v>0.43818400000000002</v>
          </cell>
          <cell r="O37">
            <v>1.4735556071642828</v>
          </cell>
          <cell r="P37">
            <v>0.10924790884246205</v>
          </cell>
          <cell r="Q37" t="str">
            <v>U.S.</v>
          </cell>
        </row>
        <row r="38">
          <cell r="A38" t="str">
            <v>Blackstone Real Estate Partners V, L.P.</v>
          </cell>
          <cell r="C38" t="str">
            <v>Primary Partnership</v>
          </cell>
          <cell r="E38" t="str">
            <v>2006</v>
          </cell>
          <cell r="F38">
            <v>1853.40202</v>
          </cell>
          <cell r="G38">
            <v>20</v>
          </cell>
          <cell r="I38" t="str">
            <v>Real Estate</v>
          </cell>
          <cell r="K38">
            <v>0.83173900000000001</v>
          </cell>
          <cell r="L38">
            <v>16.634779999999999</v>
          </cell>
          <cell r="M38">
            <v>5.6365679999999996</v>
          </cell>
          <cell r="N38">
            <v>21.428138000000001</v>
          </cell>
          <cell r="O38">
            <v>1.6269951270771241</v>
          </cell>
          <cell r="P38">
            <v>0.62374786111141356</v>
          </cell>
          <cell r="Q38" t="str">
            <v>U.S.</v>
          </cell>
        </row>
        <row r="39">
          <cell r="A39" t="str">
            <v>Blackstone Real Estate Partners VI, L.P.</v>
          </cell>
          <cell r="C39" t="str">
            <v>Primary Partnership</v>
          </cell>
          <cell r="E39" t="str">
            <v>2007</v>
          </cell>
          <cell r="F39">
            <v>10000</v>
          </cell>
          <cell r="G39">
            <v>15</v>
          </cell>
          <cell r="I39" t="str">
            <v>Real Estate</v>
          </cell>
          <cell r="K39">
            <v>0.38302139999999996</v>
          </cell>
          <cell r="L39">
            <v>5.7453209999999997</v>
          </cell>
          <cell r="M39">
            <v>0</v>
          </cell>
          <cell r="N39">
            <v>6.7702299999999997</v>
          </cell>
          <cell r="O39">
            <v>1.1783902065698331</v>
          </cell>
          <cell r="P39">
            <v>0.18588720868227515</v>
          </cell>
          <cell r="Q39" t="str">
            <v>Global</v>
          </cell>
        </row>
        <row r="40">
          <cell r="A40" t="str">
            <v>Blum Strategic Partners II, L.P.</v>
          </cell>
          <cell r="C40" t="str">
            <v>Primary Partnership</v>
          </cell>
          <cell r="E40" t="str">
            <v>2001</v>
          </cell>
          <cell r="F40">
            <v>930.80808100000002</v>
          </cell>
          <cell r="G40">
            <v>25</v>
          </cell>
          <cell r="I40" t="str">
            <v>Special Situation</v>
          </cell>
          <cell r="K40">
            <v>1.1360219600000001</v>
          </cell>
          <cell r="L40">
            <v>28.400549000000002</v>
          </cell>
          <cell r="M40">
            <v>41.987797</v>
          </cell>
          <cell r="N40">
            <v>8.618862</v>
          </cell>
          <cell r="O40">
            <v>1.7818901669823353</v>
          </cell>
          <cell r="P40">
            <v>0.23307021313689405</v>
          </cell>
          <cell r="Q40" t="str">
            <v>U.S.</v>
          </cell>
        </row>
        <row r="41">
          <cell r="A41" t="str">
            <v>Blum Strategic Partners III, L.P.</v>
          </cell>
          <cell r="C41" t="str">
            <v>Primary Partnership</v>
          </cell>
          <cell r="E41" t="str">
            <v>2005</v>
          </cell>
          <cell r="F41">
            <v>1216</v>
          </cell>
          <cell r="G41">
            <v>25</v>
          </cell>
          <cell r="I41" t="str">
            <v>Special Situation</v>
          </cell>
          <cell r="K41">
            <v>1.2162887200000001</v>
          </cell>
          <cell r="L41">
            <v>30.407218</v>
          </cell>
          <cell r="M41">
            <v>11.789974000000001</v>
          </cell>
          <cell r="N41">
            <v>21.987931</v>
          </cell>
          <cell r="O41">
            <v>1.1108515418937701</v>
          </cell>
          <cell r="P41">
            <v>8.1587284651403844E-2</v>
          </cell>
          <cell r="Q41" t="str">
            <v>U.S.</v>
          </cell>
        </row>
        <row r="42">
          <cell r="A42" t="str">
            <v>Blum Strategic Partners IV, L.P.</v>
          </cell>
          <cell r="C42" t="str">
            <v>Primary Partnership</v>
          </cell>
          <cell r="E42" t="str">
            <v>2007</v>
          </cell>
          <cell r="F42">
            <v>1053</v>
          </cell>
          <cell r="G42">
            <v>75</v>
          </cell>
          <cell r="I42" t="str">
            <v>Special Situation</v>
          </cell>
          <cell r="K42">
            <v>9.8039213333333333E-2</v>
          </cell>
          <cell r="L42">
            <v>7.3529410000000004</v>
          </cell>
          <cell r="M42">
            <v>0</v>
          </cell>
          <cell r="N42">
            <v>6.7879199999999997</v>
          </cell>
          <cell r="O42">
            <v>0.92315714215577127</v>
          </cell>
          <cell r="P42">
            <v>-7.6842857844229617E-2</v>
          </cell>
          <cell r="Q42" t="str">
            <v>U.S.</v>
          </cell>
        </row>
        <row r="43">
          <cell r="A43" t="str">
            <v>Blum Strategic Partners, L.P.</v>
          </cell>
          <cell r="C43" t="str">
            <v>Primary Partnership</v>
          </cell>
          <cell r="E43" t="str">
            <v>1998</v>
          </cell>
          <cell r="F43">
            <v>683.69761900000003</v>
          </cell>
          <cell r="G43">
            <v>30</v>
          </cell>
          <cell r="I43" t="str">
            <v>Corporate Finance/Buyout</v>
          </cell>
          <cell r="K43">
            <v>1.1858650666666668</v>
          </cell>
          <cell r="L43">
            <v>35.575952000000001</v>
          </cell>
          <cell r="M43">
            <v>58.228234</v>
          </cell>
          <cell r="N43">
            <v>8.6354419999999994</v>
          </cell>
          <cell r="O43">
            <v>1.8794627337028114</v>
          </cell>
          <cell r="P43">
            <v>0.15237697718675824</v>
          </cell>
          <cell r="Q43" t="str">
            <v>U.S.</v>
          </cell>
        </row>
        <row r="44">
          <cell r="A44" t="str">
            <v>Bridgepoint Europe II, L.P.</v>
          </cell>
          <cell r="C44" t="str">
            <v>Primary Partnership</v>
          </cell>
          <cell r="E44" t="str">
            <v>2001</v>
          </cell>
          <cell r="F44">
            <v>2970.9012208492309</v>
          </cell>
          <cell r="G44">
            <v>40.74896458212239</v>
          </cell>
          <cell r="I44" t="str">
            <v>Corporate Finance/Buyout</v>
          </cell>
          <cell r="K44">
            <v>0.97395648526217971</v>
          </cell>
          <cell r="L44">
            <v>39.687718322476968</v>
          </cell>
          <cell r="M44">
            <v>54.834932088415535</v>
          </cell>
          <cell r="N44">
            <v>29.72129950755</v>
          </cell>
          <cell r="O44">
            <v>2.1305389972009925</v>
          </cell>
          <cell r="P44">
            <v>0.38033402122702581</v>
          </cell>
          <cell r="Q44" t="str">
            <v>Western Europe</v>
          </cell>
        </row>
        <row r="45">
          <cell r="A45" t="str">
            <v>Bridgepoint Europe III, L.P.</v>
          </cell>
          <cell r="C45" t="str">
            <v>Primary Partnership</v>
          </cell>
          <cell r="E45" t="str">
            <v>2005</v>
          </cell>
          <cell r="F45">
            <v>3655.125</v>
          </cell>
          <cell r="G45">
            <v>56.222434634000003</v>
          </cell>
          <cell r="I45" t="str">
            <v>Corporate Finance/Buyout</v>
          </cell>
          <cell r="K45">
            <v>0.6439017024105772</v>
          </cell>
          <cell r="L45">
            <v>36.201721374499996</v>
          </cell>
          <cell r="M45">
            <v>0</v>
          </cell>
          <cell r="N45">
            <v>41.760396717300004</v>
          </cell>
          <cell r="O45">
            <v>1.1535472660345776</v>
          </cell>
          <cell r="P45">
            <v>0.19636331321007905</v>
          </cell>
          <cell r="Q45" t="str">
            <v>Western Europe</v>
          </cell>
        </row>
        <row r="46">
          <cell r="A46" t="str">
            <v>Bruckmann, Rosser, Sherrill &amp; Co. II, L.P.</v>
          </cell>
          <cell r="C46" t="str">
            <v>Primary Partnership</v>
          </cell>
          <cell r="E46" t="str">
            <v>1999</v>
          </cell>
          <cell r="F46">
            <v>767.2</v>
          </cell>
          <cell r="G46">
            <v>57.553692850000004</v>
          </cell>
          <cell r="I46" t="str">
            <v>Corporate Finance/Buyout</v>
          </cell>
          <cell r="K46">
            <v>0.97317962352089127</v>
          </cell>
          <cell r="L46">
            <v>56.010081140000018</v>
          </cell>
          <cell r="M46">
            <v>50.846038739999997</v>
          </cell>
          <cell r="N46">
            <v>34.114837999999999</v>
          </cell>
          <cell r="O46">
            <v>1.5168854429550997</v>
          </cell>
          <cell r="P46">
            <v>0.11249864627413221</v>
          </cell>
          <cell r="Q46" t="str">
            <v>U.S.</v>
          </cell>
        </row>
        <row r="47">
          <cell r="A47" t="str">
            <v>Caltius Equity Partners II, L.P.</v>
          </cell>
          <cell r="C47" t="str">
            <v>Primary Partnership</v>
          </cell>
          <cell r="E47" t="str">
            <v>2007</v>
          </cell>
          <cell r="F47">
            <v>130</v>
          </cell>
          <cell r="G47">
            <v>20</v>
          </cell>
          <cell r="I47" t="str">
            <v>Corporate Finance/Buyout</v>
          </cell>
          <cell r="K47">
            <v>0.24292915000000001</v>
          </cell>
          <cell r="L47">
            <v>4.8585830000000003</v>
          </cell>
          <cell r="M47">
            <v>0</v>
          </cell>
          <cell r="N47">
            <v>5.2851999999999997</v>
          </cell>
          <cell r="O47">
            <v>1.0878068770256677</v>
          </cell>
          <cell r="P47">
            <v>1.3587309331496655E-2</v>
          </cell>
          <cell r="Q47" t="str">
            <v>U.S.</v>
          </cell>
        </row>
        <row r="48">
          <cell r="A48" t="str">
            <v>Canterbury Mezzanine Capital II, L.P.</v>
          </cell>
          <cell r="C48" t="str">
            <v>Primary Partnership</v>
          </cell>
          <cell r="E48" t="str">
            <v>1999</v>
          </cell>
          <cell r="F48">
            <v>243.18181799999999</v>
          </cell>
          <cell r="G48">
            <v>25</v>
          </cell>
          <cell r="I48" t="str">
            <v>Mezzanine</v>
          </cell>
          <cell r="K48">
            <v>0.87797908000000002</v>
          </cell>
          <cell r="L48">
            <v>21.949477000000002</v>
          </cell>
          <cell r="M48">
            <v>30.668914999999998</v>
          </cell>
          <cell r="N48">
            <v>0.116629</v>
          </cell>
          <cell r="O48">
            <v>1.4025638970805543</v>
          </cell>
          <cell r="P48">
            <v>9.6547816517232862E-2</v>
          </cell>
          <cell r="Q48" t="str">
            <v>U.S.</v>
          </cell>
        </row>
        <row r="49">
          <cell r="A49" t="str">
            <v>Carlyle Management Group Partners, L.P.</v>
          </cell>
          <cell r="C49" t="str">
            <v>Primary Partnership</v>
          </cell>
          <cell r="E49" t="str">
            <v>2003</v>
          </cell>
          <cell r="F49">
            <v>490.15</v>
          </cell>
          <cell r="G49">
            <v>3.8695080000000002</v>
          </cell>
          <cell r="I49" t="str">
            <v>Corporate Finance/Buyout</v>
          </cell>
          <cell r="K49">
            <v>1</v>
          </cell>
          <cell r="L49">
            <v>3.8695080000000002</v>
          </cell>
          <cell r="M49">
            <v>5.8320535099999997</v>
          </cell>
          <cell r="N49">
            <v>0</v>
          </cell>
          <cell r="O49">
            <v>1.5071821818174298</v>
          </cell>
          <cell r="P49">
            <v>6.3283168537445977E-2</v>
          </cell>
          <cell r="Q49" t="str">
            <v>U.S.</v>
          </cell>
        </row>
        <row r="50">
          <cell r="A50" t="str">
            <v>Carlyle Mezzanine Partners, L.P.</v>
          </cell>
          <cell r="C50" t="str">
            <v>Primary Partnership</v>
          </cell>
          <cell r="E50" t="str">
            <v>2004</v>
          </cell>
          <cell r="F50">
            <v>436.25</v>
          </cell>
          <cell r="G50">
            <v>30</v>
          </cell>
          <cell r="I50" t="str">
            <v>Mezzanine</v>
          </cell>
          <cell r="K50">
            <v>1.0508001333333334</v>
          </cell>
          <cell r="L50">
            <v>31.524004000000001</v>
          </cell>
          <cell r="M50">
            <v>5.5293729999999996</v>
          </cell>
          <cell r="N50">
            <v>29.129434</v>
          </cell>
          <cell r="O50">
            <v>1.0994417777640173</v>
          </cell>
          <cell r="P50">
            <v>8.2466559935990849E-2</v>
          </cell>
          <cell r="Q50" t="str">
            <v>U.S.</v>
          </cell>
        </row>
        <row r="51">
          <cell r="A51" t="str">
            <v>Carlyle Partners III, L.P.</v>
          </cell>
          <cell r="C51" t="str">
            <v>Primary Partnership</v>
          </cell>
          <cell r="E51" t="str">
            <v>2000</v>
          </cell>
          <cell r="F51">
            <v>3800</v>
          </cell>
          <cell r="G51">
            <v>10</v>
          </cell>
          <cell r="I51" t="str">
            <v>Corporate Finance/Buyout</v>
          </cell>
          <cell r="K51">
            <v>0.99232429999999994</v>
          </cell>
          <cell r="L51">
            <v>9.9232429999999994</v>
          </cell>
          <cell r="M51">
            <v>17.309649</v>
          </cell>
          <cell r="N51">
            <v>3.0797189999999999</v>
          </cell>
          <cell r="O51">
            <v>2.054708123140792</v>
          </cell>
          <cell r="P51">
            <v>0.20898998661842749</v>
          </cell>
          <cell r="Q51" t="str">
            <v>U.S.</v>
          </cell>
        </row>
        <row r="52">
          <cell r="A52" t="str">
            <v>Carlyle Partners IV, L.P.</v>
          </cell>
          <cell r="C52" t="str">
            <v>Primary Partnership</v>
          </cell>
          <cell r="E52" t="str">
            <v>2005</v>
          </cell>
          <cell r="F52">
            <v>7545.2716300000002</v>
          </cell>
          <cell r="G52">
            <v>47</v>
          </cell>
          <cell r="I52" t="str">
            <v>Corporate Finance/Buyout</v>
          </cell>
          <cell r="K52">
            <v>0.98282514893617023</v>
          </cell>
          <cell r="L52">
            <v>46.192782000000001</v>
          </cell>
          <cell r="M52">
            <v>4.1440999999999999</v>
          </cell>
          <cell r="N52">
            <v>46.864147000000003</v>
          </cell>
          <cell r="O52">
            <v>1.1042471310777515</v>
          </cell>
          <cell r="P52">
            <v>8.766314989074564E-2</v>
          </cell>
          <cell r="Q52" t="str">
            <v>U.S.</v>
          </cell>
        </row>
        <row r="53">
          <cell r="A53" t="str">
            <v>Carlyle Partners V, L.P.</v>
          </cell>
          <cell r="C53" t="str">
            <v>Primary Partnership</v>
          </cell>
          <cell r="E53" t="str">
            <v>2007</v>
          </cell>
          <cell r="F53">
            <v>11910.147217</v>
          </cell>
          <cell r="G53">
            <v>55</v>
          </cell>
          <cell r="I53" t="str">
            <v>Corporate Finance/Buyout</v>
          </cell>
          <cell r="K53">
            <v>0.22612345454545454</v>
          </cell>
          <cell r="L53">
            <v>12.43679</v>
          </cell>
          <cell r="M53">
            <v>2.042E-3</v>
          </cell>
          <cell r="N53">
            <v>12.059483</v>
          </cell>
          <cell r="O53">
            <v>0.96982621721521389</v>
          </cell>
          <cell r="P53">
            <v>-8.5329780287483961E-2</v>
          </cell>
          <cell r="Q53" t="str">
            <v>U.S.</v>
          </cell>
        </row>
        <row r="54">
          <cell r="A54" t="str">
            <v>Carlyle Realty Partners V, L.P.</v>
          </cell>
          <cell r="C54" t="str">
            <v>Primary Partnership</v>
          </cell>
          <cell r="E54" t="str">
            <v>2007</v>
          </cell>
          <cell r="F54">
            <v>3000</v>
          </cell>
          <cell r="G54">
            <v>10</v>
          </cell>
          <cell r="I54" t="str">
            <v>Real Estate</v>
          </cell>
          <cell r="K54">
            <v>0.204956</v>
          </cell>
          <cell r="L54">
            <v>2.04956</v>
          </cell>
          <cell r="M54">
            <v>1.5491E-2</v>
          </cell>
          <cell r="N54">
            <v>2.514008</v>
          </cell>
          <cell r="O54">
            <v>1.2341668455668533</v>
          </cell>
          <cell r="P54">
            <v>0.32651729706331456</v>
          </cell>
          <cell r="Q54" t="str">
            <v>U.S.</v>
          </cell>
        </row>
        <row r="55">
          <cell r="A55" t="str">
            <v>Carlyle/Riverstone Renewable Energy Infrastructure</v>
          </cell>
          <cell r="C55" t="str">
            <v>Primary Partnership</v>
          </cell>
          <cell r="E55" t="str">
            <v>2006</v>
          </cell>
          <cell r="F55">
            <v>684.65263200000004</v>
          </cell>
          <cell r="G55">
            <v>30</v>
          </cell>
          <cell r="I55" t="str">
            <v>Special Situation</v>
          </cell>
          <cell r="K55">
            <v>0.55348216333333333</v>
          </cell>
          <cell r="L55">
            <v>16.6044649</v>
          </cell>
          <cell r="M55">
            <v>0</v>
          </cell>
          <cell r="N55">
            <v>16.655930000000001</v>
          </cell>
          <cell r="O55">
            <v>1.0030994735638847</v>
          </cell>
          <cell r="P55">
            <v>4.0705894950989752E-3</v>
          </cell>
          <cell r="Q55" t="str">
            <v>U.S.</v>
          </cell>
        </row>
        <row r="56">
          <cell r="A56" t="str">
            <v>Cerberus Institutional Partners, L.P. (Series 4)</v>
          </cell>
          <cell r="C56" t="str">
            <v>Primary Partnership</v>
          </cell>
          <cell r="E56" t="str">
            <v>2006</v>
          </cell>
          <cell r="F56">
            <v>7525</v>
          </cell>
          <cell r="G56">
            <v>25</v>
          </cell>
          <cell r="I56" t="str">
            <v>Special Situation</v>
          </cell>
          <cell r="K56">
            <v>0.44500000000000001</v>
          </cell>
          <cell r="L56">
            <v>11.125</v>
          </cell>
          <cell r="M56">
            <v>0</v>
          </cell>
          <cell r="N56">
            <v>10.634421</v>
          </cell>
          <cell r="O56">
            <v>0.955903011235955</v>
          </cell>
          <cell r="P56">
            <v>-7.7141048115387689E-2</v>
          </cell>
          <cell r="Q56" t="str">
            <v>Global</v>
          </cell>
        </row>
        <row r="57">
          <cell r="A57" t="str">
            <v>Charterhouse Capital Partners VII, L.P.</v>
          </cell>
          <cell r="C57" t="str">
            <v>Primary Partnership</v>
          </cell>
          <cell r="E57" t="str">
            <v>2002</v>
          </cell>
          <cell r="F57">
            <v>3959.3305269900002</v>
          </cell>
          <cell r="G57">
            <v>18.524411709497702</v>
          </cell>
          <cell r="I57" t="str">
            <v>Corporate Finance/Buyout</v>
          </cell>
          <cell r="K57">
            <v>0.82978501585765052</v>
          </cell>
          <cell r="L57">
            <v>15.371279264119197</v>
          </cell>
          <cell r="M57">
            <v>23.897888630809003</v>
          </cell>
          <cell r="N57">
            <v>8.4362843587500009</v>
          </cell>
          <cell r="O57">
            <v>2.1035446974823939</v>
          </cell>
          <cell r="P57">
            <v>0.48292565231388274</v>
          </cell>
          <cell r="Q57" t="str">
            <v>Western Europe</v>
          </cell>
        </row>
        <row r="58">
          <cell r="A58" t="str">
            <v>Charterhouse Capital Partners VIII, L.P.</v>
          </cell>
          <cell r="C58" t="str">
            <v>Primary Partnership</v>
          </cell>
          <cell r="E58" t="str">
            <v>2006</v>
          </cell>
          <cell r="F58">
            <v>5848.2</v>
          </cell>
          <cell r="G58">
            <v>61.0795683927455</v>
          </cell>
          <cell r="I58" t="str">
            <v>Corporate Finance/Buyout</v>
          </cell>
          <cell r="K58">
            <v>0.60941063587210886</v>
          </cell>
          <cell r="L58">
            <v>37.222538613017001</v>
          </cell>
          <cell r="M58">
            <v>0</v>
          </cell>
          <cell r="N58">
            <v>38.50397129025</v>
          </cell>
          <cell r="O58">
            <v>1.0344262569126565</v>
          </cell>
          <cell r="P58">
            <v>4.7449873025022349E-2</v>
          </cell>
          <cell r="Q58" t="str">
            <v>Western Europe</v>
          </cell>
        </row>
        <row r="59">
          <cell r="A59" t="str">
            <v>Chase 1998 Pool Participation Fund, L.P.</v>
          </cell>
          <cell r="C59" t="str">
            <v>Secondary Fund-of-Funds</v>
          </cell>
          <cell r="E59" t="str">
            <v>1999</v>
          </cell>
          <cell r="F59">
            <v>353.53535299999999</v>
          </cell>
          <cell r="G59">
            <v>20</v>
          </cell>
          <cell r="I59" t="str">
            <v>Special Situation</v>
          </cell>
          <cell r="K59">
            <v>1.1042694</v>
          </cell>
          <cell r="L59">
            <v>22.085387999999998</v>
          </cell>
          <cell r="M59">
            <v>31.824368719999999</v>
          </cell>
          <cell r="N59">
            <v>2.3979729999999999</v>
          </cell>
          <cell r="O59">
            <v>1.5495467736405626</v>
          </cell>
          <cell r="P59">
            <v>8.9408641472782158E-2</v>
          </cell>
          <cell r="Q59" t="str">
            <v>Western Europe</v>
          </cell>
        </row>
        <row r="60">
          <cell r="A60" t="str">
            <v>Chisholm Partners IV, L.P.</v>
          </cell>
          <cell r="C60" t="str">
            <v>Primary Partnership</v>
          </cell>
          <cell r="E60" t="str">
            <v>1999</v>
          </cell>
          <cell r="F60">
            <v>275</v>
          </cell>
          <cell r="G60">
            <v>15</v>
          </cell>
          <cell r="I60" t="str">
            <v>Special Situation</v>
          </cell>
          <cell r="K60">
            <v>0.92493526799999992</v>
          </cell>
          <cell r="L60">
            <v>13.874029019999998</v>
          </cell>
          <cell r="M60">
            <v>4.17111052</v>
          </cell>
          <cell r="N60">
            <v>6.6983689999999996</v>
          </cell>
          <cell r="O60">
            <v>0.78344073695760508</v>
          </cell>
          <cell r="P60">
            <v>-3.848024964496366E-2</v>
          </cell>
          <cell r="Q60" t="str">
            <v>U.S.</v>
          </cell>
        </row>
        <row r="61">
          <cell r="A61" t="str">
            <v>CHP II, L.P.</v>
          </cell>
          <cell r="C61" t="str">
            <v>Primary Partnership</v>
          </cell>
          <cell r="E61" t="str">
            <v>2000</v>
          </cell>
          <cell r="F61">
            <v>117.47474699999999</v>
          </cell>
          <cell r="G61">
            <v>18.328878</v>
          </cell>
          <cell r="I61" t="str">
            <v>Venture Capital</v>
          </cell>
          <cell r="K61">
            <v>0.95804211256139093</v>
          </cell>
          <cell r="L61">
            <v>17.559837000000002</v>
          </cell>
          <cell r="M61">
            <v>17.016020820000001</v>
          </cell>
          <cell r="N61">
            <v>7.6536960000000001</v>
          </cell>
          <cell r="O61">
            <v>1.4048944087578945</v>
          </cell>
          <cell r="P61">
            <v>0.16006155534456881</v>
          </cell>
          <cell r="Q61" t="str">
            <v>U.S.</v>
          </cell>
        </row>
        <row r="62">
          <cell r="A62" t="str">
            <v>CHP III, L.P.</v>
          </cell>
          <cell r="C62" t="str">
            <v>Primary Partnership</v>
          </cell>
          <cell r="E62" t="str">
            <v>2007</v>
          </cell>
          <cell r="F62">
            <v>152.02020200000001</v>
          </cell>
          <cell r="G62">
            <v>53</v>
          </cell>
          <cell r="I62" t="str">
            <v>Venture Capital</v>
          </cell>
          <cell r="K62">
            <v>0.11793764150943396</v>
          </cell>
          <cell r="L62">
            <v>6.2506950000000003</v>
          </cell>
          <cell r="M62">
            <v>0</v>
          </cell>
          <cell r="N62">
            <v>5.4867020000000002</v>
          </cell>
          <cell r="O62">
            <v>0.87777471145208652</v>
          </cell>
          <cell r="P62">
            <v>-0.19320348814127442</v>
          </cell>
          <cell r="Q62" t="str">
            <v>U.S.</v>
          </cell>
        </row>
        <row r="63">
          <cell r="A63" t="str">
            <v>Cognetas Fund II, L.P.</v>
          </cell>
          <cell r="C63" t="str">
            <v>Primary Partnership</v>
          </cell>
          <cell r="E63" t="str">
            <v>2005</v>
          </cell>
          <cell r="F63">
            <v>1827.5625</v>
          </cell>
          <cell r="G63">
            <v>21.951521522583256</v>
          </cell>
          <cell r="I63" t="str">
            <v>Corporate Finance/Buyout</v>
          </cell>
          <cell r="K63">
            <v>0.42911630088198471</v>
          </cell>
          <cell r="L63">
            <v>9.4197557145022</v>
          </cell>
          <cell r="M63">
            <v>1.0814891499999999</v>
          </cell>
          <cell r="N63">
            <v>6.7590571500000003</v>
          </cell>
          <cell r="O63">
            <v>0.83235134090888097</v>
          </cell>
          <cell r="P63">
            <v>-0.126700101442626</v>
          </cell>
          <cell r="Q63" t="str">
            <v>Western Europe</v>
          </cell>
        </row>
        <row r="64">
          <cell r="A64" t="str">
            <v>Cognetas Fund, L.P.</v>
          </cell>
          <cell r="C64" t="str">
            <v>Primary Partnership</v>
          </cell>
          <cell r="E64" t="str">
            <v>2000</v>
          </cell>
          <cell r="F64">
            <v>1388.8050232275</v>
          </cell>
          <cell r="G64">
            <v>33.072701023028948</v>
          </cell>
          <cell r="I64" t="str">
            <v>Corporate Finance/Buyout</v>
          </cell>
          <cell r="K64">
            <v>1.0022308998720086</v>
          </cell>
          <cell r="L64">
            <v>33.146482907508201</v>
          </cell>
          <cell r="M64">
            <v>56.902712912253186</v>
          </cell>
          <cell r="N64">
            <v>16.211210399999999</v>
          </cell>
          <cell r="O64">
            <v>2.2057822398916334</v>
          </cell>
          <cell r="P64">
            <v>0.31346966606866222</v>
          </cell>
          <cell r="Q64" t="str">
            <v>Western Europe</v>
          </cell>
        </row>
        <row r="65">
          <cell r="A65" t="str">
            <v>Coller International Partners V, L.P.</v>
          </cell>
          <cell r="C65" t="str">
            <v>Secondary Fund-of-Funds</v>
          </cell>
          <cell r="E65" t="str">
            <v>2006</v>
          </cell>
          <cell r="F65">
            <v>6155.2200999999995</v>
          </cell>
          <cell r="G65">
            <v>58</v>
          </cell>
          <cell r="I65" t="str">
            <v>Special Situation</v>
          </cell>
          <cell r="K65">
            <v>0.16333836206896551</v>
          </cell>
          <cell r="L65">
            <v>9.4736250000000002</v>
          </cell>
          <cell r="M65">
            <v>0.58253717000000005</v>
          </cell>
          <cell r="N65">
            <v>9.6803969999999993</v>
          </cell>
          <cell r="O65">
            <v>1.0833164886724986</v>
          </cell>
          <cell r="P65">
            <v>0.16953561867660305</v>
          </cell>
          <cell r="Q65" t="str">
            <v>Western Europe</v>
          </cell>
        </row>
        <row r="66">
          <cell r="A66" t="str">
            <v>Columbia Capital Equity Partners II (QP), L.P.</v>
          </cell>
          <cell r="C66" t="str">
            <v>Primary Partnership</v>
          </cell>
          <cell r="E66" t="str">
            <v>1999</v>
          </cell>
          <cell r="F66">
            <v>224.75</v>
          </cell>
          <cell r="G66">
            <v>13</v>
          </cell>
          <cell r="I66" t="str">
            <v>Venture Capital</v>
          </cell>
          <cell r="K66">
            <v>0.99512457153846212</v>
          </cell>
          <cell r="L66">
            <v>12.936619430000007</v>
          </cell>
          <cell r="M66">
            <v>7.668179470000001</v>
          </cell>
          <cell r="N66">
            <v>1.9260870000000001</v>
          </cell>
          <cell r="O66">
            <v>0.74163629238028805</v>
          </cell>
          <cell r="P66">
            <v>-7.9505346077872519E-2</v>
          </cell>
          <cell r="Q66" t="str">
            <v>U.S.</v>
          </cell>
        </row>
        <row r="67">
          <cell r="A67" t="str">
            <v>Columbia Capital Equity Partners III, L.P.</v>
          </cell>
          <cell r="C67" t="str">
            <v>Primary Partnership</v>
          </cell>
          <cell r="E67" t="str">
            <v>2000</v>
          </cell>
          <cell r="F67">
            <v>702.61769800000002</v>
          </cell>
          <cell r="G67">
            <v>31</v>
          </cell>
          <cell r="I67" t="str">
            <v>Venture Capital</v>
          </cell>
          <cell r="K67">
            <v>1.0082025061290321</v>
          </cell>
          <cell r="L67">
            <v>31.254277689999995</v>
          </cell>
          <cell r="M67">
            <v>17.982691199999998</v>
          </cell>
          <cell r="N67">
            <v>22.320962000000002</v>
          </cell>
          <cell r="O67">
            <v>1.2895403822720692</v>
          </cell>
          <cell r="P67">
            <v>7.1385944982287119E-2</v>
          </cell>
          <cell r="Q67" t="str">
            <v>U.S.</v>
          </cell>
        </row>
        <row r="68">
          <cell r="A68" t="str">
            <v>Crescent Capital II, L.P.</v>
          </cell>
          <cell r="C68" t="str">
            <v>Primary Partnership</v>
          </cell>
          <cell r="E68" t="str">
            <v>2005</v>
          </cell>
          <cell r="F68">
            <v>44.788499999999992</v>
          </cell>
          <cell r="G68">
            <v>7.3064887499999989</v>
          </cell>
          <cell r="I68" t="str">
            <v>Venture Capital</v>
          </cell>
          <cell r="K68">
            <v>0.33592075947561001</v>
          </cell>
          <cell r="L68">
            <v>2.4544012500000001</v>
          </cell>
          <cell r="M68">
            <v>0.24136033308499999</v>
          </cell>
          <cell r="N68">
            <v>1.7301220275999998</v>
          </cell>
          <cell r="O68">
            <v>0.80324370788394917</v>
          </cell>
          <cell r="P68">
            <v>-0.14359453557241186</v>
          </cell>
          <cell r="Q68" t="str">
            <v>Western Europe</v>
          </cell>
        </row>
        <row r="69">
          <cell r="A69" t="str">
            <v>Crimson Velocity Fund, L.P.</v>
          </cell>
          <cell r="C69" t="str">
            <v>Primary Partnership</v>
          </cell>
          <cell r="E69" t="str">
            <v>2001</v>
          </cell>
          <cell r="F69">
            <v>313.49992900000001</v>
          </cell>
          <cell r="G69">
            <v>2.4124690000000002</v>
          </cell>
          <cell r="I69" t="str">
            <v>Venture Capital</v>
          </cell>
          <cell r="K69">
            <v>0.99921220127595411</v>
          </cell>
          <cell r="L69">
            <v>2.4105684599999999</v>
          </cell>
          <cell r="M69">
            <v>0.55527094600000004</v>
          </cell>
          <cell r="N69">
            <v>2.1994690000000001</v>
          </cell>
          <cell r="O69">
            <v>1.1427760678491579</v>
          </cell>
          <cell r="P69">
            <v>3.2243892494171034E-2</v>
          </cell>
          <cell r="Q69" t="str">
            <v>Asia</v>
          </cell>
        </row>
        <row r="70">
          <cell r="A70" t="str">
            <v>Crow Holdings Realty Partners II, L.P.</v>
          </cell>
          <cell r="C70" t="str">
            <v>Primary Partnership</v>
          </cell>
          <cell r="E70" t="str">
            <v>2000</v>
          </cell>
          <cell r="F70">
            <v>364.75</v>
          </cell>
          <cell r="G70">
            <v>10</v>
          </cell>
          <cell r="I70" t="str">
            <v>Real Estate</v>
          </cell>
          <cell r="K70">
            <v>0.97028459999999994</v>
          </cell>
          <cell r="L70">
            <v>9.7028459999999992</v>
          </cell>
          <cell r="M70">
            <v>14.523223</v>
          </cell>
          <cell r="N70">
            <v>0.17211199999999999</v>
          </cell>
          <cell r="O70">
            <v>1.514538620936579</v>
          </cell>
          <cell r="P70">
            <v>0.16274959443326195</v>
          </cell>
          <cell r="Q70" t="str">
            <v>U.S.</v>
          </cell>
        </row>
        <row r="71">
          <cell r="A71" t="str">
            <v>Crow Holdings Realty Partners IV, L.P.</v>
          </cell>
          <cell r="C71" t="str">
            <v>Primary Partnership</v>
          </cell>
          <cell r="E71" t="str">
            <v>2006</v>
          </cell>
          <cell r="F71">
            <v>573.5</v>
          </cell>
          <cell r="G71">
            <v>10</v>
          </cell>
          <cell r="I71" t="str">
            <v>Real Estate</v>
          </cell>
          <cell r="K71">
            <v>0.55750319999999998</v>
          </cell>
          <cell r="L71">
            <v>5.5750320000000002</v>
          </cell>
          <cell r="M71">
            <v>0</v>
          </cell>
          <cell r="N71">
            <v>5.5419390000000002</v>
          </cell>
          <cell r="O71">
            <v>0.9940640699461456</v>
          </cell>
          <cell r="P71">
            <v>-6.7946440433599431E-3</v>
          </cell>
          <cell r="Q71" t="str">
            <v>U.S.</v>
          </cell>
        </row>
        <row r="72">
          <cell r="A72" t="str">
            <v>CVC European Equity Partners III, L.P.</v>
          </cell>
          <cell r="C72" t="str">
            <v>Primary Partnership</v>
          </cell>
          <cell r="E72" t="str">
            <v>2001</v>
          </cell>
          <cell r="F72">
            <v>3450</v>
          </cell>
          <cell r="G72">
            <v>20</v>
          </cell>
          <cell r="I72" t="str">
            <v>Corporate Finance/Buyout</v>
          </cell>
          <cell r="K72">
            <v>0.94304845450000019</v>
          </cell>
          <cell r="L72">
            <v>18.860969090000005</v>
          </cell>
          <cell r="M72">
            <v>42.711900419999992</v>
          </cell>
          <cell r="N72">
            <v>11.11515</v>
          </cell>
          <cell r="O72">
            <v>2.8538857236417843</v>
          </cell>
          <cell r="P72">
            <v>0.45991336067751809</v>
          </cell>
          <cell r="Q72" t="str">
            <v>Western Europe</v>
          </cell>
        </row>
        <row r="73">
          <cell r="A73" t="str">
            <v>CVC European Equity Partners IV, L.P.</v>
          </cell>
          <cell r="C73" t="str">
            <v>Primary Partnership</v>
          </cell>
          <cell r="E73" t="str">
            <v>2005</v>
          </cell>
          <cell r="F73">
            <v>8772.2999999999993</v>
          </cell>
          <cell r="G73">
            <v>66.505690453376076</v>
          </cell>
          <cell r="I73" t="str">
            <v>Corporate Finance/Buyout</v>
          </cell>
          <cell r="K73">
            <v>0.83093121563235628</v>
          </cell>
          <cell r="L73">
            <v>55.261654214892971</v>
          </cell>
          <cell r="M73">
            <v>24.090787516071078</v>
          </cell>
          <cell r="N73">
            <v>55.574432861400005</v>
          </cell>
          <cell r="O73">
            <v>1.4416003557852486</v>
          </cell>
          <cell r="P73">
            <v>0.5228859603431979</v>
          </cell>
          <cell r="Q73" t="str">
            <v>Western Europe</v>
          </cell>
        </row>
        <row r="74">
          <cell r="A74" t="str">
            <v>CVC European Equity Partners Tandem Fund L.P.</v>
          </cell>
          <cell r="C74" t="str">
            <v>Primary Partnership</v>
          </cell>
          <cell r="E74" t="str">
            <v>2007</v>
          </cell>
          <cell r="F74">
            <v>6028.03215</v>
          </cell>
          <cell r="G74">
            <v>139.38385503145659</v>
          </cell>
          <cell r="I74" t="str">
            <v>Corporate Finance/Buyout</v>
          </cell>
          <cell r="K74">
            <v>0.28411647022219844</v>
          </cell>
          <cell r="L74">
            <v>39.601248897500057</v>
          </cell>
          <cell r="M74">
            <v>0.56485171592700012</v>
          </cell>
          <cell r="N74">
            <v>40.064532228828462</v>
          </cell>
          <cell r="O74">
            <v>1.0259621874531413</v>
          </cell>
          <cell r="P74">
            <v>4.8418425200493775E-2</v>
          </cell>
          <cell r="Q74" t="str">
            <v>Western Europe</v>
          </cell>
        </row>
        <row r="75">
          <cell r="A75" t="str">
            <v>Cypress Merchant Banking Partners II, LP</v>
          </cell>
          <cell r="C75" t="str">
            <v>Primary Partnership</v>
          </cell>
          <cell r="E75" t="str">
            <v>1999</v>
          </cell>
          <cell r="F75">
            <v>2376.060606</v>
          </cell>
          <cell r="G75">
            <v>30</v>
          </cell>
          <cell r="I75" t="str">
            <v>Corporate Finance/Buyout</v>
          </cell>
          <cell r="K75">
            <v>0.94552701400000005</v>
          </cell>
          <cell r="L75">
            <v>28.365810420000003</v>
          </cell>
          <cell r="M75">
            <v>17.543274450000002</v>
          </cell>
          <cell r="N75">
            <v>11.726470000000001</v>
          </cell>
          <cell r="O75">
            <v>1.0318670264172203</v>
          </cell>
          <cell r="P75">
            <v>-5.5931479197934841E-3</v>
          </cell>
          <cell r="Q75" t="str">
            <v>U.S.</v>
          </cell>
        </row>
        <row r="76">
          <cell r="A76" t="str">
            <v>DFJ Frontier Fund II, L.P.</v>
          </cell>
          <cell r="C76" t="str">
            <v>Primary Partnership</v>
          </cell>
          <cell r="E76" t="str">
            <v>2007</v>
          </cell>
          <cell r="F76">
            <v>53.53</v>
          </cell>
          <cell r="G76">
            <v>10</v>
          </cell>
          <cell r="I76" t="str">
            <v>Venture Capital</v>
          </cell>
          <cell r="K76">
            <v>0.1</v>
          </cell>
          <cell r="L76">
            <v>1</v>
          </cell>
          <cell r="M76">
            <v>0</v>
          </cell>
          <cell r="N76">
            <v>0.823102</v>
          </cell>
          <cell r="O76">
            <v>0.823102</v>
          </cell>
          <cell r="P76">
            <v>-0.17689800000001632</v>
          </cell>
          <cell r="Q76" t="str">
            <v>U.S.</v>
          </cell>
        </row>
        <row r="77">
          <cell r="A77" t="str">
            <v>DLJ Merchant Banking Partners IV, L.P.</v>
          </cell>
          <cell r="C77" t="str">
            <v>Primary Partnership</v>
          </cell>
          <cell r="E77" t="str">
            <v>2006</v>
          </cell>
          <cell r="F77">
            <v>1563.343396</v>
          </cell>
          <cell r="G77">
            <v>27</v>
          </cell>
          <cell r="I77" t="str">
            <v>Corporate Finance/Buyout</v>
          </cell>
          <cell r="K77">
            <v>0.60611487518518514</v>
          </cell>
          <cell r="L77">
            <v>16.365101629999998</v>
          </cell>
          <cell r="M77">
            <v>0.45267004</v>
          </cell>
          <cell r="N77">
            <v>19.116841999999998</v>
          </cell>
          <cell r="O77">
            <v>1.1958075472092258</v>
          </cell>
          <cell r="P77">
            <v>0.14417078263137806</v>
          </cell>
          <cell r="Q77" t="str">
            <v>U.S.</v>
          </cell>
        </row>
        <row r="78">
          <cell r="A78" t="str">
            <v>Dolphin Communications Fund, L.P.</v>
          </cell>
          <cell r="C78" t="str">
            <v>Primary Partnership</v>
          </cell>
          <cell r="E78" t="str">
            <v>1999</v>
          </cell>
          <cell r="F78">
            <v>125.606061</v>
          </cell>
          <cell r="G78">
            <v>10</v>
          </cell>
          <cell r="I78" t="str">
            <v>Venture Capital</v>
          </cell>
          <cell r="K78">
            <v>1.0239555010000001</v>
          </cell>
          <cell r="L78">
            <v>10.23955501</v>
          </cell>
          <cell r="M78">
            <v>0.41391</v>
          </cell>
          <cell r="N78">
            <v>3.2943630000000002</v>
          </cell>
          <cell r="O78">
            <v>0.36215177284349587</v>
          </cell>
          <cell r="P78">
            <v>-0.14894277434108061</v>
          </cell>
          <cell r="Q78" t="str">
            <v>U.S.</v>
          </cell>
        </row>
        <row r="79">
          <cell r="A79" t="str">
            <v>Draper Fisher Jurvetson Fund VII, L.P.</v>
          </cell>
          <cell r="C79" t="str">
            <v>Primary Partnership</v>
          </cell>
          <cell r="E79" t="str">
            <v>2000</v>
          </cell>
          <cell r="F79">
            <v>643.08080800000005</v>
          </cell>
          <cell r="G79">
            <v>5</v>
          </cell>
          <cell r="I79" t="str">
            <v>Venture Capital</v>
          </cell>
          <cell r="K79">
            <v>0.90050000000000008</v>
          </cell>
          <cell r="L79">
            <v>4.5025000000000004</v>
          </cell>
          <cell r="M79">
            <v>0.79452193000000004</v>
          </cell>
          <cell r="N79">
            <v>3.3272379999999999</v>
          </cell>
          <cell r="O79">
            <v>0.9154380744031092</v>
          </cell>
          <cell r="P79">
            <v>-2.4956974315601288E-2</v>
          </cell>
          <cell r="Q79" t="str">
            <v>U.S.</v>
          </cell>
        </row>
        <row r="80">
          <cell r="A80" t="str">
            <v>Easton Capital Partners, L.P.</v>
          </cell>
          <cell r="C80" t="str">
            <v>Primary Partnership</v>
          </cell>
          <cell r="E80" t="str">
            <v>2006</v>
          </cell>
          <cell r="F80">
            <v>46.797893999999999</v>
          </cell>
          <cell r="G80">
            <v>17</v>
          </cell>
          <cell r="I80" t="str">
            <v>Venture Capital</v>
          </cell>
          <cell r="K80">
            <v>0.83</v>
          </cell>
          <cell r="L80">
            <v>14.11</v>
          </cell>
          <cell r="M80">
            <v>8.1920000000000007E-2</v>
          </cell>
          <cell r="N80">
            <v>14.065333000000001</v>
          </cell>
          <cell r="O80">
            <v>1.0026401842664778</v>
          </cell>
          <cell r="P80">
            <v>2.789323928993781E-3</v>
          </cell>
          <cell r="Q80" t="str">
            <v>U.S.</v>
          </cell>
        </row>
        <row r="81">
          <cell r="A81" t="str">
            <v>Elevation Partners, L.P.</v>
          </cell>
          <cell r="C81" t="str">
            <v>Primary Partnership</v>
          </cell>
          <cell r="E81" t="str">
            <v>2005</v>
          </cell>
          <cell r="F81">
            <v>1885.24</v>
          </cell>
          <cell r="G81">
            <v>3</v>
          </cell>
          <cell r="I81" t="str">
            <v>Corporate Finance/Buyout</v>
          </cell>
          <cell r="K81">
            <v>0.57114666666666669</v>
          </cell>
          <cell r="L81">
            <v>1.7134400000000001</v>
          </cell>
          <cell r="M81">
            <v>9.7780000000000002E-3</v>
          </cell>
          <cell r="N81">
            <v>1.8559920000000001</v>
          </cell>
          <cell r="O81">
            <v>1.0889030254925764</v>
          </cell>
          <cell r="P81">
            <v>7.6707615095864101E-2</v>
          </cell>
          <cell r="Q81" t="str">
            <v>U.S.</v>
          </cell>
        </row>
        <row r="82">
          <cell r="A82" t="str">
            <v>Enhanced Equity Fund, L.P.</v>
          </cell>
          <cell r="C82" t="str">
            <v>Primary Partnership</v>
          </cell>
          <cell r="E82" t="str">
            <v>2006</v>
          </cell>
          <cell r="F82">
            <v>202.02020200000001</v>
          </cell>
          <cell r="G82">
            <v>100.5</v>
          </cell>
          <cell r="I82" t="str">
            <v>Corporate Finance/Buyout</v>
          </cell>
          <cell r="K82">
            <v>0.46084548049751234</v>
          </cell>
          <cell r="L82">
            <v>46.31497078999999</v>
          </cell>
          <cell r="M82">
            <v>2.1241029999999998E-2</v>
          </cell>
          <cell r="N82">
            <v>49.832881</v>
          </cell>
          <cell r="O82">
            <v>1.0764148434001422</v>
          </cell>
          <cell r="P82">
            <v>8.2096705423376104E-2</v>
          </cell>
          <cell r="Q82" t="str">
            <v>U.S.</v>
          </cell>
        </row>
        <row r="83">
          <cell r="A83" t="str">
            <v>EQT V, L.P.</v>
          </cell>
          <cell r="C83" t="str">
            <v>Primary Partnership</v>
          </cell>
          <cell r="E83" t="str">
            <v>2006</v>
          </cell>
          <cell r="F83">
            <v>6213.7124999999996</v>
          </cell>
          <cell r="G83">
            <v>42.788987627431005</v>
          </cell>
          <cell r="I83" t="str">
            <v>Corporate Finance/Buyout</v>
          </cell>
          <cell r="K83">
            <v>0.31547302445200309</v>
          </cell>
          <cell r="L83">
            <v>13.498771340065</v>
          </cell>
          <cell r="M83">
            <v>5.5079E-4</v>
          </cell>
          <cell r="N83">
            <v>13.583484017550001</v>
          </cell>
          <cell r="O83">
            <v>1.0063163872723686</v>
          </cell>
          <cell r="P83">
            <v>9.530113065445045E-3</v>
          </cell>
          <cell r="Q83" t="str">
            <v>Western Europe</v>
          </cell>
        </row>
        <row r="84">
          <cell r="A84" t="str">
            <v>Exxel Capital Partners VI, L.P.</v>
          </cell>
          <cell r="C84" t="str">
            <v>Primary Partnership</v>
          </cell>
          <cell r="E84" t="str">
            <v>2000</v>
          </cell>
          <cell r="F84">
            <v>441.382766</v>
          </cell>
          <cell r="G84">
            <v>5</v>
          </cell>
          <cell r="I84" t="str">
            <v>Corporate Finance/Buyout</v>
          </cell>
          <cell r="K84">
            <v>0.99507800000000002</v>
          </cell>
          <cell r="L84">
            <v>4.97539</v>
          </cell>
          <cell r="M84">
            <v>0.22344800000000001</v>
          </cell>
          <cell r="N84">
            <v>3.1833130000000001</v>
          </cell>
          <cell r="O84">
            <v>0.68472240367086801</v>
          </cell>
          <cell r="P84">
            <v>-0.11401706736673278</v>
          </cell>
          <cell r="Q84" t="str">
            <v>Latin America</v>
          </cell>
        </row>
        <row r="85">
          <cell r="A85" t="str">
            <v>Falcon Mezzanine Partners II, L.P.</v>
          </cell>
          <cell r="C85" t="str">
            <v>Primary Partnership</v>
          </cell>
          <cell r="E85" t="str">
            <v>2005</v>
          </cell>
          <cell r="F85">
            <v>440.05</v>
          </cell>
          <cell r="G85">
            <v>15</v>
          </cell>
          <cell r="I85" t="str">
            <v>Mezzanine</v>
          </cell>
          <cell r="K85">
            <v>0.92308485533333351</v>
          </cell>
          <cell r="L85">
            <v>13.846272830000002</v>
          </cell>
          <cell r="M85">
            <v>1.0863554600000001</v>
          </cell>
          <cell r="N85">
            <v>13.915691000000001</v>
          </cell>
          <cell r="O85">
            <v>1.0834718226478857</v>
          </cell>
          <cell r="P85">
            <v>6.771966729397727E-2</v>
          </cell>
          <cell r="Q85" t="str">
            <v>U.S.</v>
          </cell>
        </row>
        <row r="86">
          <cell r="A86" t="str">
            <v>Falcon Mezzanine Partners, L.P.</v>
          </cell>
          <cell r="C86" t="str">
            <v>Primary Partnership</v>
          </cell>
          <cell r="E86" t="str">
            <v>2003</v>
          </cell>
          <cell r="F86">
            <v>222.936667</v>
          </cell>
          <cell r="G86">
            <v>15</v>
          </cell>
          <cell r="I86" t="str">
            <v>Mezzanine</v>
          </cell>
          <cell r="K86">
            <v>0.9629767579999996</v>
          </cell>
          <cell r="L86">
            <v>14.444651369999994</v>
          </cell>
          <cell r="M86">
            <v>17.382295790000001</v>
          </cell>
          <cell r="N86">
            <v>10.469622409999999</v>
          </cell>
          <cell r="O86">
            <v>1.9281820991433185</v>
          </cell>
          <cell r="P86">
            <v>0.30100486507411039</v>
          </cell>
          <cell r="Q86" t="str">
            <v>U.S.</v>
          </cell>
        </row>
        <row r="87">
          <cell r="A87" t="str">
            <v>Fenway Partners Capital Fund II, L.P.</v>
          </cell>
          <cell r="C87" t="str">
            <v>Primary Partnership</v>
          </cell>
          <cell r="E87" t="str">
            <v>1998</v>
          </cell>
          <cell r="F87">
            <v>909.09090900000001</v>
          </cell>
          <cell r="G87">
            <v>93</v>
          </cell>
          <cell r="I87" t="str">
            <v>Corporate Finance/Buyout</v>
          </cell>
          <cell r="K87">
            <v>1.0342502903225805</v>
          </cell>
          <cell r="L87">
            <v>96.185276999999999</v>
          </cell>
          <cell r="M87">
            <v>113.619083426</v>
          </cell>
          <cell r="N87">
            <v>33.169364000000002</v>
          </cell>
          <cell r="O87">
            <v>1.5261010001146018</v>
          </cell>
          <cell r="P87">
            <v>0.11974623281957196</v>
          </cell>
          <cell r="Q87" t="str">
            <v>U.S.</v>
          </cell>
        </row>
        <row r="88">
          <cell r="A88" t="str">
            <v>Fidelity Real Estate Growth Fund II, L.P.</v>
          </cell>
          <cell r="C88" t="str">
            <v>Primary Partnership</v>
          </cell>
          <cell r="E88" t="str">
            <v>2004</v>
          </cell>
          <cell r="F88">
            <v>625.75</v>
          </cell>
          <cell r="G88">
            <v>10</v>
          </cell>
          <cell r="I88" t="str">
            <v>Real Estate</v>
          </cell>
          <cell r="K88">
            <v>0.96081403499999996</v>
          </cell>
          <cell r="L88">
            <v>9.6081403499999993</v>
          </cell>
          <cell r="M88">
            <v>2.9045465299999997</v>
          </cell>
          <cell r="N88">
            <v>8.4204361300000006</v>
          </cell>
          <cell r="O88">
            <v>1.1786862230837418</v>
          </cell>
          <cell r="P88">
            <v>0.10727271500413217</v>
          </cell>
          <cell r="Q88" t="str">
            <v>U.S.</v>
          </cell>
        </row>
        <row r="89">
          <cell r="A89" t="str">
            <v>First Reserve Fund XI, L.P.</v>
          </cell>
          <cell r="C89" t="str">
            <v>Primary Partnership</v>
          </cell>
          <cell r="E89" t="str">
            <v>2006</v>
          </cell>
          <cell r="F89">
            <v>7800</v>
          </cell>
          <cell r="G89">
            <v>95</v>
          </cell>
          <cell r="I89" t="str">
            <v>Special Situation</v>
          </cell>
          <cell r="K89">
            <v>0.1948665157894737</v>
          </cell>
          <cell r="L89">
            <v>18.512319000000002</v>
          </cell>
          <cell r="M89">
            <v>0</v>
          </cell>
          <cell r="N89">
            <v>21.268999999999998</v>
          </cell>
          <cell r="O89">
            <v>1.1489106254057093</v>
          </cell>
          <cell r="P89">
            <v>0.32682712422308002</v>
          </cell>
          <cell r="Q89" t="str">
            <v>U.S.</v>
          </cell>
        </row>
        <row r="90">
          <cell r="A90" t="str">
            <v>FS Equity Partners V, L.P.</v>
          </cell>
          <cell r="C90" t="str">
            <v>Primary Partnership</v>
          </cell>
          <cell r="E90" t="str">
            <v>2004</v>
          </cell>
          <cell r="F90">
            <v>986.8</v>
          </cell>
          <cell r="G90">
            <v>10</v>
          </cell>
          <cell r="I90" t="str">
            <v>Corporate Finance/Buyout</v>
          </cell>
          <cell r="K90">
            <v>0.68211109999999997</v>
          </cell>
          <cell r="L90">
            <v>6.8211110000000001</v>
          </cell>
          <cell r="M90">
            <v>1.8556269999999999</v>
          </cell>
          <cell r="N90">
            <v>7.6668710000000004</v>
          </cell>
          <cell r="O90">
            <v>1.3960332854867779</v>
          </cell>
          <cell r="P90">
            <v>0.20098535342820845</v>
          </cell>
          <cell r="Q90" t="str">
            <v>U.S.</v>
          </cell>
        </row>
        <row r="91">
          <cell r="A91" t="str">
            <v>Geocapital V, L.P.</v>
          </cell>
          <cell r="C91" t="str">
            <v>Primary Partnership</v>
          </cell>
          <cell r="E91" t="str">
            <v>1999</v>
          </cell>
          <cell r="F91">
            <v>228.60390599999999</v>
          </cell>
          <cell r="G91">
            <v>10</v>
          </cell>
          <cell r="I91" t="str">
            <v>Venture Capital</v>
          </cell>
          <cell r="K91">
            <v>1</v>
          </cell>
          <cell r="L91">
            <v>10</v>
          </cell>
          <cell r="M91">
            <v>3.1591181400000004</v>
          </cell>
          <cell r="N91">
            <v>3.5741890000000001</v>
          </cell>
          <cell r="O91">
            <v>0.67333071400000011</v>
          </cell>
          <cell r="P91">
            <v>-6.1908782172438774E-2</v>
          </cell>
          <cell r="Q91" t="str">
            <v>U.S.</v>
          </cell>
        </row>
        <row r="92">
          <cell r="A92" t="str">
            <v>GESD Investors II, L.P.</v>
          </cell>
          <cell r="C92" t="str">
            <v>Primary Partnership</v>
          </cell>
          <cell r="E92" t="str">
            <v>2006</v>
          </cell>
          <cell r="F92">
            <v>136.36363600000001</v>
          </cell>
          <cell r="G92">
            <v>80</v>
          </cell>
          <cell r="I92" t="str">
            <v>Corporate Finance/Buyout</v>
          </cell>
          <cell r="K92">
            <v>0.16845245</v>
          </cell>
          <cell r="L92">
            <v>13.476196</v>
          </cell>
          <cell r="M92">
            <v>0</v>
          </cell>
          <cell r="N92">
            <v>11.269515999999999</v>
          </cell>
          <cell r="O92">
            <v>0.83625349468054633</v>
          </cell>
          <cell r="P92">
            <v>-0.38779628554168843</v>
          </cell>
          <cell r="Q92" t="str">
            <v>U.S.</v>
          </cell>
        </row>
        <row r="93">
          <cell r="A93" t="str">
            <v>GESD Investors, L.P.</v>
          </cell>
          <cell r="C93" t="str">
            <v>Primary Partnership</v>
          </cell>
          <cell r="E93" t="str">
            <v>2002</v>
          </cell>
          <cell r="F93">
            <v>126.262626</v>
          </cell>
          <cell r="G93">
            <v>25</v>
          </cell>
          <cell r="I93" t="str">
            <v>Corporate Finance/Buyout</v>
          </cell>
          <cell r="K93">
            <v>0.98485811999999995</v>
          </cell>
          <cell r="L93">
            <v>24.621452999999999</v>
          </cell>
          <cell r="M93">
            <v>4.26608359</v>
          </cell>
          <cell r="N93">
            <v>19.150734</v>
          </cell>
          <cell r="O93">
            <v>0.95107374816587797</v>
          </cell>
          <cell r="P93">
            <v>-1.4131933108948003E-2</v>
          </cell>
          <cell r="Q93" t="str">
            <v>U.S.</v>
          </cell>
        </row>
        <row r="94">
          <cell r="A94" t="str">
            <v>Goense Bounds &amp; Partners A, L.P.</v>
          </cell>
          <cell r="C94" t="str">
            <v>Primary Partnership</v>
          </cell>
          <cell r="E94" t="str">
            <v>2000</v>
          </cell>
          <cell r="F94">
            <v>149.64682199999999</v>
          </cell>
          <cell r="G94">
            <v>50</v>
          </cell>
          <cell r="I94" t="str">
            <v>Corporate Finance/Buyout</v>
          </cell>
          <cell r="K94">
            <v>1.0712941840000001</v>
          </cell>
          <cell r="L94">
            <v>53.564709200000003</v>
          </cell>
          <cell r="M94">
            <v>45.566610119999993</v>
          </cell>
          <cell r="N94">
            <v>25.394226</v>
          </cell>
          <cell r="O94">
            <v>1.3247684376488689</v>
          </cell>
          <cell r="P94">
            <v>9.8728384355533341E-2</v>
          </cell>
          <cell r="Q94" t="str">
            <v>U.S.</v>
          </cell>
        </row>
        <row r="95">
          <cell r="A95" t="str">
            <v>Golder, Thoma, Cressey &amp; Rauner Fund IX, L.P.</v>
          </cell>
          <cell r="C95" t="str">
            <v>Primary Partnership</v>
          </cell>
          <cell r="E95" t="str">
            <v>2006</v>
          </cell>
          <cell r="F95">
            <v>2357</v>
          </cell>
          <cell r="G95">
            <v>15</v>
          </cell>
          <cell r="I95" t="str">
            <v>Corporate Finance/Buyout</v>
          </cell>
          <cell r="K95">
            <v>0.1768894</v>
          </cell>
          <cell r="L95">
            <v>2.6533410000000002</v>
          </cell>
          <cell r="M95">
            <v>0.94834600000000002</v>
          </cell>
          <cell r="N95">
            <v>2.1891400000000001</v>
          </cell>
          <cell r="O95">
            <v>1.1824661813163102</v>
          </cell>
          <cell r="P95">
            <v>0.48515155885118566</v>
          </cell>
          <cell r="Q95" t="str">
            <v>U.S.</v>
          </cell>
        </row>
        <row r="96">
          <cell r="A96" t="str">
            <v>Gores Capital Partners II, L.P.</v>
          </cell>
          <cell r="C96" t="str">
            <v>Primary Partnership</v>
          </cell>
          <cell r="E96" t="str">
            <v>2007</v>
          </cell>
          <cell r="F96">
            <v>1300</v>
          </cell>
          <cell r="G96">
            <v>35</v>
          </cell>
          <cell r="I96" t="str">
            <v>Corporate Finance/Buyout</v>
          </cell>
          <cell r="K96">
            <v>0.30499999999999999</v>
          </cell>
          <cell r="L96">
            <v>10.675000000000001</v>
          </cell>
          <cell r="M96">
            <v>0</v>
          </cell>
          <cell r="N96">
            <v>9.5495188899999999</v>
          </cell>
          <cell r="O96">
            <v>0.89456851428571427</v>
          </cell>
          <cell r="P96">
            <v>-0.26776094098148229</v>
          </cell>
          <cell r="Q96" t="str">
            <v>U.S.</v>
          </cell>
        </row>
        <row r="97">
          <cell r="A97" t="str">
            <v>Gores Capital Partners, L.P.</v>
          </cell>
          <cell r="C97" t="str">
            <v>Primary Partnership</v>
          </cell>
          <cell r="E97" t="str">
            <v>2004</v>
          </cell>
          <cell r="F97">
            <v>288.27999999999997</v>
          </cell>
          <cell r="G97">
            <v>43.5</v>
          </cell>
          <cell r="I97" t="str">
            <v>Corporate Finance/Buyout</v>
          </cell>
          <cell r="K97">
            <v>0.9302249885057472</v>
          </cell>
          <cell r="L97">
            <v>40.464787000000001</v>
          </cell>
          <cell r="M97">
            <v>19.961908839999996</v>
          </cell>
          <cell r="N97">
            <v>37.257252000000001</v>
          </cell>
          <cell r="O97">
            <v>1.4140482400166841</v>
          </cell>
          <cell r="P97">
            <v>0.2016185273912745</v>
          </cell>
          <cell r="Q97" t="str">
            <v>U.S.</v>
          </cell>
        </row>
        <row r="98">
          <cell r="A98" t="str">
            <v>Green Equity Investors IV, L.P.</v>
          </cell>
          <cell r="C98" t="str">
            <v>Primary Partnership</v>
          </cell>
          <cell r="E98" t="str">
            <v>2003</v>
          </cell>
          <cell r="F98">
            <v>1852</v>
          </cell>
          <cell r="G98">
            <v>60</v>
          </cell>
          <cell r="I98" t="str">
            <v>Corporate Finance/Buyout</v>
          </cell>
          <cell r="K98">
            <v>0.96526478133333338</v>
          </cell>
          <cell r="L98">
            <v>57.915886880000002</v>
          </cell>
          <cell r="M98">
            <v>11.207281960000001</v>
          </cell>
          <cell r="N98">
            <v>52.803539999999998</v>
          </cell>
          <cell r="O98">
            <v>1.1052377060654968</v>
          </cell>
          <cell r="P98">
            <v>5.9754731350033952E-2</v>
          </cell>
          <cell r="Q98" t="str">
            <v>U.S.</v>
          </cell>
        </row>
        <row r="99">
          <cell r="A99" t="str">
            <v>Green Equity Investors V, L.P.</v>
          </cell>
          <cell r="C99" t="str">
            <v>Primary Partnership</v>
          </cell>
          <cell r="E99" t="str">
            <v>2007</v>
          </cell>
          <cell r="F99">
            <v>5368.5</v>
          </cell>
          <cell r="G99">
            <v>95</v>
          </cell>
          <cell r="I99" t="str">
            <v>Corporate Finance/Buyout</v>
          </cell>
          <cell r="K99">
            <v>0.13643746315789473</v>
          </cell>
          <cell r="L99">
            <v>12.961558999999999</v>
          </cell>
          <cell r="M99">
            <v>0</v>
          </cell>
          <cell r="N99">
            <v>13.049549000000001</v>
          </cell>
          <cell r="O99">
            <v>1.0067885352371579</v>
          </cell>
          <cell r="P99">
            <v>7.7910106997614026E-3</v>
          </cell>
          <cell r="Q99" t="str">
            <v>U.S.</v>
          </cell>
        </row>
        <row r="100">
          <cell r="A100" t="str">
            <v>Halifax Capital Partners II, L.P.</v>
          </cell>
          <cell r="C100" t="str">
            <v>Primary Partnership</v>
          </cell>
          <cell r="E100" t="str">
            <v>2006</v>
          </cell>
          <cell r="F100">
            <v>305</v>
          </cell>
          <cell r="G100">
            <v>30</v>
          </cell>
          <cell r="I100" t="str">
            <v>Corporate Finance/Buyout</v>
          </cell>
          <cell r="K100">
            <v>0.1929217</v>
          </cell>
          <cell r="L100">
            <v>5.7876510000000003</v>
          </cell>
          <cell r="M100">
            <v>3.19563</v>
          </cell>
          <cell r="N100">
            <v>3.220434</v>
          </cell>
          <cell r="O100">
            <v>1.1085782470297536</v>
          </cell>
          <cell r="P100">
            <v>6.5374175701302661E-2</v>
          </cell>
          <cell r="Q100" t="str">
            <v>U.S.</v>
          </cell>
        </row>
        <row r="101">
          <cell r="A101" t="str">
            <v>Hellman &amp; Friedman Capital Partners V, L.P.</v>
          </cell>
          <cell r="C101" t="str">
            <v>Primary Partnership</v>
          </cell>
          <cell r="E101" t="str">
            <v>2004</v>
          </cell>
          <cell r="F101">
            <v>3500</v>
          </cell>
          <cell r="G101">
            <v>11.5</v>
          </cell>
          <cell r="I101" t="str">
            <v>Corporate Finance/Buyout</v>
          </cell>
          <cell r="K101">
            <v>0.870487652173913</v>
          </cell>
          <cell r="L101">
            <v>10.010608</v>
          </cell>
          <cell r="M101">
            <v>1.529085</v>
          </cell>
          <cell r="N101">
            <v>18.619911999999999</v>
          </cell>
          <cell r="O101">
            <v>2.0127645593554355</v>
          </cell>
          <cell r="P101">
            <v>0.50400247536673692</v>
          </cell>
          <cell r="Q101" t="str">
            <v>U.S.</v>
          </cell>
        </row>
        <row r="102">
          <cell r="A102" t="str">
            <v>Hellman &amp; Friedman Capital Partners VI, L.P.</v>
          </cell>
          <cell r="C102" t="str">
            <v>Primary Partnership</v>
          </cell>
          <cell r="E102" t="str">
            <v>2007</v>
          </cell>
          <cell r="F102">
            <v>8400</v>
          </cell>
          <cell r="G102">
            <v>20</v>
          </cell>
          <cell r="I102" t="str">
            <v>Corporate Finance/Buyout</v>
          </cell>
          <cell r="K102">
            <v>0.34777420000000003</v>
          </cell>
          <cell r="L102">
            <v>6.9554840000000002</v>
          </cell>
          <cell r="M102">
            <v>1.6202999999999999E-2</v>
          </cell>
          <cell r="N102">
            <v>7.1246239999999998</v>
          </cell>
          <cell r="O102">
            <v>1.0266470313208973</v>
          </cell>
          <cell r="P102">
            <v>4.2381224397628037E-2</v>
          </cell>
          <cell r="Q102" t="str">
            <v>U.S.</v>
          </cell>
        </row>
        <row r="103">
          <cell r="A103" t="str">
            <v>Heritage Fund III, L.P.</v>
          </cell>
          <cell r="C103" t="str">
            <v>Primary Partnership</v>
          </cell>
          <cell r="E103" t="str">
            <v>1999</v>
          </cell>
          <cell r="F103">
            <v>843.43434300000001</v>
          </cell>
          <cell r="G103">
            <v>20</v>
          </cell>
          <cell r="I103" t="str">
            <v>Corporate Finance/Buyout</v>
          </cell>
          <cell r="K103">
            <v>0.82976500000000009</v>
          </cell>
          <cell r="L103">
            <v>16.595300000000002</v>
          </cell>
          <cell r="M103">
            <v>5.5769679999999999</v>
          </cell>
          <cell r="N103">
            <v>1.2064440000000001</v>
          </cell>
          <cell r="O103">
            <v>0.40875500894831668</v>
          </cell>
          <cell r="P103">
            <v>-0.29000544005167372</v>
          </cell>
          <cell r="Q103" t="str">
            <v>U.S.</v>
          </cell>
        </row>
        <row r="104">
          <cell r="A104" t="str">
            <v>High Road Capital Partners Fund I, L.P.</v>
          </cell>
          <cell r="C104" t="str">
            <v>Primary Partnership</v>
          </cell>
          <cell r="E104" t="str">
            <v>2007</v>
          </cell>
          <cell r="F104">
            <v>153</v>
          </cell>
          <cell r="G104">
            <v>45</v>
          </cell>
          <cell r="I104" t="str">
            <v>Corporate Finance/Buyout</v>
          </cell>
          <cell r="K104">
            <v>3.4239333333333333E-3</v>
          </cell>
          <cell r="L104">
            <v>0.15407699999999999</v>
          </cell>
          <cell r="M104">
            <v>0</v>
          </cell>
          <cell r="N104">
            <v>0</v>
          </cell>
          <cell r="O104">
            <v>0</v>
          </cell>
          <cell r="P104">
            <v>-1</v>
          </cell>
          <cell r="Q104" t="str">
            <v>U.S.</v>
          </cell>
        </row>
        <row r="105">
          <cell r="A105" t="str">
            <v>Highland Capital Partners VI-B, L.P.</v>
          </cell>
          <cell r="C105" t="str">
            <v>Primary Partnership</v>
          </cell>
          <cell r="E105" t="str">
            <v>2001</v>
          </cell>
          <cell r="F105">
            <v>783.030304</v>
          </cell>
          <cell r="G105">
            <v>7</v>
          </cell>
          <cell r="I105" t="str">
            <v>Venture Capital</v>
          </cell>
          <cell r="K105">
            <v>0.95749999999999991</v>
          </cell>
          <cell r="L105">
            <v>6.7024999999999997</v>
          </cell>
          <cell r="M105">
            <v>4.7584610899999999</v>
          </cell>
          <cell r="N105">
            <v>5.495698</v>
          </cell>
          <cell r="O105">
            <v>1.5299006475195822</v>
          </cell>
          <cell r="P105">
            <v>0.20155533496422984</v>
          </cell>
          <cell r="Q105" t="str">
            <v>U.S.</v>
          </cell>
        </row>
        <row r="106">
          <cell r="A106" t="str">
            <v>Ibersuizas Capital Fund II, L.P.</v>
          </cell>
          <cell r="C106" t="str">
            <v>Primary Partnership</v>
          </cell>
          <cell r="E106" t="str">
            <v>2006</v>
          </cell>
          <cell r="F106">
            <v>270.11373750000001</v>
          </cell>
          <cell r="G106">
            <v>14.07580838917457</v>
          </cell>
          <cell r="I106" t="str">
            <v>Corporate Finance/Buyout</v>
          </cell>
          <cell r="K106">
            <v>0.33851980125792941</v>
          </cell>
          <cell r="L106">
            <v>4.7649398584480709</v>
          </cell>
          <cell r="M106">
            <v>7.6065599999999996E-4</v>
          </cell>
          <cell r="N106">
            <v>9.9024851187000014</v>
          </cell>
          <cell r="O106">
            <v>2.0783569297610116</v>
          </cell>
          <cell r="P106">
            <v>0.96938049467702569</v>
          </cell>
          <cell r="Q106" t="str">
            <v>Western Europe</v>
          </cell>
        </row>
        <row r="107">
          <cell r="A107" t="str">
            <v>Income and Growth Fund II, Inc.</v>
          </cell>
          <cell r="C107" t="str">
            <v>Primary Partnership</v>
          </cell>
          <cell r="E107" t="str">
            <v>2000</v>
          </cell>
          <cell r="F107">
            <v>174.4</v>
          </cell>
          <cell r="G107">
            <v>10</v>
          </cell>
          <cell r="I107" t="str">
            <v>Real Estate</v>
          </cell>
          <cell r="K107">
            <v>1</v>
          </cell>
          <cell r="L107">
            <v>10</v>
          </cell>
          <cell r="M107">
            <v>18.391881050000002</v>
          </cell>
          <cell r="N107">
            <v>0</v>
          </cell>
          <cell r="O107">
            <v>1.8391881050000003</v>
          </cell>
          <cell r="P107">
            <v>0.2053975403781827</v>
          </cell>
          <cell r="Q107" t="str">
            <v>U.S.</v>
          </cell>
        </row>
        <row r="108">
          <cell r="A108" t="str">
            <v>Income and Growth Fund III, L.P.</v>
          </cell>
          <cell r="C108" t="str">
            <v>Primary Partnership</v>
          </cell>
          <cell r="E108" t="str">
            <v>2002</v>
          </cell>
          <cell r="F108">
            <v>168.01499999999999</v>
          </cell>
          <cell r="G108">
            <v>10</v>
          </cell>
          <cell r="I108" t="str">
            <v>Real Estate</v>
          </cell>
          <cell r="K108">
            <v>0.89834679199999989</v>
          </cell>
          <cell r="L108">
            <v>8.9834679199999989</v>
          </cell>
          <cell r="M108">
            <v>8.4198370899999997</v>
          </cell>
          <cell r="N108">
            <v>7.1749261900000008</v>
          </cell>
          <cell r="O108">
            <v>1.735940220288559</v>
          </cell>
          <cell r="P108">
            <v>0.14330221126831155</v>
          </cell>
          <cell r="Q108" t="str">
            <v>U.S.</v>
          </cell>
        </row>
        <row r="109">
          <cell r="A109" t="str">
            <v>Income and Growth Fund IV, L.P.</v>
          </cell>
          <cell r="C109" t="str">
            <v>Primary Partnership</v>
          </cell>
          <cell r="E109" t="str">
            <v>2005</v>
          </cell>
          <cell r="F109">
            <v>508.55079999999998</v>
          </cell>
          <cell r="G109">
            <v>15</v>
          </cell>
          <cell r="I109" t="str">
            <v>Real Estate</v>
          </cell>
          <cell r="K109">
            <v>0.89186641933333322</v>
          </cell>
          <cell r="L109">
            <v>13.377996289999999</v>
          </cell>
          <cell r="M109">
            <v>1.2093510900000002</v>
          </cell>
          <cell r="N109">
            <v>14.167727339999999</v>
          </cell>
          <cell r="O109">
            <v>1.1494306095371178</v>
          </cell>
          <cell r="P109">
            <v>0.11938121922542555</v>
          </cell>
          <cell r="Q109" t="str">
            <v>U.S.</v>
          </cell>
        </row>
        <row r="110">
          <cell r="A110" t="str">
            <v>Indigo Capital IV, L.P.</v>
          </cell>
          <cell r="C110" t="str">
            <v>Primary Partnership</v>
          </cell>
          <cell r="E110" t="str">
            <v>2003</v>
          </cell>
          <cell r="F110">
            <v>694.47375</v>
          </cell>
          <cell r="G110">
            <v>25.617403024657154</v>
          </cell>
          <cell r="I110" t="str">
            <v>Mezzanine</v>
          </cell>
          <cell r="K110">
            <v>0.92242592163604942</v>
          </cell>
          <cell r="L110">
            <v>23.630156594941496</v>
          </cell>
          <cell r="M110">
            <v>14.208034433790397</v>
          </cell>
          <cell r="N110">
            <v>20.297202997050004</v>
          </cell>
          <cell r="O110">
            <v>1.4602204302880892</v>
          </cell>
          <cell r="P110">
            <v>0.17911308386658842</v>
          </cell>
          <cell r="Q110" t="str">
            <v>Western Europe</v>
          </cell>
        </row>
        <row r="111">
          <cell r="A111" t="str">
            <v>Infinity Capital Venture Fund 1999, L.P.</v>
          </cell>
          <cell r="C111" t="str">
            <v>Primary Partnership</v>
          </cell>
          <cell r="E111" t="str">
            <v>1999</v>
          </cell>
          <cell r="F111">
            <v>200</v>
          </cell>
          <cell r="G111">
            <v>33</v>
          </cell>
          <cell r="I111" t="str">
            <v>Venture Capital</v>
          </cell>
          <cell r="K111">
            <v>0.9800775757575757</v>
          </cell>
          <cell r="L111">
            <v>32.342559999999999</v>
          </cell>
          <cell r="M111">
            <v>2.8025917299984449</v>
          </cell>
          <cell r="N111">
            <v>2.7533729999999998</v>
          </cell>
          <cell r="O111">
            <v>0.17178494002943631</v>
          </cell>
          <cell r="P111">
            <v>-0.30013637643289515</v>
          </cell>
          <cell r="Q111" t="str">
            <v>U.S.</v>
          </cell>
        </row>
        <row r="112">
          <cell r="A112" t="str">
            <v>ING Clarion Development Ventures II, L.P.</v>
          </cell>
          <cell r="C112" t="str">
            <v>Primary Partnership</v>
          </cell>
          <cell r="E112" t="str">
            <v>2005</v>
          </cell>
          <cell r="F112">
            <v>204.91499999999999</v>
          </cell>
          <cell r="G112">
            <v>10</v>
          </cell>
          <cell r="I112" t="str">
            <v>Real Estate</v>
          </cell>
          <cell r="K112">
            <v>0.786025839</v>
          </cell>
          <cell r="L112">
            <v>7.8602583900000003</v>
          </cell>
          <cell r="M112">
            <v>3.0032322900000001</v>
          </cell>
          <cell r="N112">
            <v>6.4896070000000003</v>
          </cell>
          <cell r="O112">
            <v>1.2077006656774805</v>
          </cell>
          <cell r="P112">
            <v>0.13952678829002219</v>
          </cell>
          <cell r="Q112" t="str">
            <v>U.S.</v>
          </cell>
        </row>
        <row r="113">
          <cell r="A113" t="str">
            <v>Investcorp Private Equity 2007 Fund, L.P.</v>
          </cell>
          <cell r="C113" t="str">
            <v>Primary Partnership</v>
          </cell>
          <cell r="E113" t="str">
            <v>2007</v>
          </cell>
          <cell r="F113">
            <v>720.83333300000004</v>
          </cell>
          <cell r="G113">
            <v>15</v>
          </cell>
          <cell r="I113" t="str">
            <v>Corporate Finance/Buyout</v>
          </cell>
          <cell r="K113">
            <v>0.21732481200000003</v>
          </cell>
          <cell r="L113">
            <v>3.2598721800000003</v>
          </cell>
          <cell r="M113">
            <v>5.8700600000000007E-3</v>
          </cell>
          <cell r="N113">
            <v>3.2981989999999999</v>
          </cell>
          <cell r="O113">
            <v>1.0135578567378061</v>
          </cell>
          <cell r="P113">
            <v>-8.3684412390744312E-3</v>
          </cell>
          <cell r="Q113" t="str">
            <v>Global</v>
          </cell>
        </row>
        <row r="114">
          <cell r="A114" t="str">
            <v>J.H. Whitney VI, L.P.</v>
          </cell>
          <cell r="C114" t="str">
            <v>Primary Partnership</v>
          </cell>
          <cell r="E114" t="str">
            <v>2005</v>
          </cell>
          <cell r="F114">
            <v>800</v>
          </cell>
          <cell r="G114">
            <v>60</v>
          </cell>
          <cell r="I114" t="str">
            <v>Corporate Finance/Buyout</v>
          </cell>
          <cell r="K114">
            <v>0.55723285</v>
          </cell>
          <cell r="L114">
            <v>33.433971</v>
          </cell>
          <cell r="M114">
            <v>10.514071</v>
          </cell>
          <cell r="N114">
            <v>29.664242999999999</v>
          </cell>
          <cell r="O114">
            <v>1.2017212672703461</v>
          </cell>
          <cell r="P114">
            <v>0.17593402214679266</v>
          </cell>
          <cell r="Q114" t="str">
            <v>U.S.</v>
          </cell>
        </row>
        <row r="115">
          <cell r="A115" t="str">
            <v>JMI Equity Fund VI, L.P.</v>
          </cell>
          <cell r="C115" t="str">
            <v>Primary Partnership</v>
          </cell>
          <cell r="E115" t="str">
            <v>2007</v>
          </cell>
          <cell r="F115">
            <v>600</v>
          </cell>
          <cell r="G115">
            <v>18</v>
          </cell>
          <cell r="I115" t="str">
            <v>Venture Capital</v>
          </cell>
          <cell r="K115">
            <v>0.11499999999999999</v>
          </cell>
          <cell r="L115">
            <v>2.0699999999999998</v>
          </cell>
          <cell r="M115">
            <v>0</v>
          </cell>
          <cell r="N115">
            <v>1.913862</v>
          </cell>
          <cell r="O115">
            <v>0.9245710144927537</v>
          </cell>
          <cell r="P115">
            <v>-9.8676556816413963E-2</v>
          </cell>
          <cell r="Q115" t="str">
            <v>U.S.</v>
          </cell>
        </row>
        <row r="116">
          <cell r="A116" t="str">
            <v>Kelso Investment Associates VI, L.P.</v>
          </cell>
          <cell r="C116" t="str">
            <v>Primary Partnership</v>
          </cell>
          <cell r="E116" t="str">
            <v>1998</v>
          </cell>
          <cell r="F116">
            <v>1500</v>
          </cell>
          <cell r="G116">
            <v>5</v>
          </cell>
          <cell r="I116" t="str">
            <v>Corporate Finance/Buyout</v>
          </cell>
          <cell r="K116">
            <v>0.84650580000000009</v>
          </cell>
          <cell r="L116">
            <v>4.2325290000000004</v>
          </cell>
          <cell r="M116">
            <v>5.3108399999999998</v>
          </cell>
          <cell r="N116">
            <v>0.50023899999999999</v>
          </cell>
          <cell r="O116">
            <v>1.3729566885424764</v>
          </cell>
          <cell r="P116">
            <v>9.3501571536441799E-2</v>
          </cell>
          <cell r="Q116" t="str">
            <v>U.S.</v>
          </cell>
        </row>
        <row r="117">
          <cell r="A117" t="str">
            <v>Kelso Investment Associates VII, L.P.</v>
          </cell>
          <cell r="C117" t="str">
            <v>Primary Partnership</v>
          </cell>
          <cell r="E117" t="str">
            <v>2004</v>
          </cell>
          <cell r="F117">
            <v>2100</v>
          </cell>
          <cell r="G117">
            <v>28</v>
          </cell>
          <cell r="I117" t="str">
            <v>Corporate Finance/Buyout</v>
          </cell>
          <cell r="K117">
            <v>0.87084992857142851</v>
          </cell>
          <cell r="L117">
            <v>24.383797999999999</v>
          </cell>
          <cell r="M117">
            <v>8.1736489999999993</v>
          </cell>
          <cell r="N117">
            <v>37.749594000000002</v>
          </cell>
          <cell r="O117">
            <v>1.8833506986893511</v>
          </cell>
          <cell r="P117">
            <v>0.50246251236411732</v>
          </cell>
          <cell r="Q117" t="str">
            <v>U.S.</v>
          </cell>
        </row>
        <row r="118">
          <cell r="A118" t="str">
            <v>Kelso Investment Associates VIII, L.P.</v>
          </cell>
          <cell r="C118" t="str">
            <v>Primary Partnership</v>
          </cell>
          <cell r="E118" t="str">
            <v>2007</v>
          </cell>
          <cell r="F118">
            <v>4728.2481710000002</v>
          </cell>
          <cell r="G118">
            <v>75</v>
          </cell>
          <cell r="I118" t="str">
            <v>Corporate Finance/Buyout</v>
          </cell>
          <cell r="K118">
            <v>1.7407559999999999E-2</v>
          </cell>
          <cell r="L118">
            <v>1.3055669999999999</v>
          </cell>
          <cell r="M118">
            <v>0</v>
          </cell>
          <cell r="N118">
            <v>1.2179089999999999</v>
          </cell>
          <cell r="O118">
            <v>0.93285829068902626</v>
          </cell>
          <cell r="P118">
            <v>-6.8125866248209266E-2</v>
          </cell>
          <cell r="Q118" t="str">
            <v>U.S.</v>
          </cell>
        </row>
        <row r="119">
          <cell r="A119" t="str">
            <v>KKR 2006 Fund, L.P.</v>
          </cell>
          <cell r="C119" t="str">
            <v>Primary Partnership</v>
          </cell>
          <cell r="E119" t="str">
            <v>2006</v>
          </cell>
          <cell r="F119">
            <v>15578.793799999999</v>
          </cell>
          <cell r="G119">
            <v>58</v>
          </cell>
          <cell r="I119" t="str">
            <v>Corporate Finance/Buyout</v>
          </cell>
          <cell r="K119">
            <v>0.64334482758620692</v>
          </cell>
          <cell r="L119">
            <v>37.314</v>
          </cell>
          <cell r="M119">
            <v>3.7192999999999997E-2</v>
          </cell>
          <cell r="N119">
            <v>37.405329999999999</v>
          </cell>
          <cell r="O119">
            <v>1.0034443640456665</v>
          </cell>
          <cell r="P119">
            <v>-3.2359311796000712E-2</v>
          </cell>
          <cell r="Q119" t="str">
            <v>U.S.</v>
          </cell>
        </row>
        <row r="120">
          <cell r="A120" t="str">
            <v>KKR European Fund II, L.P.</v>
          </cell>
          <cell r="C120" t="str">
            <v>Primary Partnership</v>
          </cell>
          <cell r="E120" t="str">
            <v>2005</v>
          </cell>
          <cell r="F120">
            <v>5457.1913649999997</v>
          </cell>
          <cell r="G120">
            <v>15</v>
          </cell>
          <cell r="I120" t="str">
            <v>Corporate Finance/Buyout</v>
          </cell>
          <cell r="K120">
            <v>0.90486499999999992</v>
          </cell>
          <cell r="L120">
            <v>13.572975</v>
          </cell>
          <cell r="M120">
            <v>1.8556889999999999</v>
          </cell>
          <cell r="N120">
            <v>12.485943000000001</v>
          </cell>
          <cell r="O120">
            <v>1.0566314312079703</v>
          </cell>
          <cell r="P120">
            <v>4.5999604915077708E-2</v>
          </cell>
          <cell r="Q120" t="str">
            <v>Western Europe</v>
          </cell>
        </row>
        <row r="121">
          <cell r="A121" t="str">
            <v>Kline Hawkes Pacific, L.P.</v>
          </cell>
          <cell r="C121" t="str">
            <v>Primary Partnership</v>
          </cell>
          <cell r="E121" t="str">
            <v>2000</v>
          </cell>
          <cell r="F121">
            <v>149.69697600000001</v>
          </cell>
          <cell r="G121">
            <v>5</v>
          </cell>
          <cell r="I121" t="str">
            <v>Venture Capital</v>
          </cell>
          <cell r="K121">
            <v>1.0630038000000002</v>
          </cell>
          <cell r="L121">
            <v>5.3150190000000004</v>
          </cell>
          <cell r="M121">
            <v>2.0114529999999999</v>
          </cell>
          <cell r="N121">
            <v>3.1446139999999998</v>
          </cell>
          <cell r="O121">
            <v>0.97009380399204592</v>
          </cell>
          <cell r="P121">
            <v>-9.6776156502946797E-3</v>
          </cell>
          <cell r="Q121" t="str">
            <v>U.S.</v>
          </cell>
        </row>
        <row r="122">
          <cell r="A122" t="str">
            <v>Kohlberg Investors IV, L.P.</v>
          </cell>
          <cell r="C122" t="str">
            <v>Primary Partnership</v>
          </cell>
          <cell r="E122" t="str">
            <v>2001</v>
          </cell>
          <cell r="F122">
            <v>576.04425000000003</v>
          </cell>
          <cell r="G122">
            <v>55.829413000000002</v>
          </cell>
          <cell r="I122" t="str">
            <v>Corporate Finance/Buyout</v>
          </cell>
          <cell r="K122">
            <v>0.90385387000217954</v>
          </cell>
          <cell r="L122">
            <v>50.461630999999997</v>
          </cell>
          <cell r="M122">
            <v>57.11598</v>
          </cell>
          <cell r="N122">
            <v>27.396445</v>
          </cell>
          <cell r="O122">
            <v>1.6747858387692625</v>
          </cell>
          <cell r="P122">
            <v>0.19721949790623436</v>
          </cell>
          <cell r="Q122" t="str">
            <v>U.S.</v>
          </cell>
        </row>
        <row r="123">
          <cell r="A123" t="str">
            <v>Kohlberg Investors V, L.P.</v>
          </cell>
          <cell r="C123" t="str">
            <v>Primary Partnership</v>
          </cell>
          <cell r="E123" t="str">
            <v>2005</v>
          </cell>
          <cell r="F123">
            <v>729.29499999999996</v>
          </cell>
          <cell r="G123">
            <v>65</v>
          </cell>
          <cell r="I123" t="str">
            <v>Corporate Finance/Buyout</v>
          </cell>
          <cell r="K123">
            <v>0.78549438461538468</v>
          </cell>
          <cell r="L123">
            <v>51.057135000000002</v>
          </cell>
          <cell r="M123">
            <v>7.0310769999999998</v>
          </cell>
          <cell r="N123">
            <v>59.838785999999999</v>
          </cell>
          <cell r="O123">
            <v>1.3097065277947928</v>
          </cell>
          <cell r="P123">
            <v>0.22925004083144729</v>
          </cell>
          <cell r="Q123" t="str">
            <v>U.S.</v>
          </cell>
        </row>
        <row r="124">
          <cell r="A124" t="str">
            <v>Kohlberg Investors VI, L.P.</v>
          </cell>
          <cell r="C124" t="str">
            <v>Primary Partnership</v>
          </cell>
          <cell r="E124" t="str">
            <v>2007</v>
          </cell>
          <cell r="F124">
            <v>1553.1</v>
          </cell>
          <cell r="G124">
            <v>185</v>
          </cell>
          <cell r="I124" t="str">
            <v>Corporate Finance/Buyout</v>
          </cell>
          <cell r="K124">
            <v>0.11446349729729731</v>
          </cell>
          <cell r="L124">
            <v>21.175747000000001</v>
          </cell>
          <cell r="M124">
            <v>0.10005500000000001</v>
          </cell>
          <cell r="N124">
            <v>19.064629</v>
          </cell>
          <cell r="O124">
            <v>0.905029891035249</v>
          </cell>
          <cell r="P124">
            <v>-0.13879048768281729</v>
          </cell>
          <cell r="Q124" t="str">
            <v>U.S.</v>
          </cell>
        </row>
        <row r="125">
          <cell r="A125" t="str">
            <v>KPS Special Situations Fund II, L.P.</v>
          </cell>
          <cell r="C125" t="str">
            <v>Primary Partnership</v>
          </cell>
          <cell r="E125" t="str">
            <v>2003</v>
          </cell>
          <cell r="F125">
            <v>403.77551</v>
          </cell>
          <cell r="G125">
            <v>50</v>
          </cell>
          <cell r="I125" t="str">
            <v>Special Situation</v>
          </cell>
          <cell r="K125">
            <v>0.79840928860000004</v>
          </cell>
          <cell r="L125">
            <v>39.920464430000003</v>
          </cell>
          <cell r="M125">
            <v>56.049355390000002</v>
          </cell>
          <cell r="N125">
            <v>16.357347000000001</v>
          </cell>
          <cell r="O125">
            <v>1.8137740485701057</v>
          </cell>
          <cell r="P125">
            <v>0.51599807297329847</v>
          </cell>
          <cell r="Q125" t="str">
            <v>U.S.</v>
          </cell>
        </row>
        <row r="126">
          <cell r="A126" t="str">
            <v>KPS Special Situations Fund III, L.P.</v>
          </cell>
          <cell r="C126" t="str">
            <v>Primary Partnership</v>
          </cell>
          <cell r="E126" t="str">
            <v>2007</v>
          </cell>
          <cell r="F126">
            <v>1204</v>
          </cell>
          <cell r="G126">
            <v>150</v>
          </cell>
          <cell r="I126" t="str">
            <v>Special Situation</v>
          </cell>
          <cell r="K126">
            <v>4.3199166000000004E-2</v>
          </cell>
          <cell r="L126">
            <v>6.4798749000000004</v>
          </cell>
          <cell r="M126">
            <v>0</v>
          </cell>
          <cell r="N126">
            <v>5.9083399999999999</v>
          </cell>
          <cell r="O126">
            <v>0.91179846697349043</v>
          </cell>
          <cell r="P126">
            <v>-8.6396684355789399E-2</v>
          </cell>
          <cell r="Q126" t="str">
            <v>U.S.</v>
          </cell>
        </row>
        <row r="127">
          <cell r="A127" t="str">
            <v>Landmark Growth Capital Partners, L.P.</v>
          </cell>
          <cell r="C127" t="str">
            <v>Primary Partnership</v>
          </cell>
          <cell r="E127" t="str">
            <v>2003</v>
          </cell>
          <cell r="F127">
            <v>53.030303000000004</v>
          </cell>
          <cell r="G127">
            <v>15</v>
          </cell>
          <cell r="I127" t="str">
            <v>Corporate Finance/Buyout</v>
          </cell>
          <cell r="K127">
            <v>0.99658720000000001</v>
          </cell>
          <cell r="L127">
            <v>14.948808</v>
          </cell>
          <cell r="M127">
            <v>2.9950260000000002</v>
          </cell>
          <cell r="N127">
            <v>16.192537999999999</v>
          </cell>
          <cell r="O127">
            <v>1.2835514376798471</v>
          </cell>
          <cell r="P127">
            <v>9.0210119574609879E-2</v>
          </cell>
          <cell r="Q127" t="str">
            <v>U.S.</v>
          </cell>
        </row>
        <row r="128">
          <cell r="A128" t="str">
            <v>Levine Leichtman Capital Partners II, L.P.</v>
          </cell>
          <cell r="C128" t="str">
            <v>Primary Partnership</v>
          </cell>
          <cell r="E128" t="str">
            <v>1998</v>
          </cell>
          <cell r="F128">
            <v>349.45499999999998</v>
          </cell>
          <cell r="G128">
            <v>75</v>
          </cell>
          <cell r="I128" t="str">
            <v>Corporate Finance/Buyout</v>
          </cell>
          <cell r="K128">
            <v>1.0591858854666667</v>
          </cell>
          <cell r="L128">
            <v>79.438941409999998</v>
          </cell>
          <cell r="M128">
            <v>82.148209789999996</v>
          </cell>
          <cell r="N128">
            <v>39.848942999999998</v>
          </cell>
          <cell r="O128">
            <v>1.5357348754227313</v>
          </cell>
          <cell r="P128">
            <v>0.10391553305024036</v>
          </cell>
          <cell r="Q128" t="str">
            <v>U.S.</v>
          </cell>
        </row>
        <row r="129">
          <cell r="A129" t="str">
            <v>Levine Leichtman Capital Partners III, L.P.</v>
          </cell>
          <cell r="C129" t="str">
            <v>Primary Partnership</v>
          </cell>
          <cell r="E129" t="str">
            <v>2003</v>
          </cell>
          <cell r="F129">
            <v>467.58186000000001</v>
          </cell>
          <cell r="G129">
            <v>88.7</v>
          </cell>
          <cell r="I129" t="str">
            <v>Corporate Finance/Buyout</v>
          </cell>
          <cell r="K129">
            <v>0.86414757981961687</v>
          </cell>
          <cell r="L129">
            <v>76.649890330000019</v>
          </cell>
          <cell r="M129">
            <v>32.834832290000001</v>
          </cell>
          <cell r="N129">
            <v>68.192775999999995</v>
          </cell>
          <cell r="O129">
            <v>1.318039828303039</v>
          </cell>
          <cell r="P129">
            <v>0.14157115905712669</v>
          </cell>
          <cell r="Q129" t="str">
            <v>U.S.</v>
          </cell>
        </row>
        <row r="130">
          <cell r="A130" t="str">
            <v>Lighthouse Capital Partners V, L.P.</v>
          </cell>
          <cell r="C130" t="str">
            <v>Primary Partnership</v>
          </cell>
          <cell r="E130" t="str">
            <v>2003</v>
          </cell>
          <cell r="F130">
            <v>365.97460000000001</v>
          </cell>
          <cell r="G130">
            <v>15</v>
          </cell>
          <cell r="I130" t="str">
            <v>Venture Capital</v>
          </cell>
          <cell r="K130">
            <v>0.92999999999999994</v>
          </cell>
          <cell r="L130">
            <v>13.95</v>
          </cell>
          <cell r="M130">
            <v>2.8535175399999999</v>
          </cell>
          <cell r="N130">
            <v>13.411398999999999</v>
          </cell>
          <cell r="O130">
            <v>1.1659438379928315</v>
          </cell>
          <cell r="P130">
            <v>6.4547793155030453E-2</v>
          </cell>
          <cell r="Q130" t="str">
            <v>U.S.</v>
          </cell>
        </row>
        <row r="131">
          <cell r="A131" t="str">
            <v>Lightspeed Venture Partners VI, L.P.</v>
          </cell>
          <cell r="C131" t="str">
            <v>Primary Partnership</v>
          </cell>
          <cell r="E131" t="str">
            <v>2000</v>
          </cell>
          <cell r="F131">
            <v>702.40815399999997</v>
          </cell>
          <cell r="G131">
            <v>8</v>
          </cell>
          <cell r="I131" t="str">
            <v>Venture Capital</v>
          </cell>
          <cell r="K131">
            <v>0.86252275499999997</v>
          </cell>
          <cell r="L131">
            <v>6.9001820399999998</v>
          </cell>
          <cell r="M131">
            <v>4.727449096</v>
          </cell>
          <cell r="N131">
            <v>4.2643058399999996</v>
          </cell>
          <cell r="O131">
            <v>1.3031185096096392</v>
          </cell>
          <cell r="P131">
            <v>7.4680850026224377E-2</v>
          </cell>
          <cell r="Q131" t="str">
            <v>U.S.</v>
          </cell>
        </row>
        <row r="132">
          <cell r="A132" t="str">
            <v>Lindsay Goldberg &amp; Bessemer II, L.P.</v>
          </cell>
          <cell r="C132" t="str">
            <v>Primary Partnership</v>
          </cell>
          <cell r="E132" t="str">
            <v>2006</v>
          </cell>
          <cell r="F132">
            <v>3085.5</v>
          </cell>
          <cell r="G132">
            <v>118</v>
          </cell>
          <cell r="I132" t="str">
            <v>Corporate Finance/Buyout</v>
          </cell>
          <cell r="K132">
            <v>0.42741762711864406</v>
          </cell>
          <cell r="L132">
            <v>50.435279999999999</v>
          </cell>
          <cell r="M132">
            <v>9.9532999999999996E-2</v>
          </cell>
          <cell r="N132">
            <v>50.397708999999999</v>
          </cell>
          <cell r="O132">
            <v>1.0012285447805584</v>
          </cell>
          <cell r="P132">
            <v>2.1457300935714407E-3</v>
          </cell>
          <cell r="Q132" t="str">
            <v>U.S.</v>
          </cell>
        </row>
        <row r="133">
          <cell r="A133" t="str">
            <v>Lindsay Goldberg &amp; Bessemer, L.P.</v>
          </cell>
          <cell r="C133" t="str">
            <v>Primary Partnership</v>
          </cell>
          <cell r="E133" t="str">
            <v>2002</v>
          </cell>
          <cell r="F133">
            <v>2042.1</v>
          </cell>
          <cell r="G133">
            <v>35</v>
          </cell>
          <cell r="I133" t="str">
            <v>Corporate Finance/Buyout</v>
          </cell>
          <cell r="K133">
            <v>0.91810005714285714</v>
          </cell>
          <cell r="L133">
            <v>32.133502</v>
          </cell>
          <cell r="M133">
            <v>37.628004939999997</v>
          </cell>
          <cell r="N133">
            <v>32.371108999999997</v>
          </cell>
          <cell r="O133">
            <v>2.1783842277757337</v>
          </cell>
          <cell r="P133">
            <v>0.41313974881092008</v>
          </cell>
          <cell r="Q133" t="str">
            <v>U.S.</v>
          </cell>
        </row>
        <row r="134">
          <cell r="A134" t="str">
            <v>Littlejohn Fund II, L.P.</v>
          </cell>
          <cell r="C134" t="str">
            <v>Primary Partnership</v>
          </cell>
          <cell r="E134" t="str">
            <v>2000</v>
          </cell>
          <cell r="F134">
            <v>530.20000000000005</v>
          </cell>
          <cell r="G134">
            <v>40</v>
          </cell>
          <cell r="I134" t="str">
            <v>Corporate Finance/Buyout</v>
          </cell>
          <cell r="K134">
            <v>0.84784586225000014</v>
          </cell>
          <cell r="L134">
            <v>33.913834490000006</v>
          </cell>
          <cell r="M134">
            <v>36.680045900000003</v>
          </cell>
          <cell r="N134">
            <v>17.51652</v>
          </cell>
          <cell r="O134">
            <v>1.598066591850021</v>
          </cell>
          <cell r="P134">
            <v>0.12848190168200135</v>
          </cell>
          <cell r="Q134" t="str">
            <v>U.S.</v>
          </cell>
        </row>
        <row r="135">
          <cell r="A135" t="str">
            <v>LLCP California Growth Fund, L.P.</v>
          </cell>
          <cell r="C135" t="str">
            <v>Primary Partnership</v>
          </cell>
          <cell r="E135" t="str">
            <v>2007</v>
          </cell>
          <cell r="F135">
            <v>86.734694000000005</v>
          </cell>
          <cell r="G135">
            <v>35</v>
          </cell>
          <cell r="I135" t="str">
            <v>Corporate Finance/Buyout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 t="e">
            <v>#DIV/0!</v>
          </cell>
          <cell r="P135">
            <v>-1</v>
          </cell>
          <cell r="Q135" t="str">
            <v>U.S.</v>
          </cell>
        </row>
        <row r="136">
          <cell r="A136" t="str">
            <v>Madison Dearborn Capital Partners III, L.P.</v>
          </cell>
          <cell r="C136" t="str">
            <v>Primary Partnership</v>
          </cell>
          <cell r="E136" t="str">
            <v>1999</v>
          </cell>
          <cell r="F136">
            <v>2173</v>
          </cell>
          <cell r="G136">
            <v>10</v>
          </cell>
          <cell r="I136" t="str">
            <v>Corporate Finance/Buyout</v>
          </cell>
          <cell r="K136">
            <v>0.99088472799999994</v>
          </cell>
          <cell r="L136">
            <v>9.9088472799999998</v>
          </cell>
          <cell r="M136">
            <v>13.168018674000001</v>
          </cell>
          <cell r="N136">
            <v>3.1680000000000001</v>
          </cell>
          <cell r="O136">
            <v>1.6486295743978812</v>
          </cell>
          <cell r="P136">
            <v>0.10364739546236133</v>
          </cell>
          <cell r="Q136" t="str">
            <v>U.S.</v>
          </cell>
        </row>
        <row r="137">
          <cell r="A137" t="str">
            <v>Madison Dearborn Capital Partners IV, L.P.</v>
          </cell>
          <cell r="C137" t="str">
            <v>Primary Partnership</v>
          </cell>
          <cell r="E137" t="str">
            <v>2000</v>
          </cell>
          <cell r="F137">
            <v>4036</v>
          </cell>
          <cell r="G137">
            <v>18.590797940000002</v>
          </cell>
          <cell r="I137" t="str">
            <v>Corporate Finance/Buyout</v>
          </cell>
          <cell r="K137">
            <v>1</v>
          </cell>
          <cell r="L137">
            <v>18.590797940000002</v>
          </cell>
          <cell r="M137">
            <v>34.30606418</v>
          </cell>
          <cell r="N137">
            <v>0</v>
          </cell>
          <cell r="O137">
            <v>1.8453249984599638</v>
          </cell>
          <cell r="P137">
            <v>0.25879045922081145</v>
          </cell>
          <cell r="Q137" t="str">
            <v>U.S.</v>
          </cell>
        </row>
        <row r="138">
          <cell r="A138" t="str">
            <v>Markstone Capital Partners, L.P.</v>
          </cell>
          <cell r="C138" t="str">
            <v>Primary Partnership</v>
          </cell>
          <cell r="E138" t="str">
            <v>2004</v>
          </cell>
          <cell r="F138">
            <v>698.36940400000003</v>
          </cell>
          <cell r="G138">
            <v>15</v>
          </cell>
          <cell r="I138" t="str">
            <v>Corporate Finance/Buyout</v>
          </cell>
          <cell r="K138">
            <v>0.67725673333333336</v>
          </cell>
          <cell r="L138">
            <v>10.158851</v>
          </cell>
          <cell r="M138">
            <v>3.7769689999999998</v>
          </cell>
          <cell r="N138">
            <v>8.8448209999999996</v>
          </cell>
          <cell r="O138">
            <v>1.2424426738811307</v>
          </cell>
          <cell r="P138">
            <v>0.15557010191484277</v>
          </cell>
          <cell r="Q138" t="str">
            <v>Middle East</v>
          </cell>
        </row>
        <row r="139">
          <cell r="A139" t="str">
            <v>Menlo Ventures IX, L.P.</v>
          </cell>
          <cell r="C139" t="str">
            <v>Primary Partnership</v>
          </cell>
          <cell r="E139" t="str">
            <v>2001</v>
          </cell>
          <cell r="F139">
            <v>1515.151515</v>
          </cell>
          <cell r="G139">
            <v>20</v>
          </cell>
          <cell r="I139" t="str">
            <v>Venture Capital</v>
          </cell>
          <cell r="K139">
            <v>0.9</v>
          </cell>
          <cell r="L139">
            <v>18</v>
          </cell>
          <cell r="M139">
            <v>7.4611013595636004</v>
          </cell>
          <cell r="N139">
            <v>14.001016</v>
          </cell>
          <cell r="O139">
            <v>1.1923398533090888</v>
          </cell>
          <cell r="P139">
            <v>5.0460027482956082E-2</v>
          </cell>
          <cell r="Q139" t="str">
            <v>U.S.</v>
          </cell>
        </row>
        <row r="140">
          <cell r="A140" t="str">
            <v>Menlo Ventures X, L.P.</v>
          </cell>
          <cell r="C140" t="str">
            <v>Primary Partnership</v>
          </cell>
          <cell r="E140" t="str">
            <v>2006</v>
          </cell>
          <cell r="F140">
            <v>1212.121212</v>
          </cell>
          <cell r="G140">
            <v>10</v>
          </cell>
          <cell r="I140" t="str">
            <v>Venture Capital</v>
          </cell>
          <cell r="K140">
            <v>0.25</v>
          </cell>
          <cell r="L140">
            <v>2.5</v>
          </cell>
          <cell r="M140">
            <v>0</v>
          </cell>
          <cell r="N140">
            <v>2.091942</v>
          </cell>
          <cell r="O140">
            <v>0.83677679999999999</v>
          </cell>
          <cell r="P140">
            <v>-0.14097463191729254</v>
          </cell>
          <cell r="Q140" t="str">
            <v>U.S.</v>
          </cell>
        </row>
        <row r="141">
          <cell r="A141" t="str">
            <v>Merit Mezzanine Fund IV, L.P.</v>
          </cell>
          <cell r="C141" t="str">
            <v>Primary Partnership</v>
          </cell>
          <cell r="E141" t="str">
            <v>2005</v>
          </cell>
          <cell r="F141">
            <v>455</v>
          </cell>
          <cell r="G141">
            <v>20</v>
          </cell>
          <cell r="I141" t="str">
            <v>Mezzanine</v>
          </cell>
          <cell r="K141">
            <v>0.61664833450000001</v>
          </cell>
          <cell r="L141">
            <v>12.332966689999999</v>
          </cell>
          <cell r="M141">
            <v>0</v>
          </cell>
          <cell r="N141">
            <v>13.403102859999999</v>
          </cell>
          <cell r="O141">
            <v>1.086770377063266</v>
          </cell>
          <cell r="P141">
            <v>9.8171391176418599E-2</v>
          </cell>
          <cell r="Q141" t="str">
            <v>U.S.</v>
          </cell>
        </row>
        <row r="142">
          <cell r="A142" t="str">
            <v>Montreux Equity Partners IV, L.P.</v>
          </cell>
          <cell r="C142" t="str">
            <v>Primary Partnership</v>
          </cell>
          <cell r="E142" t="str">
            <v>2007</v>
          </cell>
          <cell r="F142">
            <v>250</v>
          </cell>
          <cell r="G142">
            <v>25</v>
          </cell>
          <cell r="I142" t="str">
            <v>Venture Capital</v>
          </cell>
          <cell r="K142">
            <v>0.25</v>
          </cell>
          <cell r="L142">
            <v>6.25</v>
          </cell>
          <cell r="M142">
            <v>0</v>
          </cell>
          <cell r="N142">
            <v>5.4153359999999999</v>
          </cell>
          <cell r="O142">
            <v>0.86645375999999996</v>
          </cell>
          <cell r="P142">
            <v>-0.16045932411486885</v>
          </cell>
          <cell r="Q142" t="str">
            <v>U.S.</v>
          </cell>
        </row>
        <row r="143">
          <cell r="A143" t="str">
            <v>Morgan Stanley Venture Partners 2002, L.P.</v>
          </cell>
          <cell r="C143" t="str">
            <v>Primary Partnership</v>
          </cell>
          <cell r="E143" t="str">
            <v>2002</v>
          </cell>
          <cell r="F143">
            <v>58.993000000000002</v>
          </cell>
          <cell r="G143">
            <v>10</v>
          </cell>
          <cell r="I143" t="str">
            <v>Venture Capital</v>
          </cell>
          <cell r="K143">
            <v>0.9</v>
          </cell>
          <cell r="L143">
            <v>9</v>
          </cell>
          <cell r="M143">
            <v>3.0758200000000002</v>
          </cell>
          <cell r="N143">
            <v>10.524346</v>
          </cell>
          <cell r="O143">
            <v>1.5111295555555555</v>
          </cell>
          <cell r="P143">
            <v>0.13950830365132294</v>
          </cell>
          <cell r="Q143" t="str">
            <v>U.S.</v>
          </cell>
        </row>
        <row r="144">
          <cell r="A144" t="str">
            <v>Morgan Stanley Venture Partners IV, L.P.</v>
          </cell>
          <cell r="C144" t="str">
            <v>Primary Partnership</v>
          </cell>
          <cell r="E144" t="str">
            <v>1999</v>
          </cell>
          <cell r="F144">
            <v>487</v>
          </cell>
          <cell r="G144">
            <v>19</v>
          </cell>
          <cell r="I144" t="str">
            <v>Venture Capital</v>
          </cell>
          <cell r="K144">
            <v>0.97673215789473689</v>
          </cell>
          <cell r="L144">
            <v>18.557911000000001</v>
          </cell>
          <cell r="M144">
            <v>6.8042559999999996</v>
          </cell>
          <cell r="N144">
            <v>8.3159650000000003</v>
          </cell>
          <cell r="O144">
            <v>0.8147587840032211</v>
          </cell>
          <cell r="P144">
            <v>-3.3578677106826382E-2</v>
          </cell>
          <cell r="Q144" t="str">
            <v>U.S.</v>
          </cell>
        </row>
        <row r="145">
          <cell r="A145" t="str">
            <v>Multi-Employer Development Partners, L.P.</v>
          </cell>
          <cell r="C145" t="str">
            <v>Primary Partnership</v>
          </cell>
          <cell r="E145" t="str">
            <v>2000</v>
          </cell>
          <cell r="F145">
            <v>212.1</v>
          </cell>
          <cell r="G145">
            <v>25</v>
          </cell>
          <cell r="I145" t="str">
            <v>Real Estate</v>
          </cell>
          <cell r="K145">
            <v>0.87818519240000004</v>
          </cell>
          <cell r="L145">
            <v>21.95462981</v>
          </cell>
          <cell r="M145">
            <v>21.026126999999999</v>
          </cell>
          <cell r="N145">
            <v>5.8994920000000004</v>
          </cell>
          <cell r="O145">
            <v>1.2264209978952041</v>
          </cell>
          <cell r="P145">
            <v>4.2991365640245416E-2</v>
          </cell>
          <cell r="Q145" t="str">
            <v>U.S.</v>
          </cell>
        </row>
        <row r="146">
          <cell r="A146" t="str">
            <v>Nautic Partners V, L.P.</v>
          </cell>
          <cell r="C146" t="str">
            <v>Primary Partnership</v>
          </cell>
          <cell r="E146" t="str">
            <v>2000</v>
          </cell>
          <cell r="F146">
            <v>1082.706052</v>
          </cell>
          <cell r="G146">
            <v>18.98389572</v>
          </cell>
          <cell r="I146" t="str">
            <v>Corporate Finance/Buyout</v>
          </cell>
          <cell r="K146">
            <v>0.9478787128525169</v>
          </cell>
          <cell r="L146">
            <v>17.994430640000004</v>
          </cell>
          <cell r="M146">
            <v>21.944120050000002</v>
          </cell>
          <cell r="N146">
            <v>5.8562380000000003</v>
          </cell>
          <cell r="O146">
            <v>1.5449423550085715</v>
          </cell>
          <cell r="P146">
            <v>0.16158306357043628</v>
          </cell>
          <cell r="Q146" t="str">
            <v>U.S.</v>
          </cell>
        </row>
        <row r="147">
          <cell r="A147" t="str">
            <v>New Century Holdings XI, L.P.</v>
          </cell>
          <cell r="C147" t="str">
            <v>Primary Partnership</v>
          </cell>
          <cell r="E147" t="str">
            <v>2004</v>
          </cell>
          <cell r="F147">
            <v>1480.1721769999999</v>
          </cell>
          <cell r="G147">
            <v>30</v>
          </cell>
          <cell r="I147" t="str">
            <v>Special Situation</v>
          </cell>
          <cell r="K147">
            <v>1</v>
          </cell>
          <cell r="L147">
            <v>30</v>
          </cell>
          <cell r="M147">
            <v>60.238072100000004</v>
          </cell>
          <cell r="N147">
            <v>0</v>
          </cell>
          <cell r="O147">
            <v>2.0079357366666666</v>
          </cell>
          <cell r="P147">
            <v>0.37283763962589789</v>
          </cell>
          <cell r="Q147" t="str">
            <v>Eastern Europe</v>
          </cell>
        </row>
        <row r="148">
          <cell r="A148" t="str">
            <v>New Enterprise Associates 11, L.P.</v>
          </cell>
          <cell r="C148" t="str">
            <v>Primary Partnership</v>
          </cell>
          <cell r="E148" t="str">
            <v>2004</v>
          </cell>
          <cell r="F148">
            <v>1111.1111100000001</v>
          </cell>
          <cell r="G148">
            <v>5</v>
          </cell>
          <cell r="I148" t="str">
            <v>Venture Capital</v>
          </cell>
          <cell r="K148">
            <v>0.80999999999999994</v>
          </cell>
          <cell r="L148">
            <v>4.05</v>
          </cell>
          <cell r="M148">
            <v>1.5755567797600321</v>
          </cell>
          <cell r="N148">
            <v>4.1840539999999997</v>
          </cell>
          <cell r="O148">
            <v>1.4221261184592673</v>
          </cell>
          <cell r="P148">
            <v>0.16988213138047326</v>
          </cell>
          <cell r="Q148" t="str">
            <v>U.S.</v>
          </cell>
        </row>
        <row r="149">
          <cell r="A149" t="str">
            <v>New Enterprise Associates 12, L.P.</v>
          </cell>
          <cell r="C149" t="str">
            <v>Primary Partnership</v>
          </cell>
          <cell r="E149" t="str">
            <v>2006</v>
          </cell>
          <cell r="F149">
            <v>2525.3000000000002</v>
          </cell>
          <cell r="G149">
            <v>15</v>
          </cell>
          <cell r="I149" t="str">
            <v>Venture Capital</v>
          </cell>
          <cell r="K149">
            <v>0.31</v>
          </cell>
          <cell r="L149">
            <v>4.6500000000000004</v>
          </cell>
          <cell r="M149">
            <v>0.29028699998870006</v>
          </cell>
          <cell r="N149">
            <v>4.7215150000000001</v>
          </cell>
          <cell r="O149">
            <v>1.077806881718</v>
          </cell>
          <cell r="P149">
            <v>0.10538699422662479</v>
          </cell>
          <cell r="Q149" t="str">
            <v>U.S.</v>
          </cell>
        </row>
        <row r="150">
          <cell r="A150" t="str">
            <v>New Mountain Partners II, L.P.</v>
          </cell>
          <cell r="C150" t="str">
            <v>Primary Partnership</v>
          </cell>
          <cell r="E150" t="str">
            <v>2005</v>
          </cell>
          <cell r="F150">
            <v>1431</v>
          </cell>
          <cell r="G150">
            <v>45</v>
          </cell>
          <cell r="I150" t="str">
            <v>Corporate Finance/Buyout</v>
          </cell>
          <cell r="K150">
            <v>0.80519473333333336</v>
          </cell>
          <cell r="L150">
            <v>36.233763000000003</v>
          </cell>
          <cell r="M150">
            <v>6.6460790000000003</v>
          </cell>
          <cell r="N150">
            <v>40.300812000000001</v>
          </cell>
          <cell r="O150">
            <v>1.2956669998641874</v>
          </cell>
          <cell r="P150">
            <v>0.20919109330018196</v>
          </cell>
          <cell r="Q150" t="str">
            <v>U.S.</v>
          </cell>
        </row>
        <row r="151">
          <cell r="A151" t="str">
            <v>New Mountain Partners III, L.P.</v>
          </cell>
          <cell r="C151" t="str">
            <v>Primary Partnership</v>
          </cell>
          <cell r="E151" t="str">
            <v>2007</v>
          </cell>
          <cell r="F151">
            <v>5121.8408159999999</v>
          </cell>
          <cell r="G151">
            <v>165</v>
          </cell>
          <cell r="I151" t="str">
            <v>Corporate Finance/Buyout</v>
          </cell>
          <cell r="K151">
            <v>3.522472121212121E-2</v>
          </cell>
          <cell r="L151">
            <v>5.8120789999999998</v>
          </cell>
          <cell r="M151">
            <v>5.6320000000000002E-2</v>
          </cell>
          <cell r="N151">
            <v>4.9347209999999997</v>
          </cell>
          <cell r="O151">
            <v>0.85873591876504096</v>
          </cell>
          <cell r="P151">
            <v>-0.11303741920068144</v>
          </cell>
          <cell r="Q151" t="str">
            <v>U.S.</v>
          </cell>
        </row>
        <row r="152">
          <cell r="A152" t="str">
            <v>Newbridge Asia III, L.P.</v>
          </cell>
          <cell r="C152" t="str">
            <v>Primary Partnership</v>
          </cell>
          <cell r="E152" t="str">
            <v>2001</v>
          </cell>
          <cell r="F152">
            <v>724</v>
          </cell>
          <cell r="G152">
            <v>10</v>
          </cell>
          <cell r="I152" t="str">
            <v>Corporate Finance/Buyout</v>
          </cell>
          <cell r="K152">
            <v>0.98299420000000004</v>
          </cell>
          <cell r="L152">
            <v>9.8299420000000008</v>
          </cell>
          <cell r="M152">
            <v>4.9851929999999998</v>
          </cell>
          <cell r="N152">
            <v>25.294453000000001</v>
          </cell>
          <cell r="O152">
            <v>3.0803483886273182</v>
          </cell>
          <cell r="P152">
            <v>0.41969718052174154</v>
          </cell>
          <cell r="Q152" t="str">
            <v>Asia</v>
          </cell>
        </row>
        <row r="153">
          <cell r="A153" t="str">
            <v>Newbridge Asia IV, L.P.</v>
          </cell>
          <cell r="C153" t="str">
            <v>Primary Partnership</v>
          </cell>
          <cell r="E153" t="str">
            <v>2005</v>
          </cell>
          <cell r="F153">
            <v>1561.25</v>
          </cell>
          <cell r="G153">
            <v>35</v>
          </cell>
          <cell r="I153" t="str">
            <v>Corporate Finance/Buyout</v>
          </cell>
          <cell r="K153">
            <v>0.8053622857142857</v>
          </cell>
          <cell r="L153">
            <v>28.18768</v>
          </cell>
          <cell r="M153">
            <v>6.0623290000000001</v>
          </cell>
          <cell r="N153">
            <v>31.905107000000001</v>
          </cell>
          <cell r="O153">
            <v>1.3469514341017068</v>
          </cell>
          <cell r="P153">
            <v>0.27803919528092425</v>
          </cell>
          <cell r="Q153" t="str">
            <v>Asia</v>
          </cell>
        </row>
        <row r="154">
          <cell r="A154" t="str">
            <v>Nordic Capital V, L.P.</v>
          </cell>
          <cell r="C154" t="str">
            <v>Primary Partnership</v>
          </cell>
          <cell r="E154" t="str">
            <v>2004</v>
          </cell>
          <cell r="F154">
            <v>2193.0749999999998</v>
          </cell>
          <cell r="G154">
            <v>12.660882976363403</v>
          </cell>
          <cell r="I154" t="str">
            <v>Corporate Finance/Buyout</v>
          </cell>
          <cell r="K154">
            <v>1.0416318448394664</v>
          </cell>
          <cell r="L154">
            <v>13.187978891966006</v>
          </cell>
          <cell r="M154">
            <v>5.7929678495620003</v>
          </cell>
          <cell r="N154">
            <v>17.206160279850003</v>
          </cell>
          <cell r="O154">
            <v>1.7439463861610256</v>
          </cell>
          <cell r="P154">
            <v>0.28150406344194212</v>
          </cell>
          <cell r="Q154" t="str">
            <v>Western Europe</v>
          </cell>
        </row>
        <row r="155">
          <cell r="A155" t="str">
            <v>Oak Investment Partners IX, L.P.</v>
          </cell>
          <cell r="C155" t="str">
            <v>Primary Partnership</v>
          </cell>
          <cell r="E155" t="str">
            <v>1999</v>
          </cell>
          <cell r="F155">
            <v>1000</v>
          </cell>
          <cell r="G155">
            <v>5</v>
          </cell>
          <cell r="I155" t="str">
            <v>Venture Capital</v>
          </cell>
          <cell r="K155">
            <v>1</v>
          </cell>
          <cell r="L155">
            <v>5</v>
          </cell>
          <cell r="M155">
            <v>2.3076540299999997</v>
          </cell>
          <cell r="N155">
            <v>1.7319073</v>
          </cell>
          <cell r="O155">
            <v>0.80791226599999999</v>
          </cell>
          <cell r="P155">
            <v>-4.0551212817588327E-2</v>
          </cell>
          <cell r="Q155" t="str">
            <v>U.S.</v>
          </cell>
        </row>
        <row r="156">
          <cell r="A156" t="str">
            <v>Oak Investment Partners X, L.P.</v>
          </cell>
          <cell r="C156" t="str">
            <v>Primary Partnership</v>
          </cell>
          <cell r="E156" t="str">
            <v>2001</v>
          </cell>
          <cell r="F156">
            <v>1616.1616160000001</v>
          </cell>
          <cell r="G156">
            <v>7</v>
          </cell>
          <cell r="I156" t="str">
            <v>Venture Capital</v>
          </cell>
          <cell r="K156">
            <v>0.99999985714285711</v>
          </cell>
          <cell r="L156">
            <v>6.9999989999999999</v>
          </cell>
          <cell r="M156">
            <v>3.1120446899999998</v>
          </cell>
          <cell r="N156">
            <v>5.0203695600000007</v>
          </cell>
          <cell r="O156">
            <v>1.1617736302533759</v>
          </cell>
          <cell r="P156">
            <v>4.8529871080173814E-2</v>
          </cell>
          <cell r="Q156" t="str">
            <v>U.S.</v>
          </cell>
        </row>
        <row r="157">
          <cell r="A157" t="str">
            <v>Oak Investment Partners XI, L.P.</v>
          </cell>
          <cell r="C157" t="str">
            <v>Primary Partnership</v>
          </cell>
          <cell r="E157" t="str">
            <v>2004</v>
          </cell>
          <cell r="F157">
            <v>1500</v>
          </cell>
          <cell r="G157">
            <v>13</v>
          </cell>
          <cell r="I157" t="str">
            <v>Venture Capital</v>
          </cell>
          <cell r="K157">
            <v>0.93499984615384624</v>
          </cell>
          <cell r="L157">
            <v>12.154998000000001</v>
          </cell>
          <cell r="M157">
            <v>2.0329407699999997</v>
          </cell>
          <cell r="N157">
            <v>11.52798222</v>
          </cell>
          <cell r="O157">
            <v>1.1156664106402978</v>
          </cell>
          <cell r="P157">
            <v>6.312710687000056E-2</v>
          </cell>
          <cell r="Q157" t="str">
            <v>U.S.</v>
          </cell>
        </row>
        <row r="158">
          <cell r="A158" t="str">
            <v>Oak Investment Partners XII, L.P.</v>
          </cell>
          <cell r="C158" t="str">
            <v>Primary Partnership</v>
          </cell>
          <cell r="E158" t="str">
            <v>2006</v>
          </cell>
          <cell r="F158">
            <v>2560</v>
          </cell>
          <cell r="G158">
            <v>50</v>
          </cell>
          <cell r="I158" t="str">
            <v>Venture Capital</v>
          </cell>
          <cell r="K158">
            <v>0.34171607999999998</v>
          </cell>
          <cell r="L158">
            <v>17.085804</v>
          </cell>
          <cell r="M158">
            <v>0</v>
          </cell>
          <cell r="N158">
            <v>18.211543710000001</v>
          </cell>
          <cell r="O158">
            <v>1.0658874297048007</v>
          </cell>
          <cell r="P158">
            <v>8.1119215495525795E-2</v>
          </cell>
          <cell r="Q158" t="str">
            <v>U.S.</v>
          </cell>
        </row>
        <row r="159">
          <cell r="A159" t="str">
            <v>OCM Opportunities Fund II, L.P.</v>
          </cell>
          <cell r="C159" t="str">
            <v>Primary Partnership</v>
          </cell>
          <cell r="E159" t="str">
            <v>1998</v>
          </cell>
          <cell r="F159">
            <v>1500.0519999999999</v>
          </cell>
          <cell r="G159">
            <v>7.5000030000000004</v>
          </cell>
          <cell r="I159" t="str">
            <v>Special Situation</v>
          </cell>
          <cell r="K159">
            <v>1</v>
          </cell>
          <cell r="L159">
            <v>7.5000030000000004</v>
          </cell>
          <cell r="M159">
            <v>11.185439050000001</v>
          </cell>
          <cell r="N159">
            <v>7.3078000000000004E-2</v>
          </cell>
          <cell r="O159">
            <v>1.5011350062126643</v>
          </cell>
          <cell r="P159">
            <v>8.3790766076378809E-2</v>
          </cell>
          <cell r="Q159" t="str">
            <v>U.S.</v>
          </cell>
        </row>
        <row r="160">
          <cell r="A160" t="str">
            <v>OCM Opportunities Fund III, L.P.</v>
          </cell>
          <cell r="C160" t="str">
            <v>Primary Partnership</v>
          </cell>
          <cell r="E160" t="str">
            <v>1999</v>
          </cell>
          <cell r="F160">
            <v>2076.91</v>
          </cell>
          <cell r="G160">
            <v>49</v>
          </cell>
          <cell r="I160" t="str">
            <v>Special Situation</v>
          </cell>
          <cell r="K160">
            <v>1</v>
          </cell>
          <cell r="L160">
            <v>49</v>
          </cell>
          <cell r="M160">
            <v>71.432204079999991</v>
          </cell>
          <cell r="N160">
            <v>1.272659</v>
          </cell>
          <cell r="O160">
            <v>1.4837727159183673</v>
          </cell>
          <cell r="P160">
            <v>0.11857053490269533</v>
          </cell>
          <cell r="Q160" t="str">
            <v>U.S.</v>
          </cell>
        </row>
        <row r="161">
          <cell r="A161" t="str">
            <v>OCM Opportunities Fund IV, L.P.</v>
          </cell>
          <cell r="C161" t="str">
            <v>Primary Partnership</v>
          </cell>
          <cell r="E161" t="str">
            <v>2001</v>
          </cell>
          <cell r="F161">
            <v>2124.5500000000002</v>
          </cell>
          <cell r="G161">
            <v>40</v>
          </cell>
          <cell r="I161" t="str">
            <v>Special Situation</v>
          </cell>
          <cell r="K161">
            <v>1</v>
          </cell>
          <cell r="L161">
            <v>40</v>
          </cell>
          <cell r="M161">
            <v>65.593416419999997</v>
          </cell>
          <cell r="N161">
            <v>0.20189699999999999</v>
          </cell>
          <cell r="O161">
            <v>1.6448828355</v>
          </cell>
          <cell r="P161">
            <v>0.28178923466636463</v>
          </cell>
          <cell r="Q161" t="str">
            <v>U.S.</v>
          </cell>
        </row>
        <row r="162">
          <cell r="A162" t="str">
            <v>OCM Opportunities Fund VI, L.P.</v>
          </cell>
          <cell r="C162" t="str">
            <v>Primary Partnership</v>
          </cell>
          <cell r="E162" t="str">
            <v>2005</v>
          </cell>
          <cell r="F162">
            <v>1733.4169999999999</v>
          </cell>
          <cell r="G162">
            <v>10</v>
          </cell>
          <cell r="I162" t="str">
            <v>Special Situation</v>
          </cell>
          <cell r="K162">
            <v>1</v>
          </cell>
          <cell r="L162">
            <v>10</v>
          </cell>
          <cell r="M162">
            <v>2.2246999999999999E-2</v>
          </cell>
          <cell r="N162">
            <v>13.170792</v>
          </cell>
          <cell r="O162">
            <v>1.3193039</v>
          </cell>
          <cell r="P162">
            <v>0.16834058128623888</v>
          </cell>
          <cell r="Q162" t="str">
            <v>U.S.</v>
          </cell>
        </row>
        <row r="163">
          <cell r="A163" t="str">
            <v>OCM Opportunities Fund VII, L.P.</v>
          </cell>
          <cell r="C163" t="str">
            <v>Primary Partnership</v>
          </cell>
          <cell r="E163" t="str">
            <v>2007</v>
          </cell>
          <cell r="F163">
            <v>3598.373</v>
          </cell>
          <cell r="G163">
            <v>17.5</v>
          </cell>
          <cell r="I163" t="str">
            <v>Special Situation</v>
          </cell>
          <cell r="K163">
            <v>0.45</v>
          </cell>
          <cell r="L163">
            <v>7.875</v>
          </cell>
          <cell r="M163">
            <v>0.14057500000000001</v>
          </cell>
          <cell r="N163">
            <v>7.5320580000000001</v>
          </cell>
          <cell r="O163">
            <v>0.97430260317460315</v>
          </cell>
          <cell r="P163">
            <v>-4.7907142047827748E-2</v>
          </cell>
          <cell r="Q163" t="str">
            <v>Global</v>
          </cell>
        </row>
        <row r="164">
          <cell r="A164" t="str">
            <v>OCM/GFI Power Opportunities Fund, L.P.</v>
          </cell>
          <cell r="C164" t="str">
            <v>Primary Partnership</v>
          </cell>
          <cell r="E164" t="str">
            <v>2000</v>
          </cell>
          <cell r="F164">
            <v>449.101</v>
          </cell>
          <cell r="G164">
            <v>79</v>
          </cell>
          <cell r="I164" t="str">
            <v>Special Situation</v>
          </cell>
          <cell r="K164">
            <v>0.82615933797468355</v>
          </cell>
          <cell r="L164">
            <v>65.266587700000002</v>
          </cell>
          <cell r="M164">
            <v>90.717014379999995</v>
          </cell>
          <cell r="N164">
            <v>8.5187849999999994</v>
          </cell>
          <cell r="O164">
            <v>1.5204686329878403</v>
          </cell>
          <cell r="P164">
            <v>0.13289917088228997</v>
          </cell>
          <cell r="Q164" t="str">
            <v>U.S.</v>
          </cell>
        </row>
        <row r="165">
          <cell r="A165" t="str">
            <v>Odyssey Investment Partners Fund III, L.P.</v>
          </cell>
          <cell r="C165" t="str">
            <v>Primary Partnership</v>
          </cell>
          <cell r="E165" t="str">
            <v>2004</v>
          </cell>
          <cell r="F165">
            <v>750</v>
          </cell>
          <cell r="G165">
            <v>20</v>
          </cell>
          <cell r="I165" t="str">
            <v>Corporate Finance/Buyout</v>
          </cell>
          <cell r="K165">
            <v>0.71885698199999992</v>
          </cell>
          <cell r="L165">
            <v>14.377139639999999</v>
          </cell>
          <cell r="M165">
            <v>5.1231971700000001</v>
          </cell>
          <cell r="N165">
            <v>20.277024000000001</v>
          </cell>
          <cell r="O165">
            <v>1.7667089425306579</v>
          </cell>
          <cell r="P165">
            <v>0.41274013669234377</v>
          </cell>
          <cell r="Q165" t="str">
            <v>U.S.</v>
          </cell>
        </row>
        <row r="166">
          <cell r="A166" t="str">
            <v>Olympus Real Estate Fund III, L.P.</v>
          </cell>
          <cell r="C166" t="str">
            <v>Primary Partnership</v>
          </cell>
          <cell r="E166" t="str">
            <v>2001</v>
          </cell>
          <cell r="F166">
            <v>521.03535399999998</v>
          </cell>
          <cell r="G166">
            <v>15</v>
          </cell>
          <cell r="I166" t="str">
            <v>Real Estate</v>
          </cell>
          <cell r="K166">
            <v>0.86825866666666662</v>
          </cell>
          <cell r="L166">
            <v>13.02388</v>
          </cell>
          <cell r="M166">
            <v>10.484563</v>
          </cell>
          <cell r="N166">
            <v>2.9131140000000002</v>
          </cell>
          <cell r="O166">
            <v>1.0287008940500066</v>
          </cell>
          <cell r="P166">
            <v>-1.8409587861649257E-2</v>
          </cell>
          <cell r="Q166" t="str">
            <v>U.S.</v>
          </cell>
        </row>
        <row r="167">
          <cell r="A167" t="str">
            <v>Oxford Bioscience Partners IV, L.P.</v>
          </cell>
          <cell r="C167" t="str">
            <v>Primary Partnership</v>
          </cell>
          <cell r="E167" t="str">
            <v>2001</v>
          </cell>
          <cell r="F167">
            <v>454.545455</v>
          </cell>
          <cell r="G167">
            <v>5</v>
          </cell>
          <cell r="I167" t="str">
            <v>Venture Capital</v>
          </cell>
          <cell r="K167">
            <v>1</v>
          </cell>
          <cell r="L167">
            <v>5</v>
          </cell>
          <cell r="M167">
            <v>2.30747012434</v>
          </cell>
          <cell r="N167">
            <v>3.496613</v>
          </cell>
          <cell r="O167">
            <v>1.1608166248680001</v>
          </cell>
          <cell r="P167">
            <v>4.3936384370410808E-2</v>
          </cell>
          <cell r="Q167" t="str">
            <v>U.S.</v>
          </cell>
        </row>
        <row r="168">
          <cell r="A168" t="str">
            <v>Pacific Community Ventures Partners III, LLC</v>
          </cell>
          <cell r="C168" t="str">
            <v>Primary Partnership</v>
          </cell>
          <cell r="E168" t="str">
            <v>2007</v>
          </cell>
          <cell r="F168">
            <v>40.511234999999999</v>
          </cell>
          <cell r="G168">
            <v>10</v>
          </cell>
          <cell r="I168" t="str">
            <v>Corporate Finance/Buyout</v>
          </cell>
          <cell r="K168">
            <v>0.16601475400000001</v>
          </cell>
          <cell r="L168">
            <v>1.6601475400000001</v>
          </cell>
          <cell r="M168">
            <v>0</v>
          </cell>
          <cell r="N168">
            <v>1.3777889999999999</v>
          </cell>
          <cell r="O168">
            <v>0.82991961063894348</v>
          </cell>
          <cell r="P168">
            <v>-0.18847636548567023</v>
          </cell>
          <cell r="Q168" t="str">
            <v>U.S.</v>
          </cell>
        </row>
        <row r="169">
          <cell r="A169" t="str">
            <v>PAI Europe V</v>
          </cell>
          <cell r="C169" t="str">
            <v>Primary Partnership</v>
          </cell>
          <cell r="E169" t="str">
            <v>2007</v>
          </cell>
          <cell r="F169">
            <v>7822.1137049999998</v>
          </cell>
          <cell r="G169">
            <v>65.783160047250007</v>
          </cell>
          <cell r="I169" t="str">
            <v>Corporate Finance/Buyout</v>
          </cell>
          <cell r="K169">
            <v>1.8610956802936074E-3</v>
          </cell>
          <cell r="L169">
            <v>0.122428755</v>
          </cell>
          <cell r="M169">
            <v>0</v>
          </cell>
          <cell r="N169">
            <v>0.12796437647700001</v>
          </cell>
          <cell r="O169">
            <v>1.0452150434511893</v>
          </cell>
          <cell r="P169">
            <v>4.3855001982894937E-2</v>
          </cell>
          <cell r="Q169" t="str">
            <v>Western Europe</v>
          </cell>
        </row>
        <row r="170">
          <cell r="A170" t="str">
            <v>Palladium Equity Partners III, L.P.</v>
          </cell>
          <cell r="C170" t="str">
            <v>Primary Partnership</v>
          </cell>
          <cell r="E170" t="str">
            <v>2004</v>
          </cell>
          <cell r="F170">
            <v>560.79591800000003</v>
          </cell>
          <cell r="G170">
            <v>35</v>
          </cell>
          <cell r="I170" t="str">
            <v>Corporate Finance/Buyout</v>
          </cell>
          <cell r="K170">
            <v>0.40325851600000007</v>
          </cell>
          <cell r="L170">
            <v>14.114048060000002</v>
          </cell>
          <cell r="M170">
            <v>0.69443999999999995</v>
          </cell>
          <cell r="N170">
            <v>11.617317</v>
          </cell>
          <cell r="O170">
            <v>0.87230516345570663</v>
          </cell>
          <cell r="P170">
            <v>-9.9231453909145784E-2</v>
          </cell>
          <cell r="Q170" t="str">
            <v>U.S.</v>
          </cell>
        </row>
        <row r="171">
          <cell r="A171" t="str">
            <v>Pegasus Partners II, L.P.</v>
          </cell>
          <cell r="C171" t="str">
            <v>Primary Partnership</v>
          </cell>
          <cell r="E171" t="str">
            <v>2000</v>
          </cell>
          <cell r="F171">
            <v>561.04999999999995</v>
          </cell>
          <cell r="G171">
            <v>54</v>
          </cell>
          <cell r="I171" t="str">
            <v>Corporate Finance/Buyout</v>
          </cell>
          <cell r="K171">
            <v>0.88354453925925924</v>
          </cell>
          <cell r="L171">
            <v>47.711405120000002</v>
          </cell>
          <cell r="M171">
            <v>78.71108559999999</v>
          </cell>
          <cell r="N171">
            <v>22.71743</v>
          </cell>
          <cell r="O171">
            <v>2.1258756757403163</v>
          </cell>
          <cell r="P171">
            <v>0.19314198159472618</v>
          </cell>
          <cell r="Q171" t="str">
            <v>U.S.</v>
          </cell>
        </row>
        <row r="172">
          <cell r="A172" t="str">
            <v>Permira Europe III, L.P.</v>
          </cell>
          <cell r="C172" t="str">
            <v>Primary Partnership</v>
          </cell>
          <cell r="E172" t="str">
            <v>2004</v>
          </cell>
          <cell r="F172">
            <v>7244.8707791249999</v>
          </cell>
          <cell r="G172">
            <v>16.012192753874999</v>
          </cell>
          <cell r="I172" t="str">
            <v>Corporate Finance/Buyout</v>
          </cell>
          <cell r="K172">
            <v>0.95287178004134532</v>
          </cell>
          <cell r="L172">
            <v>15.257566611750001</v>
          </cell>
          <cell r="M172">
            <v>12.719733639375001</v>
          </cell>
          <cell r="N172">
            <v>13.661080859250001</v>
          </cell>
          <cell r="O172">
            <v>1.7290315795383044</v>
          </cell>
          <cell r="P172">
            <v>0.44284623590237177</v>
          </cell>
          <cell r="Q172" t="str">
            <v>Western Europe</v>
          </cell>
        </row>
        <row r="173">
          <cell r="A173" t="str">
            <v>Permira Europe IV, L.P.</v>
          </cell>
          <cell r="C173" t="str">
            <v>Primary Partnership</v>
          </cell>
          <cell r="E173" t="str">
            <v>2006</v>
          </cell>
          <cell r="F173">
            <v>15851.165967000001</v>
          </cell>
          <cell r="G173">
            <v>32.824612250000001</v>
          </cell>
          <cell r="I173" t="str">
            <v>Corporate Finance/Buyout</v>
          </cell>
          <cell r="K173">
            <v>0.3371813234442701</v>
          </cell>
          <cell r="L173">
            <v>11.0678462</v>
          </cell>
          <cell r="M173">
            <v>0</v>
          </cell>
          <cell r="N173">
            <v>9.735864052500002</v>
          </cell>
          <cell r="O173">
            <v>0.87965299450041168</v>
          </cell>
          <cell r="P173">
            <v>-0.20584727291034388</v>
          </cell>
          <cell r="Q173" t="str">
            <v>Western Europe</v>
          </cell>
        </row>
        <row r="174">
          <cell r="A174" t="str">
            <v>Pharos Capital Partners II-A, L.P.</v>
          </cell>
          <cell r="C174" t="str">
            <v>Primary Partnership</v>
          </cell>
          <cell r="E174" t="str">
            <v>2006</v>
          </cell>
          <cell r="F174">
            <v>133.82499999999999</v>
          </cell>
          <cell r="G174">
            <v>5</v>
          </cell>
          <cell r="I174" t="str">
            <v>Special Situation</v>
          </cell>
          <cell r="K174">
            <v>0.55000000000000004</v>
          </cell>
          <cell r="L174">
            <v>2.75</v>
          </cell>
          <cell r="M174">
            <v>0.57351637</v>
          </cell>
          <cell r="N174">
            <v>2.0184099999999998</v>
          </cell>
          <cell r="O174">
            <v>0.94251867999999994</v>
          </cell>
          <cell r="P174">
            <v>-4.6403303613172131E-2</v>
          </cell>
          <cell r="Q174" t="str">
            <v>U.S.</v>
          </cell>
        </row>
        <row r="175">
          <cell r="A175" t="str">
            <v>Phoenix Equity Partners 2006 Fund A, L.P.</v>
          </cell>
          <cell r="C175" t="str">
            <v>Primary Partnership</v>
          </cell>
          <cell r="E175" t="str">
            <v>2006</v>
          </cell>
          <cell r="F175">
            <v>746.47499999999991</v>
          </cell>
          <cell r="G175">
            <v>29.544696054109998</v>
          </cell>
          <cell r="I175" t="str">
            <v>Corporate Finance/Buyout</v>
          </cell>
          <cell r="K175">
            <v>0.36906399621576569</v>
          </cell>
          <cell r="L175">
            <v>10.903883592710001</v>
          </cell>
          <cell r="M175">
            <v>0.79347999999999996</v>
          </cell>
          <cell r="N175">
            <v>7.9549113627999981</v>
          </cell>
          <cell r="O175">
            <v>0.80231885166574057</v>
          </cell>
          <cell r="P175">
            <v>-0.20399128253730414</v>
          </cell>
          <cell r="Q175" t="str">
            <v>Western Europe</v>
          </cell>
        </row>
        <row r="176">
          <cell r="A176" t="str">
            <v>Phoenix Equity Partners III, L.P.</v>
          </cell>
          <cell r="C176" t="str">
            <v>Primary Partnership</v>
          </cell>
          <cell r="E176" t="str">
            <v>2000</v>
          </cell>
          <cell r="F176">
            <v>141.12037019039997</v>
          </cell>
          <cell r="G176">
            <v>4.8270980743319987</v>
          </cell>
          <cell r="I176" t="str">
            <v>Corporate Finance/Buyout</v>
          </cell>
          <cell r="K176">
            <v>1.0000367018438971</v>
          </cell>
          <cell r="L176">
            <v>4.8272752377319987</v>
          </cell>
          <cell r="M176">
            <v>6.501961848503</v>
          </cell>
          <cell r="N176">
            <v>0</v>
          </cell>
          <cell r="O176">
            <v>1.3469217163506551</v>
          </cell>
          <cell r="P176">
            <v>6.0050638583317051E-2</v>
          </cell>
          <cell r="Q176" t="str">
            <v>Western Europe</v>
          </cell>
        </row>
        <row r="177">
          <cell r="A177" t="str">
            <v>Phoenix Equity Partners IV, L.P.</v>
          </cell>
          <cell r="C177" t="str">
            <v>Primary Partnership</v>
          </cell>
          <cell r="E177" t="str">
            <v>2001</v>
          </cell>
          <cell r="F177">
            <v>603.67745376079984</v>
          </cell>
          <cell r="G177">
            <v>27.445303133526533</v>
          </cell>
          <cell r="I177" t="str">
            <v>Corporate Finance/Buyout</v>
          </cell>
          <cell r="K177">
            <v>0.9551885074035068</v>
          </cell>
          <cell r="L177">
            <v>26.215438135349999</v>
          </cell>
          <cell r="M177">
            <v>31.301570545873211</v>
          </cell>
          <cell r="N177">
            <v>14.822232537799998</v>
          </cell>
          <cell r="O177">
            <v>1.7594137792218676</v>
          </cell>
          <cell r="P177">
            <v>0.30979628207153653</v>
          </cell>
          <cell r="Q177" t="str">
            <v>Western Europe</v>
          </cell>
        </row>
        <row r="178">
          <cell r="A178" t="str">
            <v>Pitango Venture Capital Fund V, L.P.</v>
          </cell>
          <cell r="C178" t="str">
            <v>Primary Partnership</v>
          </cell>
          <cell r="E178" t="str">
            <v>2007</v>
          </cell>
          <cell r="F178">
            <v>338.25</v>
          </cell>
          <cell r="G178">
            <v>15</v>
          </cell>
          <cell r="I178" t="str">
            <v>Venture Capital</v>
          </cell>
          <cell r="K178">
            <v>0.05</v>
          </cell>
          <cell r="L178">
            <v>0.75</v>
          </cell>
          <cell r="M178">
            <v>0</v>
          </cell>
          <cell r="N178">
            <v>0.57287900000000003</v>
          </cell>
          <cell r="O178">
            <v>0.76383866666666667</v>
          </cell>
          <cell r="P178">
            <v>-0.2417039717690157</v>
          </cell>
          <cell r="Q178" t="str">
            <v>Middle East</v>
          </cell>
        </row>
        <row r="179">
          <cell r="A179" t="str">
            <v>Platinum Equity Capital Partners II, L.P.</v>
          </cell>
          <cell r="C179" t="str">
            <v>Primary Partnership</v>
          </cell>
          <cell r="E179" t="str">
            <v>2007</v>
          </cell>
          <cell r="F179">
            <v>2638.7649999999999</v>
          </cell>
          <cell r="G179">
            <v>152</v>
          </cell>
          <cell r="I179" t="str">
            <v>Corporate Finance/Buyout</v>
          </cell>
          <cell r="K179">
            <v>0.20441077631578947</v>
          </cell>
          <cell r="L179">
            <v>31.070437999999999</v>
          </cell>
          <cell r="M179">
            <v>0</v>
          </cell>
          <cell r="N179">
            <v>29.176297999999999</v>
          </cell>
          <cell r="O179">
            <v>0.93903722889262131</v>
          </cell>
          <cell r="P179">
            <v>-7.2436855114798027E-2</v>
          </cell>
          <cell r="Q179" t="str">
            <v>U.S.</v>
          </cell>
        </row>
        <row r="180">
          <cell r="A180" t="str">
            <v>Platinum Equity Capital Partners, L.P.</v>
          </cell>
          <cell r="C180" t="str">
            <v>Primary Partnership</v>
          </cell>
          <cell r="E180" t="str">
            <v>2004</v>
          </cell>
          <cell r="F180">
            <v>700</v>
          </cell>
          <cell r="G180">
            <v>36</v>
          </cell>
          <cell r="I180" t="str">
            <v>Corporate Finance/Buyout</v>
          </cell>
          <cell r="K180">
            <v>0.75065481611111107</v>
          </cell>
          <cell r="L180">
            <v>27.023573379999998</v>
          </cell>
          <cell r="M180">
            <v>38.813412069999991</v>
          </cell>
          <cell r="N180">
            <v>22.293965</v>
          </cell>
          <cell r="O180">
            <v>2.2612619068070856</v>
          </cell>
          <cell r="P180">
            <v>0.71634475216637039</v>
          </cell>
          <cell r="Q180" t="str">
            <v>U.S.</v>
          </cell>
        </row>
        <row r="181">
          <cell r="A181" t="str">
            <v>Plenus III, L.P.</v>
          </cell>
          <cell r="C181" t="str">
            <v>Primary Partnership</v>
          </cell>
          <cell r="E181" t="str">
            <v>2007</v>
          </cell>
          <cell r="F181">
            <v>99</v>
          </cell>
          <cell r="G181">
            <v>15</v>
          </cell>
          <cell r="I181" t="str">
            <v>Venture Capital</v>
          </cell>
          <cell r="K181">
            <v>0.17362420000000001</v>
          </cell>
          <cell r="L181">
            <v>2.6043630000000002</v>
          </cell>
          <cell r="M181">
            <v>0</v>
          </cell>
          <cell r="N181">
            <v>2.423</v>
          </cell>
          <cell r="O181">
            <v>0.93036185815878969</v>
          </cell>
          <cell r="P181">
            <v>-0.11016335564549784</v>
          </cell>
          <cell r="Q181" t="str">
            <v>Middle East</v>
          </cell>
        </row>
        <row r="182">
          <cell r="A182" t="str">
            <v>Polaris Venture Partners IV, L.P.</v>
          </cell>
          <cell r="C182" t="str">
            <v>Primary Partnership</v>
          </cell>
          <cell r="E182" t="str">
            <v>2002</v>
          </cell>
          <cell r="F182">
            <v>914.89899000000003</v>
          </cell>
          <cell r="G182">
            <v>5</v>
          </cell>
          <cell r="I182" t="str">
            <v>Venture Capital</v>
          </cell>
          <cell r="K182">
            <v>0.92500000000000004</v>
          </cell>
          <cell r="L182">
            <v>4.625</v>
          </cell>
          <cell r="M182">
            <v>0.89612060800000004</v>
          </cell>
          <cell r="N182">
            <v>4.9396820000000004</v>
          </cell>
          <cell r="O182">
            <v>1.2617951584864866</v>
          </cell>
          <cell r="P182">
            <v>0.10501413242965851</v>
          </cell>
          <cell r="Q182" t="str">
            <v>U.S.</v>
          </cell>
        </row>
        <row r="183">
          <cell r="A183" t="str">
            <v>Polaris Venture Partners V, L.P.</v>
          </cell>
          <cell r="C183" t="str">
            <v>Primary Partnership</v>
          </cell>
          <cell r="E183" t="str">
            <v>2006</v>
          </cell>
          <cell r="F183">
            <v>1000</v>
          </cell>
          <cell r="G183">
            <v>15</v>
          </cell>
          <cell r="I183" t="str">
            <v>Venture Capital</v>
          </cell>
          <cell r="K183">
            <v>0.20500000000000002</v>
          </cell>
          <cell r="L183">
            <v>3.0750000000000002</v>
          </cell>
          <cell r="M183">
            <v>0</v>
          </cell>
          <cell r="N183">
            <v>2.6810809999999998</v>
          </cell>
          <cell r="O183">
            <v>0.87189626016260147</v>
          </cell>
          <cell r="P183">
            <v>-0.20027362990465492</v>
          </cell>
          <cell r="Q183" t="str">
            <v>U.S.</v>
          </cell>
        </row>
        <row r="184">
          <cell r="A184" t="str">
            <v>Pomona Capital VI, L.P.</v>
          </cell>
          <cell r="C184" t="str">
            <v>Secondary Fund-of-Funds</v>
          </cell>
          <cell r="E184" t="str">
            <v>2005</v>
          </cell>
          <cell r="F184">
            <v>820.98485100000005</v>
          </cell>
          <cell r="G184">
            <v>5</v>
          </cell>
          <cell r="I184" t="str">
            <v>Special Situation</v>
          </cell>
          <cell r="K184">
            <v>0.75180040000000004</v>
          </cell>
          <cell r="L184">
            <v>3.7590020000000002</v>
          </cell>
          <cell r="M184">
            <v>0.709171</v>
          </cell>
          <cell r="N184">
            <v>3.399654</v>
          </cell>
          <cell r="O184">
            <v>1.0930627331403386</v>
          </cell>
          <cell r="P184">
            <v>0.11020936597357721</v>
          </cell>
          <cell r="Q184" t="str">
            <v>U.S.</v>
          </cell>
        </row>
        <row r="185">
          <cell r="A185" t="str">
            <v>Prospect Venture Partners II, L.P.</v>
          </cell>
          <cell r="C185" t="str">
            <v>Primary Partnership</v>
          </cell>
          <cell r="E185" t="str">
            <v>2001</v>
          </cell>
          <cell r="F185">
            <v>505.05050499999999</v>
          </cell>
          <cell r="G185">
            <v>11</v>
          </cell>
          <cell r="I185" t="str">
            <v>Venture Capital</v>
          </cell>
          <cell r="K185">
            <v>0.83500000000000008</v>
          </cell>
          <cell r="L185">
            <v>9.1850000000000005</v>
          </cell>
          <cell r="M185">
            <v>4.2178981174999999</v>
          </cell>
          <cell r="N185">
            <v>6.9234989999999996</v>
          </cell>
          <cell r="O185">
            <v>1.2129991418072943</v>
          </cell>
          <cell r="P185">
            <v>6.1637752068921525E-2</v>
          </cell>
          <cell r="Q185" t="str">
            <v>U.S.</v>
          </cell>
        </row>
        <row r="186">
          <cell r="A186" t="str">
            <v>Provender Opportunities Fund, L.P.</v>
          </cell>
          <cell r="C186" t="str">
            <v>Primary Partnership</v>
          </cell>
          <cell r="E186" t="str">
            <v>1999</v>
          </cell>
          <cell r="F186">
            <v>120.215</v>
          </cell>
          <cell r="G186">
            <v>30</v>
          </cell>
          <cell r="I186" t="str">
            <v>Corporate Finance/Buyout</v>
          </cell>
          <cell r="K186">
            <v>0.99025059999999998</v>
          </cell>
          <cell r="L186">
            <v>29.707518</v>
          </cell>
          <cell r="M186">
            <v>16.23704768</v>
          </cell>
          <cell r="N186">
            <v>0</v>
          </cell>
          <cell r="O186">
            <v>0.54656358972836439</v>
          </cell>
          <cell r="P186">
            <v>-0.17451633639766684</v>
          </cell>
          <cell r="Q186" t="str">
            <v>U.S.</v>
          </cell>
        </row>
        <row r="187">
          <cell r="A187" t="str">
            <v>Providence Equity Partners III, L.P.</v>
          </cell>
          <cell r="C187" t="str">
            <v>Primary Partnership</v>
          </cell>
          <cell r="E187" t="str">
            <v>1999</v>
          </cell>
          <cell r="F187">
            <v>940</v>
          </cell>
          <cell r="G187">
            <v>30</v>
          </cell>
          <cell r="I187" t="str">
            <v>Special Situation</v>
          </cell>
          <cell r="K187">
            <v>0.94673269999999998</v>
          </cell>
          <cell r="L187">
            <v>28.401980999999999</v>
          </cell>
          <cell r="M187">
            <v>42.201861123241002</v>
          </cell>
          <cell r="N187">
            <v>0.94318999999999997</v>
          </cell>
          <cell r="O187">
            <v>1.5190859793632354</v>
          </cell>
          <cell r="P187">
            <v>0.14233020249209161</v>
          </cell>
          <cell r="Q187" t="str">
            <v>U.S.</v>
          </cell>
        </row>
        <row r="188">
          <cell r="A188" t="str">
            <v>Providence Equity Partners IV, L.P.</v>
          </cell>
          <cell r="C188" t="str">
            <v>Primary Partnership</v>
          </cell>
          <cell r="E188" t="str">
            <v>2001</v>
          </cell>
          <cell r="F188">
            <v>2755.5110220000001</v>
          </cell>
          <cell r="G188">
            <v>72.661567000000005</v>
          </cell>
          <cell r="I188" t="str">
            <v>Corporate Finance/Buyout</v>
          </cell>
          <cell r="K188">
            <v>1.0362850556195684</v>
          </cell>
          <cell r="L188">
            <v>75.298096000000001</v>
          </cell>
          <cell r="M188">
            <v>93.531725657227014</v>
          </cell>
          <cell r="N188">
            <v>54.159492999999998</v>
          </cell>
          <cell r="O188">
            <v>1.961420361242959</v>
          </cell>
          <cell r="P188">
            <v>0.28245032953734195</v>
          </cell>
          <cell r="Q188" t="str">
            <v>U.S.</v>
          </cell>
        </row>
        <row r="189">
          <cell r="A189" t="str">
            <v>Providence Equity Partners V, L.P.</v>
          </cell>
          <cell r="C189" t="str">
            <v>Primary Partnership</v>
          </cell>
          <cell r="E189" t="str">
            <v>2005</v>
          </cell>
          <cell r="F189">
            <v>4258.5370739999998</v>
          </cell>
          <cell r="G189">
            <v>35</v>
          </cell>
          <cell r="I189" t="str">
            <v>Corporate Finance/Buyout</v>
          </cell>
          <cell r="K189">
            <v>0.95176208571428567</v>
          </cell>
          <cell r="L189">
            <v>33.311672999999999</v>
          </cell>
          <cell r="M189">
            <v>1.8170059999999999</v>
          </cell>
          <cell r="N189">
            <v>41.506720999999999</v>
          </cell>
          <cell r="O189">
            <v>1.3005569248953663</v>
          </cell>
          <cell r="P189">
            <v>0.17281110239252828</v>
          </cell>
          <cell r="Q189" t="str">
            <v>U.S.</v>
          </cell>
        </row>
        <row r="190">
          <cell r="A190" t="str">
            <v>Providence Equity Partners V-A L.P.</v>
          </cell>
          <cell r="C190" t="str">
            <v>Primary Partnership</v>
          </cell>
          <cell r="E190" t="str">
            <v>2005</v>
          </cell>
          <cell r="F190">
            <v>4258.5370739999998</v>
          </cell>
          <cell r="G190">
            <v>35</v>
          </cell>
          <cell r="I190" t="str">
            <v>Corporate Finance/Buyout</v>
          </cell>
          <cell r="K190">
            <v>0.95555708571428577</v>
          </cell>
          <cell r="L190">
            <v>33.444498000000003</v>
          </cell>
          <cell r="M190">
            <v>1.793355</v>
          </cell>
          <cell r="N190">
            <v>41.846935000000002</v>
          </cell>
          <cell r="O190">
            <v>1.3048570799298587</v>
          </cell>
          <cell r="P190">
            <v>0.17281110239252828</v>
          </cell>
          <cell r="Q190" t="str">
            <v>U.S.</v>
          </cell>
        </row>
        <row r="191">
          <cell r="A191" t="str">
            <v>Providence Equity Partners VI, L.P.</v>
          </cell>
          <cell r="C191" t="str">
            <v>Primary Partnership</v>
          </cell>
          <cell r="E191" t="str">
            <v>2007</v>
          </cell>
          <cell r="F191">
            <v>12099.198397</v>
          </cell>
          <cell r="G191">
            <v>242</v>
          </cell>
          <cell r="I191" t="str">
            <v>Corporate Finance/Buyout</v>
          </cell>
          <cell r="K191">
            <v>0.31933228925619833</v>
          </cell>
          <cell r="L191">
            <v>77.278413999999998</v>
          </cell>
          <cell r="M191">
            <v>0</v>
          </cell>
          <cell r="N191">
            <v>74.550635999999997</v>
          </cell>
          <cell r="O191">
            <v>0.9647019412173754</v>
          </cell>
          <cell r="P191">
            <v>-6.6241495468380984E-2</v>
          </cell>
          <cell r="Q191" t="str">
            <v>U.S.</v>
          </cell>
        </row>
        <row r="192">
          <cell r="A192" t="str">
            <v>Providence Growth Investors, L.P.</v>
          </cell>
          <cell r="C192" t="str">
            <v>Primary Partnership</v>
          </cell>
          <cell r="E192" t="str">
            <v>2000</v>
          </cell>
          <cell r="F192">
            <v>255</v>
          </cell>
          <cell r="G192">
            <v>11</v>
          </cell>
          <cell r="I192" t="str">
            <v>Venture Capital</v>
          </cell>
          <cell r="K192">
            <v>0.96061527272727265</v>
          </cell>
          <cell r="L192">
            <v>10.566768</v>
          </cell>
          <cell r="M192">
            <v>9.4413859999999996</v>
          </cell>
          <cell r="N192">
            <v>4.1135640000000002</v>
          </cell>
          <cell r="O192">
            <v>1.2827905372768664</v>
          </cell>
          <cell r="P192">
            <v>7.7049267406005928E-2</v>
          </cell>
          <cell r="Q192" t="str">
            <v>U.S.</v>
          </cell>
        </row>
        <row r="193">
          <cell r="A193" t="str">
            <v>Quad-C Partners V, L.P.</v>
          </cell>
          <cell r="C193" t="str">
            <v>Primary Partnership</v>
          </cell>
          <cell r="E193" t="str">
            <v>1998</v>
          </cell>
          <cell r="F193">
            <v>303.030303</v>
          </cell>
          <cell r="G193">
            <v>37.5</v>
          </cell>
          <cell r="I193" t="str">
            <v>Corporate Finance/Buyout</v>
          </cell>
          <cell r="K193">
            <v>0.85508725333333335</v>
          </cell>
          <cell r="L193">
            <v>32.065772000000003</v>
          </cell>
          <cell r="M193">
            <v>46.264972</v>
          </cell>
          <cell r="N193">
            <v>4.2565860000000004</v>
          </cell>
          <cell r="O193">
            <v>1.5755603202068547</v>
          </cell>
          <cell r="P193">
            <v>9.8212855326040849E-2</v>
          </cell>
          <cell r="Q193" t="str">
            <v>U.S.</v>
          </cell>
        </row>
        <row r="194">
          <cell r="A194" t="str">
            <v>Questor Partners Fund II, L.P.</v>
          </cell>
          <cell r="C194" t="str">
            <v>Primary Partnership</v>
          </cell>
          <cell r="E194" t="str">
            <v>1999</v>
          </cell>
          <cell r="F194">
            <v>806.82663500000001</v>
          </cell>
          <cell r="G194">
            <v>27.5</v>
          </cell>
          <cell r="I194" t="str">
            <v>Special Situation</v>
          </cell>
          <cell r="K194">
            <v>0.9233460618181818</v>
          </cell>
          <cell r="L194">
            <v>25.392016699999999</v>
          </cell>
          <cell r="M194">
            <v>22.688178000000001</v>
          </cell>
          <cell r="N194">
            <v>7.9658259999999999</v>
          </cell>
          <cell r="O194">
            <v>1.2072299873684316</v>
          </cell>
          <cell r="P194">
            <v>4.9607934832277545E-2</v>
          </cell>
          <cell r="Q194" t="str">
            <v>U.S.</v>
          </cell>
        </row>
        <row r="195">
          <cell r="A195" t="str">
            <v>Residential Land Fund I, L.P.</v>
          </cell>
          <cell r="C195" t="str">
            <v>Primary Partnership</v>
          </cell>
          <cell r="E195" t="str">
            <v>2002</v>
          </cell>
          <cell r="F195">
            <v>52.5</v>
          </cell>
          <cell r="G195">
            <v>15</v>
          </cell>
          <cell r="I195" t="str">
            <v>Real Estate</v>
          </cell>
          <cell r="K195">
            <v>0.9997576226666669</v>
          </cell>
          <cell r="L195">
            <v>14.996364340000003</v>
          </cell>
          <cell r="M195">
            <v>13.59189211</v>
          </cell>
          <cell r="N195">
            <v>3.7187030000000001</v>
          </cell>
          <cell r="O195">
            <v>1.1543194548712863</v>
          </cell>
          <cell r="P195">
            <v>7.1691127183677983E-2</v>
          </cell>
          <cell r="Q195" t="str">
            <v>U.S.</v>
          </cell>
        </row>
        <row r="196">
          <cell r="A196" t="str">
            <v>RFG Private Equity Limited Partnership No. 1A&amp;C</v>
          </cell>
          <cell r="C196" t="str">
            <v>Primary Partnership</v>
          </cell>
          <cell r="E196" t="str">
            <v>2004</v>
          </cell>
          <cell r="F196">
            <v>195.65328406</v>
          </cell>
          <cell r="G196">
            <v>5.9972058234059462</v>
          </cell>
          <cell r="I196" t="str">
            <v>Corporate Finance/Buyout</v>
          </cell>
          <cell r="K196">
            <v>0.88874154913104331</v>
          </cell>
          <cell r="L196">
            <v>5.3299659939515145</v>
          </cell>
          <cell r="M196">
            <v>3.1209051197157422</v>
          </cell>
          <cell r="N196">
            <v>2.9984772616421997</v>
          </cell>
          <cell r="O196">
            <v>1.1481090851803302</v>
          </cell>
          <cell r="P196">
            <v>7.2526715672572628E-2</v>
          </cell>
          <cell r="Q196" t="str">
            <v>Canada</v>
          </cell>
        </row>
        <row r="197">
          <cell r="A197" t="str">
            <v>RFG Private Equity Limited Partnership No. 2</v>
          </cell>
          <cell r="C197" t="str">
            <v>Primary Partnership</v>
          </cell>
          <cell r="E197" t="str">
            <v>2006</v>
          </cell>
          <cell r="F197">
            <v>358.88344492000004</v>
          </cell>
          <cell r="G197">
            <v>5.0096591251398825</v>
          </cell>
          <cell r="I197" t="str">
            <v>Corporate Finance/Buyout</v>
          </cell>
          <cell r="K197">
            <v>0.11582799123938003</v>
          </cell>
          <cell r="L197">
            <v>0.58025875325898257</v>
          </cell>
          <cell r="M197">
            <v>2.9926670765513953E-4</v>
          </cell>
          <cell r="N197">
            <v>0.42774509248379994</v>
          </cell>
          <cell r="O197">
            <v>0.73767841809774337</v>
          </cell>
          <cell r="P197">
            <v>-0.41503352237218716</v>
          </cell>
          <cell r="Q197" t="str">
            <v>Canada</v>
          </cell>
        </row>
        <row r="198">
          <cell r="A198" t="str">
            <v>RLH Investors II, L.P.</v>
          </cell>
          <cell r="C198" t="str">
            <v>Primary Partnership</v>
          </cell>
          <cell r="E198" t="str">
            <v>2007</v>
          </cell>
          <cell r="F198">
            <v>250.25</v>
          </cell>
          <cell r="G198">
            <v>25</v>
          </cell>
          <cell r="I198" t="str">
            <v>Corporate Finance/Buyout</v>
          </cell>
          <cell r="K198">
            <v>0.37202992000000001</v>
          </cell>
          <cell r="L198">
            <v>9.3007480000000005</v>
          </cell>
          <cell r="M198">
            <v>0</v>
          </cell>
          <cell r="N198">
            <v>8.1317219999999999</v>
          </cell>
          <cell r="O198">
            <v>0.87430838895968366</v>
          </cell>
          <cell r="P198">
            <v>-0.20544623405416218</v>
          </cell>
          <cell r="Q198" t="str">
            <v>U.S.</v>
          </cell>
        </row>
        <row r="199">
          <cell r="A199" t="str">
            <v>Roark Capital Partners, L.P.</v>
          </cell>
          <cell r="C199" t="str">
            <v>Primary Partnership</v>
          </cell>
          <cell r="E199" t="str">
            <v>2005</v>
          </cell>
          <cell r="F199">
            <v>397.23500000000001</v>
          </cell>
          <cell r="G199">
            <v>35</v>
          </cell>
          <cell r="I199" t="str">
            <v>Corporate Finance/Buyout</v>
          </cell>
          <cell r="K199">
            <v>0.74306145228571419</v>
          </cell>
          <cell r="L199">
            <v>26.007150829999997</v>
          </cell>
          <cell r="M199">
            <v>1.73898625</v>
          </cell>
          <cell r="N199">
            <v>28.341723999999999</v>
          </cell>
          <cell r="O199">
            <v>1.1566322834295648</v>
          </cell>
          <cell r="P199">
            <v>0.1333797563163619</v>
          </cell>
          <cell r="Q199" t="str">
            <v>U.S.</v>
          </cell>
        </row>
        <row r="200">
          <cell r="A200" t="str">
            <v>Saw Mill Capital Partners, L.P.</v>
          </cell>
          <cell r="C200" t="str">
            <v>Primary Partnership</v>
          </cell>
          <cell r="E200" t="str">
            <v>2007</v>
          </cell>
          <cell r="F200">
            <v>270</v>
          </cell>
          <cell r="G200">
            <v>30</v>
          </cell>
          <cell r="I200" t="str">
            <v>Corporate Finance/Buyout</v>
          </cell>
          <cell r="K200">
            <v>0.19832803333333335</v>
          </cell>
          <cell r="L200">
            <v>5.9498410000000002</v>
          </cell>
          <cell r="M200">
            <v>6.5167000000000003E-2</v>
          </cell>
          <cell r="N200">
            <v>5.3138779999999999</v>
          </cell>
          <cell r="O200">
            <v>0.9040653355274535</v>
          </cell>
          <cell r="P200">
            <v>-0.16022656843201977</v>
          </cell>
          <cell r="Q200" t="str">
            <v>U.S.</v>
          </cell>
        </row>
        <row r="201">
          <cell r="A201" t="str">
            <v>SCP Vitalife Partners II, L.P.</v>
          </cell>
          <cell r="C201" t="str">
            <v>Primary Partnership</v>
          </cell>
          <cell r="E201" t="str">
            <v>2007</v>
          </cell>
          <cell r="F201">
            <v>134.5</v>
          </cell>
          <cell r="G201">
            <v>15</v>
          </cell>
          <cell r="I201" t="str">
            <v>Venture Capital</v>
          </cell>
          <cell r="K201">
            <v>0.11</v>
          </cell>
          <cell r="L201">
            <v>1.65</v>
          </cell>
          <cell r="M201">
            <v>0</v>
          </cell>
          <cell r="N201">
            <v>1.27895</v>
          </cell>
          <cell r="O201">
            <v>0.77512121212121221</v>
          </cell>
          <cell r="P201">
            <v>-0.28164754314512275</v>
          </cell>
          <cell r="Q201" t="str">
            <v>U.S.</v>
          </cell>
        </row>
        <row r="202">
          <cell r="A202" t="str">
            <v>Sentinel Realty Partners VI, L.P.</v>
          </cell>
          <cell r="C202" t="str">
            <v>Primary Partnership</v>
          </cell>
          <cell r="E202" t="str">
            <v>2003</v>
          </cell>
          <cell r="F202">
            <v>123.30304189</v>
          </cell>
          <cell r="G202">
            <v>10</v>
          </cell>
          <cell r="I202" t="str">
            <v>Real Estate</v>
          </cell>
          <cell r="K202">
            <v>1</v>
          </cell>
          <cell r="L202">
            <v>10</v>
          </cell>
          <cell r="M202">
            <v>1.0119654499999999</v>
          </cell>
          <cell r="N202">
            <v>11.404586999999999</v>
          </cell>
          <cell r="O202">
            <v>1.241655245</v>
          </cell>
          <cell r="P202">
            <v>7.4876443614030341E-2</v>
          </cell>
          <cell r="Q202" t="str">
            <v>U.S.</v>
          </cell>
        </row>
        <row r="203">
          <cell r="A203" t="str">
            <v>Sevin Rosen Fund VIII, L.P.</v>
          </cell>
          <cell r="C203" t="str">
            <v>Primary Partnership</v>
          </cell>
          <cell r="E203" t="str">
            <v>2000</v>
          </cell>
          <cell r="F203">
            <v>600.42650000000003</v>
          </cell>
          <cell r="G203">
            <v>6.86</v>
          </cell>
          <cell r="I203" t="str">
            <v>Venture Capital</v>
          </cell>
          <cell r="K203">
            <v>0.96</v>
          </cell>
          <cell r="L203">
            <v>6.5856000000000003</v>
          </cell>
          <cell r="M203">
            <v>0.34076624</v>
          </cell>
          <cell r="N203">
            <v>2.9307300000000001</v>
          </cell>
          <cell r="O203">
            <v>0.49676509961127308</v>
          </cell>
          <cell r="P203">
            <v>-0.1767009399610785</v>
          </cell>
          <cell r="Q203" t="str">
            <v>U.S.</v>
          </cell>
        </row>
        <row r="204">
          <cell r="A204" t="str">
            <v>Spark Capital II, L.P.</v>
          </cell>
          <cell r="C204" t="str">
            <v>Primary Partnership</v>
          </cell>
          <cell r="E204" t="str">
            <v>2007</v>
          </cell>
          <cell r="F204">
            <v>362.59</v>
          </cell>
          <cell r="G204">
            <v>18</v>
          </cell>
          <cell r="I204" t="str">
            <v>Venture Capital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 t="e">
            <v>#DIV/0!</v>
          </cell>
          <cell r="P204">
            <v>0</v>
          </cell>
          <cell r="Q204" t="str">
            <v>U.S.</v>
          </cell>
        </row>
        <row r="205">
          <cell r="A205" t="str">
            <v>Spark Capital, L.P.</v>
          </cell>
          <cell r="C205" t="str">
            <v>Primary Partnership</v>
          </cell>
          <cell r="E205" t="str">
            <v>2005</v>
          </cell>
          <cell r="F205">
            <v>259.09090900000001</v>
          </cell>
          <cell r="G205">
            <v>15</v>
          </cell>
          <cell r="I205" t="str">
            <v>Venture Capital</v>
          </cell>
          <cell r="K205">
            <v>0.54749999999999999</v>
          </cell>
          <cell r="L205">
            <v>8.2125000000000004</v>
          </cell>
          <cell r="M205">
            <v>1.364296</v>
          </cell>
          <cell r="N205">
            <v>7.2528670000000002</v>
          </cell>
          <cell r="O205">
            <v>1.0492740334855402</v>
          </cell>
          <cell r="P205">
            <v>6.3840242862529095E-2</v>
          </cell>
          <cell r="Q205" t="str">
            <v>U.S.</v>
          </cell>
        </row>
        <row r="206">
          <cell r="A206" t="str">
            <v>Sterling American Property V, L.P.</v>
          </cell>
          <cell r="C206" t="str">
            <v>Primary Partnership</v>
          </cell>
          <cell r="E206" t="str">
            <v>2006</v>
          </cell>
          <cell r="F206">
            <v>608</v>
          </cell>
          <cell r="G206">
            <v>10</v>
          </cell>
          <cell r="I206" t="str">
            <v>Real Estate</v>
          </cell>
          <cell r="K206">
            <v>0.44618789999999997</v>
          </cell>
          <cell r="L206">
            <v>4.4618789999999997</v>
          </cell>
          <cell r="M206">
            <v>0</v>
          </cell>
          <cell r="N206">
            <v>3.5932520000000001</v>
          </cell>
          <cell r="O206">
            <v>0.80532260063529293</v>
          </cell>
          <cell r="P206">
            <v>-0.31136455359322301</v>
          </cell>
          <cell r="Q206" t="str">
            <v>U.S.</v>
          </cell>
        </row>
        <row r="207">
          <cell r="A207" t="str">
            <v>Summer Street Capital II, L.P.</v>
          </cell>
          <cell r="C207" t="str">
            <v>Primary Partnership</v>
          </cell>
          <cell r="E207" t="str">
            <v>2007</v>
          </cell>
          <cell r="F207">
            <v>162.11247499999999</v>
          </cell>
          <cell r="G207">
            <v>5</v>
          </cell>
          <cell r="I207" t="str">
            <v>Corporate Finance/Buyout</v>
          </cell>
          <cell r="K207">
            <v>0.17499999999999999</v>
          </cell>
          <cell r="L207">
            <v>0.875</v>
          </cell>
          <cell r="M207">
            <v>0</v>
          </cell>
          <cell r="N207">
            <v>0.77108500000000002</v>
          </cell>
          <cell r="O207">
            <v>0.88124000000000002</v>
          </cell>
          <cell r="P207">
            <v>-0.19648555971845127</v>
          </cell>
          <cell r="Q207" t="str">
            <v>U.S.</v>
          </cell>
        </row>
        <row r="208">
          <cell r="A208" t="str">
            <v>Summit Ventures VI-B, L.P.</v>
          </cell>
          <cell r="C208" t="str">
            <v>Primary Partnership</v>
          </cell>
          <cell r="E208" t="str">
            <v>2001</v>
          </cell>
          <cell r="F208">
            <v>590.16162599999996</v>
          </cell>
          <cell r="G208">
            <v>5</v>
          </cell>
          <cell r="I208" t="str">
            <v>Venture Capital</v>
          </cell>
          <cell r="K208">
            <v>1</v>
          </cell>
          <cell r="L208">
            <v>5</v>
          </cell>
          <cell r="M208">
            <v>3.521815492</v>
          </cell>
          <cell r="N208">
            <v>4.2668239999999997</v>
          </cell>
          <cell r="O208">
            <v>1.5577278984</v>
          </cell>
          <cell r="P208">
            <v>0.18512992610098333</v>
          </cell>
          <cell r="Q208" t="str">
            <v>U.S.</v>
          </cell>
        </row>
        <row r="209">
          <cell r="A209" t="str">
            <v>T3 Partners II, L.P.</v>
          </cell>
          <cell r="C209" t="str">
            <v>Primary Partnership</v>
          </cell>
          <cell r="E209" t="str">
            <v>2001</v>
          </cell>
          <cell r="F209">
            <v>377.5</v>
          </cell>
          <cell r="G209">
            <v>20</v>
          </cell>
          <cell r="I209" t="str">
            <v>Corporate Finance/Buyout</v>
          </cell>
          <cell r="K209">
            <v>0.90811200000000003</v>
          </cell>
          <cell r="L209">
            <v>18.162240000000001</v>
          </cell>
          <cell r="M209">
            <v>47.625909999999998</v>
          </cell>
          <cell r="N209">
            <v>10.807615999999999</v>
          </cell>
          <cell r="O209">
            <v>3.2173083276071672</v>
          </cell>
          <cell r="P209">
            <v>1.0135622449661588</v>
          </cell>
          <cell r="Q209" t="str">
            <v>U.S.</v>
          </cell>
        </row>
        <row r="210">
          <cell r="A210" t="str">
            <v>T3 Partners, L.P.</v>
          </cell>
          <cell r="C210" t="str">
            <v>Primary Partnership</v>
          </cell>
          <cell r="E210" t="str">
            <v>2000</v>
          </cell>
          <cell r="F210">
            <v>486.842106</v>
          </cell>
          <cell r="G210">
            <v>12</v>
          </cell>
          <cell r="I210" t="str">
            <v>Corporate Finance/Buyout</v>
          </cell>
          <cell r="K210">
            <v>0.76482749999999999</v>
          </cell>
          <cell r="L210">
            <v>9.1779299999999999</v>
          </cell>
          <cell r="M210">
            <v>32.803787999999997</v>
          </cell>
          <cell r="N210">
            <v>1.6570830000000001</v>
          </cell>
          <cell r="O210">
            <v>3.7547541765953758</v>
          </cell>
          <cell r="P210">
            <v>0.29524291455486029</v>
          </cell>
          <cell r="Q210" t="str">
            <v>U.S.</v>
          </cell>
        </row>
        <row r="211">
          <cell r="A211" t="str">
            <v>TA IX, L.P.</v>
          </cell>
          <cell r="C211" t="str">
            <v>Primary Partnership</v>
          </cell>
          <cell r="E211" t="str">
            <v>2000</v>
          </cell>
          <cell r="F211">
            <v>2000.1</v>
          </cell>
          <cell r="G211">
            <v>15</v>
          </cell>
          <cell r="I211" t="str">
            <v>Corporate Finance/Buyout</v>
          </cell>
          <cell r="K211">
            <v>0.97000000000000008</v>
          </cell>
          <cell r="L211">
            <v>14.55</v>
          </cell>
          <cell r="M211">
            <v>15.315267589999999</v>
          </cell>
          <cell r="N211">
            <v>12.703301</v>
          </cell>
          <cell r="O211">
            <v>1.9256748171821305</v>
          </cell>
          <cell r="P211">
            <v>0.22686379885986585</v>
          </cell>
          <cell r="Q211" t="str">
            <v>U.S.</v>
          </cell>
        </row>
        <row r="212">
          <cell r="A212" t="str">
            <v>TA X, L.P.</v>
          </cell>
          <cell r="C212" t="str">
            <v>Primary Partnership</v>
          </cell>
          <cell r="E212" t="str">
            <v>2006</v>
          </cell>
          <cell r="F212">
            <v>3500</v>
          </cell>
          <cell r="G212">
            <v>6</v>
          </cell>
          <cell r="I212" t="str">
            <v>Corporate Finance/Buyout</v>
          </cell>
          <cell r="K212">
            <v>0.54500000000000004</v>
          </cell>
          <cell r="L212">
            <v>3.27</v>
          </cell>
          <cell r="M212">
            <v>0.48</v>
          </cell>
          <cell r="N212">
            <v>3.0573429999999999</v>
          </cell>
          <cell r="O212">
            <v>1.0817562691131497</v>
          </cell>
          <cell r="P212">
            <v>0.10491210456710975</v>
          </cell>
          <cell r="Q212" t="str">
            <v>U.S.</v>
          </cell>
        </row>
        <row r="213">
          <cell r="A213" t="str">
            <v>TCW/Crescent Mezzanine Partners II, L.P.</v>
          </cell>
          <cell r="C213" t="str">
            <v>Primary Partnership</v>
          </cell>
          <cell r="E213" t="str">
            <v>1998</v>
          </cell>
          <cell r="F213">
            <v>651.976</v>
          </cell>
          <cell r="G213">
            <v>20</v>
          </cell>
          <cell r="I213" t="str">
            <v>Mezzanine</v>
          </cell>
          <cell r="K213">
            <v>0.8884428325</v>
          </cell>
          <cell r="L213">
            <v>17.76885665</v>
          </cell>
          <cell r="M213">
            <v>26.128439649999997</v>
          </cell>
          <cell r="N213">
            <v>0.43728295</v>
          </cell>
          <cell r="O213">
            <v>1.495072143541661</v>
          </cell>
          <cell r="P213">
            <v>0.13440143076758537</v>
          </cell>
          <cell r="Q213" t="str">
            <v>U.S.</v>
          </cell>
        </row>
        <row r="214">
          <cell r="A214" t="str">
            <v>TCW/Crescent Mezzanine Partners III, L.P.</v>
          </cell>
          <cell r="C214" t="str">
            <v>Primary Partnership</v>
          </cell>
          <cell r="E214" t="str">
            <v>2001</v>
          </cell>
          <cell r="F214">
            <v>979.51499999999999</v>
          </cell>
          <cell r="G214">
            <v>45</v>
          </cell>
          <cell r="I214" t="str">
            <v>Mezzanine</v>
          </cell>
          <cell r="K214">
            <v>0.79847605777777786</v>
          </cell>
          <cell r="L214">
            <v>35.931422600000005</v>
          </cell>
          <cell r="M214">
            <v>73.340080599999993</v>
          </cell>
          <cell r="N214">
            <v>9.9095969099999994</v>
          </cell>
          <cell r="O214">
            <v>2.3169045778332191</v>
          </cell>
          <cell r="P214">
            <v>0.38410959529519118</v>
          </cell>
          <cell r="Q214" t="str">
            <v>U.S.</v>
          </cell>
        </row>
        <row r="215">
          <cell r="A215" t="str">
            <v>TCW/Crescent Mezzanine Partners IV, L.P.</v>
          </cell>
          <cell r="C215" t="str">
            <v>Primary Partnership</v>
          </cell>
          <cell r="E215" t="str">
            <v>2006</v>
          </cell>
          <cell r="F215">
            <v>1704.4687489999999</v>
          </cell>
          <cell r="G215">
            <v>20</v>
          </cell>
          <cell r="I215" t="str">
            <v>Mezzanine</v>
          </cell>
          <cell r="K215">
            <v>0.86294029999999999</v>
          </cell>
          <cell r="L215">
            <v>17.258806</v>
          </cell>
          <cell r="M215">
            <v>3.4336540000000002</v>
          </cell>
          <cell r="N215">
            <v>15.391102879999998</v>
          </cell>
          <cell r="O215">
            <v>1.0907334423945665</v>
          </cell>
          <cell r="P215">
            <v>9.8145150209529852E-2</v>
          </cell>
          <cell r="Q215" t="str">
            <v>U.S.</v>
          </cell>
        </row>
        <row r="216">
          <cell r="A216" t="str">
            <v>TDR Capital II, L.P.</v>
          </cell>
          <cell r="C216" t="str">
            <v>Primary Partnership</v>
          </cell>
          <cell r="E216" t="str">
            <v>2007</v>
          </cell>
          <cell r="F216">
            <v>2558.5875000000001</v>
          </cell>
          <cell r="G216">
            <v>51.139111499999999</v>
          </cell>
          <cell r="I216" t="str">
            <v>Corporate Finance/Buyout</v>
          </cell>
          <cell r="K216">
            <v>5.3655996741359116E-3</v>
          </cell>
          <cell r="L216">
            <v>0.27439200000000002</v>
          </cell>
          <cell r="M216">
            <v>0</v>
          </cell>
          <cell r="N216">
            <v>0</v>
          </cell>
          <cell r="O216">
            <v>0</v>
          </cell>
          <cell r="P216">
            <v>-1</v>
          </cell>
          <cell r="Q216" t="str">
            <v>Western Europe</v>
          </cell>
        </row>
        <row r="217">
          <cell r="A217" t="str">
            <v>Tennenbaum Opportunities Fund V, LLC</v>
          </cell>
          <cell r="C217" t="str">
            <v>Primary Partnership</v>
          </cell>
          <cell r="E217" t="str">
            <v>2007</v>
          </cell>
          <cell r="F217">
            <v>1105</v>
          </cell>
          <cell r="G217">
            <v>32.5</v>
          </cell>
          <cell r="I217" t="str">
            <v>Special Situation</v>
          </cell>
          <cell r="K217">
            <v>0.5</v>
          </cell>
          <cell r="L217">
            <v>16.25</v>
          </cell>
          <cell r="M217">
            <v>0.26017804</v>
          </cell>
          <cell r="N217">
            <v>13.831510209999998</v>
          </cell>
          <cell r="O217">
            <v>0.86718081538461522</v>
          </cell>
          <cell r="P217">
            <v>-0.19890372920182209</v>
          </cell>
          <cell r="Q217" t="str">
            <v>U.S.</v>
          </cell>
        </row>
        <row r="218">
          <cell r="A218" t="str">
            <v>TH Lee Putnam Ventures, L.P.</v>
          </cell>
          <cell r="C218" t="str">
            <v>Primary Partnership</v>
          </cell>
          <cell r="E218" t="str">
            <v>2000</v>
          </cell>
          <cell r="F218">
            <v>1023.015306</v>
          </cell>
          <cell r="G218">
            <v>25</v>
          </cell>
          <cell r="I218" t="str">
            <v>Venture Capital</v>
          </cell>
          <cell r="K218">
            <v>0.87078204000000003</v>
          </cell>
          <cell r="L218">
            <v>21.769551</v>
          </cell>
          <cell r="M218">
            <v>25.116014</v>
          </cell>
          <cell r="N218">
            <v>11.594877</v>
          </cell>
          <cell r="O218">
            <v>1.6863412111715121</v>
          </cell>
          <cell r="P218">
            <v>8.9744482390991878E-2</v>
          </cell>
          <cell r="Q218" t="str">
            <v>U.S.</v>
          </cell>
        </row>
        <row r="219">
          <cell r="A219" t="str">
            <v>Thayer Equity Investors IV, L.P.</v>
          </cell>
          <cell r="C219" t="str">
            <v>Primary Partnership</v>
          </cell>
          <cell r="E219" t="str">
            <v>1998</v>
          </cell>
          <cell r="F219">
            <v>880</v>
          </cell>
          <cell r="G219">
            <v>10</v>
          </cell>
          <cell r="I219" t="str">
            <v>Corporate Finance/Buyout</v>
          </cell>
          <cell r="K219">
            <v>0.98772649999999995</v>
          </cell>
          <cell r="L219">
            <v>9.8772649999999995</v>
          </cell>
          <cell r="M219">
            <v>3.5367929999999999</v>
          </cell>
          <cell r="N219">
            <v>3.7369599999999998</v>
          </cell>
          <cell r="O219">
            <v>0.73641367321824402</v>
          </cell>
          <cell r="P219">
            <v>-5.149305972168694E-2</v>
          </cell>
          <cell r="Q219" t="str">
            <v>U.S.</v>
          </cell>
        </row>
        <row r="220">
          <cell r="A220" t="str">
            <v>The JBC Acquisition &amp; Development Fund I, L.P.</v>
          </cell>
          <cell r="C220" t="str">
            <v>Primary Partnership</v>
          </cell>
          <cell r="E220" t="str">
            <v>2000</v>
          </cell>
          <cell r="F220">
            <v>88.615385000000003</v>
          </cell>
          <cell r="G220">
            <v>15</v>
          </cell>
          <cell r="I220" t="str">
            <v>Real Estate</v>
          </cell>
          <cell r="K220">
            <v>0.95251280466666666</v>
          </cell>
          <cell r="L220">
            <v>14.28769207</v>
          </cell>
          <cell r="M220">
            <v>31.278779570000001</v>
          </cell>
          <cell r="N220">
            <v>0.40747100000000003</v>
          </cell>
          <cell r="O220">
            <v>2.2177305064218116</v>
          </cell>
          <cell r="P220">
            <v>0.26869458758258324</v>
          </cell>
          <cell r="Q220" t="str">
            <v>U.S.</v>
          </cell>
        </row>
        <row r="221">
          <cell r="A221" t="str">
            <v>The Third Cinven Fund</v>
          </cell>
          <cell r="C221" t="str">
            <v>Primary Partnership</v>
          </cell>
          <cell r="E221" t="str">
            <v>2002</v>
          </cell>
          <cell r="F221">
            <v>6380.3533720942532</v>
          </cell>
          <cell r="G221">
            <v>23.26325380231939</v>
          </cell>
          <cell r="I221" t="str">
            <v>Corporate Finance/Buyout</v>
          </cell>
          <cell r="K221">
            <v>1.0233258399158893</v>
          </cell>
          <cell r="L221">
            <v>23.805888736434998</v>
          </cell>
          <cell r="M221">
            <v>33.278456601882993</v>
          </cell>
          <cell r="N221">
            <v>19.385992001709003</v>
          </cell>
          <cell r="O221">
            <v>2.2122445915236453</v>
          </cell>
          <cell r="P221">
            <v>0.43043124782415193</v>
          </cell>
          <cell r="Q221" t="str">
            <v>Western Europe</v>
          </cell>
        </row>
        <row r="222">
          <cell r="A222" t="str">
            <v>Thomas H. Lee Equity Fund V, L.P.</v>
          </cell>
          <cell r="C222" t="str">
            <v>Primary Partnership</v>
          </cell>
          <cell r="E222" t="str">
            <v>2001</v>
          </cell>
          <cell r="F222">
            <v>1492.2583179999999</v>
          </cell>
          <cell r="G222">
            <v>55</v>
          </cell>
          <cell r="I222" t="str">
            <v>Corporate Finance/Buyout</v>
          </cell>
          <cell r="K222">
            <v>0.93205280000000001</v>
          </cell>
          <cell r="L222">
            <v>51.262903999999999</v>
          </cell>
          <cell r="M222">
            <v>46.907432999999997</v>
          </cell>
          <cell r="N222">
            <v>41.568295999999997</v>
          </cell>
          <cell r="O222">
            <v>1.7259211261227028</v>
          </cell>
          <cell r="P222">
            <v>0.20318878994574874</v>
          </cell>
          <cell r="Q222" t="str">
            <v>U.S.</v>
          </cell>
        </row>
        <row r="223">
          <cell r="A223" t="str">
            <v>Thomas H. Lee Equity Fund VI, L.P.</v>
          </cell>
          <cell r="C223" t="str">
            <v>Primary Partnership</v>
          </cell>
          <cell r="E223" t="str">
            <v>2006</v>
          </cell>
          <cell r="F223">
            <v>7891.4031720000003</v>
          </cell>
          <cell r="G223">
            <v>20</v>
          </cell>
          <cell r="I223" t="str">
            <v>Corporate Finance/Buyout</v>
          </cell>
          <cell r="K223">
            <v>0.34978290000000001</v>
          </cell>
          <cell r="L223">
            <v>6.9956579999999997</v>
          </cell>
          <cell r="M223">
            <v>0.138269</v>
          </cell>
          <cell r="N223">
            <v>8.7061790000000006</v>
          </cell>
          <cell r="O223">
            <v>1.2642767842567491</v>
          </cell>
          <cell r="P223">
            <v>0.25671058480946218</v>
          </cell>
          <cell r="Q223" t="str">
            <v>U.S.</v>
          </cell>
        </row>
        <row r="224">
          <cell r="A224" t="str">
            <v>Thomas H. Lee Foreign Fund IV-B, L.P.</v>
          </cell>
          <cell r="C224" t="str">
            <v>Primary Partnership</v>
          </cell>
          <cell r="E224" t="str">
            <v>1998</v>
          </cell>
          <cell r="F224">
            <v>284.44112100000001</v>
          </cell>
          <cell r="G224">
            <v>10</v>
          </cell>
          <cell r="I224" t="str">
            <v>Corporate Finance/Buyout</v>
          </cell>
          <cell r="K224">
            <v>0.90078242099999994</v>
          </cell>
          <cell r="L224">
            <v>9.007824209999999</v>
          </cell>
          <cell r="M224">
            <v>7.6803779399999996</v>
          </cell>
          <cell r="N224">
            <v>0.31827499999999997</v>
          </cell>
          <cell r="O224">
            <v>0.88796725530237675</v>
          </cell>
          <cell r="P224">
            <v>-2.179461631947488E-2</v>
          </cell>
          <cell r="Q224" t="str">
            <v>U.S.</v>
          </cell>
        </row>
        <row r="225">
          <cell r="A225" t="str">
            <v>TL Ventures V, L.P.</v>
          </cell>
          <cell r="C225" t="str">
            <v>Primary Partnership</v>
          </cell>
          <cell r="E225" t="str">
            <v>2000</v>
          </cell>
          <cell r="F225">
            <v>685.50599999999997</v>
          </cell>
          <cell r="G225">
            <v>10</v>
          </cell>
          <cell r="I225" t="str">
            <v>Venture Capital</v>
          </cell>
          <cell r="K225">
            <v>0.82</v>
          </cell>
          <cell r="L225">
            <v>8.1999999999999993</v>
          </cell>
          <cell r="M225">
            <v>1.63968151</v>
          </cell>
          <cell r="N225">
            <v>0</v>
          </cell>
          <cell r="O225">
            <v>0.19996115975609757</v>
          </cell>
          <cell r="P225">
            <v>-0.99927542652484425</v>
          </cell>
          <cell r="Q225" t="str">
            <v>U.S.</v>
          </cell>
        </row>
        <row r="226">
          <cell r="A226" t="str">
            <v>TPG Partners III, L.P.</v>
          </cell>
          <cell r="C226" t="str">
            <v>Primary Partnership</v>
          </cell>
          <cell r="E226" t="str">
            <v>2000</v>
          </cell>
          <cell r="F226">
            <v>3413.684209</v>
          </cell>
          <cell r="G226">
            <v>59</v>
          </cell>
          <cell r="I226" t="str">
            <v>Corporate Finance/Buyout</v>
          </cell>
          <cell r="K226">
            <v>0.88588608474576269</v>
          </cell>
          <cell r="L226">
            <v>52.267279000000002</v>
          </cell>
          <cell r="M226">
            <v>106.60111834999999</v>
          </cell>
          <cell r="N226">
            <v>15.011623</v>
          </cell>
          <cell r="O226">
            <v>2.3267471289255366</v>
          </cell>
          <cell r="P226">
            <v>0.25240134299479977</v>
          </cell>
          <cell r="Q226" t="str">
            <v>U.S.</v>
          </cell>
        </row>
        <row r="227">
          <cell r="A227" t="str">
            <v>TPG Partners IV, L.P.</v>
          </cell>
          <cell r="C227" t="str">
            <v>Primary Partnership</v>
          </cell>
          <cell r="E227" t="str">
            <v>2003</v>
          </cell>
          <cell r="F227">
            <v>5800</v>
          </cell>
          <cell r="G227">
            <v>83</v>
          </cell>
          <cell r="I227" t="str">
            <v>Corporate Finance/Buyout</v>
          </cell>
          <cell r="K227">
            <v>1.0456739397590362</v>
          </cell>
          <cell r="L227">
            <v>86.790937</v>
          </cell>
          <cell r="M227">
            <v>46.940672999999997</v>
          </cell>
          <cell r="N227">
            <v>91.550048000000004</v>
          </cell>
          <cell r="O227">
            <v>1.595681827930951</v>
          </cell>
          <cell r="P227">
            <v>0.31018520579606346</v>
          </cell>
          <cell r="Q227" t="str">
            <v>U.S.</v>
          </cell>
        </row>
        <row r="228">
          <cell r="A228" t="str">
            <v>TPG Partners V, L.P.</v>
          </cell>
          <cell r="C228" t="str">
            <v>Primary Partnership</v>
          </cell>
          <cell r="E228" t="str">
            <v>2006</v>
          </cell>
          <cell r="F228">
            <v>15300.009953000001</v>
          </cell>
          <cell r="G228">
            <v>180</v>
          </cell>
          <cell r="I228" t="str">
            <v>Corporate Finance/Buyout</v>
          </cell>
          <cell r="K228">
            <v>0.59482492222222216</v>
          </cell>
          <cell r="L228">
            <v>107.06848599999999</v>
          </cell>
          <cell r="M228">
            <v>2.6009660000000001</v>
          </cell>
          <cell r="N228">
            <v>103.45379699999999</v>
          </cell>
          <cell r="O228">
            <v>0.99053201331342255</v>
          </cell>
          <cell r="P228">
            <v>-1.6106110915213967E-2</v>
          </cell>
          <cell r="Q228" t="str">
            <v>U.S.</v>
          </cell>
        </row>
        <row r="229">
          <cell r="A229" t="str">
            <v>TPG STAR, L.P.</v>
          </cell>
          <cell r="C229" t="str">
            <v>Primary Partnership</v>
          </cell>
          <cell r="E229" t="str">
            <v>2007</v>
          </cell>
          <cell r="F229">
            <v>1264.2943760000001</v>
          </cell>
          <cell r="G229">
            <v>80</v>
          </cell>
          <cell r="I229" t="str">
            <v>Special Situation</v>
          </cell>
          <cell r="K229">
            <v>0.18172265000000001</v>
          </cell>
          <cell r="L229">
            <v>14.537812000000001</v>
          </cell>
          <cell r="M229">
            <v>5.1404999999999999E-2</v>
          </cell>
          <cell r="N229">
            <v>13.137629</v>
          </cell>
          <cell r="O229">
            <v>0.90722276502131138</v>
          </cell>
          <cell r="P229">
            <v>-0.17148996575375752</v>
          </cell>
          <cell r="Q229" t="str">
            <v>U.S.</v>
          </cell>
        </row>
        <row r="230">
          <cell r="A230" t="str">
            <v>TPG Ventures, L.P.</v>
          </cell>
          <cell r="C230" t="str">
            <v>Primary Partnership</v>
          </cell>
          <cell r="E230" t="str">
            <v>2001</v>
          </cell>
          <cell r="F230">
            <v>339.44200000000001</v>
          </cell>
          <cell r="G230">
            <v>5.276923</v>
          </cell>
          <cell r="I230" t="str">
            <v>Venture Capital</v>
          </cell>
          <cell r="K230">
            <v>0.95628001393994189</v>
          </cell>
          <cell r="L230">
            <v>5.0462160000000003</v>
          </cell>
          <cell r="M230">
            <v>1.845898</v>
          </cell>
          <cell r="N230">
            <v>4.1726070000000002</v>
          </cell>
          <cell r="O230">
            <v>1.1926768493461239</v>
          </cell>
          <cell r="P230">
            <v>5.3626622325004814E-2</v>
          </cell>
          <cell r="Q230" t="str">
            <v>U.S.</v>
          </cell>
        </row>
        <row r="231">
          <cell r="A231" t="str">
            <v>Trinity Ventures VIII, L.P.</v>
          </cell>
          <cell r="C231" t="str">
            <v>Primary Partnership</v>
          </cell>
          <cell r="E231" t="str">
            <v>2000</v>
          </cell>
          <cell r="F231">
            <v>294.84848485000003</v>
          </cell>
          <cell r="G231">
            <v>3</v>
          </cell>
          <cell r="I231" t="str">
            <v>Venture Capital</v>
          </cell>
          <cell r="K231">
            <v>0.8833333333333333</v>
          </cell>
          <cell r="L231">
            <v>2.65</v>
          </cell>
          <cell r="M231">
            <v>1.2092792700000001</v>
          </cell>
          <cell r="N231">
            <v>1.931241</v>
          </cell>
          <cell r="O231">
            <v>1.1851019886792453</v>
          </cell>
          <cell r="P231">
            <v>4.9003586644075003E-2</v>
          </cell>
          <cell r="Q231" t="str">
            <v>U.S.</v>
          </cell>
        </row>
        <row r="232">
          <cell r="A232" t="str">
            <v>TWCP, L.P.</v>
          </cell>
          <cell r="C232" t="str">
            <v>Primary Partnership</v>
          </cell>
          <cell r="E232" t="str">
            <v>1999</v>
          </cell>
          <cell r="F232">
            <v>1070.741483</v>
          </cell>
          <cell r="G232">
            <v>40</v>
          </cell>
          <cell r="I232" t="str">
            <v>Special Situation</v>
          </cell>
          <cell r="K232">
            <v>1.0071330332499999</v>
          </cell>
          <cell r="L232">
            <v>40.285321329999995</v>
          </cell>
          <cell r="M232">
            <v>14.770858</v>
          </cell>
          <cell r="N232">
            <v>13.332497</v>
          </cell>
          <cell r="O232">
            <v>0.69760781525830273</v>
          </cell>
          <cell r="P232">
            <v>-6.9918817956598156E-2</v>
          </cell>
          <cell r="Q232" t="str">
            <v>U.S.</v>
          </cell>
        </row>
        <row r="233">
          <cell r="A233" t="str">
            <v>Vestar Capital Partners IV, L.P.</v>
          </cell>
          <cell r="C233" t="str">
            <v>Primary Partnership</v>
          </cell>
          <cell r="E233" t="str">
            <v>2000</v>
          </cell>
          <cell r="F233">
            <v>2480.35</v>
          </cell>
          <cell r="G233">
            <v>18.566772829999998</v>
          </cell>
          <cell r="I233" t="str">
            <v>Corporate Finance/Buyout</v>
          </cell>
          <cell r="K233">
            <v>0.97232915032116551</v>
          </cell>
          <cell r="L233">
            <v>18.053014449999999</v>
          </cell>
          <cell r="M233">
            <v>20.905114600000001</v>
          </cell>
          <cell r="N233">
            <v>5.3663550000000004</v>
          </cell>
          <cell r="O233">
            <v>1.4552400471822591</v>
          </cell>
          <cell r="P233">
            <v>0.11516041477100745</v>
          </cell>
          <cell r="Q233" t="str">
            <v>U.S.</v>
          </cell>
        </row>
        <row r="234">
          <cell r="A234" t="str">
            <v>Vista Equity Partners Fund III, L.P.</v>
          </cell>
          <cell r="C234" t="str">
            <v>Primary Partnership</v>
          </cell>
          <cell r="E234" t="str">
            <v>2007</v>
          </cell>
          <cell r="F234">
            <v>730.33708000000001</v>
          </cell>
          <cell r="G234">
            <v>25</v>
          </cell>
          <cell r="I234" t="str">
            <v>Corporate Finance/Buyout</v>
          </cell>
          <cell r="K234">
            <v>0.25291399999999997</v>
          </cell>
          <cell r="L234">
            <v>6.3228499999999999</v>
          </cell>
          <cell r="M234">
            <v>0</v>
          </cell>
          <cell r="N234">
            <v>6.0302769999999999</v>
          </cell>
          <cell r="O234">
            <v>0.95372767027527139</v>
          </cell>
          <cell r="P234">
            <v>-5.7260728755569978E-2</v>
          </cell>
          <cell r="Q234" t="str">
            <v>U.S.</v>
          </cell>
        </row>
        <row r="235">
          <cell r="A235" t="str">
            <v>W Capital Partners, L.P.</v>
          </cell>
          <cell r="C235" t="str">
            <v>Secondary Fund-of-Funds</v>
          </cell>
          <cell r="E235" t="str">
            <v>2004</v>
          </cell>
          <cell r="F235">
            <v>250</v>
          </cell>
          <cell r="G235">
            <v>22.85</v>
          </cell>
          <cell r="I235" t="str">
            <v>Venture Capital</v>
          </cell>
          <cell r="K235">
            <v>0.82880218818380746</v>
          </cell>
          <cell r="L235">
            <v>18.938130000000001</v>
          </cell>
          <cell r="M235">
            <v>6.4892769499999998</v>
          </cell>
          <cell r="N235">
            <v>13.186127479999998</v>
          </cell>
          <cell r="O235">
            <v>1.038930687982393</v>
          </cell>
          <cell r="P235">
            <v>2.537848960065392E-2</v>
          </cell>
          <cell r="Q235" t="str">
            <v>U.S.</v>
          </cell>
        </row>
        <row r="236">
          <cell r="A236" t="str">
            <v>Warburg Pincus Equity Partners, L.P.</v>
          </cell>
          <cell r="C236" t="str">
            <v>Primary Partnership</v>
          </cell>
          <cell r="E236" t="str">
            <v>1998</v>
          </cell>
          <cell r="F236">
            <v>5000</v>
          </cell>
          <cell r="G236">
            <v>30</v>
          </cell>
          <cell r="I236" t="str">
            <v>Special Situation</v>
          </cell>
          <cell r="K236">
            <v>1</v>
          </cell>
          <cell r="L236">
            <v>30</v>
          </cell>
          <cell r="M236">
            <v>43.734904204999999</v>
          </cell>
          <cell r="N236">
            <v>0</v>
          </cell>
          <cell r="O236">
            <v>1.4578301401666667</v>
          </cell>
          <cell r="P236">
            <v>9.5779337117003482E-2</v>
          </cell>
          <cell r="Q236" t="str">
            <v>U.S.</v>
          </cell>
        </row>
        <row r="237">
          <cell r="A237" t="str">
            <v>Warburg Pincus Private Equity VIII, L.P.</v>
          </cell>
          <cell r="C237" t="str">
            <v>Primary Partnership</v>
          </cell>
          <cell r="E237" t="str">
            <v>2001</v>
          </cell>
          <cell r="F237">
            <v>5340</v>
          </cell>
          <cell r="G237">
            <v>42.6</v>
          </cell>
          <cell r="I237" t="str">
            <v>Special Situation</v>
          </cell>
          <cell r="K237">
            <v>1</v>
          </cell>
          <cell r="L237">
            <v>42.6</v>
          </cell>
          <cell r="M237">
            <v>47.437702990000005</v>
          </cell>
          <cell r="N237">
            <v>18.040654</v>
          </cell>
          <cell r="O237">
            <v>1.5370506335680754</v>
          </cell>
          <cell r="P237">
            <v>0.15580090474407959</v>
          </cell>
          <cell r="Q237" t="str">
            <v>U.S.</v>
          </cell>
        </row>
        <row r="238">
          <cell r="A238" t="str">
            <v>Warburg Pincus Private Equity X, L.P.</v>
          </cell>
          <cell r="C238" t="str">
            <v>Primary Partnership</v>
          </cell>
          <cell r="E238" t="str">
            <v>2007</v>
          </cell>
          <cell r="F238">
            <v>14363.289473000001</v>
          </cell>
          <cell r="G238">
            <v>10</v>
          </cell>
          <cell r="I238" t="str">
            <v>Special Situation</v>
          </cell>
          <cell r="K238">
            <v>0.12</v>
          </cell>
          <cell r="L238">
            <v>1.2</v>
          </cell>
          <cell r="M238">
            <v>0</v>
          </cell>
          <cell r="N238">
            <v>1.166982</v>
          </cell>
          <cell r="O238">
            <v>0.97248500000000004</v>
          </cell>
          <cell r="P238">
            <v>-3.4410269361172086E-2</v>
          </cell>
          <cell r="Q238" t="str">
            <v>Global</v>
          </cell>
        </row>
        <row r="239">
          <cell r="A239" t="str">
            <v>Welsh, Carson, Anderson &amp; Stowe VIII, L.P.</v>
          </cell>
          <cell r="C239" t="str">
            <v>Primary Partnership</v>
          </cell>
          <cell r="E239" t="str">
            <v>1998</v>
          </cell>
          <cell r="F239">
            <v>3150</v>
          </cell>
          <cell r="G239">
            <v>30</v>
          </cell>
          <cell r="I239" t="str">
            <v>Corporate Finance/Buyout</v>
          </cell>
          <cell r="K239">
            <v>1</v>
          </cell>
          <cell r="L239">
            <v>30</v>
          </cell>
          <cell r="M239">
            <v>24.038078204183655</v>
          </cell>
          <cell r="N239">
            <v>15.188141</v>
          </cell>
          <cell r="O239">
            <v>1.3075406401394551</v>
          </cell>
          <cell r="P239">
            <v>3.8028238921562929E-2</v>
          </cell>
          <cell r="Q239" t="str">
            <v>U.S.</v>
          </cell>
        </row>
        <row r="240">
          <cell r="A240" t="str">
            <v>Westbury Investment Partners, L.P.</v>
          </cell>
          <cell r="C240" t="str">
            <v>Primary Partnership</v>
          </cell>
          <cell r="E240" t="str">
            <v>2007</v>
          </cell>
          <cell r="F240">
            <v>61.9</v>
          </cell>
          <cell r="G240">
            <v>12</v>
          </cell>
          <cell r="I240" t="str">
            <v>Venture Capital</v>
          </cell>
          <cell r="K240">
            <v>9.9999999999999992E-2</v>
          </cell>
          <cell r="L240">
            <v>1.2</v>
          </cell>
          <cell r="M240">
            <v>0</v>
          </cell>
          <cell r="N240">
            <v>0.77458099999999996</v>
          </cell>
          <cell r="O240">
            <v>0.64548416666666664</v>
          </cell>
          <cell r="P240">
            <v>-0.35451583333333564</v>
          </cell>
          <cell r="Q240" t="str">
            <v>U.S.</v>
          </cell>
        </row>
        <row r="241">
          <cell r="A241" t="str">
            <v>Weston Presidio Capital IV, L.P.</v>
          </cell>
          <cell r="C241" t="str">
            <v>Primary Partnership</v>
          </cell>
          <cell r="E241" t="str">
            <v>2000</v>
          </cell>
          <cell r="F241">
            <v>1352.8262629999999</v>
          </cell>
          <cell r="G241">
            <v>5</v>
          </cell>
          <cell r="I241" t="str">
            <v>Corporate Finance/Buyout</v>
          </cell>
          <cell r="K241">
            <v>0.96333822599999996</v>
          </cell>
          <cell r="L241">
            <v>4.8166911299999997</v>
          </cell>
          <cell r="M241">
            <v>2.11709998728</v>
          </cell>
          <cell r="N241">
            <v>3.3825779900000001</v>
          </cell>
          <cell r="O241">
            <v>1.1417958571240172</v>
          </cell>
          <cell r="P241">
            <v>4.3655497303041857E-2</v>
          </cell>
          <cell r="Q241" t="str">
            <v>U.S.</v>
          </cell>
        </row>
        <row r="242">
          <cell r="A242" t="str">
            <v>Weston Presidio V, L.P.</v>
          </cell>
          <cell r="C242" t="str">
            <v>Primary Partnership</v>
          </cell>
          <cell r="E242" t="str">
            <v>2005</v>
          </cell>
          <cell r="F242">
            <v>1010.10101</v>
          </cell>
          <cell r="G242">
            <v>10</v>
          </cell>
          <cell r="I242" t="str">
            <v>Corporate Finance/Buyout</v>
          </cell>
          <cell r="K242">
            <v>0.51200000000000001</v>
          </cell>
          <cell r="L242">
            <v>5.12</v>
          </cell>
          <cell r="M242">
            <v>0</v>
          </cell>
          <cell r="N242">
            <v>5.0347349699999997</v>
          </cell>
          <cell r="O242">
            <v>0.98334667382812491</v>
          </cell>
          <cell r="P242">
            <v>-1.5021413838997133E-2</v>
          </cell>
          <cell r="Q242" t="str">
            <v>U.S.</v>
          </cell>
        </row>
        <row r="243">
          <cell r="A243" t="str">
            <v>Worldview Technology Partners III, LP</v>
          </cell>
          <cell r="C243" t="str">
            <v>Primary Partnership</v>
          </cell>
          <cell r="E243" t="str">
            <v>1999</v>
          </cell>
          <cell r="F243">
            <v>364.64646499999998</v>
          </cell>
          <cell r="G243">
            <v>5</v>
          </cell>
          <cell r="I243" t="str">
            <v>Venture Capital</v>
          </cell>
          <cell r="K243">
            <v>1</v>
          </cell>
          <cell r="L243">
            <v>5</v>
          </cell>
          <cell r="M243">
            <v>0.64450054000000001</v>
          </cell>
          <cell r="N243">
            <v>0.37068499999999999</v>
          </cell>
          <cell r="O243">
            <v>0.20303710800000002</v>
          </cell>
          <cell r="P243">
            <v>-0.23198461290360484</v>
          </cell>
          <cell r="Q243" t="str">
            <v>U.S.</v>
          </cell>
        </row>
        <row r="244">
          <cell r="A244" t="str">
            <v>Worldview Technology Partners IV, L.P.</v>
          </cell>
          <cell r="C244" t="str">
            <v>Primary Partnership</v>
          </cell>
          <cell r="E244" t="str">
            <v>2000</v>
          </cell>
          <cell r="F244">
            <v>512.89042629000005</v>
          </cell>
          <cell r="G244">
            <v>3.0216705699999999</v>
          </cell>
          <cell r="I244" t="str">
            <v>Venture Capital</v>
          </cell>
          <cell r="K244">
            <v>0.8949781147056014</v>
          </cell>
          <cell r="L244">
            <v>2.7043290299999998</v>
          </cell>
          <cell r="M244">
            <v>0.55626660999999999</v>
          </cell>
          <cell r="N244">
            <v>1.6076809999999999</v>
          </cell>
          <cell r="O244">
            <v>0.80017911503911943</v>
          </cell>
          <cell r="P244">
            <v>-5.7239053402644909E-2</v>
          </cell>
          <cell r="Q244" t="str">
            <v>U.S.</v>
          </cell>
        </row>
        <row r="245">
          <cell r="A245" t="str">
            <v>Yucaipa American Alliance Fund I, L.P.</v>
          </cell>
          <cell r="C245" t="str">
            <v>Primary Partnership</v>
          </cell>
          <cell r="E245" t="str">
            <v>2004</v>
          </cell>
          <cell r="F245">
            <v>793.4</v>
          </cell>
          <cell r="G245">
            <v>15</v>
          </cell>
          <cell r="I245" t="str">
            <v>Corporate Finance/Buyout</v>
          </cell>
          <cell r="K245">
            <v>0.82792546666666667</v>
          </cell>
          <cell r="L245">
            <v>12.418882</v>
          </cell>
          <cell r="M245">
            <v>10.042833999999999</v>
          </cell>
          <cell r="N245">
            <v>7.7192439999999998</v>
          </cell>
          <cell r="O245">
            <v>1.430247746938895</v>
          </cell>
          <cell r="P245">
            <v>0.24150927074783124</v>
          </cell>
          <cell r="Q245" t="str">
            <v>U.S.</v>
          </cell>
        </row>
      </sheetData>
      <sheetData sheetId="26">
        <row r="2">
          <cell r="A2" t="str">
            <v>Royal Mail Pensions Trustees Limited</v>
          </cell>
          <cell r="G2" t="str">
            <v>Champion Ventures</v>
          </cell>
          <cell r="I2" t="str">
            <v>Secondary Purchase</v>
          </cell>
          <cell r="J2">
            <v>1430000</v>
          </cell>
          <cell r="K2">
            <v>1030363.1</v>
          </cell>
          <cell r="R2" t="str">
            <v>Fund-of-Funds</v>
          </cell>
          <cell r="S2">
            <v>7.6515743273836367</v>
          </cell>
          <cell r="Y2">
            <v>976761</v>
          </cell>
          <cell r="Z2">
            <v>333981.56</v>
          </cell>
          <cell r="AA2" t="str">
            <v>Venture Capital</v>
          </cell>
          <cell r="AF2">
            <v>0.72053363636363632</v>
          </cell>
        </row>
        <row r="3">
          <cell r="A3" t="str">
            <v>Marsh &amp; McLennan Master Retirement Trust</v>
          </cell>
          <cell r="G3" t="str">
            <v>3i Investments plc</v>
          </cell>
          <cell r="I3" t="str">
            <v>Primary Partnership</v>
          </cell>
          <cell r="J3">
            <v>17168498.999998942</v>
          </cell>
          <cell r="K3">
            <v>5764508.9999989429</v>
          </cell>
          <cell r="R3" t="str">
            <v>Mid</v>
          </cell>
          <cell r="S3">
            <v>28.735433272743393</v>
          </cell>
          <cell r="Y3">
            <v>5845142.8534500003</v>
          </cell>
          <cell r="Z3">
            <v>590570.57117021433</v>
          </cell>
          <cell r="AA3" t="str">
            <v>Corporate Finance/Buyout</v>
          </cell>
          <cell r="AF3">
            <v>0.3357608023857705</v>
          </cell>
        </row>
        <row r="4">
          <cell r="A4" t="str">
            <v>NJHL European Buyout Investment Fund, L.P.</v>
          </cell>
          <cell r="G4" t="str">
            <v>3i Investments plc</v>
          </cell>
          <cell r="I4" t="str">
            <v>Primary Partnership</v>
          </cell>
          <cell r="J4">
            <v>42930457.5</v>
          </cell>
          <cell r="K4">
            <v>14420482.5</v>
          </cell>
          <cell r="R4" t="str">
            <v>Mid</v>
          </cell>
          <cell r="S4">
            <v>28.735433272743393</v>
          </cell>
          <cell r="Y4">
            <v>14613761.41155</v>
          </cell>
          <cell r="Z4">
            <v>1453434.05</v>
          </cell>
          <cell r="AA4" t="str">
            <v>Corporate Finance/Buyout</v>
          </cell>
          <cell r="AF4">
            <v>0.33590330361608656</v>
          </cell>
        </row>
        <row r="5">
          <cell r="A5" t="str">
            <v>The Essex County Council</v>
          </cell>
          <cell r="G5" t="str">
            <v>3i Investments plc</v>
          </cell>
          <cell r="I5" t="str">
            <v>Primary Partnership</v>
          </cell>
          <cell r="J5">
            <v>21449073.75</v>
          </cell>
          <cell r="K5">
            <v>7194086.25</v>
          </cell>
          <cell r="R5" t="str">
            <v>Mid</v>
          </cell>
          <cell r="S5">
            <v>28.735433272743393</v>
          </cell>
          <cell r="Y5">
            <v>7298131.8387654042</v>
          </cell>
          <cell r="Z5">
            <v>734578.15108799993</v>
          </cell>
          <cell r="AA5" t="str">
            <v>Corporate Finance/Buyout</v>
          </cell>
          <cell r="AF5">
            <v>0.335403119680168</v>
          </cell>
        </row>
        <row r="6">
          <cell r="A6" t="str">
            <v>Hamilton Lane Private Equity Fund IV L.P.</v>
          </cell>
          <cell r="G6" t="str">
            <v>Abry</v>
          </cell>
          <cell r="I6" t="str">
            <v>Secondary Purchase</v>
          </cell>
          <cell r="J6">
            <v>345878</v>
          </cell>
          <cell r="K6">
            <v>345852</v>
          </cell>
          <cell r="R6" t="str">
            <v>Industry Focused</v>
          </cell>
          <cell r="S6">
            <v>-8.6202092661523793</v>
          </cell>
          <cell r="Y6">
            <v>0</v>
          </cell>
          <cell r="Z6">
            <v>209483</v>
          </cell>
          <cell r="AA6" t="str">
            <v>Special Situation</v>
          </cell>
          <cell r="AF6">
            <v>0.99992482898594304</v>
          </cell>
        </row>
        <row r="7">
          <cell r="A7" t="str">
            <v>Royal Mail Pensions Trustees Limited</v>
          </cell>
          <cell r="G7" t="str">
            <v>Abry</v>
          </cell>
          <cell r="I7" t="str">
            <v>Secondary Purchase</v>
          </cell>
          <cell r="J7">
            <v>540989</v>
          </cell>
          <cell r="K7">
            <v>540948</v>
          </cell>
          <cell r="R7" t="str">
            <v>Industry Focused</v>
          </cell>
          <cell r="S7">
            <v>-8.6202092661523793</v>
          </cell>
          <cell r="Y7">
            <v>283432</v>
          </cell>
          <cell r="Z7">
            <v>0</v>
          </cell>
          <cell r="AA7" t="str">
            <v>Special Situation</v>
          </cell>
          <cell r="AF7">
            <v>0.99992421287678679</v>
          </cell>
        </row>
        <row r="8">
          <cell r="A8" t="str">
            <v>Princess Private Equity Subholding Ltd.</v>
          </cell>
          <cell r="G8" t="str">
            <v>J.P. Morgan Partners</v>
          </cell>
          <cell r="I8" t="str">
            <v>Primary Partnership</v>
          </cell>
          <cell r="J8">
            <v>15000000</v>
          </cell>
          <cell r="K8">
            <v>15000000</v>
          </cell>
          <cell r="R8" t="str">
            <v>Late Stage</v>
          </cell>
          <cell r="S8">
            <v>-14.560970185543775</v>
          </cell>
          <cell r="Y8">
            <v>0</v>
          </cell>
          <cell r="Z8">
            <v>10060285.067500001</v>
          </cell>
          <cell r="AA8" t="str">
            <v>Venture Capital</v>
          </cell>
          <cell r="AF8">
            <v>1</v>
          </cell>
        </row>
        <row r="9">
          <cell r="A9" t="str">
            <v>Hudson River Co-Investment Fund L.P.</v>
          </cell>
          <cell r="G9" t="str">
            <v>Trillium Group</v>
          </cell>
          <cell r="I9" t="str">
            <v>Co/Direct Investment</v>
          </cell>
          <cell r="J9">
            <v>2000000</v>
          </cell>
          <cell r="K9">
            <v>2000000</v>
          </cell>
          <cell r="R9"/>
          <cell r="S9">
            <v>-4.0523140398818214E-12</v>
          </cell>
          <cell r="Y9">
            <v>2000000</v>
          </cell>
          <cell r="Z9">
            <v>0</v>
          </cell>
          <cell r="AA9" t="str">
            <v>Corporate Finance/Buyout</v>
          </cell>
          <cell r="AF9">
            <v>1</v>
          </cell>
        </row>
        <row r="10">
          <cell r="A10" t="str">
            <v>International Union of Operating Engineers</v>
          </cell>
          <cell r="G10" t="str">
            <v>ACI Capital</v>
          </cell>
          <cell r="I10" t="str">
            <v>Primary Partnership</v>
          </cell>
          <cell r="J10">
            <v>10000000</v>
          </cell>
          <cell r="K10">
            <v>1228096.25</v>
          </cell>
          <cell r="R10" t="str">
            <v>Mid</v>
          </cell>
          <cell r="S10">
            <v>-86.181210876224327</v>
          </cell>
          <cell r="Y10">
            <v>355909</v>
          </cell>
          <cell r="Z10">
            <v>0</v>
          </cell>
          <cell r="AA10" t="str">
            <v>Corporate Finance/Buyout</v>
          </cell>
          <cell r="AF10">
            <v>0.12280962500000001</v>
          </cell>
        </row>
        <row r="11">
          <cell r="A11" t="str">
            <v>Los Angeles City Employees' Retirement System</v>
          </cell>
          <cell r="G11" t="str">
            <v>Texas Pacific Group</v>
          </cell>
          <cell r="I11" t="str">
            <v>Primary Partnership</v>
          </cell>
          <cell r="J11">
            <v>5000000</v>
          </cell>
          <cell r="K11">
            <v>1697616</v>
          </cell>
          <cell r="R11" t="str">
            <v>Small</v>
          </cell>
          <cell r="S11">
            <v>-15.44189315853548</v>
          </cell>
          <cell r="Y11">
            <v>1561584</v>
          </cell>
          <cell r="Z11">
            <v>0</v>
          </cell>
          <cell r="AA11" t="str">
            <v>Corporate Finance/Buyout</v>
          </cell>
          <cell r="AF11">
            <v>0.33952320000000002</v>
          </cell>
        </row>
        <row r="12">
          <cell r="A12" t="str">
            <v>The Hudson River Fund II</v>
          </cell>
          <cell r="G12" t="str">
            <v>Texas Pacific Group</v>
          </cell>
          <cell r="I12" t="str">
            <v>Primary Partnership</v>
          </cell>
          <cell r="J12">
            <v>35000000</v>
          </cell>
          <cell r="K12">
            <v>9938030</v>
          </cell>
          <cell r="R12" t="str">
            <v>Small</v>
          </cell>
          <cell r="S12">
            <v>-15.44189315853548</v>
          </cell>
          <cell r="Y12">
            <v>9038850</v>
          </cell>
          <cell r="Z12">
            <v>0</v>
          </cell>
          <cell r="AA12" t="str">
            <v>Corporate Finance/Buyout</v>
          </cell>
          <cell r="AF12">
            <v>0.2839437142857143</v>
          </cell>
        </row>
        <row r="13">
          <cell r="A13" t="str">
            <v>Hamilton Lane Private Equity Fund Plc</v>
          </cell>
          <cell r="G13" t="str">
            <v>Aurora Capital Group</v>
          </cell>
          <cell r="I13" t="str">
            <v>Co/Direct Investment</v>
          </cell>
          <cell r="J13">
            <v>2250720</v>
          </cell>
          <cell r="K13">
            <v>2250720</v>
          </cell>
          <cell r="R13" t="str">
            <v>Small</v>
          </cell>
          <cell r="S13">
            <v>9.709743694047134</v>
          </cell>
          <cell r="Y13">
            <v>4289109</v>
          </cell>
          <cell r="Z13">
            <v>235389</v>
          </cell>
          <cell r="AA13" t="str">
            <v>Corporate Finance/Buyout</v>
          </cell>
          <cell r="AF13">
            <v>1</v>
          </cell>
        </row>
        <row r="14">
          <cell r="A14" t="str">
            <v>Hamilton Lane Private Equity Partners, L.P.</v>
          </cell>
          <cell r="G14" t="str">
            <v>Aurora Capital Group</v>
          </cell>
          <cell r="I14" t="str">
            <v>Co/Direct Investment</v>
          </cell>
          <cell r="J14">
            <v>1039360</v>
          </cell>
          <cell r="K14">
            <v>1039360</v>
          </cell>
          <cell r="R14" t="str">
            <v>Small</v>
          </cell>
          <cell r="S14">
            <v>9.709743694047134</v>
          </cell>
          <cell r="Y14">
            <v>1980748</v>
          </cell>
          <cell r="Z14">
            <v>108642</v>
          </cell>
          <cell r="AA14" t="str">
            <v>Corporate Finance/Buyout</v>
          </cell>
          <cell r="AF14">
            <v>1</v>
          </cell>
        </row>
        <row r="15">
          <cell r="A15" t="str">
            <v>Unisys Master Trust</v>
          </cell>
          <cell r="G15" t="str">
            <v>Advanced Technology</v>
          </cell>
          <cell r="I15" t="str">
            <v>Primary Partnership</v>
          </cell>
          <cell r="J15">
            <v>4000000</v>
          </cell>
          <cell r="K15">
            <v>4000000</v>
          </cell>
          <cell r="R15" t="str">
            <v>Multi-Stage</v>
          </cell>
          <cell r="S15">
            <v>-13.271605319006097</v>
          </cell>
          <cell r="Y15">
            <v>447452</v>
          </cell>
          <cell r="Z15">
            <v>1596981.25</v>
          </cell>
          <cell r="AA15" t="str">
            <v>Venture Capital</v>
          </cell>
          <cell r="AF15">
            <v>1</v>
          </cell>
        </row>
        <row r="16">
          <cell r="A16" t="str">
            <v>Hamilton Lane-Carpenters Partnership Fund, L.P.</v>
          </cell>
          <cell r="G16" t="str">
            <v>Advanced Technology</v>
          </cell>
          <cell r="I16" t="str">
            <v>Primary Partnership</v>
          </cell>
          <cell r="J16">
            <v>5000000</v>
          </cell>
          <cell r="K16">
            <v>5000000</v>
          </cell>
          <cell r="R16" t="str">
            <v>Multi-Stage</v>
          </cell>
          <cell r="S16">
            <v>-24.959024683743415</v>
          </cell>
          <cell r="Y16">
            <v>1054604</v>
          </cell>
          <cell r="Z16">
            <v>120448.01</v>
          </cell>
          <cell r="AA16" t="str">
            <v>Venture Capital</v>
          </cell>
          <cell r="AF16">
            <v>1</v>
          </cell>
        </row>
        <row r="17">
          <cell r="A17" t="str">
            <v>Princess Private Equity Subholding Ltd.</v>
          </cell>
          <cell r="G17" t="str">
            <v>Advanced Technology</v>
          </cell>
          <cell r="I17" t="str">
            <v>Primary Partnership</v>
          </cell>
          <cell r="J17">
            <v>5000000</v>
          </cell>
          <cell r="K17">
            <v>5000000</v>
          </cell>
          <cell r="R17" t="str">
            <v>Multi-Stage</v>
          </cell>
          <cell r="S17">
            <v>-24.959024683743415</v>
          </cell>
          <cell r="Y17">
            <v>1054604</v>
          </cell>
          <cell r="Z17">
            <v>120448.01</v>
          </cell>
          <cell r="AA17" t="str">
            <v>Venture Capital</v>
          </cell>
          <cell r="AF17">
            <v>1</v>
          </cell>
        </row>
        <row r="18">
          <cell r="A18" t="str">
            <v>Unisys Master Trust</v>
          </cell>
          <cell r="G18" t="str">
            <v>Advanced Technology</v>
          </cell>
          <cell r="I18" t="str">
            <v>Primary Partnership</v>
          </cell>
          <cell r="J18">
            <v>3000000</v>
          </cell>
          <cell r="K18">
            <v>3000000</v>
          </cell>
          <cell r="R18" t="str">
            <v>Multi-Stage</v>
          </cell>
          <cell r="S18">
            <v>-24.959024683743415</v>
          </cell>
          <cell r="Y18">
            <v>632762</v>
          </cell>
          <cell r="Z18">
            <v>72268.800000000003</v>
          </cell>
          <cell r="AA18" t="str">
            <v>Venture Capital</v>
          </cell>
          <cell r="AF18">
            <v>1</v>
          </cell>
        </row>
        <row r="19">
          <cell r="A19" t="str">
            <v>I.A.M. National Pension Fund</v>
          </cell>
          <cell r="G19" t="str">
            <v>Advanced Technology</v>
          </cell>
          <cell r="I19" t="str">
            <v>Primary Partnership</v>
          </cell>
          <cell r="J19">
            <v>4500000</v>
          </cell>
          <cell r="K19">
            <v>3847450</v>
          </cell>
          <cell r="R19" t="str">
            <v>Multi-Stage</v>
          </cell>
          <cell r="S19">
            <v>5.3656198707119795</v>
          </cell>
          <cell r="Y19">
            <v>3300981</v>
          </cell>
          <cell r="Z19">
            <v>1096788.26</v>
          </cell>
          <cell r="AA19" t="str">
            <v>Venture Capital</v>
          </cell>
          <cell r="AF19">
            <v>0.85498888888888891</v>
          </cell>
        </row>
        <row r="20">
          <cell r="A20" t="str">
            <v>Textron Master Trust</v>
          </cell>
          <cell r="G20" t="str">
            <v>Advanced Technology</v>
          </cell>
          <cell r="I20" t="str">
            <v>Primary Partnership</v>
          </cell>
          <cell r="J20">
            <v>18000000</v>
          </cell>
          <cell r="K20">
            <v>15389800</v>
          </cell>
          <cell r="R20" t="str">
            <v>Multi-Stage</v>
          </cell>
          <cell r="S20">
            <v>5.3656198707119795</v>
          </cell>
          <cell r="Y20">
            <v>13203929</v>
          </cell>
          <cell r="Z20">
            <v>4387230.58</v>
          </cell>
          <cell r="AA20" t="str">
            <v>Venture Capital</v>
          </cell>
          <cell r="AF20">
            <v>0.85498888888888891</v>
          </cell>
        </row>
        <row r="21">
          <cell r="A21" t="str">
            <v>The Markaz/Hamilton Lane Technology Fund L.P.</v>
          </cell>
          <cell r="G21" t="str">
            <v>Advanced Technology</v>
          </cell>
          <cell r="I21" t="str">
            <v>Primary Partnership</v>
          </cell>
          <cell r="J21">
            <v>2700000</v>
          </cell>
          <cell r="K21">
            <v>2308470</v>
          </cell>
          <cell r="R21" t="str">
            <v>Multi-Stage</v>
          </cell>
          <cell r="S21">
            <v>5.3656198707119795</v>
          </cell>
          <cell r="Y21">
            <v>1980589</v>
          </cell>
          <cell r="Z21">
            <v>658066.92000000004</v>
          </cell>
          <cell r="AA21" t="str">
            <v>Venture Capital</v>
          </cell>
          <cell r="AF21">
            <v>0.85498888888888891</v>
          </cell>
        </row>
        <row r="22">
          <cell r="A22" t="str">
            <v>Nordea Thematic Fund-of-Funds</v>
          </cell>
          <cell r="G22" t="str">
            <v>Advent International (-D, L.P.)</v>
          </cell>
          <cell r="I22" t="str">
            <v>Primary Partnership</v>
          </cell>
          <cell r="J22">
            <v>11873324</v>
          </cell>
          <cell r="K22">
            <v>10703684</v>
          </cell>
          <cell r="R22" t="str">
            <v>Multi-Stage</v>
          </cell>
          <cell r="S22">
            <v>55.962895135185263</v>
          </cell>
          <cell r="Y22">
            <v>5881332.9771000007</v>
          </cell>
          <cell r="Z22">
            <v>30258013.552299995</v>
          </cell>
          <cell r="AA22" t="str">
            <v>Special Situation</v>
          </cell>
          <cell r="AF22">
            <v>0.90149009662332136</v>
          </cell>
        </row>
        <row r="23">
          <cell r="A23" t="str">
            <v>Textron Master Trust</v>
          </cell>
          <cell r="G23" t="str">
            <v>Advent International (-A, L.P.)</v>
          </cell>
          <cell r="I23" t="str">
            <v>Primary Partnership</v>
          </cell>
          <cell r="J23">
            <v>17869518</v>
          </cell>
          <cell r="K23">
            <v>17600000</v>
          </cell>
          <cell r="R23" t="str">
            <v>Multi-Stage</v>
          </cell>
          <cell r="S23">
            <v>42.768554982491899</v>
          </cell>
          <cell r="Y23">
            <v>0</v>
          </cell>
          <cell r="Z23">
            <v>36288436</v>
          </cell>
          <cell r="AA23" t="str">
            <v>Special Situation</v>
          </cell>
          <cell r="AF23">
            <v>0.98491744433173856</v>
          </cell>
        </row>
        <row r="24">
          <cell r="A24" t="str">
            <v>Princess Private Equity Subholding Ltd.</v>
          </cell>
          <cell r="G24" t="str">
            <v>Advent International</v>
          </cell>
          <cell r="I24" t="str">
            <v>Primary Partnership</v>
          </cell>
          <cell r="J24">
            <v>5000000</v>
          </cell>
          <cell r="K24">
            <v>4850000</v>
          </cell>
          <cell r="R24" t="str">
            <v>Small</v>
          </cell>
          <cell r="S24">
            <v>50.733147459898518</v>
          </cell>
          <cell r="Y24">
            <v>20933968</v>
          </cell>
          <cell r="Z24">
            <v>2828960</v>
          </cell>
          <cell r="AA24" t="str">
            <v>Corporate Finance/Buyout</v>
          </cell>
          <cell r="AF24">
            <v>0.97</v>
          </cell>
        </row>
        <row r="25">
          <cell r="A25" t="str">
            <v>Unisys Master Trust</v>
          </cell>
          <cell r="G25" t="str">
            <v>Alta Partners</v>
          </cell>
          <cell r="I25" t="str">
            <v>Primary Partnership</v>
          </cell>
          <cell r="J25">
            <v>4000000</v>
          </cell>
          <cell r="K25">
            <v>4000000</v>
          </cell>
          <cell r="R25" t="str">
            <v>Early Stage</v>
          </cell>
          <cell r="S25">
            <v>-6.0729159870736682</v>
          </cell>
          <cell r="Y25">
            <v>940463</v>
          </cell>
          <cell r="Z25">
            <v>2026728.6158</v>
          </cell>
          <cell r="AA25" t="str">
            <v>Venture Capital</v>
          </cell>
          <cell r="AF25">
            <v>1</v>
          </cell>
        </row>
        <row r="26">
          <cell r="A26" t="str">
            <v>United Food &amp; Commercial Workers Intl. Union</v>
          </cell>
          <cell r="G26" t="str">
            <v>Alta Partners</v>
          </cell>
          <cell r="I26" t="str">
            <v>Primary Partnership</v>
          </cell>
          <cell r="J26">
            <v>5000000</v>
          </cell>
          <cell r="K26">
            <v>5000000</v>
          </cell>
          <cell r="R26" t="str">
            <v>Early Stage</v>
          </cell>
          <cell r="S26">
            <v>-3.0860451401169442</v>
          </cell>
          <cell r="Y26">
            <v>3300854</v>
          </cell>
          <cell r="Z26">
            <v>1097063.3089999999</v>
          </cell>
          <cell r="AA26" t="str">
            <v>Venture Capital</v>
          </cell>
          <cell r="AF26">
            <v>1</v>
          </cell>
        </row>
        <row r="27">
          <cell r="A27" t="str">
            <v>Hudson River Co-Investment Fund L.P.</v>
          </cell>
          <cell r="G27" t="str">
            <v>Sierra Ventures</v>
          </cell>
          <cell r="I27" t="str">
            <v>Co/Direct Investment</v>
          </cell>
          <cell r="J27">
            <v>5000000</v>
          </cell>
          <cell r="K27">
            <v>5000000</v>
          </cell>
          <cell r="R27"/>
          <cell r="S27">
            <v>-4.0523140398818214E-12</v>
          </cell>
          <cell r="Y27">
            <v>5000000</v>
          </cell>
          <cell r="Z27">
            <v>0</v>
          </cell>
          <cell r="AA27" t="str">
            <v>Corporate Finance/Buyout</v>
          </cell>
          <cell r="AF27">
            <v>1</v>
          </cell>
        </row>
        <row r="28">
          <cell r="A28" t="str">
            <v>Clal Insurance Company Ltd.</v>
          </cell>
          <cell r="G28" t="str">
            <v>American Securities Capital Partners, LLC</v>
          </cell>
          <cell r="I28" t="str">
            <v>Primary Partnership</v>
          </cell>
          <cell r="J28">
            <v>9999999.9999999981</v>
          </cell>
          <cell r="K28">
            <v>145095.6</v>
          </cell>
          <cell r="R28" t="str">
            <v>Distressed/Turnaround</v>
          </cell>
          <cell r="S28">
            <v>-28.900853252963611</v>
          </cell>
          <cell r="Y28">
            <v>115404</v>
          </cell>
          <cell r="Z28">
            <v>5608.07</v>
          </cell>
          <cell r="AA28" t="str">
            <v>Special Situation</v>
          </cell>
          <cell r="AF28">
            <v>1.4509560000000003E-2</v>
          </cell>
        </row>
        <row r="29">
          <cell r="A29" t="str">
            <v>Hamilton Lane Private Equity Fund Investments KB</v>
          </cell>
          <cell r="G29" t="str">
            <v>American Securities Capital Partners, LLC</v>
          </cell>
          <cell r="I29" t="str">
            <v>Primary Partnership</v>
          </cell>
          <cell r="J29">
            <v>9999999.9999999981</v>
          </cell>
          <cell r="K29">
            <v>145095.6</v>
          </cell>
          <cell r="R29" t="str">
            <v>Distressed/Turnaround</v>
          </cell>
          <cell r="S29">
            <v>-28.900853252963611</v>
          </cell>
          <cell r="Y29">
            <v>115404</v>
          </cell>
          <cell r="Z29">
            <v>5608.07</v>
          </cell>
          <cell r="AA29" t="str">
            <v>Special Situation</v>
          </cell>
          <cell r="AF29">
            <v>1.4509560000000003E-2</v>
          </cell>
        </row>
        <row r="30">
          <cell r="A30" t="str">
            <v>Hamilton Lane Private Equity Fund VI, L.P.</v>
          </cell>
          <cell r="G30" t="str">
            <v>American Securities Capital Partners, LLC</v>
          </cell>
          <cell r="I30" t="str">
            <v>Primary Partnership</v>
          </cell>
          <cell r="J30">
            <v>15000000</v>
          </cell>
          <cell r="K30">
            <v>217643.39</v>
          </cell>
          <cell r="R30" t="str">
            <v>Distressed/Turnaround</v>
          </cell>
          <cell r="S30">
            <v>-28.900853252963611</v>
          </cell>
          <cell r="Y30">
            <v>171940</v>
          </cell>
          <cell r="Z30">
            <v>8412.1</v>
          </cell>
          <cell r="AA30" t="str">
            <v>Special Situation</v>
          </cell>
          <cell r="AF30">
            <v>1.4509559333333335E-2</v>
          </cell>
        </row>
        <row r="31">
          <cell r="A31" t="str">
            <v>Hamilton Lane-Carpenters Partnership Fund II L.P.</v>
          </cell>
          <cell r="G31" t="str">
            <v>American Securities Capital Partners, LLC</v>
          </cell>
          <cell r="I31" t="str">
            <v>Primary Partnership</v>
          </cell>
          <cell r="J31">
            <v>15000000</v>
          </cell>
          <cell r="K31">
            <v>217643.38</v>
          </cell>
          <cell r="R31" t="str">
            <v>Distressed/Turnaround</v>
          </cell>
          <cell r="S31">
            <v>-28.900853252963611</v>
          </cell>
          <cell r="Y31">
            <v>166565</v>
          </cell>
          <cell r="Z31">
            <v>9850.9</v>
          </cell>
          <cell r="AA31" t="str">
            <v>Special Situation</v>
          </cell>
          <cell r="AF31">
            <v>1.4509558666666667E-2</v>
          </cell>
        </row>
        <row r="32">
          <cell r="A32" t="str">
            <v>Harel Gemel Ltd.</v>
          </cell>
          <cell r="G32" t="str">
            <v>American Securities Capital Partners, LLC</v>
          </cell>
          <cell r="I32" t="str">
            <v>Primary Partnership</v>
          </cell>
          <cell r="J32">
            <v>5000000</v>
          </cell>
          <cell r="K32">
            <v>72547.8</v>
          </cell>
          <cell r="R32" t="str">
            <v>Distressed/Turnaround</v>
          </cell>
          <cell r="S32">
            <v>-28.900853252963611</v>
          </cell>
          <cell r="Y32">
            <v>57702</v>
          </cell>
          <cell r="Z32">
            <v>2804.04</v>
          </cell>
          <cell r="AA32" t="str">
            <v>Special Situation</v>
          </cell>
          <cell r="AF32">
            <v>1.4509560000000001E-2</v>
          </cell>
        </row>
        <row r="33">
          <cell r="A33" t="str">
            <v>Meitavit Atudot Pension Fund</v>
          </cell>
          <cell r="G33" t="str">
            <v>American Securities Capital Partners, LLC</v>
          </cell>
          <cell r="I33" t="str">
            <v>Primary Partnership</v>
          </cell>
          <cell r="J33">
            <v>5000000</v>
          </cell>
          <cell r="K33">
            <v>72547.8</v>
          </cell>
          <cell r="R33" t="str">
            <v>Distressed/Turnaround</v>
          </cell>
          <cell r="S33">
            <v>-28.900853252963611</v>
          </cell>
          <cell r="Y33">
            <v>57702</v>
          </cell>
          <cell r="Z33">
            <v>2804.04</v>
          </cell>
          <cell r="AA33" t="str">
            <v>Special Situation</v>
          </cell>
          <cell r="AF33">
            <v>1.4509560000000001E-2</v>
          </cell>
        </row>
        <row r="34">
          <cell r="A34" t="str">
            <v>Royal Mail Pensions Trustees Limited</v>
          </cell>
          <cell r="G34" t="str">
            <v>American Securities Capital Partners, LLC</v>
          </cell>
          <cell r="I34" t="str">
            <v>Primary Partnership</v>
          </cell>
          <cell r="J34">
            <v>15000000</v>
          </cell>
          <cell r="K34">
            <v>217643.39</v>
          </cell>
          <cell r="R34" t="str">
            <v>Distressed/Turnaround</v>
          </cell>
          <cell r="S34">
            <v>-28.900853252963611</v>
          </cell>
          <cell r="Y34">
            <v>166565</v>
          </cell>
          <cell r="Z34">
            <v>9850.91</v>
          </cell>
          <cell r="AA34" t="str">
            <v>Special Situation</v>
          </cell>
          <cell r="AF34">
            <v>1.4509559333333335E-2</v>
          </cell>
        </row>
        <row r="35">
          <cell r="A35" t="str">
            <v>The 1199 Health Care Employees Pension Fund</v>
          </cell>
          <cell r="G35" t="str">
            <v>American Securities Capital Partners, LLC</v>
          </cell>
          <cell r="I35" t="str">
            <v>Secondary Purchase</v>
          </cell>
          <cell r="J35">
            <v>3273504</v>
          </cell>
          <cell r="K35">
            <v>2665987.2599999998</v>
          </cell>
          <cell r="R35" t="str">
            <v>Mid</v>
          </cell>
          <cell r="S35">
            <v>122.9696336985501</v>
          </cell>
          <cell r="Y35">
            <v>10912</v>
          </cell>
          <cell r="Z35">
            <v>8030456.5</v>
          </cell>
          <cell r="AA35" t="str">
            <v>Corporate Finance/Buyout</v>
          </cell>
          <cell r="AF35">
            <v>0.81441393076043278</v>
          </cell>
        </row>
        <row r="36">
          <cell r="A36" t="str">
            <v>Princess Private Equity Subholding Ltd.</v>
          </cell>
          <cell r="G36" t="str">
            <v>American Securities Capital Partners, LLC</v>
          </cell>
          <cell r="I36" t="str">
            <v>Primary Partnership</v>
          </cell>
          <cell r="J36">
            <v>5000000</v>
          </cell>
          <cell r="K36">
            <v>4265826.7699999996</v>
          </cell>
          <cell r="R36" t="str">
            <v>Mid</v>
          </cell>
          <cell r="S36">
            <v>26.480477736679674</v>
          </cell>
          <cell r="Y36">
            <v>2451468</v>
          </cell>
          <cell r="Z36">
            <v>3596353.35</v>
          </cell>
          <cell r="AA36" t="str">
            <v>Corporate Finance/Buyout</v>
          </cell>
          <cell r="AF36">
            <v>0.85316535399999993</v>
          </cell>
        </row>
        <row r="37">
          <cell r="A37" t="str">
            <v>The Hudson River Fund</v>
          </cell>
          <cell r="G37" t="str">
            <v>American Securities Capital Partners, LLC</v>
          </cell>
          <cell r="I37" t="str">
            <v>Primary Partnership</v>
          </cell>
          <cell r="J37">
            <v>11000000</v>
          </cell>
          <cell r="K37">
            <v>9401702.1400000062</v>
          </cell>
          <cell r="R37" t="str">
            <v>Mid</v>
          </cell>
          <cell r="S37">
            <v>26.480477736679674</v>
          </cell>
          <cell r="Y37">
            <v>10501554</v>
          </cell>
          <cell r="Z37">
            <v>7995452.2799999984</v>
          </cell>
          <cell r="AA37" t="str">
            <v>Corporate Finance/Buyout</v>
          </cell>
          <cell r="AF37">
            <v>0.85470019454545509</v>
          </cell>
        </row>
        <row r="38">
          <cell r="A38" t="str">
            <v>The Hudson River Fund II</v>
          </cell>
          <cell r="G38" t="str">
            <v>American Securities Capital Partners, LLC</v>
          </cell>
          <cell r="I38" t="str">
            <v>Primary Partnership</v>
          </cell>
          <cell r="J38">
            <v>4000000</v>
          </cell>
          <cell r="K38">
            <v>3418799.69</v>
          </cell>
          <cell r="R38" t="str">
            <v>Mid</v>
          </cell>
          <cell r="S38">
            <v>26.480477736679674</v>
          </cell>
          <cell r="Y38">
            <v>3818753</v>
          </cell>
          <cell r="Z38">
            <v>2914868.3</v>
          </cell>
          <cell r="AA38" t="str">
            <v>Corporate Finance/Buyout</v>
          </cell>
          <cell r="AF38">
            <v>0.85469992249999993</v>
          </cell>
        </row>
        <row r="39">
          <cell r="A39" t="str">
            <v>Hamilton Lane Secondary Fund L.P. (Investments)</v>
          </cell>
          <cell r="G39" t="str">
            <v>American Securities Capital Partners, LLC</v>
          </cell>
          <cell r="I39" t="str">
            <v>Secondary Purchase</v>
          </cell>
          <cell r="J39">
            <v>4494084</v>
          </cell>
          <cell r="K39">
            <v>3762361.24</v>
          </cell>
          <cell r="R39" t="str">
            <v>Mid</v>
          </cell>
          <cell r="S39">
            <v>26.480477736679674</v>
          </cell>
          <cell r="Y39">
            <v>4806366</v>
          </cell>
          <cell r="Z39">
            <v>2674695.9500000002</v>
          </cell>
          <cell r="AA39" t="str">
            <v>Corporate Finance/Buyout</v>
          </cell>
          <cell r="AF39">
            <v>0.83718088936477386</v>
          </cell>
        </row>
        <row r="40">
          <cell r="A40" t="str">
            <v>Generali Global Private Equity S.A. SICAR</v>
          </cell>
          <cell r="G40" t="str">
            <v>American Securities Capital Partners, LLC</v>
          </cell>
          <cell r="I40" t="str">
            <v>Primary Partnership</v>
          </cell>
          <cell r="J40">
            <v>10000000</v>
          </cell>
          <cell r="K40">
            <v>5334272.82</v>
          </cell>
          <cell r="R40" t="str">
            <v>Mid</v>
          </cell>
          <cell r="S40">
            <v>24.035408637550916</v>
          </cell>
          <cell r="Y40">
            <v>4999717</v>
          </cell>
          <cell r="Z40">
            <v>0</v>
          </cell>
          <cell r="AA40" t="str">
            <v>Corporate Finance/Buyout</v>
          </cell>
          <cell r="AF40">
            <v>0.533427282</v>
          </cell>
        </row>
        <row r="41">
          <cell r="A41" t="str">
            <v>Hamilton Lane Private Equity Fund Investments KB</v>
          </cell>
          <cell r="G41" t="str">
            <v>American Securities Capital Partners, LLC</v>
          </cell>
          <cell r="I41" t="str">
            <v>Primary Partnership</v>
          </cell>
          <cell r="J41">
            <v>5000000</v>
          </cell>
          <cell r="K41">
            <v>2667105.16</v>
          </cell>
          <cell r="R41" t="str">
            <v>Mid</v>
          </cell>
          <cell r="S41">
            <v>24.035408637550916</v>
          </cell>
          <cell r="Y41">
            <v>3529693</v>
          </cell>
          <cell r="Z41">
            <v>0</v>
          </cell>
          <cell r="AA41" t="str">
            <v>Corporate Finance/Buyout</v>
          </cell>
          <cell r="AF41">
            <v>0.53342103200000002</v>
          </cell>
        </row>
        <row r="42">
          <cell r="A42" t="str">
            <v>Hamilton Lane Private Equity Fund V, L.P.</v>
          </cell>
          <cell r="G42" t="str">
            <v>American Securities Capital Partners, LLC</v>
          </cell>
          <cell r="I42" t="str">
            <v>Primary Partnership</v>
          </cell>
          <cell r="J42">
            <v>15000000</v>
          </cell>
          <cell r="K42">
            <v>8001315.4900000002</v>
          </cell>
          <cell r="R42" t="str">
            <v>Mid</v>
          </cell>
          <cell r="S42">
            <v>24.035408637550916</v>
          </cell>
          <cell r="Y42">
            <v>10589076</v>
          </cell>
          <cell r="Z42">
            <v>0</v>
          </cell>
          <cell r="AA42" t="str">
            <v>Corporate Finance/Buyout</v>
          </cell>
          <cell r="AF42">
            <v>0.53342103266666663</v>
          </cell>
        </row>
        <row r="43">
          <cell r="A43" t="str">
            <v>Royal Mail Pensions Trustees Limited</v>
          </cell>
          <cell r="G43" t="str">
            <v>American Securities Capital Partners, LLC</v>
          </cell>
          <cell r="I43" t="str">
            <v>Primary Partnership</v>
          </cell>
          <cell r="J43">
            <v>5000000</v>
          </cell>
          <cell r="K43">
            <v>2667105.16</v>
          </cell>
          <cell r="R43" t="str">
            <v>Mid</v>
          </cell>
          <cell r="S43">
            <v>24.035408637550916</v>
          </cell>
          <cell r="Y43">
            <v>2499862</v>
          </cell>
          <cell r="Z43">
            <v>0</v>
          </cell>
          <cell r="AA43" t="str">
            <v>Corporate Finance/Buyout</v>
          </cell>
          <cell r="AF43">
            <v>0.53342103200000002</v>
          </cell>
        </row>
        <row r="44">
          <cell r="A44" t="str">
            <v>The Hudson River Fund II</v>
          </cell>
          <cell r="G44" t="str">
            <v>American Securities Capital Partners, LLC</v>
          </cell>
          <cell r="I44" t="str">
            <v>Primary Partnership</v>
          </cell>
          <cell r="J44">
            <v>25000000</v>
          </cell>
          <cell r="K44">
            <v>13343734.799999999</v>
          </cell>
          <cell r="R44" t="str">
            <v>Mid</v>
          </cell>
          <cell r="S44">
            <v>24.035408637550916</v>
          </cell>
          <cell r="Y44">
            <v>17625460</v>
          </cell>
          <cell r="Z44">
            <v>42391.28</v>
          </cell>
          <cell r="AA44" t="str">
            <v>Corporate Finance/Buyout</v>
          </cell>
          <cell r="AF44">
            <v>0.53374939199999993</v>
          </cell>
        </row>
        <row r="45">
          <cell r="A45" t="str">
            <v>Generali Global Private Equity S.A. SICAR</v>
          </cell>
          <cell r="G45" t="str">
            <v>American Securities Capital Partners, LLC</v>
          </cell>
          <cell r="I45" t="str">
            <v>Primary Partnership</v>
          </cell>
          <cell r="J45">
            <v>15000000</v>
          </cell>
          <cell r="K45">
            <v>0</v>
          </cell>
          <cell r="R45" t="str">
            <v>Mid</v>
          </cell>
          <cell r="Y45">
            <v>0</v>
          </cell>
          <cell r="Z45">
            <v>0</v>
          </cell>
          <cell r="AA45" t="str">
            <v>Corporate Finance/Buyout</v>
          </cell>
          <cell r="AF45">
            <v>0</v>
          </cell>
        </row>
        <row r="46">
          <cell r="A46" t="str">
            <v>Hamilton Lane Capital Opportunities Fund LP</v>
          </cell>
          <cell r="G46" t="str">
            <v>American Securities Capital Partners, LLC</v>
          </cell>
          <cell r="I46" t="str">
            <v>Primary Partnership</v>
          </cell>
          <cell r="J46">
            <v>20000000</v>
          </cell>
          <cell r="K46">
            <v>0</v>
          </cell>
          <cell r="R46" t="str">
            <v>Mid</v>
          </cell>
          <cell r="Y46">
            <v>0</v>
          </cell>
          <cell r="Z46">
            <v>0</v>
          </cell>
          <cell r="AA46" t="str">
            <v>Corporate Finance/Buyout</v>
          </cell>
          <cell r="AF46">
            <v>0</v>
          </cell>
        </row>
        <row r="47">
          <cell r="A47" t="str">
            <v>Hamilton Lane Private Equity Fund Investments KB</v>
          </cell>
          <cell r="G47" t="str">
            <v>American Securities Capital Partners, LLC</v>
          </cell>
          <cell r="I47" t="str">
            <v>Primary Partnership</v>
          </cell>
          <cell r="J47">
            <v>10000000</v>
          </cell>
          <cell r="K47">
            <v>0</v>
          </cell>
          <cell r="R47" t="str">
            <v>Mid</v>
          </cell>
          <cell r="Y47">
            <v>0</v>
          </cell>
          <cell r="Z47">
            <v>0</v>
          </cell>
          <cell r="AA47" t="str">
            <v>Corporate Finance/Buyout</v>
          </cell>
          <cell r="AF47">
            <v>0</v>
          </cell>
        </row>
        <row r="48">
          <cell r="A48" t="str">
            <v>Hamilton Lane Private Equity Fund VI, L.P.</v>
          </cell>
          <cell r="G48" t="str">
            <v>American Securities Capital Partners, LLC</v>
          </cell>
          <cell r="I48" t="str">
            <v>Primary Partnership</v>
          </cell>
          <cell r="J48">
            <v>15000000</v>
          </cell>
          <cell r="K48">
            <v>0</v>
          </cell>
          <cell r="R48" t="str">
            <v>Mid</v>
          </cell>
          <cell r="Y48">
            <v>0</v>
          </cell>
          <cell r="Z48">
            <v>0</v>
          </cell>
          <cell r="AA48" t="str">
            <v>Corporate Finance/Buyout</v>
          </cell>
          <cell r="AF48">
            <v>0</v>
          </cell>
        </row>
        <row r="49">
          <cell r="A49" t="str">
            <v>Hamilton Lane-Carpenters Partnership Fund II L.P.</v>
          </cell>
          <cell r="G49" t="str">
            <v>American Securities Capital Partners, LLC</v>
          </cell>
          <cell r="I49" t="str">
            <v>Primary Partnership</v>
          </cell>
          <cell r="J49">
            <v>10000000</v>
          </cell>
          <cell r="K49">
            <v>0</v>
          </cell>
          <cell r="R49" t="str">
            <v>Mid</v>
          </cell>
          <cell r="Y49">
            <v>0</v>
          </cell>
          <cell r="Z49">
            <v>0</v>
          </cell>
          <cell r="AA49" t="str">
            <v>Corporate Finance/Buyout</v>
          </cell>
          <cell r="AF49">
            <v>0</v>
          </cell>
        </row>
        <row r="50">
          <cell r="A50" t="str">
            <v>Marsh &amp; McLennan Master Retirement Trust</v>
          </cell>
          <cell r="G50" t="str">
            <v>American Securities Capital Partners, LLC</v>
          </cell>
          <cell r="I50" t="str">
            <v>Primary Partnership</v>
          </cell>
          <cell r="J50">
            <v>20000000</v>
          </cell>
          <cell r="K50">
            <v>0</v>
          </cell>
          <cell r="R50" t="str">
            <v>Mid</v>
          </cell>
          <cell r="Y50">
            <v>0</v>
          </cell>
          <cell r="Z50">
            <v>0</v>
          </cell>
          <cell r="AA50" t="str">
            <v>Corporate Finance/Buyout</v>
          </cell>
          <cell r="AF50">
            <v>0</v>
          </cell>
        </row>
        <row r="51">
          <cell r="A51" t="str">
            <v>Mivtachim - The Workers Social Insurance Fund Ltd.</v>
          </cell>
          <cell r="G51" t="str">
            <v>American Securities Capital Partners, LLC</v>
          </cell>
          <cell r="I51" t="str">
            <v>Primary Partnership</v>
          </cell>
          <cell r="J51">
            <v>10000000</v>
          </cell>
          <cell r="K51">
            <v>0</v>
          </cell>
          <cell r="R51" t="str">
            <v>Mid</v>
          </cell>
          <cell r="Y51">
            <v>0</v>
          </cell>
          <cell r="Z51">
            <v>0</v>
          </cell>
          <cell r="AA51" t="str">
            <v>Corporate Finance/Buyout</v>
          </cell>
          <cell r="AF51">
            <v>0</v>
          </cell>
        </row>
        <row r="52">
          <cell r="A52" t="str">
            <v>Royal Mail Pensions Trustees Limited</v>
          </cell>
          <cell r="G52" t="str">
            <v>American Securities Capital Partners, LLC</v>
          </cell>
          <cell r="I52" t="str">
            <v>Primary Partnership</v>
          </cell>
          <cell r="J52">
            <v>10000000</v>
          </cell>
          <cell r="K52">
            <v>0</v>
          </cell>
          <cell r="R52" t="str">
            <v>Mid</v>
          </cell>
          <cell r="Y52">
            <v>0</v>
          </cell>
          <cell r="Z52">
            <v>0</v>
          </cell>
          <cell r="AA52" t="str">
            <v>Corporate Finance/Buyout</v>
          </cell>
          <cell r="AF52">
            <v>0</v>
          </cell>
        </row>
        <row r="53">
          <cell r="A53" t="str">
            <v>Southwest Carpenters Pension Trust</v>
          </cell>
          <cell r="G53" t="str">
            <v>American Securities Capital Partners, LLC</v>
          </cell>
          <cell r="I53" t="str">
            <v>Primary Partnership</v>
          </cell>
          <cell r="J53">
            <v>20000000</v>
          </cell>
          <cell r="K53">
            <v>0</v>
          </cell>
          <cell r="R53" t="str">
            <v>Mid</v>
          </cell>
          <cell r="Y53">
            <v>0</v>
          </cell>
          <cell r="Z53">
            <v>0</v>
          </cell>
          <cell r="AA53" t="str">
            <v>Corporate Finance/Buyout</v>
          </cell>
          <cell r="AF53">
            <v>0</v>
          </cell>
        </row>
        <row r="54">
          <cell r="A54" t="str">
            <v>Textron Master Trust</v>
          </cell>
          <cell r="G54" t="str">
            <v>American Securities Capital Partners, LLC</v>
          </cell>
          <cell r="I54" t="str">
            <v>Primary Partnership</v>
          </cell>
          <cell r="J54">
            <v>10000000</v>
          </cell>
          <cell r="K54">
            <v>0</v>
          </cell>
          <cell r="R54" t="str">
            <v>Mid</v>
          </cell>
          <cell r="Y54">
            <v>0</v>
          </cell>
          <cell r="Z54">
            <v>0</v>
          </cell>
          <cell r="AA54" t="str">
            <v>Corporate Finance/Buyout</v>
          </cell>
          <cell r="AF54">
            <v>0</v>
          </cell>
        </row>
        <row r="55">
          <cell r="A55" t="str">
            <v>The 1199 Health Care Employees Pension Fund</v>
          </cell>
          <cell r="G55" t="str">
            <v>American Securities Capital Partners, LLC</v>
          </cell>
          <cell r="I55" t="str">
            <v>Primary Partnership</v>
          </cell>
          <cell r="J55">
            <v>10000000</v>
          </cell>
          <cell r="K55">
            <v>0</v>
          </cell>
          <cell r="R55" t="str">
            <v>Mid</v>
          </cell>
          <cell r="Y55">
            <v>0</v>
          </cell>
          <cell r="Z55">
            <v>0</v>
          </cell>
          <cell r="AA55" t="str">
            <v>Corporate Finance/Buyout</v>
          </cell>
          <cell r="AF55">
            <v>0</v>
          </cell>
        </row>
        <row r="56">
          <cell r="A56" t="str">
            <v>The Hudson River Fund II</v>
          </cell>
          <cell r="G56" t="str">
            <v>American Securities Capital Partners, LLC</v>
          </cell>
          <cell r="I56" t="str">
            <v>Primary Partnership</v>
          </cell>
          <cell r="J56">
            <v>15000000</v>
          </cell>
          <cell r="K56">
            <v>0</v>
          </cell>
          <cell r="R56" t="str">
            <v>Mid</v>
          </cell>
          <cell r="Y56">
            <v>0</v>
          </cell>
          <cell r="Z56">
            <v>0</v>
          </cell>
          <cell r="AA56" t="str">
            <v>Corporate Finance/Buyout</v>
          </cell>
          <cell r="AF56">
            <v>0</v>
          </cell>
        </row>
        <row r="57">
          <cell r="A57" t="str">
            <v>United Brotherhood of Carpenters Pension Fund</v>
          </cell>
          <cell r="G57" t="str">
            <v>American Securities Capital Partners, LLC</v>
          </cell>
          <cell r="I57" t="str">
            <v>Primary Partnership</v>
          </cell>
          <cell r="J57">
            <v>10000000</v>
          </cell>
          <cell r="K57">
            <v>0</v>
          </cell>
          <cell r="R57" t="str">
            <v>Mid</v>
          </cell>
          <cell r="Y57">
            <v>0</v>
          </cell>
          <cell r="Z57">
            <v>0</v>
          </cell>
          <cell r="AA57" t="str">
            <v>Corporate Finance/Buyout</v>
          </cell>
          <cell r="AF57">
            <v>0</v>
          </cell>
        </row>
        <row r="58">
          <cell r="A58" t="str">
            <v>United Food &amp; Commercial Workers Intl. Union</v>
          </cell>
          <cell r="G58" t="str">
            <v>American Securities Capital Partners, LLC</v>
          </cell>
          <cell r="I58" t="str">
            <v>Primary Partnership</v>
          </cell>
          <cell r="J58">
            <v>15000000</v>
          </cell>
          <cell r="K58">
            <v>0</v>
          </cell>
          <cell r="R58" t="str">
            <v>Mid</v>
          </cell>
          <cell r="Y58">
            <v>0</v>
          </cell>
          <cell r="Z58">
            <v>0</v>
          </cell>
          <cell r="AA58" t="str">
            <v>Corporate Finance/Buyout</v>
          </cell>
          <cell r="AF58">
            <v>0</v>
          </cell>
        </row>
        <row r="59">
          <cell r="A59" t="str">
            <v>Hamilton Lane Co-Investment Fund, L.P.</v>
          </cell>
          <cell r="G59" t="str">
            <v>Lightyear Capital</v>
          </cell>
          <cell r="I59" t="str">
            <v>Co/Direct Investment</v>
          </cell>
          <cell r="J59">
            <v>17166968.170000002</v>
          </cell>
          <cell r="K59">
            <v>17166968.170000002</v>
          </cell>
          <cell r="R59" t="str">
            <v>Mid</v>
          </cell>
          <cell r="S59">
            <v>-5.1598456560782218</v>
          </cell>
          <cell r="Y59">
            <v>16281179.108599998</v>
          </cell>
          <cell r="Z59">
            <v>0</v>
          </cell>
          <cell r="AA59" t="str">
            <v>Corporate Finance/Buyout</v>
          </cell>
          <cell r="AF59">
            <v>1</v>
          </cell>
        </row>
        <row r="60">
          <cell r="A60" t="str">
            <v>Nordea Thematic Fund-of-Funds</v>
          </cell>
          <cell r="G60" t="str">
            <v>Apax Partners</v>
          </cell>
          <cell r="I60" t="str">
            <v>Secondary Purchase</v>
          </cell>
          <cell r="J60">
            <v>17525727.240358002</v>
          </cell>
          <cell r="K60">
            <v>16650816.69496</v>
          </cell>
          <cell r="R60" t="str">
            <v>Multi-Stage</v>
          </cell>
          <cell r="S60">
            <v>45.513746667945789</v>
          </cell>
          <cell r="Y60">
            <v>9288577.6339500006</v>
          </cell>
          <cell r="Z60">
            <v>28254660.739829</v>
          </cell>
          <cell r="AA60" t="str">
            <v>Corporate Finance/Buyout</v>
          </cell>
          <cell r="AF60">
            <v>0.95007850268357075</v>
          </cell>
        </row>
        <row r="61">
          <cell r="A61" t="str">
            <v>Hamilton Lane Private Equity Fund IV L.P.</v>
          </cell>
          <cell r="G61" t="str">
            <v>Apax Partners</v>
          </cell>
          <cell r="I61" t="str">
            <v>Primary Partnership</v>
          </cell>
          <cell r="J61">
            <v>5000000</v>
          </cell>
          <cell r="K61">
            <v>4743925</v>
          </cell>
          <cell r="R61" t="str">
            <v>Multi-Stage</v>
          </cell>
          <cell r="S61">
            <v>10.26429672388196</v>
          </cell>
          <cell r="Y61">
            <v>0</v>
          </cell>
          <cell r="Z61">
            <v>5530328</v>
          </cell>
          <cell r="AA61" t="str">
            <v>Venture Capital</v>
          </cell>
          <cell r="AF61">
            <v>0.94878499999999999</v>
          </cell>
        </row>
        <row r="62">
          <cell r="A62" t="str">
            <v>Princess Private Equity Subholding Ltd.</v>
          </cell>
          <cell r="G62" t="str">
            <v>Apax Partners</v>
          </cell>
          <cell r="I62" t="str">
            <v>Primary Partnership</v>
          </cell>
          <cell r="J62">
            <v>5000000</v>
          </cell>
          <cell r="K62">
            <v>4792451</v>
          </cell>
          <cell r="R62" t="str">
            <v>Multi-Stage</v>
          </cell>
          <cell r="S62">
            <v>10.26429672388196</v>
          </cell>
          <cell r="Y62">
            <v>3389005</v>
          </cell>
          <cell r="Z62">
            <v>4321938</v>
          </cell>
          <cell r="AA62" t="str">
            <v>Venture Capital</v>
          </cell>
          <cell r="AF62">
            <v>0.95849019999999996</v>
          </cell>
        </row>
        <row r="63">
          <cell r="A63" t="str">
            <v>Hamilton Lane Private Equity Fund Plc</v>
          </cell>
          <cell r="G63" t="str">
            <v>Apollo Management</v>
          </cell>
          <cell r="I63" t="str">
            <v>Primary Partnership</v>
          </cell>
          <cell r="J63">
            <v>6841000</v>
          </cell>
          <cell r="K63">
            <v>6676317.3200000003</v>
          </cell>
          <cell r="R63" t="str">
            <v>Large</v>
          </cell>
          <cell r="S63">
            <v>9.5871721883079797</v>
          </cell>
          <cell r="Y63">
            <v>3431811</v>
          </cell>
          <cell r="Z63">
            <v>8038671</v>
          </cell>
          <cell r="AA63" t="str">
            <v>Corporate Finance/Buyout</v>
          </cell>
          <cell r="AF63">
            <v>0.97592710422452866</v>
          </cell>
        </row>
        <row r="64">
          <cell r="A64" t="str">
            <v>Hamilton Lane Private Equity Partners, L.P.</v>
          </cell>
          <cell r="G64" t="str">
            <v>Apollo Management</v>
          </cell>
          <cell r="I64" t="str">
            <v>Primary Partnership</v>
          </cell>
          <cell r="J64">
            <v>3159000</v>
          </cell>
          <cell r="K64">
            <v>3082950.68</v>
          </cell>
          <cell r="R64" t="str">
            <v>Large</v>
          </cell>
          <cell r="S64">
            <v>9.5871721883079797</v>
          </cell>
          <cell r="Y64">
            <v>1584720</v>
          </cell>
          <cell r="Z64">
            <v>3712045</v>
          </cell>
          <cell r="AA64" t="str">
            <v>Corporate Finance/Buyout</v>
          </cell>
          <cell r="AF64">
            <v>0.97592614118391896</v>
          </cell>
        </row>
        <row r="65">
          <cell r="A65" t="str">
            <v>Hamilton Lane Private Equity Fund IV L.P.</v>
          </cell>
          <cell r="G65" t="str">
            <v>Apollo Management (Overseas Partners V)</v>
          </cell>
          <cell r="I65" t="str">
            <v>Primary Partnership</v>
          </cell>
          <cell r="J65">
            <v>15000000</v>
          </cell>
          <cell r="K65">
            <v>12994407</v>
          </cell>
          <cell r="R65" t="str">
            <v>Large</v>
          </cell>
          <cell r="S65">
            <v>47.046013703760117</v>
          </cell>
          <cell r="Y65">
            <v>18310629</v>
          </cell>
          <cell r="Z65">
            <v>20198468</v>
          </cell>
          <cell r="AA65" t="str">
            <v>Corporate Finance/Buyout</v>
          </cell>
          <cell r="AF65">
            <v>0.8662938</v>
          </cell>
        </row>
        <row r="66">
          <cell r="A66" t="str">
            <v>Hamilton Lane-Carpenters Partnership Fund, L.P.</v>
          </cell>
          <cell r="G66" t="str">
            <v>Apollo Management</v>
          </cell>
          <cell r="I66" t="str">
            <v>Primary Partnership</v>
          </cell>
          <cell r="J66">
            <v>10000000</v>
          </cell>
          <cell r="K66">
            <v>11336491</v>
          </cell>
          <cell r="R66" t="str">
            <v>Large</v>
          </cell>
          <cell r="S66">
            <v>48.068247343110059</v>
          </cell>
          <cell r="Y66">
            <v>12211962</v>
          </cell>
          <cell r="Z66">
            <v>16084255</v>
          </cell>
          <cell r="AA66" t="str">
            <v>Corporate Finance/Buyout</v>
          </cell>
          <cell r="AF66">
            <v>1.1336491</v>
          </cell>
        </row>
        <row r="67">
          <cell r="A67" t="str">
            <v>I.A.M. National Pension Fund</v>
          </cell>
          <cell r="G67" t="str">
            <v>Apollo Management</v>
          </cell>
          <cell r="I67" t="str">
            <v>Primary Partnership</v>
          </cell>
          <cell r="J67">
            <v>5000000</v>
          </cell>
          <cell r="K67">
            <v>5668246</v>
          </cell>
          <cell r="R67" t="str">
            <v>Large</v>
          </cell>
          <cell r="S67">
            <v>48.068247343110059</v>
          </cell>
          <cell r="Y67">
            <v>6320645</v>
          </cell>
          <cell r="Z67">
            <v>8040464</v>
          </cell>
          <cell r="AA67" t="str">
            <v>Corporate Finance/Buyout</v>
          </cell>
          <cell r="AF67">
            <v>1.1336492</v>
          </cell>
        </row>
        <row r="68">
          <cell r="A68" t="str">
            <v>Nordea Thematic Fund-of-Funds</v>
          </cell>
          <cell r="G68" t="str">
            <v>Apollo Management (Overseas Partners V)</v>
          </cell>
          <cell r="I68" t="str">
            <v>Primary Partnership</v>
          </cell>
          <cell r="J68">
            <v>15000000</v>
          </cell>
          <cell r="K68">
            <v>17245349</v>
          </cell>
          <cell r="R68" t="str">
            <v>Large</v>
          </cell>
          <cell r="S68">
            <v>47.046013703760117</v>
          </cell>
          <cell r="Y68">
            <v>18944649</v>
          </cell>
          <cell r="Z68">
            <v>24289647</v>
          </cell>
          <cell r="AA68" t="str">
            <v>Corporate Finance/Buyout</v>
          </cell>
          <cell r="AF68">
            <v>1.1496899333333332</v>
          </cell>
        </row>
        <row r="69">
          <cell r="A69" t="str">
            <v>Princess Private Equity Subholding Ltd.</v>
          </cell>
          <cell r="G69" t="str">
            <v>Apollo Management (Overseas Partners V)</v>
          </cell>
          <cell r="I69" t="str">
            <v>Primary Partnership</v>
          </cell>
          <cell r="J69">
            <v>10000000</v>
          </cell>
          <cell r="K69">
            <v>11336346</v>
          </cell>
          <cell r="R69" t="str">
            <v>Large</v>
          </cell>
          <cell r="S69">
            <v>47.046013703760117</v>
          </cell>
          <cell r="Y69">
            <v>12636963</v>
          </cell>
          <cell r="Z69">
            <v>16163279</v>
          </cell>
          <cell r="AA69" t="str">
            <v>Corporate Finance/Buyout</v>
          </cell>
          <cell r="AF69">
            <v>1.1336345999999999</v>
          </cell>
        </row>
        <row r="70">
          <cell r="A70" t="str">
            <v>Royal Mail Pensions Trustees Limited</v>
          </cell>
          <cell r="G70" t="str">
            <v>Apollo Management</v>
          </cell>
          <cell r="I70" t="str">
            <v>Primary Partnership</v>
          </cell>
          <cell r="J70">
            <v>10000000</v>
          </cell>
          <cell r="K70">
            <v>11175632</v>
          </cell>
          <cell r="R70" t="str">
            <v>Large</v>
          </cell>
          <cell r="S70">
            <v>48.068247343110059</v>
          </cell>
          <cell r="Y70">
            <v>12641268</v>
          </cell>
          <cell r="Z70">
            <v>15919950</v>
          </cell>
          <cell r="AA70" t="str">
            <v>Corporate Finance/Buyout</v>
          </cell>
          <cell r="AF70">
            <v>1.1175632</v>
          </cell>
        </row>
        <row r="71">
          <cell r="A71" t="str">
            <v>Textron Master Trust</v>
          </cell>
          <cell r="G71" t="str">
            <v>Apollo Management</v>
          </cell>
          <cell r="I71" t="str">
            <v>Primary Partnership</v>
          </cell>
          <cell r="J71">
            <v>20000000</v>
          </cell>
          <cell r="K71">
            <v>22672978</v>
          </cell>
          <cell r="R71" t="str">
            <v>Large</v>
          </cell>
          <cell r="S71">
            <v>48.068247343110059</v>
          </cell>
          <cell r="Y71">
            <v>25282573</v>
          </cell>
          <cell r="Z71">
            <v>32179392</v>
          </cell>
          <cell r="AA71" t="str">
            <v>Corporate Finance/Buyout</v>
          </cell>
          <cell r="AF71">
            <v>1.1336489000000001</v>
          </cell>
        </row>
        <row r="72">
          <cell r="A72" t="str">
            <v>United Food &amp; Commercial Workers Intl. Union</v>
          </cell>
          <cell r="G72" t="str">
            <v>Apollo Management</v>
          </cell>
          <cell r="I72" t="str">
            <v>Primary Partnership</v>
          </cell>
          <cell r="J72">
            <v>5000000</v>
          </cell>
          <cell r="K72">
            <v>5668246</v>
          </cell>
          <cell r="R72" t="str">
            <v>Large</v>
          </cell>
          <cell r="S72">
            <v>48.068247343110059</v>
          </cell>
          <cell r="Y72">
            <v>6320645</v>
          </cell>
          <cell r="Z72">
            <v>8040463</v>
          </cell>
          <cell r="AA72" t="str">
            <v>Corporate Finance/Buyout</v>
          </cell>
          <cell r="AF72">
            <v>1.1336492</v>
          </cell>
        </row>
        <row r="73">
          <cell r="A73" t="str">
            <v>Generali Global Private Equity S.A. SICAR</v>
          </cell>
          <cell r="G73" t="str">
            <v>Apollo Management</v>
          </cell>
          <cell r="I73" t="str">
            <v>Primary Partnership</v>
          </cell>
          <cell r="J73">
            <v>25000000</v>
          </cell>
          <cell r="K73">
            <v>12306335.299999997</v>
          </cell>
          <cell r="R73" t="str">
            <v>Mega</v>
          </cell>
          <cell r="S73">
            <v>30.27149875935724</v>
          </cell>
          <cell r="Y73">
            <v>11847458</v>
          </cell>
          <cell r="Z73">
            <v>2938121</v>
          </cell>
          <cell r="AA73" t="str">
            <v>Corporate Finance/Buyout</v>
          </cell>
          <cell r="AF73">
            <v>0.49225341199999989</v>
          </cell>
        </row>
        <row r="74">
          <cell r="A74" t="str">
            <v>Hamilton Lane Private Equity Fund Investments KB</v>
          </cell>
          <cell r="G74" t="str">
            <v>Apollo Management</v>
          </cell>
          <cell r="I74" t="str">
            <v>Primary Partnership</v>
          </cell>
          <cell r="J74">
            <v>10000000</v>
          </cell>
          <cell r="K74">
            <v>4923658.74</v>
          </cell>
          <cell r="R74" t="str">
            <v>Mega</v>
          </cell>
          <cell r="S74">
            <v>30.27149875935724</v>
          </cell>
          <cell r="Y74">
            <v>4818786</v>
          </cell>
          <cell r="Z74">
            <v>1188872</v>
          </cell>
          <cell r="AA74" t="str">
            <v>Corporate Finance/Buyout</v>
          </cell>
          <cell r="AF74">
            <v>0.49236587400000004</v>
          </cell>
        </row>
        <row r="75">
          <cell r="A75" t="str">
            <v>Los Angeles City Employees' Retirement System</v>
          </cell>
          <cell r="G75" t="str">
            <v>Apollo Management</v>
          </cell>
          <cell r="I75" t="str">
            <v>Primary Partnership</v>
          </cell>
          <cell r="J75">
            <v>15000000</v>
          </cell>
          <cell r="K75">
            <v>7385488.3399999971</v>
          </cell>
          <cell r="R75" t="str">
            <v>Mega</v>
          </cell>
          <cell r="S75">
            <v>30.27149875935724</v>
          </cell>
          <cell r="Y75">
            <v>7223740</v>
          </cell>
          <cell r="Z75">
            <v>1783304</v>
          </cell>
          <cell r="AA75" t="str">
            <v>Corporate Finance/Buyout</v>
          </cell>
          <cell r="AF75">
            <v>0.49236588933333314</v>
          </cell>
        </row>
        <row r="76">
          <cell r="A76" t="str">
            <v>Royal Mail Pensions Trustees Limited</v>
          </cell>
          <cell r="G76" t="str">
            <v>Apollo Management</v>
          </cell>
          <cell r="I76" t="str">
            <v>Primary Partnership</v>
          </cell>
          <cell r="J76">
            <v>20000000</v>
          </cell>
          <cell r="K76">
            <v>9845173.2199999988</v>
          </cell>
          <cell r="R76" t="str">
            <v>Mega</v>
          </cell>
          <cell r="S76">
            <v>30.27149875935724</v>
          </cell>
          <cell r="Y76">
            <v>9599850</v>
          </cell>
          <cell r="Z76">
            <v>2377549</v>
          </cell>
          <cell r="AA76" t="str">
            <v>Corporate Finance/Buyout</v>
          </cell>
          <cell r="AF76">
            <v>0.49225866099999993</v>
          </cell>
        </row>
        <row r="77">
          <cell r="A77" t="str">
            <v>Textron Master Trust</v>
          </cell>
          <cell r="G77" t="str">
            <v>Apollo Management</v>
          </cell>
          <cell r="I77" t="str">
            <v>Primary Partnership</v>
          </cell>
          <cell r="J77">
            <v>25000000</v>
          </cell>
          <cell r="K77">
            <v>12309141.219999999</v>
          </cell>
          <cell r="R77" t="str">
            <v>Mega</v>
          </cell>
          <cell r="S77">
            <v>30.27149875935724</v>
          </cell>
          <cell r="Y77">
            <v>12039565</v>
          </cell>
          <cell r="Z77">
            <v>2972174</v>
          </cell>
          <cell r="AA77" t="str">
            <v>Corporate Finance/Buyout</v>
          </cell>
          <cell r="AF77">
            <v>0.49236564879999994</v>
          </cell>
        </row>
        <row r="78">
          <cell r="A78" t="str">
            <v>Clal Insurance Company Ltd.</v>
          </cell>
          <cell r="G78" t="str">
            <v>Apollo Management</v>
          </cell>
          <cell r="I78" t="str">
            <v>Primary Partnership</v>
          </cell>
          <cell r="J78">
            <v>7500000</v>
          </cell>
          <cell r="K78">
            <v>0</v>
          </cell>
          <cell r="R78" t="str">
            <v>Mega</v>
          </cell>
          <cell r="Y78">
            <v>0</v>
          </cell>
          <cell r="Z78">
            <v>0</v>
          </cell>
          <cell r="AA78" t="str">
            <v>Corporate Finance/Buyout</v>
          </cell>
          <cell r="AF78">
            <v>0</v>
          </cell>
        </row>
        <row r="79">
          <cell r="A79" t="str">
            <v>Hamilton Lane Capital Opportunities Fund LP</v>
          </cell>
          <cell r="G79" t="str">
            <v>Apollo Management</v>
          </cell>
          <cell r="I79" t="str">
            <v>Primary Partnership</v>
          </cell>
          <cell r="J79">
            <v>20000000</v>
          </cell>
          <cell r="K79">
            <v>0</v>
          </cell>
          <cell r="R79" t="str">
            <v>Mega</v>
          </cell>
          <cell r="Y79">
            <v>0</v>
          </cell>
          <cell r="Z79">
            <v>0</v>
          </cell>
          <cell r="AA79" t="str">
            <v>Corporate Finance/Buyout</v>
          </cell>
          <cell r="AF79">
            <v>0</v>
          </cell>
        </row>
        <row r="80">
          <cell r="A80" t="str">
            <v>Hamilton Lane Private Equity Fund Investments KB</v>
          </cell>
          <cell r="G80" t="str">
            <v>Apollo Management</v>
          </cell>
          <cell r="I80" t="str">
            <v>Primary Partnership</v>
          </cell>
          <cell r="J80">
            <v>10000000</v>
          </cell>
          <cell r="K80">
            <v>0</v>
          </cell>
          <cell r="R80" t="str">
            <v>Mega</v>
          </cell>
          <cell r="Y80">
            <v>0</v>
          </cell>
          <cell r="Z80">
            <v>0</v>
          </cell>
          <cell r="AA80" t="str">
            <v>Corporate Finance/Buyout</v>
          </cell>
          <cell r="AF80">
            <v>0</v>
          </cell>
        </row>
        <row r="81">
          <cell r="A81" t="str">
            <v>Hamilton Lane Private Equity Fund VI, L.P.</v>
          </cell>
          <cell r="G81" t="str">
            <v>Apollo Management</v>
          </cell>
          <cell r="I81" t="str">
            <v>Primary Partnership</v>
          </cell>
          <cell r="J81">
            <v>20000000</v>
          </cell>
          <cell r="K81">
            <v>0</v>
          </cell>
          <cell r="R81" t="str">
            <v>Mega</v>
          </cell>
          <cell r="Y81">
            <v>0</v>
          </cell>
          <cell r="Z81">
            <v>0</v>
          </cell>
          <cell r="AA81" t="str">
            <v>Corporate Finance/Buyout</v>
          </cell>
          <cell r="AF81">
            <v>0</v>
          </cell>
        </row>
        <row r="82">
          <cell r="A82" t="str">
            <v>Hamilton Lane-Carpenters Partnership Fund II L.P.</v>
          </cell>
          <cell r="G82" t="str">
            <v>Apollo Management</v>
          </cell>
          <cell r="I82" t="str">
            <v>Primary Partnership</v>
          </cell>
          <cell r="J82">
            <v>15000000</v>
          </cell>
          <cell r="K82">
            <v>0</v>
          </cell>
          <cell r="R82" t="str">
            <v>Mega</v>
          </cell>
          <cell r="Y82">
            <v>0</v>
          </cell>
          <cell r="Z82">
            <v>0</v>
          </cell>
          <cell r="AA82" t="str">
            <v>Corporate Finance/Buyout</v>
          </cell>
          <cell r="AF82">
            <v>0</v>
          </cell>
        </row>
        <row r="83">
          <cell r="A83" t="str">
            <v>Marsh &amp; McLennan Master Retirement Trust</v>
          </cell>
          <cell r="G83" t="str">
            <v>Apollo Management</v>
          </cell>
          <cell r="I83" t="str">
            <v>Primary Partnership</v>
          </cell>
          <cell r="J83">
            <v>25000000</v>
          </cell>
          <cell r="K83">
            <v>0</v>
          </cell>
          <cell r="R83" t="str">
            <v>Mega</v>
          </cell>
          <cell r="Y83">
            <v>0</v>
          </cell>
          <cell r="Z83">
            <v>0</v>
          </cell>
          <cell r="AA83" t="str">
            <v>Corporate Finance/Buyout</v>
          </cell>
          <cell r="AF83">
            <v>0</v>
          </cell>
        </row>
        <row r="84">
          <cell r="A84" t="str">
            <v>Meitavit Atudot Pension Fund</v>
          </cell>
          <cell r="G84" t="str">
            <v>Apollo Management</v>
          </cell>
          <cell r="I84" t="str">
            <v>Primary Partnership</v>
          </cell>
          <cell r="J84">
            <v>5000000</v>
          </cell>
          <cell r="K84">
            <v>0</v>
          </cell>
          <cell r="R84" t="str">
            <v>Mega</v>
          </cell>
          <cell r="Y84">
            <v>0</v>
          </cell>
          <cell r="Z84">
            <v>0</v>
          </cell>
          <cell r="AA84" t="str">
            <v>Corporate Finance/Buyout</v>
          </cell>
          <cell r="AF84">
            <v>0</v>
          </cell>
        </row>
        <row r="85">
          <cell r="A85" t="str">
            <v>Mivtachim - The Workers Social Insurance Fund Ltd.</v>
          </cell>
          <cell r="G85" t="str">
            <v>Apollo Management</v>
          </cell>
          <cell r="I85" t="str">
            <v>Primary Partnership</v>
          </cell>
          <cell r="J85">
            <v>15000000</v>
          </cell>
          <cell r="K85">
            <v>0</v>
          </cell>
          <cell r="R85" t="str">
            <v>Mega</v>
          </cell>
          <cell r="Y85">
            <v>0</v>
          </cell>
          <cell r="Z85">
            <v>0</v>
          </cell>
          <cell r="AA85" t="str">
            <v>Corporate Finance/Buyout</v>
          </cell>
          <cell r="AF85">
            <v>0</v>
          </cell>
        </row>
        <row r="86">
          <cell r="A86" t="str">
            <v>Second Stockholm Global Private Equity L.P.</v>
          </cell>
          <cell r="G86" t="str">
            <v>Apollo Management</v>
          </cell>
          <cell r="I86" t="str">
            <v>Primary Partnership</v>
          </cell>
          <cell r="J86">
            <v>20000000</v>
          </cell>
          <cell r="K86">
            <v>0</v>
          </cell>
          <cell r="R86" t="str">
            <v>Mega</v>
          </cell>
          <cell r="Y86">
            <v>0</v>
          </cell>
          <cell r="Z86">
            <v>0</v>
          </cell>
          <cell r="AA86" t="str">
            <v>Corporate Finance/Buyout</v>
          </cell>
          <cell r="AF86">
            <v>0</v>
          </cell>
        </row>
        <row r="87">
          <cell r="A87" t="str">
            <v>Textron Master Trust</v>
          </cell>
          <cell r="G87" t="str">
            <v>Apollo Management</v>
          </cell>
          <cell r="I87" t="str">
            <v>Primary Partnership</v>
          </cell>
          <cell r="J87">
            <v>10000000</v>
          </cell>
          <cell r="K87">
            <v>0</v>
          </cell>
          <cell r="R87" t="str">
            <v>Mega</v>
          </cell>
          <cell r="Y87">
            <v>0</v>
          </cell>
          <cell r="Z87">
            <v>0</v>
          </cell>
          <cell r="AA87" t="str">
            <v>Corporate Finance/Buyout</v>
          </cell>
          <cell r="AF87">
            <v>0</v>
          </cell>
        </row>
        <row r="88">
          <cell r="A88" t="str">
            <v>United Food &amp; Commercial Workers Intl. Union</v>
          </cell>
          <cell r="G88" t="str">
            <v>Apollo Management</v>
          </cell>
          <cell r="I88" t="str">
            <v>Primary Partnership</v>
          </cell>
          <cell r="J88">
            <v>15000000</v>
          </cell>
          <cell r="K88">
            <v>0</v>
          </cell>
          <cell r="R88" t="str">
            <v>Mega</v>
          </cell>
          <cell r="Y88">
            <v>0</v>
          </cell>
          <cell r="Z88">
            <v>0</v>
          </cell>
          <cell r="AA88" t="str">
            <v>Corporate Finance/Buyout</v>
          </cell>
          <cell r="AF88">
            <v>0</v>
          </cell>
        </row>
        <row r="89">
          <cell r="A89" t="str">
            <v>Winnipeg Civic - Manitoba Ltd.</v>
          </cell>
          <cell r="G89" t="str">
            <v>Apollo Management</v>
          </cell>
          <cell r="I89" t="str">
            <v>Primary Partnership</v>
          </cell>
          <cell r="J89">
            <v>5600000</v>
          </cell>
          <cell r="K89">
            <v>0</v>
          </cell>
          <cell r="R89" t="str">
            <v>Mega</v>
          </cell>
          <cell r="Y89">
            <v>0</v>
          </cell>
          <cell r="Z89">
            <v>0</v>
          </cell>
          <cell r="AA89" t="str">
            <v>Corporate Finance/Buyout</v>
          </cell>
          <cell r="AF89">
            <v>0</v>
          </cell>
        </row>
        <row r="90">
          <cell r="A90" t="str">
            <v>Winnipeg Police - Manitoba Ltd.</v>
          </cell>
          <cell r="G90" t="str">
            <v>Apollo Management</v>
          </cell>
          <cell r="I90" t="str">
            <v>Primary Partnership</v>
          </cell>
          <cell r="J90">
            <v>1400000</v>
          </cell>
          <cell r="K90">
            <v>0</v>
          </cell>
          <cell r="R90" t="str">
            <v>Mega</v>
          </cell>
          <cell r="Y90">
            <v>0</v>
          </cell>
          <cell r="Z90">
            <v>0</v>
          </cell>
          <cell r="AA90" t="str">
            <v>Corporate Finance/Buyout</v>
          </cell>
          <cell r="AF90">
            <v>0</v>
          </cell>
        </row>
        <row r="91">
          <cell r="A91" t="str">
            <v>Hamilton Lane Private Equity Fund V, L.P.</v>
          </cell>
          <cell r="G91" t="str">
            <v>Apollo Management</v>
          </cell>
          <cell r="I91" t="str">
            <v>Secondary Purchase</v>
          </cell>
          <cell r="J91">
            <v>426581</v>
          </cell>
          <cell r="K91">
            <v>501425</v>
          </cell>
          <cell r="R91" t="str">
            <v>Large</v>
          </cell>
          <cell r="S91">
            <v>47.046013703760117</v>
          </cell>
          <cell r="Y91">
            <v>609005</v>
          </cell>
          <cell r="Z91">
            <v>777083</v>
          </cell>
          <cell r="AA91" t="str">
            <v>Corporate Finance/Buyout</v>
          </cell>
          <cell r="AF91">
            <v>1.1754508522414266</v>
          </cell>
        </row>
        <row r="92">
          <cell r="A92" t="str">
            <v>Textron Master Trust - Real Estate</v>
          </cell>
          <cell r="G92" t="str">
            <v>Transwestern Investment Company</v>
          </cell>
          <cell r="I92" t="str">
            <v>Primary Partnership</v>
          </cell>
          <cell r="J92">
            <v>10000000</v>
          </cell>
          <cell r="K92">
            <v>8108404</v>
          </cell>
          <cell r="R92" t="str">
            <v>Value-Add - Indirect</v>
          </cell>
          <cell r="S92">
            <v>19.613213986935452</v>
          </cell>
          <cell r="Y92">
            <v>2834600</v>
          </cell>
          <cell r="Z92">
            <v>9976131</v>
          </cell>
          <cell r="AA92" t="str">
            <v>Real Estate</v>
          </cell>
          <cell r="AF92">
            <v>0.81084040000000002</v>
          </cell>
        </row>
        <row r="93">
          <cell r="A93" t="str">
            <v>Textron Master Trust - Real Estate</v>
          </cell>
          <cell r="G93" t="str">
            <v>Transwestern Investment Company</v>
          </cell>
          <cell r="I93" t="str">
            <v>Primary Partnership</v>
          </cell>
          <cell r="J93">
            <v>15000000</v>
          </cell>
          <cell r="K93">
            <v>9943098</v>
          </cell>
          <cell r="R93" t="str">
            <v>Value-Add - Indirect</v>
          </cell>
          <cell r="S93">
            <v>10.14333252268016</v>
          </cell>
          <cell r="Y93">
            <v>10545607</v>
          </cell>
          <cell r="Z93">
            <v>587266</v>
          </cell>
          <cell r="AA93" t="str">
            <v>Real Estate</v>
          </cell>
          <cell r="AF93">
            <v>0.66287320000000005</v>
          </cell>
        </row>
        <row r="94">
          <cell r="A94" t="str">
            <v>Hamilton Lane Private Equity Fund V, L.P.</v>
          </cell>
          <cell r="G94" t="str">
            <v>Falcon Investment Advisors, LLC</v>
          </cell>
          <cell r="I94" t="str">
            <v>Co/Direct Investment</v>
          </cell>
          <cell r="J94">
            <v>3014500</v>
          </cell>
          <cell r="K94">
            <v>3014500</v>
          </cell>
          <cell r="R94" t="str">
            <v>Small</v>
          </cell>
          <cell r="S94">
            <v>21.920320520672142</v>
          </cell>
          <cell r="Y94">
            <v>3667505</v>
          </cell>
          <cell r="Z94">
            <v>830548.09</v>
          </cell>
          <cell r="AA94" t="str">
            <v>Corporate Finance/Buyout</v>
          </cell>
          <cell r="AF94">
            <v>1</v>
          </cell>
        </row>
        <row r="95">
          <cell r="A95" t="str">
            <v>Hudson River Co-Investment Fund L.P.</v>
          </cell>
          <cell r="G95" t="str">
            <v>Trillium Group</v>
          </cell>
          <cell r="I95" t="str">
            <v>Co/Direct Investment</v>
          </cell>
          <cell r="J95">
            <v>5000000</v>
          </cell>
          <cell r="K95">
            <v>5000000</v>
          </cell>
          <cell r="R95" t="str">
            <v>Mid</v>
          </cell>
          <cell r="S95">
            <v>-3.0087043967341742E-12</v>
          </cell>
          <cell r="Y95">
            <v>5000000</v>
          </cell>
          <cell r="Z95">
            <v>0</v>
          </cell>
          <cell r="AA95" t="str">
            <v>Corporate Finance/Buyout</v>
          </cell>
          <cell r="AF95">
            <v>1</v>
          </cell>
        </row>
        <row r="96">
          <cell r="A96" t="str">
            <v>Hudson River Co-Investment Fund L.P.</v>
          </cell>
          <cell r="G96" t="str">
            <v>Trillium Group</v>
          </cell>
          <cell r="I96" t="str">
            <v>Co/Direct Investment</v>
          </cell>
          <cell r="J96">
            <v>2000000</v>
          </cell>
          <cell r="K96">
            <v>2000000</v>
          </cell>
          <cell r="R96"/>
          <cell r="S96">
            <v>-2.1094237467877974E-13</v>
          </cell>
          <cell r="Y96">
            <v>2000000</v>
          </cell>
          <cell r="Z96">
            <v>0</v>
          </cell>
          <cell r="AA96" t="str">
            <v>Corporate Finance/Buyout</v>
          </cell>
          <cell r="AF96">
            <v>1</v>
          </cell>
        </row>
        <row r="97">
          <cell r="A97" t="str">
            <v>Hamilton Lane Private Equity Fund Plc</v>
          </cell>
          <cell r="G97" t="str">
            <v>Aurora Capital Group</v>
          </cell>
          <cell r="I97" t="str">
            <v>Primary Partnership</v>
          </cell>
          <cell r="J97">
            <v>3420500</v>
          </cell>
          <cell r="K97">
            <v>3752122.49</v>
          </cell>
          <cell r="R97" t="str">
            <v>Mid</v>
          </cell>
          <cell r="S97">
            <v>7.2656742282295683</v>
          </cell>
          <cell r="Y97">
            <v>2906147</v>
          </cell>
          <cell r="Z97">
            <v>2656249</v>
          </cell>
          <cell r="AA97" t="str">
            <v>Corporate Finance/Buyout</v>
          </cell>
          <cell r="AF97">
            <v>1.0969514661599182</v>
          </cell>
        </row>
        <row r="98">
          <cell r="A98" t="str">
            <v>Hamilton Lane Private Equity Partners, L.P.</v>
          </cell>
          <cell r="G98" t="str">
            <v>Aurora Capital Group</v>
          </cell>
          <cell r="I98" t="str">
            <v>Primary Partnership</v>
          </cell>
          <cell r="J98">
            <v>1579500</v>
          </cell>
          <cell r="K98">
            <v>1732632.51</v>
          </cell>
          <cell r="R98" t="str">
            <v>Mid</v>
          </cell>
          <cell r="S98">
            <v>7.2656742282295683</v>
          </cell>
          <cell r="Y98">
            <v>1341985</v>
          </cell>
          <cell r="Z98">
            <v>1226591</v>
          </cell>
          <cell r="AA98" t="str">
            <v>Corporate Finance/Buyout</v>
          </cell>
          <cell r="AF98">
            <v>1.0969499905033238</v>
          </cell>
        </row>
        <row r="99">
          <cell r="A99" t="str">
            <v>Unisys Master Trust</v>
          </cell>
          <cell r="G99" t="str">
            <v>Austin Ventures</v>
          </cell>
          <cell r="I99" t="str">
            <v>Primary Partnership</v>
          </cell>
          <cell r="J99">
            <v>3000000</v>
          </cell>
          <cell r="K99">
            <v>3000000</v>
          </cell>
          <cell r="R99" t="str">
            <v>Early Stage</v>
          </cell>
          <cell r="S99">
            <v>31.931879603877846</v>
          </cell>
          <cell r="Y99">
            <v>122318</v>
          </cell>
          <cell r="Z99">
            <v>5789078.6969340201</v>
          </cell>
          <cell r="AA99" t="str">
            <v>Venture Capital</v>
          </cell>
          <cell r="AF99">
            <v>1</v>
          </cell>
        </row>
        <row r="100">
          <cell r="A100" t="str">
            <v>Textron Master Trust</v>
          </cell>
          <cell r="G100" t="str">
            <v>Austin Ventures</v>
          </cell>
          <cell r="I100" t="str">
            <v>Primary Partnership</v>
          </cell>
          <cell r="J100">
            <v>7213713.3899999997</v>
          </cell>
          <cell r="K100">
            <v>7213713.3899999997</v>
          </cell>
          <cell r="R100" t="str">
            <v>Early Stage</v>
          </cell>
          <cell r="S100">
            <v>-12.812396161551598</v>
          </cell>
          <cell r="Y100">
            <v>0</v>
          </cell>
          <cell r="Z100">
            <v>4681693.172937341</v>
          </cell>
          <cell r="AA100" t="str">
            <v>Venture Capital</v>
          </cell>
          <cell r="AF100">
            <v>1</v>
          </cell>
        </row>
        <row r="101">
          <cell r="A101" t="str">
            <v>Unisys Master Trust</v>
          </cell>
          <cell r="G101" t="str">
            <v>Austin Ventures</v>
          </cell>
          <cell r="I101" t="str">
            <v>Primary Partnership</v>
          </cell>
          <cell r="J101">
            <v>3000000</v>
          </cell>
          <cell r="K101">
            <v>3121920.39</v>
          </cell>
          <cell r="R101" t="str">
            <v>Early Stage</v>
          </cell>
          <cell r="S101">
            <v>-7.2136652209529695</v>
          </cell>
          <cell r="Y101">
            <v>790259</v>
          </cell>
          <cell r="Z101">
            <v>1484385.2383927624</v>
          </cell>
          <cell r="AA101" t="str">
            <v>Venture Capital</v>
          </cell>
          <cell r="AF101">
            <v>1.0406401300000001</v>
          </cell>
        </row>
        <row r="102">
          <cell r="A102" t="str">
            <v>Hamilton Lane-Carpenters Partnership Fund, L.P.</v>
          </cell>
          <cell r="G102" t="str">
            <v>Austin Ventures</v>
          </cell>
          <cell r="I102" t="str">
            <v>Primary Partnership</v>
          </cell>
          <cell r="J102">
            <v>5000000</v>
          </cell>
          <cell r="K102">
            <v>4848482</v>
          </cell>
          <cell r="R102" t="str">
            <v>Early Stage</v>
          </cell>
          <cell r="S102">
            <v>-4.9250785385681395</v>
          </cell>
          <cell r="Y102">
            <v>2333159</v>
          </cell>
          <cell r="Z102">
            <v>1554692.4099806</v>
          </cell>
          <cell r="AA102" t="str">
            <v>Venture Capital</v>
          </cell>
          <cell r="AF102">
            <v>0.96969640000000001</v>
          </cell>
        </row>
        <row r="103">
          <cell r="A103" t="str">
            <v>Princess Private Equity Subholding Ltd.</v>
          </cell>
          <cell r="G103" t="str">
            <v>Austin Ventures</v>
          </cell>
          <cell r="I103" t="str">
            <v>Primary Partnership</v>
          </cell>
          <cell r="J103">
            <v>5000000</v>
          </cell>
          <cell r="K103">
            <v>4848482</v>
          </cell>
          <cell r="R103" t="str">
            <v>Early Stage</v>
          </cell>
          <cell r="S103">
            <v>-4.9250785385681395</v>
          </cell>
          <cell r="Y103">
            <v>2333157</v>
          </cell>
          <cell r="Z103">
            <v>1554692.4099806</v>
          </cell>
          <cell r="AA103" t="str">
            <v>Venture Capital</v>
          </cell>
          <cell r="AF103">
            <v>0.96969640000000001</v>
          </cell>
        </row>
        <row r="104">
          <cell r="A104" t="str">
            <v>Textron Master Trust</v>
          </cell>
          <cell r="G104" t="str">
            <v>Austin Ventures</v>
          </cell>
          <cell r="I104" t="str">
            <v>Primary Partnership</v>
          </cell>
          <cell r="J104">
            <v>6406060</v>
          </cell>
          <cell r="K104">
            <v>6406060</v>
          </cell>
          <cell r="R104" t="str">
            <v>Early Stage</v>
          </cell>
          <cell r="S104">
            <v>-4.3222781272043376</v>
          </cell>
          <cell r="Y104">
            <v>0</v>
          </cell>
          <cell r="Z104">
            <v>5504618.6270000003</v>
          </cell>
          <cell r="AA104" t="str">
            <v>Venture Capital</v>
          </cell>
          <cell r="AF104">
            <v>1</v>
          </cell>
        </row>
        <row r="105">
          <cell r="A105" t="str">
            <v>Unisys Master Trust</v>
          </cell>
          <cell r="G105" t="str">
            <v>Austin Ventures</v>
          </cell>
          <cell r="I105" t="str">
            <v>Primary Partnership</v>
          </cell>
          <cell r="J105">
            <v>3000000</v>
          </cell>
          <cell r="K105">
            <v>2909092</v>
          </cell>
          <cell r="R105" t="str">
            <v>Early Stage</v>
          </cell>
          <cell r="S105">
            <v>-4.9250785385681395</v>
          </cell>
          <cell r="Y105">
            <v>1399892</v>
          </cell>
          <cell r="Z105">
            <v>855756.522</v>
          </cell>
          <cell r="AA105" t="str">
            <v>Venture Capital</v>
          </cell>
          <cell r="AF105">
            <v>0.9696973333333333</v>
          </cell>
        </row>
        <row r="106">
          <cell r="A106" t="str">
            <v>Hamilton Lane-Carpenters Partnership Fund, L.P.</v>
          </cell>
          <cell r="G106" t="str">
            <v>Austin Ventures</v>
          </cell>
          <cell r="I106" t="str">
            <v>Primary Partnership</v>
          </cell>
          <cell r="J106">
            <v>2817955</v>
          </cell>
          <cell r="K106">
            <v>2718391.19</v>
          </cell>
          <cell r="R106" t="str">
            <v>Early Stage</v>
          </cell>
          <cell r="S106">
            <v>4.8334584894123456</v>
          </cell>
          <cell r="Y106">
            <v>2353901</v>
          </cell>
          <cell r="Z106">
            <v>765683.87</v>
          </cell>
          <cell r="AA106" t="str">
            <v>Venture Capital</v>
          </cell>
          <cell r="AF106">
            <v>0.96466806247793169</v>
          </cell>
        </row>
        <row r="107">
          <cell r="A107" t="str">
            <v>Textron Master Trust</v>
          </cell>
          <cell r="G107" t="str">
            <v>Austin Ventures</v>
          </cell>
          <cell r="I107" t="str">
            <v>Primary Partnership</v>
          </cell>
          <cell r="J107">
            <v>7399998</v>
          </cell>
          <cell r="K107">
            <v>7399998</v>
          </cell>
          <cell r="R107" t="str">
            <v>Early Stage</v>
          </cell>
          <cell r="S107">
            <v>14.776788553505282</v>
          </cell>
          <cell r="Y107">
            <v>0</v>
          </cell>
          <cell r="Z107">
            <v>9958347.0500000007</v>
          </cell>
          <cell r="AA107" t="str">
            <v>Venture Capital</v>
          </cell>
          <cell r="AF107">
            <v>1</v>
          </cell>
        </row>
        <row r="108">
          <cell r="A108" t="str">
            <v>Los Angeles City Employees' Retirement System</v>
          </cell>
          <cell r="G108" t="str">
            <v>Avenue Capital Group</v>
          </cell>
          <cell r="I108" t="str">
            <v>Primary Partnership</v>
          </cell>
          <cell r="J108">
            <v>10000000</v>
          </cell>
          <cell r="K108">
            <v>10000000</v>
          </cell>
          <cell r="R108" t="str">
            <v>Distressed/Turnaround</v>
          </cell>
          <cell r="S108">
            <v>9.0630072683033127</v>
          </cell>
          <cell r="Y108">
            <v>11259925</v>
          </cell>
          <cell r="Z108">
            <v>0</v>
          </cell>
          <cell r="AA108" t="str">
            <v>Special Situation</v>
          </cell>
          <cell r="AF108">
            <v>1</v>
          </cell>
        </row>
        <row r="109">
          <cell r="A109" t="str">
            <v>Royal Mail Pensions Trustees Limited</v>
          </cell>
          <cell r="G109" t="str">
            <v>Avenue Capital Group</v>
          </cell>
          <cell r="I109" t="str">
            <v>Primary Partnership</v>
          </cell>
          <cell r="J109">
            <v>15000000</v>
          </cell>
          <cell r="K109">
            <v>15000000</v>
          </cell>
          <cell r="R109" t="str">
            <v>Distressed/Turnaround</v>
          </cell>
          <cell r="S109">
            <v>9.0630072683033127</v>
          </cell>
          <cell r="Y109">
            <v>16889891</v>
          </cell>
          <cell r="Z109">
            <v>0</v>
          </cell>
          <cell r="AA109" t="str">
            <v>Special Situation</v>
          </cell>
          <cell r="AF109">
            <v>1</v>
          </cell>
        </row>
        <row r="110">
          <cell r="A110" t="str">
            <v>Fire and Police Pension Association of Colorado</v>
          </cell>
          <cell r="G110" t="str">
            <v>Avenue Capital Group</v>
          </cell>
          <cell r="I110" t="str">
            <v>Primary Partnership</v>
          </cell>
          <cell r="J110">
            <v>15000000</v>
          </cell>
          <cell r="K110">
            <v>4784872</v>
          </cell>
          <cell r="R110" t="str">
            <v>Distressed/Turnaround</v>
          </cell>
          <cell r="S110">
            <v>-17.577900090223729</v>
          </cell>
          <cell r="Y110">
            <v>4443600</v>
          </cell>
          <cell r="Z110">
            <v>33352</v>
          </cell>
          <cell r="AA110" t="str">
            <v>Special Situation</v>
          </cell>
          <cell r="AF110">
            <v>0.31899146666666667</v>
          </cell>
        </row>
        <row r="111">
          <cell r="A111" t="str">
            <v>Generali Global Private Equity S.A. SICAR</v>
          </cell>
          <cell r="G111" t="str">
            <v>Avenue Capital Group</v>
          </cell>
          <cell r="I111" t="str">
            <v>Primary Partnership</v>
          </cell>
          <cell r="J111">
            <v>25000000</v>
          </cell>
          <cell r="K111">
            <v>7974787</v>
          </cell>
          <cell r="R111" t="str">
            <v>Distressed/Turnaround</v>
          </cell>
          <cell r="S111">
            <v>-17.577900090223729</v>
          </cell>
          <cell r="Y111">
            <v>7406001</v>
          </cell>
          <cell r="Z111">
            <v>124344</v>
          </cell>
          <cell r="AA111" t="str">
            <v>Special Situation</v>
          </cell>
          <cell r="AF111">
            <v>0.31899147999999999</v>
          </cell>
        </row>
        <row r="112">
          <cell r="A112" t="str">
            <v>Hamilton Lane Capital Opportunities Fund LP</v>
          </cell>
          <cell r="G112" t="str">
            <v>Avenue Capital Group</v>
          </cell>
          <cell r="I112" t="str">
            <v>Primary Partnership</v>
          </cell>
          <cell r="J112">
            <v>20000000</v>
          </cell>
          <cell r="K112">
            <v>6379829</v>
          </cell>
          <cell r="R112" t="str">
            <v>Distressed/Turnaround</v>
          </cell>
          <cell r="S112">
            <v>-17.577900090223729</v>
          </cell>
          <cell r="Y112">
            <v>5924800</v>
          </cell>
          <cell r="Z112">
            <v>8852</v>
          </cell>
          <cell r="AA112" t="str">
            <v>Special Situation</v>
          </cell>
          <cell r="AF112">
            <v>0.31899145000000001</v>
          </cell>
        </row>
        <row r="113">
          <cell r="A113" t="str">
            <v>Hamilton Lane Private Equity Fund VI, L.P.</v>
          </cell>
          <cell r="G113" t="str">
            <v>Avenue Capital Group</v>
          </cell>
          <cell r="I113" t="str">
            <v>Primary Partnership</v>
          </cell>
          <cell r="J113">
            <v>20000000</v>
          </cell>
          <cell r="K113">
            <v>6379829</v>
          </cell>
          <cell r="R113" t="str">
            <v>Distressed/Turnaround</v>
          </cell>
          <cell r="S113">
            <v>-17.577900090223729</v>
          </cell>
          <cell r="Y113">
            <v>5924800</v>
          </cell>
          <cell r="Z113">
            <v>8852</v>
          </cell>
          <cell r="AA113" t="str">
            <v>Special Situation</v>
          </cell>
          <cell r="AF113">
            <v>0.31899145000000001</v>
          </cell>
        </row>
        <row r="114">
          <cell r="A114" t="str">
            <v>Indiana State Teachers' Retirement Fund</v>
          </cell>
          <cell r="G114" t="str">
            <v>Avenue Capital Group</v>
          </cell>
          <cell r="I114" t="str">
            <v>Primary Partnership</v>
          </cell>
          <cell r="J114">
            <v>15000000</v>
          </cell>
          <cell r="K114">
            <v>4784872</v>
          </cell>
          <cell r="R114" t="str">
            <v>Distressed/Turnaround</v>
          </cell>
          <cell r="S114">
            <v>-17.577900090223729</v>
          </cell>
          <cell r="Y114">
            <v>4443599</v>
          </cell>
          <cell r="Z114">
            <v>0</v>
          </cell>
          <cell r="AA114" t="str">
            <v>Special Situation</v>
          </cell>
          <cell r="AF114">
            <v>0.31899146666666667</v>
          </cell>
        </row>
        <row r="115">
          <cell r="A115" t="str">
            <v>Los Angeles City Employees' Retirement System</v>
          </cell>
          <cell r="G115" t="str">
            <v>Avenue Capital Group</v>
          </cell>
          <cell r="I115" t="str">
            <v>Primary Partnership</v>
          </cell>
          <cell r="J115">
            <v>10000000</v>
          </cell>
          <cell r="K115">
            <v>3189915</v>
          </cell>
          <cell r="R115" t="str">
            <v>Distressed/Turnaround</v>
          </cell>
          <cell r="S115">
            <v>-17.577900090223729</v>
          </cell>
          <cell r="Y115">
            <v>2962401</v>
          </cell>
          <cell r="Z115">
            <v>49738</v>
          </cell>
          <cell r="AA115" t="str">
            <v>Special Situation</v>
          </cell>
          <cell r="AF115">
            <v>0.31899149999999998</v>
          </cell>
        </row>
        <row r="116">
          <cell r="A116" t="str">
            <v>Mivtachim - The Workers Social Insurance Fund Ltd.</v>
          </cell>
          <cell r="G116" t="str">
            <v>Avenue Capital Group</v>
          </cell>
          <cell r="I116" t="str">
            <v>Primary Partnership</v>
          </cell>
          <cell r="J116">
            <v>10000000</v>
          </cell>
          <cell r="K116">
            <v>3189915</v>
          </cell>
          <cell r="R116" t="str">
            <v>Distressed/Turnaround</v>
          </cell>
          <cell r="S116">
            <v>-17.577900090223729</v>
          </cell>
          <cell r="Y116">
            <v>2962401</v>
          </cell>
          <cell r="Z116">
            <v>41739</v>
          </cell>
          <cell r="AA116" t="str">
            <v>Special Situation</v>
          </cell>
          <cell r="AF116">
            <v>0.31899149999999998</v>
          </cell>
        </row>
        <row r="117">
          <cell r="A117" t="str">
            <v>Royal Mail Pensions Trustees Limited</v>
          </cell>
          <cell r="G117" t="str">
            <v>Avenue Capital Group</v>
          </cell>
          <cell r="I117" t="str">
            <v>Primary Partnership</v>
          </cell>
          <cell r="J117">
            <v>10000000</v>
          </cell>
          <cell r="K117">
            <v>3189915</v>
          </cell>
          <cell r="R117" t="str">
            <v>Distressed/Turnaround</v>
          </cell>
          <cell r="S117">
            <v>-17.577900090223729</v>
          </cell>
          <cell r="Y117">
            <v>2962401</v>
          </cell>
          <cell r="Z117">
            <v>49738</v>
          </cell>
          <cell r="AA117" t="str">
            <v>Special Situation</v>
          </cell>
          <cell r="AF117">
            <v>0.31899149999999998</v>
          </cell>
        </row>
        <row r="118">
          <cell r="A118" t="str">
            <v>Second Stockholm Global Private Equity L.P.</v>
          </cell>
          <cell r="G118" t="str">
            <v>Avenue Capital Group</v>
          </cell>
          <cell r="I118" t="str">
            <v>Primary Partnership</v>
          </cell>
          <cell r="J118">
            <v>20000000</v>
          </cell>
          <cell r="K118">
            <v>6379829</v>
          </cell>
          <cell r="R118" t="str">
            <v>Distressed/Turnaround</v>
          </cell>
          <cell r="S118">
            <v>-17.577900090223729</v>
          </cell>
          <cell r="Y118">
            <v>5924800</v>
          </cell>
          <cell r="Z118">
            <v>8852</v>
          </cell>
          <cell r="AA118" t="str">
            <v>Special Situation</v>
          </cell>
          <cell r="AF118">
            <v>0.31899145000000001</v>
          </cell>
        </row>
        <row r="119">
          <cell r="A119" t="str">
            <v>Hamilton Lane Secondary Fund L.P. (Investments)</v>
          </cell>
          <cell r="G119" t="str">
            <v>Baring Asset Management</v>
          </cell>
          <cell r="I119" t="str">
            <v>Secondary Purchase</v>
          </cell>
          <cell r="J119">
            <v>119596</v>
          </cell>
          <cell r="K119">
            <v>119596</v>
          </cell>
          <cell r="R119" t="str">
            <v>Small</v>
          </cell>
          <cell r="S119">
            <v>1168.985754026869</v>
          </cell>
          <cell r="Y119">
            <v>935703</v>
          </cell>
          <cell r="Z119">
            <v>70129.87</v>
          </cell>
          <cell r="AA119" t="str">
            <v>Corporate Finance/Buyout</v>
          </cell>
          <cell r="AF119">
            <v>1</v>
          </cell>
        </row>
        <row r="120">
          <cell r="A120" t="str">
            <v>Hudson River Co-Investment Fund L.P.</v>
          </cell>
          <cell r="G120" t="str">
            <v>Warburg Pincus &amp; Co.</v>
          </cell>
          <cell r="I120" t="str">
            <v>Co/Direct Investment</v>
          </cell>
          <cell r="J120">
            <v>15791560</v>
          </cell>
          <cell r="K120">
            <v>15000000</v>
          </cell>
          <cell r="R120"/>
          <cell r="S120">
            <v>4.9169952247707371E-2</v>
          </cell>
          <cell r="Y120">
            <v>15000000</v>
          </cell>
          <cell r="Z120">
            <v>7372.8</v>
          </cell>
          <cell r="AA120" t="str">
            <v>Corporate Finance/Buyout</v>
          </cell>
          <cell r="AF120">
            <v>0.94987448991739887</v>
          </cell>
        </row>
        <row r="121">
          <cell r="A121" t="str">
            <v>I.A.M. National Pension Fund</v>
          </cell>
          <cell r="G121" t="str">
            <v>Beecken Petty O'Keefe &amp; Company</v>
          </cell>
          <cell r="I121" t="str">
            <v>Primary Partnership</v>
          </cell>
          <cell r="J121">
            <v>3000000</v>
          </cell>
          <cell r="K121">
            <v>2091851.33</v>
          </cell>
          <cell r="R121" t="str">
            <v>Small</v>
          </cell>
          <cell r="S121">
            <v>9.1831669962715079</v>
          </cell>
          <cell r="Y121">
            <v>2073748</v>
          </cell>
          <cell r="Z121">
            <v>358845.05</v>
          </cell>
          <cell r="AA121" t="str">
            <v>Corporate Finance/Buyout</v>
          </cell>
          <cell r="AF121">
            <v>0.69728377666666674</v>
          </cell>
        </row>
        <row r="122">
          <cell r="A122" t="str">
            <v>International Union of Operating Engineers</v>
          </cell>
          <cell r="G122" t="str">
            <v>Beecken Petty O'Keefe &amp; Company</v>
          </cell>
          <cell r="I122" t="str">
            <v>Primary Partnership</v>
          </cell>
          <cell r="J122">
            <v>5000000</v>
          </cell>
          <cell r="K122">
            <v>3175065.01</v>
          </cell>
          <cell r="R122" t="str">
            <v>Small</v>
          </cell>
          <cell r="S122">
            <v>9.1831669962715079</v>
          </cell>
          <cell r="Y122">
            <v>2522378.27</v>
          </cell>
          <cell r="Z122">
            <v>673145.43</v>
          </cell>
          <cell r="AA122" t="str">
            <v>Corporate Finance/Buyout</v>
          </cell>
          <cell r="AF122">
            <v>0.63501300199999999</v>
          </cell>
        </row>
        <row r="123">
          <cell r="A123" t="str">
            <v>Royal Mail Pensions Trustees Limited</v>
          </cell>
          <cell r="G123" t="str">
            <v>Beecken Petty O'Keefe &amp; Company</v>
          </cell>
          <cell r="I123" t="str">
            <v>Primary Partnership</v>
          </cell>
          <cell r="J123">
            <v>10000000</v>
          </cell>
          <cell r="K123">
            <v>6972837.75</v>
          </cell>
          <cell r="R123" t="str">
            <v>Small</v>
          </cell>
          <cell r="S123">
            <v>9.1831669962715079</v>
          </cell>
          <cell r="Y123">
            <v>6912493.3700000001</v>
          </cell>
          <cell r="Z123">
            <v>1365377.6</v>
          </cell>
          <cell r="AA123" t="str">
            <v>Corporate Finance/Buyout</v>
          </cell>
          <cell r="AF123">
            <v>0.69728377500000005</v>
          </cell>
        </row>
        <row r="124">
          <cell r="A124" t="str">
            <v>The 1199 Health Care Employees Pension Fund</v>
          </cell>
          <cell r="G124" t="str">
            <v>Beecken Petty O'Keefe &amp; Company</v>
          </cell>
          <cell r="I124" t="str">
            <v>Primary Partnership</v>
          </cell>
          <cell r="J124">
            <v>10000000</v>
          </cell>
          <cell r="K124">
            <v>6972837.370000001</v>
          </cell>
          <cell r="R124" t="str">
            <v>Small</v>
          </cell>
          <cell r="S124">
            <v>9.1831669962715079</v>
          </cell>
          <cell r="Y124">
            <v>6912493.4199999999</v>
          </cell>
          <cell r="Z124">
            <v>1365377.6</v>
          </cell>
          <cell r="AA124" t="str">
            <v>Corporate Finance/Buyout</v>
          </cell>
          <cell r="AF124">
            <v>0.69728373700000013</v>
          </cell>
        </row>
        <row r="125">
          <cell r="A125" t="str">
            <v>Hamilton Lane Private Equity Fund IV L.P.</v>
          </cell>
          <cell r="G125" t="str">
            <v>Behrman Capital</v>
          </cell>
          <cell r="I125" t="str">
            <v>Primary Partnership</v>
          </cell>
          <cell r="J125">
            <v>10000000</v>
          </cell>
          <cell r="K125">
            <v>8800183</v>
          </cell>
          <cell r="R125" t="str">
            <v>Mid</v>
          </cell>
          <cell r="S125">
            <v>11.938437932568814</v>
          </cell>
          <cell r="Y125">
            <v>0</v>
          </cell>
          <cell r="Z125">
            <v>12026652</v>
          </cell>
          <cell r="AA125" t="str">
            <v>Corporate Finance/Buyout</v>
          </cell>
          <cell r="AF125">
            <v>0.88001830000000003</v>
          </cell>
        </row>
        <row r="126">
          <cell r="A126" t="str">
            <v>Hamilton Lane-Carpenters Partnership Fund, L.P.</v>
          </cell>
          <cell r="G126" t="str">
            <v>Behrman Capital</v>
          </cell>
          <cell r="I126" t="str">
            <v>Primary Partnership</v>
          </cell>
          <cell r="J126">
            <v>10000000</v>
          </cell>
          <cell r="K126">
            <v>8761601</v>
          </cell>
          <cell r="R126" t="str">
            <v>Mid</v>
          </cell>
          <cell r="S126">
            <v>11.938437932568814</v>
          </cell>
          <cell r="Y126">
            <v>0</v>
          </cell>
          <cell r="Z126">
            <v>12128935</v>
          </cell>
          <cell r="AA126" t="str">
            <v>Corporate Finance/Buyout</v>
          </cell>
          <cell r="AF126">
            <v>0.8761601</v>
          </cell>
        </row>
        <row r="127">
          <cell r="A127" t="str">
            <v>Nordea Thematic Fund-of-Funds</v>
          </cell>
          <cell r="G127" t="str">
            <v>Behrman Capital</v>
          </cell>
          <cell r="I127" t="str">
            <v>Primary Partnership</v>
          </cell>
          <cell r="J127">
            <v>15000000</v>
          </cell>
          <cell r="K127">
            <v>13142408</v>
          </cell>
          <cell r="R127" t="str">
            <v>Mid</v>
          </cell>
          <cell r="S127">
            <v>11.938437932568814</v>
          </cell>
          <cell r="Y127">
            <v>9233834</v>
          </cell>
          <cell r="Z127">
            <v>11259475</v>
          </cell>
          <cell r="AA127" t="str">
            <v>Corporate Finance/Buyout</v>
          </cell>
          <cell r="AF127">
            <v>0.87616053333333332</v>
          </cell>
        </row>
        <row r="128">
          <cell r="A128" t="str">
            <v>Textron Master Trust</v>
          </cell>
          <cell r="G128" t="str">
            <v>Behrman Capital</v>
          </cell>
          <cell r="I128" t="str">
            <v>Primary Partnership</v>
          </cell>
          <cell r="J128">
            <v>14749644</v>
          </cell>
          <cell r="K128">
            <v>14749644</v>
          </cell>
          <cell r="R128" t="str">
            <v>Mid</v>
          </cell>
          <cell r="S128">
            <v>0.15503231421278851</v>
          </cell>
          <cell r="Y128">
            <v>0</v>
          </cell>
          <cell r="Z128">
            <v>14809653</v>
          </cell>
          <cell r="AA128" t="str">
            <v>Corporate Finance/Buyout</v>
          </cell>
          <cell r="AF128">
            <v>1</v>
          </cell>
        </row>
        <row r="129">
          <cell r="A129" t="str">
            <v>United Food &amp; Commercial Workers Intl. Union</v>
          </cell>
          <cell r="G129" t="str">
            <v>Behrman Capital</v>
          </cell>
          <cell r="I129" t="str">
            <v>Primary Partnership</v>
          </cell>
          <cell r="J129">
            <v>20000000</v>
          </cell>
          <cell r="K129">
            <v>17523206</v>
          </cell>
          <cell r="R129" t="str">
            <v>Mid</v>
          </cell>
          <cell r="S129">
            <v>11.938437932568814</v>
          </cell>
          <cell r="Y129">
            <v>12311773</v>
          </cell>
          <cell r="Z129">
            <v>15182683</v>
          </cell>
          <cell r="AA129" t="str">
            <v>Corporate Finance/Buyout</v>
          </cell>
          <cell r="AF129">
            <v>0.8761603</v>
          </cell>
        </row>
        <row r="130">
          <cell r="A130" t="str">
            <v>Hamilton Lane Co-Investment Fund, L.P.</v>
          </cell>
          <cell r="G130" t="str">
            <v>Apollo Management</v>
          </cell>
          <cell r="I130" t="str">
            <v>Co/Direct Investment</v>
          </cell>
          <cell r="J130">
            <v>19999994</v>
          </cell>
          <cell r="K130">
            <v>19999994</v>
          </cell>
          <cell r="R130" t="str">
            <v>Mid</v>
          </cell>
          <cell r="S130">
            <v>63.827628240472258</v>
          </cell>
          <cell r="Y130">
            <v>22600000</v>
          </cell>
          <cell r="Z130">
            <v>15402618</v>
          </cell>
          <cell r="AA130" t="str">
            <v>Corporate Finance/Buyout</v>
          </cell>
          <cell r="AF130">
            <v>1</v>
          </cell>
        </row>
        <row r="131">
          <cell r="A131" t="str">
            <v>The Hudson River Fund II</v>
          </cell>
          <cell r="G131" t="str">
            <v>Birch Hill</v>
          </cell>
          <cell r="I131" t="str">
            <v>Primary Partnership</v>
          </cell>
          <cell r="J131">
            <v>29232067.522757202</v>
          </cell>
          <cell r="K131">
            <v>12314552.771379387</v>
          </cell>
          <cell r="R131" t="str">
            <v>Small</v>
          </cell>
          <cell r="S131">
            <v>10.680625728693084</v>
          </cell>
          <cell r="Y131">
            <v>12738256.8180972</v>
          </cell>
          <cell r="Z131">
            <v>1040775.1138236246</v>
          </cell>
          <cell r="AA131" t="str">
            <v>Corporate Finance/Buyout</v>
          </cell>
          <cell r="AF131">
            <v>0.42126862090040301</v>
          </cell>
        </row>
        <row r="132">
          <cell r="A132" t="str">
            <v>Hamilton Lane-Carpenters Partnership Fund, L.P.</v>
          </cell>
          <cell r="G132" t="str">
            <v>Blackstone Group</v>
          </cell>
          <cell r="I132" t="str">
            <v>Primary Partnership</v>
          </cell>
          <cell r="J132">
            <v>20000000</v>
          </cell>
          <cell r="K132">
            <v>18997478</v>
          </cell>
          <cell r="R132" t="str">
            <v>Large</v>
          </cell>
          <cell r="S132">
            <v>49.481255715448945</v>
          </cell>
          <cell r="Y132">
            <v>15667645</v>
          </cell>
          <cell r="Z132">
            <v>24943759.559999999</v>
          </cell>
          <cell r="AA132" t="str">
            <v>Corporate Finance/Buyout</v>
          </cell>
          <cell r="AF132">
            <v>0.94987390000000005</v>
          </cell>
        </row>
        <row r="133">
          <cell r="A133" t="str">
            <v>I.A.M. National Pension Fund</v>
          </cell>
          <cell r="G133" t="str">
            <v>Blackstone Group</v>
          </cell>
          <cell r="I133" t="str">
            <v>Primary Partnership</v>
          </cell>
          <cell r="J133">
            <v>10000000</v>
          </cell>
          <cell r="K133">
            <v>9079409</v>
          </cell>
          <cell r="R133" t="str">
            <v>Large</v>
          </cell>
          <cell r="S133">
            <v>49.481255715448945</v>
          </cell>
          <cell r="Y133">
            <v>7404923</v>
          </cell>
          <cell r="Z133">
            <v>12343610.67</v>
          </cell>
          <cell r="AA133" t="str">
            <v>Corporate Finance/Buyout</v>
          </cell>
          <cell r="AF133">
            <v>0.90794090000000005</v>
          </cell>
        </row>
        <row r="134">
          <cell r="A134" t="str">
            <v>Textron Master Trust</v>
          </cell>
          <cell r="G134" t="str">
            <v>Blackstone Group</v>
          </cell>
          <cell r="I134" t="str">
            <v>Primary Partnership</v>
          </cell>
          <cell r="J134">
            <v>20000000</v>
          </cell>
          <cell r="K134">
            <v>18997478</v>
          </cell>
          <cell r="R134" t="str">
            <v>Large</v>
          </cell>
          <cell r="S134">
            <v>49.481255715448945</v>
          </cell>
          <cell r="Y134">
            <v>15667671</v>
          </cell>
          <cell r="Z134">
            <v>24943758.559999999</v>
          </cell>
          <cell r="AA134" t="str">
            <v>Corporate Finance/Buyout</v>
          </cell>
          <cell r="AF134">
            <v>0.94987390000000005</v>
          </cell>
        </row>
        <row r="135">
          <cell r="A135" t="str">
            <v>United Food &amp; Commercial Workers Intl. Union</v>
          </cell>
          <cell r="G135" t="str">
            <v>Blackstone Group</v>
          </cell>
          <cell r="I135" t="str">
            <v>Primary Partnership</v>
          </cell>
          <cell r="J135">
            <v>10000000</v>
          </cell>
          <cell r="K135">
            <v>8900462</v>
          </cell>
          <cell r="R135" t="str">
            <v>Large</v>
          </cell>
          <cell r="S135">
            <v>42.742709899305417</v>
          </cell>
          <cell r="Y135">
            <v>7627060</v>
          </cell>
          <cell r="Z135">
            <v>10579474.67</v>
          </cell>
          <cell r="AA135" t="str">
            <v>Corporate Finance/Buyout</v>
          </cell>
          <cell r="AF135">
            <v>0.89004620000000001</v>
          </cell>
        </row>
        <row r="136">
          <cell r="A136" t="str">
            <v>Gad - Gmulim - Hevra Lenihul Kupot Gemel Ltd.</v>
          </cell>
          <cell r="G136" t="str">
            <v>Blackstone Group</v>
          </cell>
          <cell r="I136" t="str">
            <v>Primary Partnership</v>
          </cell>
          <cell r="J136">
            <v>5898900</v>
          </cell>
          <cell r="K136">
            <v>2281848</v>
          </cell>
          <cell r="R136" t="str">
            <v>Mega</v>
          </cell>
          <cell r="S136">
            <v>6.2208237063181793</v>
          </cell>
          <cell r="Y136">
            <v>2054170</v>
          </cell>
          <cell r="Z136">
            <v>165569</v>
          </cell>
          <cell r="AA136" t="str">
            <v>Corporate Finance/Buyout</v>
          </cell>
          <cell r="AF136">
            <v>0.38682601841021208</v>
          </cell>
        </row>
        <row r="137">
          <cell r="A137" t="str">
            <v>Generali Global Private Equity S.A. SICAR</v>
          </cell>
          <cell r="G137" t="str">
            <v>Blackstone Group</v>
          </cell>
          <cell r="I137" t="str">
            <v>Primary Partnership</v>
          </cell>
          <cell r="J137">
            <v>30000000</v>
          </cell>
          <cell r="K137">
            <v>19481517</v>
          </cell>
          <cell r="R137" t="str">
            <v>Mega</v>
          </cell>
          <cell r="S137">
            <v>6.2208237063181793</v>
          </cell>
          <cell r="Y137">
            <v>19442311</v>
          </cell>
          <cell r="Z137">
            <v>1796166</v>
          </cell>
          <cell r="AA137" t="str">
            <v>Corporate Finance/Buyout</v>
          </cell>
          <cell r="AF137">
            <v>0.64938390000000001</v>
          </cell>
        </row>
        <row r="138">
          <cell r="A138" t="str">
            <v>Hamilton Lane Private Equity Fund VI, L.P.</v>
          </cell>
          <cell r="G138" t="str">
            <v>Blackstone Group</v>
          </cell>
          <cell r="I138" t="str">
            <v>Primary Partnership</v>
          </cell>
          <cell r="J138">
            <v>10000000</v>
          </cell>
          <cell r="K138">
            <v>3868256</v>
          </cell>
          <cell r="R138" t="str">
            <v>Mega</v>
          </cell>
          <cell r="S138">
            <v>6.2208237063181793</v>
          </cell>
          <cell r="Y138">
            <v>3481689</v>
          </cell>
          <cell r="Z138">
            <v>280677</v>
          </cell>
          <cell r="AA138" t="str">
            <v>Corporate Finance/Buyout</v>
          </cell>
          <cell r="AF138">
            <v>0.38682559999999999</v>
          </cell>
        </row>
        <row r="139">
          <cell r="A139" t="str">
            <v>Hamilton Lane-Carpenters Partnership Fund II L.P.</v>
          </cell>
          <cell r="G139" t="str">
            <v>Blackstone Group</v>
          </cell>
          <cell r="I139" t="str">
            <v>Primary Partnership</v>
          </cell>
          <cell r="J139">
            <v>15000000</v>
          </cell>
          <cell r="K139">
            <v>9740762</v>
          </cell>
          <cell r="R139" t="str">
            <v>Mega</v>
          </cell>
          <cell r="S139">
            <v>6.2208237063181793</v>
          </cell>
          <cell r="Y139">
            <v>9719265</v>
          </cell>
          <cell r="Z139">
            <v>898084</v>
          </cell>
          <cell r="AA139" t="str">
            <v>Corporate Finance/Buyout</v>
          </cell>
          <cell r="AF139">
            <v>0.64938413333333334</v>
          </cell>
        </row>
        <row r="140">
          <cell r="A140" t="str">
            <v>Kovetz Hevra Lenihul Kupot Gemel Ltd.</v>
          </cell>
          <cell r="G140" t="str">
            <v>Blackstone Group</v>
          </cell>
          <cell r="I140" t="str">
            <v>Primary Partnership</v>
          </cell>
          <cell r="J140">
            <v>4101100</v>
          </cell>
          <cell r="K140">
            <v>1586410</v>
          </cell>
          <cell r="R140" t="str">
            <v>Mega</v>
          </cell>
          <cell r="S140">
            <v>6.2208237063181793</v>
          </cell>
          <cell r="Y140">
            <v>1428120</v>
          </cell>
          <cell r="Z140">
            <v>115108</v>
          </cell>
          <cell r="AA140" t="str">
            <v>Corporate Finance/Buyout</v>
          </cell>
          <cell r="AF140">
            <v>0.38682548584526105</v>
          </cell>
        </row>
        <row r="141">
          <cell r="A141" t="str">
            <v>Los Angeles City Employees' Retirement System</v>
          </cell>
          <cell r="G141" t="str">
            <v>Blackstone Group</v>
          </cell>
          <cell r="I141" t="str">
            <v>Primary Partnership</v>
          </cell>
          <cell r="J141">
            <v>20000000</v>
          </cell>
          <cell r="K141">
            <v>11674890</v>
          </cell>
          <cell r="R141" t="str">
            <v>Mega</v>
          </cell>
          <cell r="S141">
            <v>6.2208237063181793</v>
          </cell>
          <cell r="Y141">
            <v>11509215</v>
          </cell>
          <cell r="Z141">
            <v>1038422</v>
          </cell>
          <cell r="AA141" t="str">
            <v>Corporate Finance/Buyout</v>
          </cell>
          <cell r="AF141">
            <v>0.5837445</v>
          </cell>
        </row>
        <row r="142">
          <cell r="A142" t="str">
            <v>Mivtachim - The Workers Social Insurance Fund Ltd.</v>
          </cell>
          <cell r="G142" t="str">
            <v>Blackstone Group</v>
          </cell>
          <cell r="I142" t="str">
            <v>Primary Partnership</v>
          </cell>
          <cell r="J142">
            <v>10000000</v>
          </cell>
          <cell r="K142">
            <v>3868256</v>
          </cell>
          <cell r="R142" t="str">
            <v>Mega</v>
          </cell>
          <cell r="S142">
            <v>6.2208237063181793</v>
          </cell>
          <cell r="Y142">
            <v>3482289</v>
          </cell>
          <cell r="Z142">
            <v>280677</v>
          </cell>
          <cell r="AA142" t="str">
            <v>Corporate Finance/Buyout</v>
          </cell>
          <cell r="AF142">
            <v>0.38682559999999999</v>
          </cell>
        </row>
        <row r="143">
          <cell r="A143" t="str">
            <v>Royal Mail Pensions Trustees Limited</v>
          </cell>
          <cell r="G143" t="str">
            <v>Blackstone Group</v>
          </cell>
          <cell r="I143" t="str">
            <v>Primary Partnership</v>
          </cell>
          <cell r="J143">
            <v>20000000</v>
          </cell>
          <cell r="K143">
            <v>12987685</v>
          </cell>
          <cell r="R143" t="str">
            <v>Mega</v>
          </cell>
          <cell r="S143">
            <v>6.2208237063181793</v>
          </cell>
          <cell r="Y143">
            <v>12960986</v>
          </cell>
          <cell r="Z143">
            <v>1197448</v>
          </cell>
          <cell r="AA143" t="str">
            <v>Corporate Finance/Buyout</v>
          </cell>
          <cell r="AF143">
            <v>0.64938425</v>
          </cell>
        </row>
        <row r="144">
          <cell r="A144" t="str">
            <v>Textron Master Trust</v>
          </cell>
          <cell r="G144" t="str">
            <v>Blackstone Group</v>
          </cell>
          <cell r="I144" t="str">
            <v>Primary Partnership</v>
          </cell>
          <cell r="J144">
            <v>25000000</v>
          </cell>
          <cell r="K144">
            <v>16234599</v>
          </cell>
          <cell r="R144" t="str">
            <v>Mega</v>
          </cell>
          <cell r="S144">
            <v>6.2208237063181793</v>
          </cell>
          <cell r="Y144">
            <v>16201145</v>
          </cell>
          <cell r="Z144">
            <v>1496740</v>
          </cell>
          <cell r="AA144" t="str">
            <v>Corporate Finance/Buyout</v>
          </cell>
          <cell r="AF144">
            <v>0.64938395999999998</v>
          </cell>
        </row>
        <row r="145">
          <cell r="A145" t="str">
            <v>The 1199 Health Care Employees Pension Fund</v>
          </cell>
          <cell r="G145" t="str">
            <v>Blackstone Group</v>
          </cell>
          <cell r="I145" t="str">
            <v>Primary Partnership</v>
          </cell>
          <cell r="J145">
            <v>10000000</v>
          </cell>
          <cell r="K145">
            <v>3868255</v>
          </cell>
          <cell r="R145" t="str">
            <v>Mega</v>
          </cell>
          <cell r="S145">
            <v>6.2208237063181793</v>
          </cell>
          <cell r="Y145">
            <v>3482287</v>
          </cell>
          <cell r="Z145">
            <v>280677</v>
          </cell>
          <cell r="AA145" t="str">
            <v>Corporate Finance/Buyout</v>
          </cell>
          <cell r="AF145">
            <v>0.38682549999999999</v>
          </cell>
        </row>
        <row r="146">
          <cell r="A146" t="str">
            <v>United Food &amp; Commercial Workers Intl. Union</v>
          </cell>
          <cell r="G146" t="str">
            <v>Blackstone Group</v>
          </cell>
          <cell r="I146" t="str">
            <v>Primary Partnership</v>
          </cell>
          <cell r="J146">
            <v>10000000</v>
          </cell>
          <cell r="K146">
            <v>3868256</v>
          </cell>
          <cell r="R146" t="str">
            <v>Mega</v>
          </cell>
          <cell r="S146">
            <v>6.2208237063181793</v>
          </cell>
          <cell r="Y146">
            <v>3482230</v>
          </cell>
          <cell r="Z146">
            <v>280677</v>
          </cell>
          <cell r="AA146" t="str">
            <v>Corporate Finance/Buyout</v>
          </cell>
          <cell r="AF146">
            <v>0.38682559999999999</v>
          </cell>
        </row>
        <row r="147">
          <cell r="A147" t="str">
            <v>Winnipeg Civic - Manitoba Ltd.</v>
          </cell>
          <cell r="G147" t="str">
            <v>Blackstone Group</v>
          </cell>
          <cell r="I147" t="str">
            <v>Primary Partnership</v>
          </cell>
          <cell r="J147">
            <v>4000000</v>
          </cell>
          <cell r="K147">
            <v>1547303</v>
          </cell>
          <cell r="R147" t="str">
            <v>Mega</v>
          </cell>
          <cell r="S147">
            <v>6.2208237063181793</v>
          </cell>
          <cell r="Y147">
            <v>1392917</v>
          </cell>
          <cell r="Z147">
            <v>112272</v>
          </cell>
          <cell r="AA147" t="str">
            <v>Corporate Finance/Buyout</v>
          </cell>
          <cell r="AF147">
            <v>0.38682575000000002</v>
          </cell>
        </row>
        <row r="148">
          <cell r="A148" t="str">
            <v>Winnipeg Police - Manitoba Ltd.</v>
          </cell>
          <cell r="G148" t="str">
            <v>Blackstone Group</v>
          </cell>
          <cell r="I148" t="str">
            <v>Primary Partnership</v>
          </cell>
          <cell r="J148">
            <v>1000000</v>
          </cell>
          <cell r="K148">
            <v>386825</v>
          </cell>
          <cell r="R148" t="str">
            <v>Mega</v>
          </cell>
          <cell r="S148">
            <v>6.2208237063181793</v>
          </cell>
          <cell r="Y148">
            <v>348230</v>
          </cell>
          <cell r="Z148">
            <v>28067</v>
          </cell>
          <cell r="AA148" t="str">
            <v>Corporate Finance/Buyout</v>
          </cell>
          <cell r="AF148">
            <v>0.38682499999999997</v>
          </cell>
        </row>
        <row r="149">
          <cell r="A149" t="str">
            <v>Hamilton Lane Private Equity Fund V, L.P.</v>
          </cell>
          <cell r="G149" t="str">
            <v>Blackstone Group</v>
          </cell>
          <cell r="I149" t="str">
            <v>Co/Direct Investment</v>
          </cell>
          <cell r="J149">
            <v>2932519</v>
          </cell>
          <cell r="K149">
            <v>2932519</v>
          </cell>
          <cell r="R149" t="str">
            <v>Mega</v>
          </cell>
          <cell r="S149">
            <v>228.82005723773844</v>
          </cell>
          <cell r="Y149">
            <v>18047</v>
          </cell>
          <cell r="Z149">
            <v>16979227</v>
          </cell>
          <cell r="AA149" t="str">
            <v>Corporate Finance/Buyout</v>
          </cell>
          <cell r="AF149">
            <v>1</v>
          </cell>
        </row>
        <row r="150">
          <cell r="A150" t="str">
            <v>Hamilton Lane Private Equity Fund IV L.P.</v>
          </cell>
          <cell r="G150" t="str">
            <v>Blackstone Group</v>
          </cell>
          <cell r="I150" t="str">
            <v>Primary Partnership</v>
          </cell>
          <cell r="J150">
            <v>15000000</v>
          </cell>
          <cell r="K150">
            <v>15305156</v>
          </cell>
          <cell r="R150" t="str">
            <v>Industry Focused</v>
          </cell>
          <cell r="S150">
            <v>22.458500276327765</v>
          </cell>
          <cell r="Y150">
            <v>0</v>
          </cell>
          <cell r="Z150">
            <v>26680979.5</v>
          </cell>
          <cell r="AA150" t="str">
            <v>Special Situation</v>
          </cell>
          <cell r="AF150">
            <v>1.0203437333333334</v>
          </cell>
        </row>
        <row r="151">
          <cell r="A151" t="str">
            <v>Hamilton Lane-Carpenters Partnership Fund, L.P.</v>
          </cell>
          <cell r="G151" t="str">
            <v>Blackstone Group</v>
          </cell>
          <cell r="I151" t="str">
            <v>Primary Partnership</v>
          </cell>
          <cell r="J151">
            <v>10000000</v>
          </cell>
          <cell r="K151">
            <v>9380668</v>
          </cell>
          <cell r="R151" t="str">
            <v>Industry Focused</v>
          </cell>
          <cell r="S151">
            <v>22.458500276327765</v>
          </cell>
          <cell r="Y151">
            <v>0</v>
          </cell>
          <cell r="Z151">
            <v>17900406</v>
          </cell>
          <cell r="AA151" t="str">
            <v>Special Situation</v>
          </cell>
          <cell r="AF151">
            <v>0.93806679999999998</v>
          </cell>
        </row>
        <row r="152">
          <cell r="A152" t="str">
            <v>Princess Private Equity Subholding Ltd.</v>
          </cell>
          <cell r="G152" t="str">
            <v>Blackstone Group</v>
          </cell>
          <cell r="I152" t="str">
            <v>Primary Partnership</v>
          </cell>
          <cell r="J152">
            <v>10000000</v>
          </cell>
          <cell r="K152">
            <v>9800217</v>
          </cell>
          <cell r="R152" t="str">
            <v>Industry Focused</v>
          </cell>
          <cell r="S152">
            <v>22.458500276327765</v>
          </cell>
          <cell r="Y152">
            <v>6426586</v>
          </cell>
          <cell r="Z152">
            <v>8849783</v>
          </cell>
          <cell r="AA152" t="str">
            <v>Special Situation</v>
          </cell>
          <cell r="AF152">
            <v>0.9800217</v>
          </cell>
        </row>
        <row r="153">
          <cell r="A153" t="str">
            <v>Princess Private Equity Subholding Ltd.</v>
          </cell>
          <cell r="G153" t="str">
            <v>Blackstone Group</v>
          </cell>
          <cell r="I153" t="str">
            <v>Primary Partnership</v>
          </cell>
          <cell r="J153">
            <v>4000000</v>
          </cell>
          <cell r="K153">
            <v>2510342</v>
          </cell>
          <cell r="R153"/>
          <cell r="S153">
            <v>10.924790884246205</v>
          </cell>
          <cell r="Y153">
            <v>438184</v>
          </cell>
          <cell r="Z153">
            <v>3260944.53</v>
          </cell>
          <cell r="AA153" t="str">
            <v>Mezzanine</v>
          </cell>
          <cell r="AF153">
            <v>0.62758550000000002</v>
          </cell>
        </row>
        <row r="154">
          <cell r="A154" t="str">
            <v>Hamilton Lane Secondary Fund L.P. (Investments)</v>
          </cell>
          <cell r="G154" t="str">
            <v>Blackstone Group</v>
          </cell>
          <cell r="I154" t="str">
            <v>Secondary Purchase</v>
          </cell>
          <cell r="J154">
            <v>7052338</v>
          </cell>
          <cell r="K154">
            <v>6462422</v>
          </cell>
          <cell r="R154" t="str">
            <v>Large</v>
          </cell>
          <cell r="S154">
            <v>37.953976850977988</v>
          </cell>
          <cell r="Y154">
            <v>3216453</v>
          </cell>
          <cell r="Z154">
            <v>4564849.22</v>
          </cell>
          <cell r="AA154" t="str">
            <v>Corporate Finance/Buyout</v>
          </cell>
          <cell r="AF154">
            <v>0.91635171201380305</v>
          </cell>
        </row>
        <row r="155">
          <cell r="A155" t="str">
            <v>Marsh &amp; McLennan Master Retirement Trust</v>
          </cell>
          <cell r="G155" t="str">
            <v>Blackstone Group</v>
          </cell>
          <cell r="I155" t="str">
            <v>Primary Partnership</v>
          </cell>
          <cell r="J155">
            <v>10000000</v>
          </cell>
          <cell r="K155">
            <v>8317390</v>
          </cell>
          <cell r="R155" t="str">
            <v>Opportunistic</v>
          </cell>
          <cell r="S155">
            <v>62.374786111141354</v>
          </cell>
          <cell r="Y155">
            <v>10714069</v>
          </cell>
          <cell r="Z155">
            <v>2818284</v>
          </cell>
          <cell r="AA155" t="str">
            <v>Real Estate</v>
          </cell>
          <cell r="AF155">
            <v>0.83173900000000001</v>
          </cell>
        </row>
        <row r="156">
          <cell r="A156" t="str">
            <v>Textron Master Trust - Real Estate</v>
          </cell>
          <cell r="G156" t="str">
            <v>Blackstone Group</v>
          </cell>
          <cell r="I156" t="str">
            <v>Primary Partnership</v>
          </cell>
          <cell r="J156">
            <v>10000000</v>
          </cell>
          <cell r="K156">
            <v>8317390</v>
          </cell>
          <cell r="R156" t="str">
            <v>Opportunistic - Indirect</v>
          </cell>
          <cell r="S156">
            <v>62.374786111141354</v>
          </cell>
          <cell r="Y156">
            <v>10714069</v>
          </cell>
          <cell r="Z156">
            <v>2818284</v>
          </cell>
          <cell r="AA156" t="str">
            <v>Real Estate</v>
          </cell>
          <cell r="AF156">
            <v>0.83173900000000001</v>
          </cell>
        </row>
        <row r="157">
          <cell r="A157" t="str">
            <v>Marsh &amp; McLennan Master Retirement Trust</v>
          </cell>
          <cell r="G157" t="str">
            <v>Blackstone Group</v>
          </cell>
          <cell r="I157" t="str">
            <v>Primary Partnership</v>
          </cell>
          <cell r="J157">
            <v>15000000</v>
          </cell>
          <cell r="K157">
            <v>5745321</v>
          </cell>
          <cell r="R157" t="str">
            <v>Opportunistic</v>
          </cell>
          <cell r="S157">
            <v>18.588720868227515</v>
          </cell>
          <cell r="Y157">
            <v>6770230</v>
          </cell>
          <cell r="Z157">
            <v>0</v>
          </cell>
          <cell r="AA157" t="str">
            <v>Real Estate</v>
          </cell>
          <cell r="AF157">
            <v>0.38302140000000001</v>
          </cell>
        </row>
        <row r="158">
          <cell r="A158" t="str">
            <v>Hamilton Lane Secondary Fund L.P. (Investments)</v>
          </cell>
          <cell r="G158" t="str">
            <v>BlueStream Ventures</v>
          </cell>
          <cell r="I158" t="str">
            <v>Secondary Purchase</v>
          </cell>
          <cell r="J158">
            <v>8533355</v>
          </cell>
          <cell r="K158">
            <v>7333355</v>
          </cell>
          <cell r="R158" t="str">
            <v>Early Stage</v>
          </cell>
          <cell r="S158">
            <v>10.214693950418541</v>
          </cell>
          <cell r="Y158">
            <v>8892230</v>
          </cell>
          <cell r="Z158">
            <v>0</v>
          </cell>
          <cell r="AA158" t="str">
            <v>Venture Capital</v>
          </cell>
          <cell r="AF158">
            <v>0.85937535705475743</v>
          </cell>
        </row>
        <row r="159">
          <cell r="A159" t="str">
            <v>Hamilton Lane-Carpenters Partnership Fund, L.P.</v>
          </cell>
          <cell r="G159" t="str">
            <v>Blum Capital</v>
          </cell>
          <cell r="I159" t="str">
            <v>Primary Partnership</v>
          </cell>
          <cell r="J159">
            <v>25000000</v>
          </cell>
          <cell r="K159">
            <v>28400549</v>
          </cell>
          <cell r="R159" t="str">
            <v>Distressed/Turnaround</v>
          </cell>
          <cell r="S159">
            <v>23.307021313689404</v>
          </cell>
          <cell r="Y159">
            <v>8618862</v>
          </cell>
          <cell r="Z159">
            <v>41987797</v>
          </cell>
          <cell r="AA159" t="str">
            <v>Special Situation</v>
          </cell>
          <cell r="AF159">
            <v>1.1360219600000001</v>
          </cell>
        </row>
        <row r="160">
          <cell r="A160" t="str">
            <v>Hamilton Lane-Carpenters Partnership Fund II L.P.</v>
          </cell>
          <cell r="G160" t="str">
            <v>Blum Capital</v>
          </cell>
          <cell r="I160" t="str">
            <v>Primary Partnership</v>
          </cell>
          <cell r="J160">
            <v>25000000</v>
          </cell>
          <cell r="K160">
            <v>30407218</v>
          </cell>
          <cell r="R160" t="str">
            <v>Distressed/Turnaround</v>
          </cell>
          <cell r="S160">
            <v>8.1587284651403849</v>
          </cell>
          <cell r="Y160">
            <v>21987931</v>
          </cell>
          <cell r="Z160">
            <v>11789974</v>
          </cell>
          <cell r="AA160" t="str">
            <v>Special Situation</v>
          </cell>
          <cell r="AF160">
            <v>1.2162887200000001</v>
          </cell>
        </row>
        <row r="161">
          <cell r="A161" t="str">
            <v>Hamilton Lane-Carpenters Partnership Fund II L.P.</v>
          </cell>
          <cell r="G161" t="str">
            <v>Blum Capital</v>
          </cell>
          <cell r="I161" t="str">
            <v>Primary Partnership</v>
          </cell>
          <cell r="J161">
            <v>15000000</v>
          </cell>
          <cell r="K161">
            <v>1470588</v>
          </cell>
          <cell r="R161" t="str">
            <v>Distressed/Turnaround</v>
          </cell>
          <cell r="S161">
            <v>-7.6842857844229613</v>
          </cell>
          <cell r="Y161">
            <v>1357583</v>
          </cell>
          <cell r="Z161">
            <v>0</v>
          </cell>
          <cell r="AA161" t="str">
            <v>Special Situation</v>
          </cell>
          <cell r="AF161">
            <v>9.8039200000000007E-2</v>
          </cell>
        </row>
        <row r="162">
          <cell r="A162" t="str">
            <v>Southwest Carpenters Pension Trust</v>
          </cell>
          <cell r="G162" t="str">
            <v>Blum Capital</v>
          </cell>
          <cell r="I162" t="str">
            <v>Primary Partnership</v>
          </cell>
          <cell r="J162">
            <v>50000000</v>
          </cell>
          <cell r="K162">
            <v>4901961</v>
          </cell>
          <cell r="R162" t="str">
            <v>Distressed/Turnaround</v>
          </cell>
          <cell r="S162">
            <v>-7.6842857844229613</v>
          </cell>
          <cell r="Y162">
            <v>4525281</v>
          </cell>
          <cell r="Z162">
            <v>0</v>
          </cell>
          <cell r="AA162" t="str">
            <v>Special Situation</v>
          </cell>
          <cell r="AF162">
            <v>9.8039219999999996E-2</v>
          </cell>
        </row>
        <row r="163">
          <cell r="A163" t="str">
            <v>United Brotherhood of Carpenters Pension Fund</v>
          </cell>
          <cell r="G163" t="str">
            <v>Blum Capital</v>
          </cell>
          <cell r="I163" t="str">
            <v>Primary Partnership</v>
          </cell>
          <cell r="J163">
            <v>10000000</v>
          </cell>
          <cell r="K163">
            <v>980392</v>
          </cell>
          <cell r="R163" t="str">
            <v>Distressed/Turnaround</v>
          </cell>
          <cell r="S163">
            <v>-7.6842857844229613</v>
          </cell>
          <cell r="Y163">
            <v>905056</v>
          </cell>
          <cell r="Z163">
            <v>0</v>
          </cell>
          <cell r="AA163" t="str">
            <v>Special Situation</v>
          </cell>
          <cell r="AF163">
            <v>9.8039200000000007E-2</v>
          </cell>
        </row>
        <row r="164">
          <cell r="A164" t="str">
            <v>The Hudson River Fund</v>
          </cell>
          <cell r="G164" t="str">
            <v>Blum Capital</v>
          </cell>
          <cell r="I164" t="str">
            <v>Primary Partnership</v>
          </cell>
          <cell r="J164">
            <v>30000000</v>
          </cell>
          <cell r="K164">
            <v>35575952</v>
          </cell>
          <cell r="R164" t="str">
            <v>Mid</v>
          </cell>
          <cell r="S164">
            <v>15.237697718675825</v>
          </cell>
          <cell r="Y164">
            <v>8635442</v>
          </cell>
          <cell r="Z164">
            <v>58228234</v>
          </cell>
          <cell r="AA164" t="str">
            <v>Corporate Finance/Buyout</v>
          </cell>
          <cell r="AF164">
            <v>1.1858650666666666</v>
          </cell>
        </row>
        <row r="165">
          <cell r="A165" t="str">
            <v>Nordea Thematic Fund-of-Funds</v>
          </cell>
          <cell r="G165" t="str">
            <v>Bridgepoint Capital Ltd.</v>
          </cell>
          <cell r="I165" t="str">
            <v>Primary Partnership</v>
          </cell>
          <cell r="J165">
            <v>11760655.593832277</v>
          </cell>
          <cell r="K165">
            <v>11422524.711388672</v>
          </cell>
          <cell r="R165" t="str">
            <v>Mid</v>
          </cell>
          <cell r="S165">
            <v>38.033402122702583</v>
          </cell>
          <cell r="Y165">
            <v>8595872.9644499999</v>
          </cell>
          <cell r="Z165">
            <v>15862986.934607998</v>
          </cell>
          <cell r="AA165" t="str">
            <v>Corporate Finance/Buyout</v>
          </cell>
          <cell r="AF165">
            <v>0.97124897674744137</v>
          </cell>
        </row>
        <row r="166">
          <cell r="A166" t="str">
            <v>Royal Mail Pensions Trustees Limited</v>
          </cell>
          <cell r="G166" t="str">
            <v>Bridgepoint Capital Ltd.</v>
          </cell>
          <cell r="I166" t="str">
            <v>Primary Partnership</v>
          </cell>
          <cell r="J166">
            <v>8860160.6642367505</v>
          </cell>
          <cell r="K166">
            <v>8622933.2312619947</v>
          </cell>
          <cell r="R166" t="str">
            <v>Mid</v>
          </cell>
          <cell r="S166">
            <v>38.033402122702583</v>
          </cell>
          <cell r="Y166">
            <v>6455276.7871500002</v>
          </cell>
          <cell r="Z166">
            <v>11897039.2067702</v>
          </cell>
          <cell r="AA166" t="str">
            <v>Corporate Finance/Buyout</v>
          </cell>
          <cell r="AF166">
            <v>0.97322538021998817</v>
          </cell>
        </row>
        <row r="167">
          <cell r="A167" t="str">
            <v>Textron Master Trust</v>
          </cell>
          <cell r="G167" t="str">
            <v>Bridgepoint Capital Ltd.</v>
          </cell>
          <cell r="I167" t="str">
            <v>Primary Partnership</v>
          </cell>
          <cell r="J167">
            <v>20128148.324053366</v>
          </cell>
          <cell r="K167">
            <v>19642260.3798263</v>
          </cell>
          <cell r="R167" t="str">
            <v>Mid</v>
          </cell>
          <cell r="S167">
            <v>38.033402122702583</v>
          </cell>
          <cell r="Y167">
            <v>14670149.75595</v>
          </cell>
          <cell r="Z167">
            <v>27074905.947037332</v>
          </cell>
          <cell r="AA167" t="str">
            <v>Corporate Finance/Buyout</v>
          </cell>
          <cell r="AF167">
            <v>0.97586027604703085</v>
          </cell>
        </row>
        <row r="168">
          <cell r="A168" t="str">
            <v>Royal Mail Pensions Trustees Limited</v>
          </cell>
          <cell r="G168" t="str">
            <v>Bridgepoint Capital Ltd.</v>
          </cell>
          <cell r="I168" t="str">
            <v>Primary Partnership</v>
          </cell>
          <cell r="J168">
            <v>21237407.12675</v>
          </cell>
          <cell r="K168">
            <v>13668600.8945</v>
          </cell>
          <cell r="R168" t="str">
            <v>Mid</v>
          </cell>
          <cell r="S168">
            <v>19.636331321007905</v>
          </cell>
          <cell r="Y168">
            <v>15789255.45975</v>
          </cell>
          <cell r="Z168">
            <v>0</v>
          </cell>
          <cell r="AA168" t="str">
            <v>Corporate Finance/Buyout</v>
          </cell>
          <cell r="AF168">
            <v>0.64360968422004028</v>
          </cell>
        </row>
        <row r="169">
          <cell r="A169" t="str">
            <v>Textron Master Trust</v>
          </cell>
          <cell r="G169" t="str">
            <v>Bridgepoint Capital Ltd.</v>
          </cell>
          <cell r="I169" t="str">
            <v>Primary Partnership</v>
          </cell>
          <cell r="J169">
            <v>21269902.782250002</v>
          </cell>
          <cell r="K169">
            <v>13701096.550000001</v>
          </cell>
          <cell r="R169" t="str">
            <v>Mid</v>
          </cell>
          <cell r="S169">
            <v>19.636331321007905</v>
          </cell>
          <cell r="Y169">
            <v>15786381.06945</v>
          </cell>
          <cell r="Z169">
            <v>0</v>
          </cell>
          <cell r="AA169" t="str">
            <v>Corporate Finance/Buyout</v>
          </cell>
          <cell r="AF169">
            <v>0.6441541689336604</v>
          </cell>
        </row>
        <row r="170">
          <cell r="A170" t="str">
            <v>The 1199 Health Care Employees Pension Fund</v>
          </cell>
          <cell r="G170" t="str">
            <v>Bridgepoint Capital Ltd.</v>
          </cell>
          <cell r="I170" t="str">
            <v>Primary Partnership</v>
          </cell>
          <cell r="J170">
            <v>13715124.725</v>
          </cell>
          <cell r="K170">
            <v>8832023.9299999997</v>
          </cell>
          <cell r="R170" t="str">
            <v>Mid</v>
          </cell>
          <cell r="S170">
            <v>19.636331321007905</v>
          </cell>
          <cell r="Y170">
            <v>10184760.188100001</v>
          </cell>
          <cell r="Z170">
            <v>0</v>
          </cell>
          <cell r="AA170" t="str">
            <v>Corporate Finance/Buyout</v>
          </cell>
          <cell r="AF170">
            <v>0.64396234865447055</v>
          </cell>
        </row>
        <row r="171">
          <cell r="A171" t="str">
            <v>Clal Insurance Company Ltd.</v>
          </cell>
          <cell r="G171" t="str">
            <v>Bridgepoint Capital Ltd.</v>
          </cell>
          <cell r="I171" t="str">
            <v>Primary Partnership</v>
          </cell>
          <cell r="J171">
            <v>8772300</v>
          </cell>
          <cell r="K171">
            <v>0</v>
          </cell>
          <cell r="R171" t="str">
            <v>Large</v>
          </cell>
          <cell r="Y171">
            <v>0</v>
          </cell>
          <cell r="Z171">
            <v>0</v>
          </cell>
          <cell r="AA171" t="str">
            <v>Corporate Finance/Buyout</v>
          </cell>
          <cell r="AF171">
            <v>0</v>
          </cell>
        </row>
        <row r="172">
          <cell r="A172" t="str">
            <v>Meitavit Atudot Pension Fund</v>
          </cell>
          <cell r="G172" t="str">
            <v>Bridgepoint Capital Ltd.</v>
          </cell>
          <cell r="I172" t="str">
            <v>Primary Partnership</v>
          </cell>
          <cell r="J172">
            <v>5848200</v>
          </cell>
          <cell r="K172">
            <v>0</v>
          </cell>
          <cell r="R172" t="str">
            <v>Large</v>
          </cell>
          <cell r="Y172">
            <v>0</v>
          </cell>
          <cell r="Z172">
            <v>0</v>
          </cell>
          <cell r="AA172" t="str">
            <v>Corporate Finance/Buyout</v>
          </cell>
          <cell r="AF172">
            <v>0</v>
          </cell>
        </row>
        <row r="173">
          <cell r="A173" t="str">
            <v>Mivtachim - The Workers Social Insurance Fund Ltd.</v>
          </cell>
          <cell r="G173" t="str">
            <v>Bridgepoint Capital Ltd.</v>
          </cell>
          <cell r="I173" t="str">
            <v>Primary Partnership</v>
          </cell>
          <cell r="J173">
            <v>16082550</v>
          </cell>
          <cell r="K173">
            <v>0</v>
          </cell>
          <cell r="R173" t="str">
            <v>Large</v>
          </cell>
          <cell r="Y173">
            <v>0</v>
          </cell>
          <cell r="Z173">
            <v>0</v>
          </cell>
          <cell r="AA173" t="str">
            <v>Corporate Finance/Buyout</v>
          </cell>
          <cell r="AF173">
            <v>0</v>
          </cell>
        </row>
        <row r="174">
          <cell r="A174" t="str">
            <v>Winnipeg Civic - Manitoba Ltd.</v>
          </cell>
          <cell r="G174" t="str">
            <v>Bridgepoint Capital Ltd.</v>
          </cell>
          <cell r="I174" t="str">
            <v>Primary Partnership</v>
          </cell>
          <cell r="J174">
            <v>5848200</v>
          </cell>
          <cell r="K174">
            <v>0</v>
          </cell>
          <cell r="R174" t="str">
            <v>Large</v>
          </cell>
          <cell r="Y174">
            <v>0</v>
          </cell>
          <cell r="Z174">
            <v>0</v>
          </cell>
          <cell r="AA174" t="str">
            <v>Corporate Finance/Buyout</v>
          </cell>
          <cell r="AF174">
            <v>0</v>
          </cell>
        </row>
        <row r="175">
          <cell r="A175" t="str">
            <v>Winnipeg Police - Manitoba Ltd.</v>
          </cell>
          <cell r="G175" t="str">
            <v>Bridgepoint Capital Ltd.</v>
          </cell>
          <cell r="I175" t="str">
            <v>Primary Partnership</v>
          </cell>
          <cell r="J175">
            <v>1462050</v>
          </cell>
          <cell r="K175">
            <v>0</v>
          </cell>
          <cell r="R175" t="str">
            <v>Large</v>
          </cell>
          <cell r="Y175">
            <v>0</v>
          </cell>
          <cell r="Z175">
            <v>0</v>
          </cell>
          <cell r="AA175" t="str">
            <v>Corporate Finance/Buyout</v>
          </cell>
          <cell r="AF175">
            <v>0</v>
          </cell>
        </row>
        <row r="176">
          <cell r="A176" t="str">
            <v>Hamilton Lane Co-Investment Fund, L.P.</v>
          </cell>
          <cell r="G176" t="str">
            <v>Lindsay, Goldberg &amp; Bessemer</v>
          </cell>
          <cell r="I176" t="str">
            <v>Co/Direct Investment</v>
          </cell>
          <cell r="J176">
            <v>32408924</v>
          </cell>
          <cell r="K176">
            <v>23000000</v>
          </cell>
          <cell r="R176" t="str">
            <v>Large</v>
          </cell>
          <cell r="S176">
            <v>-8.2156503822261584E-13</v>
          </cell>
          <cell r="Y176">
            <v>23000000</v>
          </cell>
          <cell r="Z176">
            <v>0</v>
          </cell>
          <cell r="AA176" t="str">
            <v>Corporate Finance/Buyout</v>
          </cell>
          <cell r="AF176">
            <v>0.70968107426213844</v>
          </cell>
        </row>
        <row r="177">
          <cell r="A177" t="str">
            <v>Princess Private Equity Subholding Ltd.</v>
          </cell>
          <cell r="G177" t="str">
            <v>Bruckmann, Rosser, Sherrill &amp; Co., Inc.</v>
          </cell>
          <cell r="I177" t="str">
            <v>Primary Partnership</v>
          </cell>
          <cell r="J177">
            <v>15000000</v>
          </cell>
          <cell r="K177">
            <v>14506762.560000004</v>
          </cell>
          <cell r="R177" t="str">
            <v>Mid</v>
          </cell>
          <cell r="S177">
            <v>11.249864627413221</v>
          </cell>
          <cell r="Y177">
            <v>11371610</v>
          </cell>
          <cell r="Z177">
            <v>11162495.32</v>
          </cell>
          <cell r="AA177" t="str">
            <v>Corporate Finance/Buyout</v>
          </cell>
          <cell r="AF177">
            <v>0.96711750400000029</v>
          </cell>
        </row>
        <row r="178">
          <cell r="A178" t="str">
            <v>Textron Master Trust</v>
          </cell>
          <cell r="G178" t="str">
            <v>Bruckmann, Rosser, Sherrill &amp; Co., Inc.</v>
          </cell>
          <cell r="I178" t="str">
            <v>Primary Partnership</v>
          </cell>
          <cell r="J178">
            <v>12553692.85</v>
          </cell>
          <cell r="K178">
            <v>12526108.200000003</v>
          </cell>
          <cell r="R178" t="str">
            <v>Mid</v>
          </cell>
          <cell r="S178">
            <v>10.711845886107385</v>
          </cell>
          <cell r="Y178">
            <v>0</v>
          </cell>
          <cell r="Z178">
            <v>17393673.129999999</v>
          </cell>
          <cell r="AA178" t="str">
            <v>Corporate Finance/Buyout</v>
          </cell>
          <cell r="AF178">
            <v>0.99780266648789351</v>
          </cell>
        </row>
        <row r="179">
          <cell r="A179" t="str">
            <v>The Hudson River Fund</v>
          </cell>
          <cell r="G179" t="str">
            <v>Bruckmann, Rosser, Sherrill &amp; Co., Inc.</v>
          </cell>
          <cell r="I179" t="str">
            <v>Primary Partnership</v>
          </cell>
          <cell r="J179">
            <v>30000000</v>
          </cell>
          <cell r="K179">
            <v>28977210.380000006</v>
          </cell>
          <cell r="R179" t="str">
            <v>Mid</v>
          </cell>
          <cell r="S179">
            <v>11.249864627413221</v>
          </cell>
          <cell r="Y179">
            <v>22743228</v>
          </cell>
          <cell r="Z179">
            <v>22289870.289999999</v>
          </cell>
          <cell r="AA179" t="str">
            <v>Corporate Finance/Buyout</v>
          </cell>
          <cell r="AF179">
            <v>0.9659070126666669</v>
          </cell>
        </row>
        <row r="180">
          <cell r="A180" t="str">
            <v>Golden State Investment Fund, LLC</v>
          </cell>
          <cell r="G180" t="str">
            <v>Caltius Capital Management</v>
          </cell>
          <cell r="I180" t="str">
            <v>Primary Partnership</v>
          </cell>
          <cell r="J180">
            <v>20000000</v>
          </cell>
          <cell r="K180">
            <v>4858583</v>
          </cell>
          <cell r="R180" t="str">
            <v>Small</v>
          </cell>
          <cell r="S180">
            <v>1.3587309331496655</v>
          </cell>
          <cell r="Y180">
            <v>5285200</v>
          </cell>
          <cell r="Z180">
            <v>0</v>
          </cell>
          <cell r="AA180" t="str">
            <v>Corporate Finance/Buyout</v>
          </cell>
          <cell r="AF180">
            <v>0.24292915000000001</v>
          </cell>
        </row>
        <row r="181">
          <cell r="A181" t="str">
            <v>Hamilton Lane-Carpenters Partnership Fund, L.P.</v>
          </cell>
          <cell r="G181" t="str">
            <v>Canterbury Capital</v>
          </cell>
          <cell r="I181" t="str">
            <v>Primary Partnership</v>
          </cell>
          <cell r="J181">
            <v>15000000</v>
          </cell>
          <cell r="K181">
            <v>13169687</v>
          </cell>
          <cell r="R181"/>
          <cell r="S181">
            <v>9.6547816517232867</v>
          </cell>
          <cell r="Y181">
            <v>33679</v>
          </cell>
          <cell r="Z181">
            <v>18680157</v>
          </cell>
          <cell r="AA181" t="str">
            <v>Mezzanine</v>
          </cell>
          <cell r="AF181">
            <v>0.87797913333333333</v>
          </cell>
        </row>
        <row r="182">
          <cell r="A182" t="str">
            <v>Princess Private Equity Subholding Ltd.</v>
          </cell>
          <cell r="G182" t="str">
            <v>Canterbury Capital</v>
          </cell>
          <cell r="I182" t="str">
            <v>Primary Partnership</v>
          </cell>
          <cell r="J182">
            <v>10000000</v>
          </cell>
          <cell r="K182">
            <v>8779790</v>
          </cell>
          <cell r="R182"/>
          <cell r="S182">
            <v>9.6547816517232867</v>
          </cell>
          <cell r="Y182">
            <v>82950</v>
          </cell>
          <cell r="Z182">
            <v>11988758</v>
          </cell>
          <cell r="AA182" t="str">
            <v>Mezzanine</v>
          </cell>
          <cell r="AF182">
            <v>0.87797899999999995</v>
          </cell>
        </row>
        <row r="183">
          <cell r="A183" t="str">
            <v>Unisys Master Trust</v>
          </cell>
          <cell r="G183" t="str">
            <v>Cardinal Health Partners Management, LLC</v>
          </cell>
          <cell r="I183" t="str">
            <v>Primary Partnership</v>
          </cell>
          <cell r="J183">
            <v>2500000</v>
          </cell>
          <cell r="K183">
            <v>2500000</v>
          </cell>
          <cell r="R183" t="str">
            <v>Early Stage</v>
          </cell>
          <cell r="S183">
            <v>9.243173666730975</v>
          </cell>
          <cell r="Y183">
            <v>2715354</v>
          </cell>
          <cell r="Z183">
            <v>1720334.25</v>
          </cell>
          <cell r="AA183" t="str">
            <v>Venture Capital</v>
          </cell>
          <cell r="AF183">
            <v>1</v>
          </cell>
        </row>
        <row r="184">
          <cell r="A184" t="str">
            <v>Hamilton Lane Private Equity Fund IV L.P.</v>
          </cell>
          <cell r="G184" t="str">
            <v>Carlyle Group</v>
          </cell>
          <cell r="I184" t="str">
            <v>Secondary Purchase</v>
          </cell>
          <cell r="J184">
            <v>4573057.18</v>
          </cell>
          <cell r="K184">
            <v>4573057.18</v>
          </cell>
          <cell r="R184" t="str">
            <v>Mid</v>
          </cell>
          <cell r="S184">
            <v>20.7555998132265</v>
          </cell>
          <cell r="Y184">
            <v>0</v>
          </cell>
          <cell r="Z184">
            <v>6649677</v>
          </cell>
          <cell r="AA184" t="str">
            <v>Corporate Finance/Buyout</v>
          </cell>
          <cell r="AF184">
            <v>1</v>
          </cell>
        </row>
        <row r="185">
          <cell r="A185" t="str">
            <v>Royal Mail Pensions Trustees Limited</v>
          </cell>
          <cell r="G185" t="str">
            <v>Carlyle Group</v>
          </cell>
          <cell r="I185" t="str">
            <v>Secondary Purchase</v>
          </cell>
          <cell r="J185">
            <v>6861622</v>
          </cell>
          <cell r="K185">
            <v>7015585.8200000003</v>
          </cell>
          <cell r="R185" t="str">
            <v>Mid</v>
          </cell>
          <cell r="S185">
            <v>20.7555998132265</v>
          </cell>
          <cell r="Y185">
            <v>635165</v>
          </cell>
          <cell r="Z185">
            <v>10529890</v>
          </cell>
          <cell r="AA185" t="str">
            <v>Corporate Finance/Buyout</v>
          </cell>
          <cell r="AF185">
            <v>1.0224384001333795</v>
          </cell>
        </row>
        <row r="186">
          <cell r="A186" t="str">
            <v>Royal Mail Pensions Trustees Limited</v>
          </cell>
          <cell r="G186" t="str">
            <v>Carlyle Group</v>
          </cell>
          <cell r="I186" t="str">
            <v>Primary Partnership</v>
          </cell>
          <cell r="J186">
            <v>965856</v>
          </cell>
          <cell r="K186">
            <v>965856</v>
          </cell>
          <cell r="R186" t="str">
            <v>Mid</v>
          </cell>
          <cell r="S186">
            <v>6.3283168537445977</v>
          </cell>
          <cell r="Y186">
            <v>0</v>
          </cell>
          <cell r="Z186">
            <v>1455732.58</v>
          </cell>
          <cell r="AA186" t="str">
            <v>Corporate Finance/Buyout</v>
          </cell>
          <cell r="AF186">
            <v>1</v>
          </cell>
        </row>
        <row r="187">
          <cell r="A187" t="str">
            <v>Textron Master Trust</v>
          </cell>
          <cell r="G187" t="str">
            <v>Carlyle Group</v>
          </cell>
          <cell r="I187" t="str">
            <v>Primary Partnership</v>
          </cell>
          <cell r="J187">
            <v>965856</v>
          </cell>
          <cell r="K187">
            <v>965856</v>
          </cell>
          <cell r="R187" t="str">
            <v>Mid</v>
          </cell>
          <cell r="S187">
            <v>6.3283168537445977</v>
          </cell>
          <cell r="Y187">
            <v>0</v>
          </cell>
          <cell r="Z187">
            <v>1458773.64</v>
          </cell>
          <cell r="AA187" t="str">
            <v>Corporate Finance/Buyout</v>
          </cell>
          <cell r="AF187">
            <v>1</v>
          </cell>
        </row>
        <row r="188">
          <cell r="A188" t="str">
            <v>The Hudson River Fund II</v>
          </cell>
          <cell r="G188" t="str">
            <v>Carlyle Group</v>
          </cell>
          <cell r="I188" t="str">
            <v>Primary Partnership</v>
          </cell>
          <cell r="J188">
            <v>1937796</v>
          </cell>
          <cell r="K188">
            <v>1937796</v>
          </cell>
          <cell r="R188" t="str">
            <v>Mid</v>
          </cell>
          <cell r="S188">
            <v>6.3283168537445977</v>
          </cell>
          <cell r="Y188">
            <v>0</v>
          </cell>
          <cell r="Z188">
            <v>2917547.29</v>
          </cell>
          <cell r="AA188" t="str">
            <v>Corporate Finance/Buyout</v>
          </cell>
          <cell r="AF188">
            <v>1</v>
          </cell>
        </row>
        <row r="189">
          <cell r="A189" t="str">
            <v>Gad - Gmulim - Hevra Lenihul Kupot Gemel Ltd.</v>
          </cell>
          <cell r="G189" t="str">
            <v>Carlyle Group</v>
          </cell>
          <cell r="I189" t="str">
            <v>Primary Partnership</v>
          </cell>
          <cell r="J189">
            <v>5898900</v>
          </cell>
          <cell r="K189">
            <v>6214238</v>
          </cell>
          <cell r="R189"/>
          <cell r="S189">
            <v>8.2466559935990844</v>
          </cell>
          <cell r="Y189">
            <v>5728986</v>
          </cell>
          <cell r="Z189">
            <v>1097547</v>
          </cell>
          <cell r="AA189" t="str">
            <v>Mezzanine</v>
          </cell>
          <cell r="AF189">
            <v>1.0534570852192782</v>
          </cell>
        </row>
        <row r="190">
          <cell r="A190" t="str">
            <v>Hamilton Lane-Carpenters Partnership Fund II L.P.</v>
          </cell>
          <cell r="G190" t="str">
            <v>Carlyle Group</v>
          </cell>
          <cell r="I190" t="str">
            <v>Primary Partnership</v>
          </cell>
          <cell r="J190">
            <v>10000000</v>
          </cell>
          <cell r="K190">
            <v>10454849</v>
          </cell>
          <cell r="R190"/>
          <cell r="S190">
            <v>8.2466559935990844</v>
          </cell>
          <cell r="Y190">
            <v>9705537</v>
          </cell>
          <cell r="Z190">
            <v>1808173</v>
          </cell>
          <cell r="AA190" t="str">
            <v>Mezzanine</v>
          </cell>
          <cell r="AF190">
            <v>1.0454848999999999</v>
          </cell>
        </row>
        <row r="191">
          <cell r="A191" t="str">
            <v>Harel Gemel Ltd.</v>
          </cell>
          <cell r="G191" t="str">
            <v>Carlyle Group</v>
          </cell>
          <cell r="I191" t="str">
            <v>Primary Partnership</v>
          </cell>
          <cell r="J191">
            <v>2700000</v>
          </cell>
          <cell r="K191">
            <v>2844333</v>
          </cell>
          <cell r="R191"/>
          <cell r="S191">
            <v>8.2466559935990844</v>
          </cell>
          <cell r="Y191">
            <v>2622221</v>
          </cell>
          <cell r="Z191">
            <v>502364</v>
          </cell>
          <cell r="AA191" t="str">
            <v>Mezzanine</v>
          </cell>
          <cell r="AF191">
            <v>1.0534566666666667</v>
          </cell>
        </row>
        <row r="192">
          <cell r="A192" t="str">
            <v>Kovetz Hevra Lenihul Kupot Gemel Ltd.</v>
          </cell>
          <cell r="G192" t="str">
            <v>Carlyle Group</v>
          </cell>
          <cell r="I192" t="str">
            <v>Primary Partnership</v>
          </cell>
          <cell r="J192">
            <v>4101100</v>
          </cell>
          <cell r="K192">
            <v>4320340</v>
          </cell>
          <cell r="R192"/>
          <cell r="S192">
            <v>8.2466559935990844</v>
          </cell>
          <cell r="Y192">
            <v>3982972</v>
          </cell>
          <cell r="Z192">
            <v>763048</v>
          </cell>
          <cell r="AA192" t="str">
            <v>Mezzanine</v>
          </cell>
          <cell r="AF192">
            <v>1.0534588281192852</v>
          </cell>
        </row>
        <row r="193">
          <cell r="A193" t="str">
            <v>Mivtachim - The Workers Social Insurance Fund Ltd.</v>
          </cell>
          <cell r="G193" t="str">
            <v>Carlyle Group</v>
          </cell>
          <cell r="I193" t="str">
            <v>Primary Partnership</v>
          </cell>
          <cell r="J193">
            <v>5000000</v>
          </cell>
          <cell r="K193">
            <v>5267290</v>
          </cell>
          <cell r="R193"/>
          <cell r="S193">
            <v>8.2466559935990844</v>
          </cell>
          <cell r="Y193">
            <v>4855969</v>
          </cell>
          <cell r="Z193">
            <v>930302</v>
          </cell>
          <cell r="AA193" t="str">
            <v>Mezzanine</v>
          </cell>
          <cell r="AF193">
            <v>1.053458</v>
          </cell>
        </row>
        <row r="194">
          <cell r="A194" t="str">
            <v>Prisma Provident Funds Ltd.</v>
          </cell>
          <cell r="G194" t="str">
            <v>Carlyle Group</v>
          </cell>
          <cell r="I194" t="str">
            <v>Primary Partnership</v>
          </cell>
          <cell r="J194">
            <v>2300000</v>
          </cell>
          <cell r="K194">
            <v>2422954</v>
          </cell>
          <cell r="R194"/>
          <cell r="S194">
            <v>8.2466559935990844</v>
          </cell>
          <cell r="Y194">
            <v>2233749</v>
          </cell>
          <cell r="Z194">
            <v>427939</v>
          </cell>
          <cell r="AA194" t="str">
            <v>Mezzanine</v>
          </cell>
          <cell r="AF194">
            <v>1.0534582608695653</v>
          </cell>
        </row>
        <row r="195">
          <cell r="A195" t="str">
            <v>Hamilton Lane Secondary Fund L.P. (Investments)</v>
          </cell>
          <cell r="G195" t="str">
            <v>Carlyle Group</v>
          </cell>
          <cell r="I195" t="str">
            <v>Secondary Purchase</v>
          </cell>
          <cell r="J195">
            <v>20000000</v>
          </cell>
          <cell r="K195">
            <v>21837817</v>
          </cell>
          <cell r="R195"/>
          <cell r="S195">
            <v>8.2466559935990844</v>
          </cell>
          <cell r="Y195">
            <v>19411057</v>
          </cell>
          <cell r="Z195">
            <v>3510897</v>
          </cell>
          <cell r="AA195" t="str">
            <v>Mezzanine</v>
          </cell>
          <cell r="AF195">
            <v>1.09189085</v>
          </cell>
        </row>
        <row r="196">
          <cell r="A196" t="str">
            <v>Princess Private Equity Subholding Ltd.</v>
          </cell>
          <cell r="G196" t="str">
            <v>Carlyle Group</v>
          </cell>
          <cell r="I196" t="str">
            <v>Primary Partnership</v>
          </cell>
          <cell r="J196">
            <v>10000000</v>
          </cell>
          <cell r="K196">
            <v>9923243</v>
          </cell>
          <cell r="R196" t="str">
            <v>Large</v>
          </cell>
          <cell r="S196">
            <v>20.89899866184275</v>
          </cell>
          <cell r="Y196">
            <v>3079719</v>
          </cell>
          <cell r="Z196">
            <v>17309649</v>
          </cell>
          <cell r="AA196" t="str">
            <v>Corporate Finance/Buyout</v>
          </cell>
          <cell r="AF196">
            <v>0.99232430000000005</v>
          </cell>
        </row>
        <row r="197">
          <cell r="A197" t="str">
            <v>Generali Global Private Equity S.A. SICAR</v>
          </cell>
          <cell r="G197" t="str">
            <v>Carlyle Group</v>
          </cell>
          <cell r="I197" t="str">
            <v>Primary Partnership</v>
          </cell>
          <cell r="J197">
            <v>15000000</v>
          </cell>
          <cell r="K197">
            <v>14738972</v>
          </cell>
          <cell r="R197" t="str">
            <v>Mega</v>
          </cell>
          <cell r="S197">
            <v>8.766314989074564</v>
          </cell>
          <cell r="Y197">
            <v>14951079</v>
          </cell>
          <cell r="Z197">
            <v>1314252</v>
          </cell>
          <cell r="AA197" t="str">
            <v>Corporate Finance/Buyout</v>
          </cell>
          <cell r="AF197">
            <v>0.98259813333333335</v>
          </cell>
        </row>
        <row r="198">
          <cell r="A198" t="str">
            <v>I.A.M. National Pension Fund</v>
          </cell>
          <cell r="G198" t="str">
            <v>Carlyle Group</v>
          </cell>
          <cell r="I198" t="str">
            <v>Primary Partnership</v>
          </cell>
          <cell r="J198">
            <v>7000000</v>
          </cell>
          <cell r="K198">
            <v>6881584</v>
          </cell>
          <cell r="R198" t="str">
            <v>Mega</v>
          </cell>
          <cell r="S198">
            <v>8.766314989074564</v>
          </cell>
          <cell r="Y198">
            <v>6982656</v>
          </cell>
          <cell r="Z198">
            <v>619026</v>
          </cell>
          <cell r="AA198" t="str">
            <v>Corporate Finance/Buyout</v>
          </cell>
          <cell r="AF198">
            <v>0.98308342857142861</v>
          </cell>
        </row>
        <row r="199">
          <cell r="A199" t="str">
            <v>Royal Mail Pensions Trustees Limited</v>
          </cell>
          <cell r="G199" t="str">
            <v>Carlyle Group</v>
          </cell>
          <cell r="I199" t="str">
            <v>Primary Partnership</v>
          </cell>
          <cell r="J199">
            <v>10000000</v>
          </cell>
          <cell r="K199">
            <v>9825981</v>
          </cell>
          <cell r="R199" t="str">
            <v>Mega</v>
          </cell>
          <cell r="S199">
            <v>8.766314989074564</v>
          </cell>
          <cell r="Y199">
            <v>9967585</v>
          </cell>
          <cell r="Z199">
            <v>884338</v>
          </cell>
          <cell r="AA199" t="str">
            <v>Corporate Finance/Buyout</v>
          </cell>
          <cell r="AF199">
            <v>0.98259810000000003</v>
          </cell>
        </row>
        <row r="200">
          <cell r="A200" t="str">
            <v>The 1199 Health Care Employees Pension Fund</v>
          </cell>
          <cell r="G200" t="str">
            <v>Carlyle Group</v>
          </cell>
          <cell r="I200" t="str">
            <v>Primary Partnership</v>
          </cell>
          <cell r="J200">
            <v>15000000</v>
          </cell>
          <cell r="K200">
            <v>14746245</v>
          </cell>
          <cell r="R200" t="str">
            <v>Mega</v>
          </cell>
          <cell r="S200">
            <v>8.766314989074564</v>
          </cell>
          <cell r="Y200">
            <v>14962827</v>
          </cell>
          <cell r="Z200">
            <v>1326484</v>
          </cell>
          <cell r="AA200" t="str">
            <v>Corporate Finance/Buyout</v>
          </cell>
          <cell r="AF200">
            <v>0.98308300000000004</v>
          </cell>
        </row>
        <row r="201">
          <cell r="A201" t="str">
            <v>Los Angeles City Employees' Retirement System</v>
          </cell>
          <cell r="G201" t="str">
            <v>Carlyle Group</v>
          </cell>
          <cell r="I201" t="str">
            <v>Primary Partnership</v>
          </cell>
          <cell r="J201">
            <v>30000000</v>
          </cell>
          <cell r="K201">
            <v>6783704</v>
          </cell>
          <cell r="R201" t="str">
            <v>Mega</v>
          </cell>
          <cell r="S201">
            <v>-8.5329780287483956</v>
          </cell>
          <cell r="Y201">
            <v>6577900</v>
          </cell>
          <cell r="Z201">
            <v>1114</v>
          </cell>
          <cell r="AA201" t="str">
            <v>Corporate Finance/Buyout</v>
          </cell>
          <cell r="AF201">
            <v>0.22612346666666666</v>
          </cell>
        </row>
        <row r="202">
          <cell r="A202" t="str">
            <v>Marsh &amp; McLennan Master Retirement Trust</v>
          </cell>
          <cell r="G202" t="str">
            <v>Carlyle Group</v>
          </cell>
          <cell r="I202" t="str">
            <v>Primary Partnership</v>
          </cell>
          <cell r="J202">
            <v>25000000</v>
          </cell>
          <cell r="K202">
            <v>5653086</v>
          </cell>
          <cell r="R202" t="str">
            <v>Mega</v>
          </cell>
          <cell r="S202">
            <v>-8.5329780287483956</v>
          </cell>
          <cell r="Y202">
            <v>5481583</v>
          </cell>
          <cell r="Z202">
            <v>928</v>
          </cell>
          <cell r="AA202" t="str">
            <v>Corporate Finance/Buyout</v>
          </cell>
          <cell r="AF202">
            <v>0.22612344000000001</v>
          </cell>
        </row>
        <row r="203">
          <cell r="A203" t="str">
            <v>Hamilton Lane Private Equity Fund IV L.P.</v>
          </cell>
          <cell r="G203" t="str">
            <v>Carlyle Group</v>
          </cell>
          <cell r="I203" t="str">
            <v>Co/Direct Investment</v>
          </cell>
          <cell r="J203">
            <v>9795789.7261166852</v>
          </cell>
          <cell r="K203">
            <v>9394471.9467999991</v>
          </cell>
          <cell r="R203" t="str">
            <v>Large</v>
          </cell>
          <cell r="S203">
            <v>42.962410220784705</v>
          </cell>
          <cell r="Y203">
            <v>819358.14</v>
          </cell>
          <cell r="Z203">
            <v>27322642.563801963</v>
          </cell>
          <cell r="AA203" t="str">
            <v>Corporate Finance/Buyout</v>
          </cell>
          <cell r="AF203">
            <v>0.95903160535931808</v>
          </cell>
        </row>
        <row r="204">
          <cell r="A204" t="str">
            <v>Hudson River Co-Investment Fund L.P.</v>
          </cell>
          <cell r="G204" t="str">
            <v>Carlyle Group</v>
          </cell>
          <cell r="I204" t="str">
            <v>Co/Direct Investment</v>
          </cell>
          <cell r="J204">
            <v>18387626.165502649</v>
          </cell>
          <cell r="K204">
            <v>18788943.93</v>
          </cell>
          <cell r="R204" t="str">
            <v>Large</v>
          </cell>
          <cell r="S204">
            <v>42.962410220784705</v>
          </cell>
          <cell r="Y204">
            <v>1638718.2738000001</v>
          </cell>
          <cell r="Z204">
            <v>54807478.029766001</v>
          </cell>
          <cell r="AA204" t="str">
            <v>Corporate Finance/Buyout</v>
          </cell>
          <cell r="AF204">
            <v>1.0218254254728254</v>
          </cell>
        </row>
        <row r="205">
          <cell r="A205" t="str">
            <v>Marsh &amp; McLennan Master Retirement Trust</v>
          </cell>
          <cell r="G205" t="str">
            <v>Carlyle Group</v>
          </cell>
          <cell r="I205" t="str">
            <v>Primary Partnership</v>
          </cell>
          <cell r="J205">
            <v>10000000</v>
          </cell>
          <cell r="K205">
            <v>2049560</v>
          </cell>
          <cell r="R205" t="str">
            <v>Value-Add</v>
          </cell>
          <cell r="S205">
            <v>32.651729706331459</v>
          </cell>
          <cell r="Y205">
            <v>2514008</v>
          </cell>
          <cell r="Z205">
            <v>15491</v>
          </cell>
          <cell r="AA205" t="str">
            <v>Real Estate</v>
          </cell>
          <cell r="AF205">
            <v>0.204956</v>
          </cell>
        </row>
        <row r="206">
          <cell r="A206" t="str">
            <v>The Hudson River Fund II</v>
          </cell>
          <cell r="G206" t="str">
            <v>Carlyle Group</v>
          </cell>
          <cell r="I206" t="str">
            <v>Primary Partnership</v>
          </cell>
          <cell r="J206">
            <v>30000000</v>
          </cell>
          <cell r="K206">
            <v>16604464.9</v>
          </cell>
          <cell r="R206" t="str">
            <v>Industry Focused</v>
          </cell>
          <cell r="S206">
            <v>0.40705894950989752</v>
          </cell>
          <cell r="Y206">
            <v>16655930</v>
          </cell>
          <cell r="Z206">
            <v>0</v>
          </cell>
          <cell r="AA206" t="str">
            <v>Special Situation</v>
          </cell>
          <cell r="AF206">
            <v>0.55348216333333333</v>
          </cell>
        </row>
        <row r="207">
          <cell r="A207" t="str">
            <v>Hamilton Lane-Carpenters Partnership Fund II L.P.</v>
          </cell>
          <cell r="G207" t="str">
            <v>Cerberus Capital Management</v>
          </cell>
          <cell r="I207" t="str">
            <v>Primary Partnership</v>
          </cell>
          <cell r="J207">
            <v>10000000</v>
          </cell>
          <cell r="K207">
            <v>4450000</v>
          </cell>
          <cell r="R207" t="str">
            <v>Distressed/Turnaround</v>
          </cell>
          <cell r="S207">
            <v>-7.7141048115387694</v>
          </cell>
          <cell r="Y207">
            <v>4255260</v>
          </cell>
          <cell r="Z207">
            <v>0</v>
          </cell>
          <cell r="AA207" t="str">
            <v>Special Situation</v>
          </cell>
          <cell r="AF207">
            <v>0.44500000000000001</v>
          </cell>
        </row>
        <row r="208">
          <cell r="A208" t="str">
            <v>Marsh &amp; McLennan Master Retirement Trust</v>
          </cell>
          <cell r="G208" t="str">
            <v>Cerberus Capital Management</v>
          </cell>
          <cell r="I208" t="str">
            <v>Primary Partnership</v>
          </cell>
          <cell r="J208">
            <v>15000000</v>
          </cell>
          <cell r="K208">
            <v>6675000</v>
          </cell>
          <cell r="R208" t="str">
            <v>Distressed/Turnaround</v>
          </cell>
          <cell r="S208">
            <v>-7.7141048115387694</v>
          </cell>
          <cell r="Y208">
            <v>6379161</v>
          </cell>
          <cell r="Z208">
            <v>0</v>
          </cell>
          <cell r="AA208" t="str">
            <v>Special Situation</v>
          </cell>
          <cell r="AF208">
            <v>0.44500000000000001</v>
          </cell>
        </row>
        <row r="209">
          <cell r="A209" t="str">
            <v>Royal Mail Pensions Trustees Limited</v>
          </cell>
          <cell r="G209" t="str">
            <v>Charterhouse</v>
          </cell>
          <cell r="I209" t="str">
            <v>Primary Partnership</v>
          </cell>
          <cell r="J209">
            <v>18524411.709497701</v>
          </cell>
          <cell r="K209">
            <v>15371279.264119197</v>
          </cell>
          <cell r="R209" t="str">
            <v>Large</v>
          </cell>
          <cell r="S209">
            <v>48.292565231388274</v>
          </cell>
          <cell r="Y209">
            <v>8436284.3587500006</v>
          </cell>
          <cell r="Z209">
            <v>23897888.630809002</v>
          </cell>
          <cell r="AA209" t="str">
            <v>Corporate Finance/Buyout</v>
          </cell>
          <cell r="AF209">
            <v>0.82978501585765052</v>
          </cell>
        </row>
        <row r="210">
          <cell r="A210" t="str">
            <v>Los Angeles City Employees' Retirement System</v>
          </cell>
          <cell r="G210" t="str">
            <v>Charterhouse</v>
          </cell>
          <cell r="I210" t="str">
            <v>Primary Partnership</v>
          </cell>
          <cell r="J210">
            <v>22185005.048661001</v>
          </cell>
          <cell r="K210">
            <v>13509721.511003999</v>
          </cell>
          <cell r="R210" t="str">
            <v>Large</v>
          </cell>
          <cell r="S210">
            <v>4.7449873025022349</v>
          </cell>
          <cell r="Y210">
            <v>14001444.6372</v>
          </cell>
          <cell r="Z210">
            <v>0</v>
          </cell>
          <cell r="AA210" t="str">
            <v>Corporate Finance/Buyout</v>
          </cell>
          <cell r="AF210">
            <v>0.60895733317939416</v>
          </cell>
        </row>
        <row r="211">
          <cell r="A211" t="str">
            <v>NJHL European Buyout Investment Fund, L.P.</v>
          </cell>
          <cell r="G211" t="str">
            <v>Charterhouse</v>
          </cell>
          <cell r="I211" t="str">
            <v>Primary Partnership</v>
          </cell>
          <cell r="J211">
            <v>27793623.227398999</v>
          </cell>
          <cell r="K211">
            <v>16949518.783397</v>
          </cell>
          <cell r="R211" t="str">
            <v>Large</v>
          </cell>
          <cell r="S211">
            <v>4.7449873025022349</v>
          </cell>
          <cell r="Y211">
            <v>17501805.796500001</v>
          </cell>
          <cell r="Z211">
            <v>0</v>
          </cell>
          <cell r="AA211" t="str">
            <v>Corporate Finance/Buyout</v>
          </cell>
          <cell r="AF211">
            <v>0.60983480436217963</v>
          </cell>
        </row>
        <row r="212">
          <cell r="A212" t="str">
            <v>Royal Mail Pensions Trustees Limited</v>
          </cell>
          <cell r="G212" t="str">
            <v>Charterhouse</v>
          </cell>
          <cell r="I212" t="str">
            <v>Primary Partnership</v>
          </cell>
          <cell r="J212">
            <v>11100940.1166855</v>
          </cell>
          <cell r="K212">
            <v>6763298.318616</v>
          </cell>
          <cell r="R212" t="str">
            <v>Large</v>
          </cell>
          <cell r="S212">
            <v>4.7449873025022349</v>
          </cell>
          <cell r="Y212">
            <v>7000720.8565500006</v>
          </cell>
          <cell r="Z212">
            <v>0</v>
          </cell>
          <cell r="AA212" t="str">
            <v>Corporate Finance/Buyout</v>
          </cell>
          <cell r="AF212">
            <v>0.6092545538958708</v>
          </cell>
        </row>
        <row r="213">
          <cell r="A213" t="str">
            <v>Hamilton Lane Secondary Fund L.P. (Investments)</v>
          </cell>
          <cell r="G213" t="str">
            <v>Charterhouse</v>
          </cell>
          <cell r="I213" t="str">
            <v>Secondary Purchase</v>
          </cell>
          <cell r="J213">
            <v>13081880.199999999</v>
          </cell>
          <cell r="K213">
            <v>10437387.479999999</v>
          </cell>
          <cell r="R213" t="str">
            <v>Mid</v>
          </cell>
          <cell r="S213">
            <v>20.871373581913023</v>
          </cell>
          <cell r="Y213">
            <v>11012943.15</v>
          </cell>
          <cell r="Z213">
            <v>4023122.41</v>
          </cell>
          <cell r="AA213" t="str">
            <v>Corporate Finance/Buyout</v>
          </cell>
          <cell r="AF213">
            <v>0.79785071567923382</v>
          </cell>
        </row>
        <row r="214">
          <cell r="A214" t="str">
            <v>Princess Private Equity Subholding Ltd.</v>
          </cell>
          <cell r="G214" t="str">
            <v>Chase Capital Partners</v>
          </cell>
          <cell r="I214" t="str">
            <v>Secondary Fund-of-Funds</v>
          </cell>
          <cell r="J214">
            <v>20000000</v>
          </cell>
          <cell r="K214">
            <v>22085388</v>
          </cell>
          <cell r="R214" t="str">
            <v>Multi-Stage</v>
          </cell>
          <cell r="S214">
            <v>8.9408641472782158</v>
          </cell>
          <cell r="Y214">
            <v>2397973</v>
          </cell>
          <cell r="Z214">
            <v>31824368.719999999</v>
          </cell>
          <cell r="AA214" t="str">
            <v>Special Situation</v>
          </cell>
          <cell r="AF214">
            <v>1.1042694</v>
          </cell>
        </row>
        <row r="215">
          <cell r="A215" t="str">
            <v>Hamilton Lane-Carpenters Partnership Fund, L.P.</v>
          </cell>
          <cell r="G215" t="str">
            <v>Nautic Partners LLC</v>
          </cell>
          <cell r="I215" t="str">
            <v>Primary Partnership</v>
          </cell>
          <cell r="J215">
            <v>15000000</v>
          </cell>
          <cell r="K215">
            <v>13874029.019999998</v>
          </cell>
          <cell r="R215" t="str">
            <v>Multi-Stage</v>
          </cell>
          <cell r="S215">
            <v>-3.848024964496366</v>
          </cell>
          <cell r="Y215">
            <v>6698369</v>
          </cell>
          <cell r="Z215">
            <v>4171110.52</v>
          </cell>
          <cell r="AA215" t="str">
            <v>Special Situation</v>
          </cell>
          <cell r="AF215">
            <v>0.92493526799999981</v>
          </cell>
        </row>
        <row r="216">
          <cell r="A216" t="str">
            <v>Hamilton Lane-Carpenters Partnership Fund, L.P.</v>
          </cell>
          <cell r="G216" t="str">
            <v>Cardinal Health Partners Management, LLC</v>
          </cell>
          <cell r="I216" t="str">
            <v>Primary Partnership</v>
          </cell>
          <cell r="J216">
            <v>3000000</v>
          </cell>
          <cell r="K216">
            <v>2790261</v>
          </cell>
          <cell r="R216" t="str">
            <v>Early Stage</v>
          </cell>
          <cell r="S216">
            <v>16.00615553445688</v>
          </cell>
          <cell r="Y216">
            <v>2087389</v>
          </cell>
          <cell r="Z216">
            <v>2602245.42</v>
          </cell>
          <cell r="AA216" t="str">
            <v>Venture Capital</v>
          </cell>
          <cell r="AF216">
            <v>0.930087</v>
          </cell>
        </row>
        <row r="217">
          <cell r="A217" t="str">
            <v>Princess Private Equity Subholding Ltd.</v>
          </cell>
          <cell r="G217" t="str">
            <v>Cardinal Health Partners Management, LLC</v>
          </cell>
          <cell r="I217" t="str">
            <v>Primary Partnership</v>
          </cell>
          <cell r="J217">
            <v>5000000</v>
          </cell>
          <cell r="K217">
            <v>4650437</v>
          </cell>
          <cell r="R217" t="str">
            <v>Early Stage</v>
          </cell>
          <cell r="S217">
            <v>16.00615553445688</v>
          </cell>
          <cell r="Y217">
            <v>3478918</v>
          </cell>
          <cell r="Z217">
            <v>4337131.43</v>
          </cell>
          <cell r="AA217" t="str">
            <v>Venture Capital</v>
          </cell>
          <cell r="AF217">
            <v>0.93008740000000001</v>
          </cell>
        </row>
        <row r="218">
          <cell r="A218" t="str">
            <v>Textron Master Trust</v>
          </cell>
          <cell r="G218" t="str">
            <v>Cardinal Health Partners Management, LLC</v>
          </cell>
          <cell r="I218" t="str">
            <v>Primary Partnership</v>
          </cell>
          <cell r="J218">
            <v>7328878</v>
          </cell>
          <cell r="K218">
            <v>7328878</v>
          </cell>
          <cell r="R218" t="str">
            <v>Early Stage</v>
          </cell>
          <cell r="S218">
            <v>0.67812512156555371</v>
          </cell>
          <cell r="Y218">
            <v>0</v>
          </cell>
          <cell r="Z218">
            <v>7474398.5499999998</v>
          </cell>
          <cell r="AA218" t="str">
            <v>Venture Capital</v>
          </cell>
          <cell r="AF218">
            <v>1</v>
          </cell>
        </row>
        <row r="219">
          <cell r="A219" t="str">
            <v>Unisys Master Trust</v>
          </cell>
          <cell r="G219" t="str">
            <v>Cardinal Health Partners Management, LLC</v>
          </cell>
          <cell r="I219" t="str">
            <v>Primary Partnership</v>
          </cell>
          <cell r="J219">
            <v>3000000</v>
          </cell>
          <cell r="K219">
            <v>2790261</v>
          </cell>
          <cell r="R219" t="str">
            <v>Early Stage</v>
          </cell>
          <cell r="S219">
            <v>16.00615553445688</v>
          </cell>
          <cell r="Y219">
            <v>2087389</v>
          </cell>
          <cell r="Z219">
            <v>2602245.42</v>
          </cell>
          <cell r="AA219" t="str">
            <v>Venture Capital</v>
          </cell>
          <cell r="AF219">
            <v>0.930087</v>
          </cell>
        </row>
        <row r="220">
          <cell r="A220" t="str">
            <v>Hamilton Lane-Carpenters Partnership Fund II L.P.</v>
          </cell>
          <cell r="G220" t="str">
            <v>Cardinal Health Partners Management, LLC</v>
          </cell>
          <cell r="I220" t="str">
            <v>Primary Partnership</v>
          </cell>
          <cell r="J220">
            <v>5000000</v>
          </cell>
          <cell r="K220">
            <v>892957</v>
          </cell>
          <cell r="R220" t="str">
            <v>Early Stage</v>
          </cell>
          <cell r="S220">
            <v>-19.320348814127442</v>
          </cell>
          <cell r="Y220">
            <v>783815</v>
          </cell>
          <cell r="Z220">
            <v>0</v>
          </cell>
          <cell r="AA220" t="str">
            <v>Venture Capital</v>
          </cell>
          <cell r="AF220">
            <v>0.17859140000000001</v>
          </cell>
        </row>
        <row r="221">
          <cell r="A221" t="str">
            <v>Indiana State Teachers' Retirement Fund</v>
          </cell>
          <cell r="G221" t="str">
            <v>Cardinal Health Partners Management, LLC</v>
          </cell>
          <cell r="I221" t="str">
            <v>Primary Partnership</v>
          </cell>
          <cell r="J221">
            <v>15000000</v>
          </cell>
          <cell r="K221">
            <v>0</v>
          </cell>
          <cell r="R221" t="str">
            <v>Early Stage</v>
          </cell>
          <cell r="S221">
            <v>-19.320348814127442</v>
          </cell>
          <cell r="Y221">
            <v>0</v>
          </cell>
          <cell r="Z221">
            <v>0</v>
          </cell>
          <cell r="AA221" t="str">
            <v>Venture Capital</v>
          </cell>
          <cell r="AF221">
            <v>0</v>
          </cell>
        </row>
        <row r="222">
          <cell r="A222" t="str">
            <v>International Union of Operating Engineers</v>
          </cell>
          <cell r="G222" t="str">
            <v>Cardinal Health Partners Management, LLC</v>
          </cell>
          <cell r="I222" t="str">
            <v>Primary Partnership</v>
          </cell>
          <cell r="J222">
            <v>5000000</v>
          </cell>
          <cell r="K222">
            <v>892957</v>
          </cell>
          <cell r="R222" t="str">
            <v>Early Stage</v>
          </cell>
          <cell r="S222">
            <v>-19.320348814127442</v>
          </cell>
          <cell r="Y222">
            <v>783815</v>
          </cell>
          <cell r="Z222">
            <v>0</v>
          </cell>
          <cell r="AA222" t="str">
            <v>Venture Capital</v>
          </cell>
          <cell r="AF222">
            <v>0.17859140000000001</v>
          </cell>
        </row>
        <row r="223">
          <cell r="A223" t="str">
            <v>Los Angeles City Employees' Retirement System</v>
          </cell>
          <cell r="G223" t="str">
            <v>Cardinal Health Partners Management, LLC</v>
          </cell>
          <cell r="I223" t="str">
            <v>Primary Partnership</v>
          </cell>
          <cell r="J223">
            <v>15000000</v>
          </cell>
          <cell r="K223">
            <v>2678870</v>
          </cell>
          <cell r="R223" t="str">
            <v>Early Stage</v>
          </cell>
          <cell r="S223">
            <v>-19.320348814127442</v>
          </cell>
          <cell r="Y223">
            <v>2351445</v>
          </cell>
          <cell r="Z223">
            <v>0</v>
          </cell>
          <cell r="AA223" t="str">
            <v>Venture Capital</v>
          </cell>
          <cell r="AF223">
            <v>0.17859133333333332</v>
          </cell>
        </row>
        <row r="224">
          <cell r="A224" t="str">
            <v>Royal Mail Pensions Trustees Limited</v>
          </cell>
          <cell r="G224" t="str">
            <v>Cardinal Health Partners Management, LLC</v>
          </cell>
          <cell r="I224" t="str">
            <v>Primary Partnership</v>
          </cell>
          <cell r="J224">
            <v>10000000</v>
          </cell>
          <cell r="K224">
            <v>1785911</v>
          </cell>
          <cell r="R224" t="str">
            <v>Early Stage</v>
          </cell>
          <cell r="S224">
            <v>-19.320348814127442</v>
          </cell>
          <cell r="Y224">
            <v>1567627</v>
          </cell>
          <cell r="Z224">
            <v>0</v>
          </cell>
          <cell r="AA224" t="str">
            <v>Venture Capital</v>
          </cell>
          <cell r="AF224">
            <v>0.1785911</v>
          </cell>
        </row>
        <row r="225">
          <cell r="A225" t="str">
            <v>Winnipeg Civic - Manitoba Ltd.</v>
          </cell>
          <cell r="G225" t="str">
            <v>Cardinal Health Partners Management, LLC</v>
          </cell>
          <cell r="I225" t="str">
            <v>Primary Partnership</v>
          </cell>
          <cell r="J225">
            <v>2400000</v>
          </cell>
          <cell r="K225">
            <v>0</v>
          </cell>
          <cell r="R225" t="str">
            <v>Early Stage</v>
          </cell>
          <cell r="S225">
            <v>-19.320348814127442</v>
          </cell>
          <cell r="Y225">
            <v>0</v>
          </cell>
          <cell r="Z225">
            <v>0</v>
          </cell>
          <cell r="AA225" t="str">
            <v>Venture Capital</v>
          </cell>
          <cell r="AF225">
            <v>0</v>
          </cell>
        </row>
        <row r="226">
          <cell r="A226" t="str">
            <v>Winnipeg Police - Manitoba Ltd.</v>
          </cell>
          <cell r="G226" t="str">
            <v>Cardinal Health Partners Management, LLC</v>
          </cell>
          <cell r="I226" t="str">
            <v>Primary Partnership</v>
          </cell>
          <cell r="J226">
            <v>600000</v>
          </cell>
          <cell r="K226">
            <v>0</v>
          </cell>
          <cell r="R226" t="str">
            <v>Early Stage</v>
          </cell>
          <cell r="S226">
            <v>-19.320348814127442</v>
          </cell>
          <cell r="Y226">
            <v>0</v>
          </cell>
          <cell r="Z226">
            <v>0</v>
          </cell>
          <cell r="AA226" t="str">
            <v>Venture Capital</v>
          </cell>
          <cell r="AF226">
            <v>0</v>
          </cell>
        </row>
        <row r="227">
          <cell r="A227" t="str">
            <v>The Hudson River Fund II</v>
          </cell>
          <cell r="G227" t="str">
            <v>Cognetas</v>
          </cell>
          <cell r="I227" t="str">
            <v>Primary Partnership</v>
          </cell>
          <cell r="J227">
            <v>21951521.522583257</v>
          </cell>
          <cell r="K227">
            <v>9419755.7145022005</v>
          </cell>
          <cell r="R227" t="str">
            <v>Mid</v>
          </cell>
          <cell r="S227">
            <v>-12.6700101442626</v>
          </cell>
          <cell r="Y227">
            <v>6759057.1500000004</v>
          </cell>
          <cell r="Z227">
            <v>1081489.1499999999</v>
          </cell>
          <cell r="AA227" t="str">
            <v>Corporate Finance/Buyout</v>
          </cell>
          <cell r="AF227">
            <v>0.42911630088198471</v>
          </cell>
        </row>
        <row r="228">
          <cell r="A228" t="str">
            <v>The Hudson River Fund</v>
          </cell>
          <cell r="G228" t="str">
            <v>Cognetas</v>
          </cell>
          <cell r="I228" t="str">
            <v>Primary Partnership</v>
          </cell>
          <cell r="J228">
            <v>33072701.023028951</v>
          </cell>
          <cell r="K228">
            <v>33146482.907508202</v>
          </cell>
          <cell r="R228" t="str">
            <v>Mid</v>
          </cell>
          <cell r="S228">
            <v>31.346966606866221</v>
          </cell>
          <cell r="Y228">
            <v>16211210.4</v>
          </cell>
          <cell r="Z228">
            <v>56902712.912253186</v>
          </cell>
          <cell r="AA228" t="str">
            <v>Corporate Finance/Buyout</v>
          </cell>
          <cell r="AF228">
            <v>1.0022308998720084</v>
          </cell>
        </row>
        <row r="229">
          <cell r="A229" t="str">
            <v>Gad - Gmulim - Hevra Lenihul Kupot Gemel Ltd.</v>
          </cell>
          <cell r="G229" t="str">
            <v>Coller International Partners</v>
          </cell>
          <cell r="I229" t="str">
            <v>Secondary Fund-of-Funds</v>
          </cell>
          <cell r="J229">
            <v>2000000</v>
          </cell>
          <cell r="K229">
            <v>345000</v>
          </cell>
          <cell r="R229" t="str">
            <v>Multi-Stage</v>
          </cell>
          <cell r="S229">
            <v>16.953561867660305</v>
          </cell>
          <cell r="Y229">
            <v>334189</v>
          </cell>
          <cell r="Z229">
            <v>20000</v>
          </cell>
          <cell r="AA229" t="str">
            <v>Special Situation</v>
          </cell>
          <cell r="AF229">
            <v>0.17249999999999999</v>
          </cell>
        </row>
        <row r="230">
          <cell r="A230" t="str">
            <v>Harel Gemel Ltd.</v>
          </cell>
          <cell r="G230" t="str">
            <v>Coller International Partners</v>
          </cell>
          <cell r="I230" t="str">
            <v>Secondary Fund-of-Funds</v>
          </cell>
          <cell r="J230">
            <v>2160000</v>
          </cell>
          <cell r="K230">
            <v>351540</v>
          </cell>
          <cell r="R230" t="str">
            <v>Multi-Stage</v>
          </cell>
          <cell r="S230">
            <v>16.953561867660305</v>
          </cell>
          <cell r="Y230">
            <v>360482</v>
          </cell>
          <cell r="Z230">
            <v>21600</v>
          </cell>
          <cell r="AA230" t="str">
            <v>Special Situation</v>
          </cell>
          <cell r="AF230">
            <v>0.16275000000000001</v>
          </cell>
        </row>
        <row r="231">
          <cell r="A231" t="str">
            <v>Kovetz Hevra Lenihul Kupot Gemel Ltd.</v>
          </cell>
          <cell r="G231" t="str">
            <v>Coller International Partners</v>
          </cell>
          <cell r="I231" t="str">
            <v>Secondary Fund-of-Funds</v>
          </cell>
          <cell r="J231">
            <v>1500000</v>
          </cell>
          <cell r="K231">
            <v>258750</v>
          </cell>
          <cell r="R231" t="str">
            <v>Multi-Stage</v>
          </cell>
          <cell r="S231">
            <v>16.953561867660305</v>
          </cell>
          <cell r="Y231">
            <v>250642</v>
          </cell>
          <cell r="Z231">
            <v>15000</v>
          </cell>
          <cell r="AA231" t="str">
            <v>Special Situation</v>
          </cell>
          <cell r="AF231">
            <v>0.17249999999999999</v>
          </cell>
        </row>
        <row r="232">
          <cell r="A232" t="str">
            <v>Mivtachim - The Workers Social Insurance Fund Ltd.</v>
          </cell>
          <cell r="G232" t="str">
            <v>Coller International Partners</v>
          </cell>
          <cell r="I232" t="str">
            <v>Secondary Fund-of-Funds</v>
          </cell>
          <cell r="J232">
            <v>3500000</v>
          </cell>
          <cell r="K232">
            <v>569625</v>
          </cell>
          <cell r="R232" t="str">
            <v>Multi-Stage</v>
          </cell>
          <cell r="S232">
            <v>16.953561867660305</v>
          </cell>
          <cell r="Y232">
            <v>584114</v>
          </cell>
          <cell r="Z232">
            <v>35000</v>
          </cell>
          <cell r="AA232" t="str">
            <v>Special Situation</v>
          </cell>
          <cell r="AF232">
            <v>0.16275000000000001</v>
          </cell>
        </row>
        <row r="233">
          <cell r="A233" t="str">
            <v>NJHL European Buyout Investment Fund, L.P.</v>
          </cell>
          <cell r="G233" t="str">
            <v>Coller International Partners</v>
          </cell>
          <cell r="I233" t="str">
            <v>Secondary Fund-of-Funds</v>
          </cell>
          <cell r="J233">
            <v>25000000</v>
          </cell>
          <cell r="K233">
            <v>4068750</v>
          </cell>
          <cell r="R233" t="str">
            <v>Multi-Stage</v>
          </cell>
          <cell r="S233">
            <v>16.953561867660305</v>
          </cell>
          <cell r="Y233">
            <v>4172303</v>
          </cell>
          <cell r="Z233">
            <v>252537.17</v>
          </cell>
          <cell r="AA233" t="str">
            <v>Special Situation</v>
          </cell>
          <cell r="AF233">
            <v>0.16275000000000001</v>
          </cell>
        </row>
        <row r="234">
          <cell r="A234" t="str">
            <v>Prisma Provident Funds Ltd.</v>
          </cell>
          <cell r="G234" t="str">
            <v>Coller International Partners</v>
          </cell>
          <cell r="I234" t="str">
            <v>Secondary Fund-of-Funds</v>
          </cell>
          <cell r="J234">
            <v>1840000</v>
          </cell>
          <cell r="K234">
            <v>299460</v>
          </cell>
          <cell r="R234" t="str">
            <v>Multi-Stage</v>
          </cell>
          <cell r="S234">
            <v>16.953561867660305</v>
          </cell>
          <cell r="Y234">
            <v>307077</v>
          </cell>
          <cell r="Z234">
            <v>18400</v>
          </cell>
          <cell r="AA234" t="str">
            <v>Special Situation</v>
          </cell>
          <cell r="AF234">
            <v>0.16275000000000001</v>
          </cell>
        </row>
        <row r="235">
          <cell r="A235" t="str">
            <v>Royal Mail Pensions Trustees Limited</v>
          </cell>
          <cell r="G235" t="str">
            <v>Coller International Partners</v>
          </cell>
          <cell r="I235" t="str">
            <v>Secondary Fund-of-Funds</v>
          </cell>
          <cell r="J235">
            <v>15000000</v>
          </cell>
          <cell r="K235">
            <v>2441250</v>
          </cell>
          <cell r="R235" t="str">
            <v>Multi-Stage</v>
          </cell>
          <cell r="S235">
            <v>16.953561867660305</v>
          </cell>
          <cell r="Y235">
            <v>2503346</v>
          </cell>
          <cell r="Z235">
            <v>150000</v>
          </cell>
          <cell r="AA235" t="str">
            <v>Special Situation</v>
          </cell>
          <cell r="AF235">
            <v>0.16275000000000001</v>
          </cell>
        </row>
        <row r="236">
          <cell r="A236" t="str">
            <v>The Essex County Council</v>
          </cell>
          <cell r="G236" t="str">
            <v>Coller International Partners</v>
          </cell>
          <cell r="I236" t="str">
            <v>Secondary Fund-of-Funds</v>
          </cell>
          <cell r="J236">
            <v>7000000</v>
          </cell>
          <cell r="K236">
            <v>1139250</v>
          </cell>
          <cell r="R236" t="str">
            <v>Multi-Stage</v>
          </cell>
          <cell r="S236">
            <v>16.953561867660305</v>
          </cell>
          <cell r="Y236">
            <v>1168244</v>
          </cell>
          <cell r="Z236">
            <v>70000</v>
          </cell>
          <cell r="AA236" t="str">
            <v>Special Situation</v>
          </cell>
          <cell r="AF236">
            <v>0.16275000000000001</v>
          </cell>
        </row>
        <row r="237">
          <cell r="A237" t="str">
            <v>Textron Master Trust</v>
          </cell>
          <cell r="G237" t="str">
            <v>Columbia Capital</v>
          </cell>
          <cell r="I237" t="str">
            <v>Primary Partnership</v>
          </cell>
          <cell r="J237">
            <v>10000000</v>
          </cell>
          <cell r="K237">
            <v>9951550.3400000073</v>
          </cell>
          <cell r="R237" t="str">
            <v>Early Stage</v>
          </cell>
          <cell r="S237">
            <v>-7.9505346077872519</v>
          </cell>
          <cell r="Y237">
            <v>1481605</v>
          </cell>
          <cell r="Z237">
            <v>5898904.2000000002</v>
          </cell>
          <cell r="AA237" t="str">
            <v>Venture Capital</v>
          </cell>
          <cell r="AF237">
            <v>0.99515503400000072</v>
          </cell>
        </row>
        <row r="238">
          <cell r="A238" t="str">
            <v>Unisys Master Trust</v>
          </cell>
          <cell r="G238" t="str">
            <v>Columbia Capital</v>
          </cell>
          <cell r="I238" t="str">
            <v>Primary Partnership</v>
          </cell>
          <cell r="J238">
            <v>3000000</v>
          </cell>
          <cell r="K238">
            <v>2985069.09</v>
          </cell>
          <cell r="R238" t="str">
            <v>Early Stage</v>
          </cell>
          <cell r="S238">
            <v>-7.9505346077872519</v>
          </cell>
          <cell r="Y238">
            <v>444482</v>
          </cell>
          <cell r="Z238">
            <v>1769275.27</v>
          </cell>
          <cell r="AA238" t="str">
            <v>Venture Capital</v>
          </cell>
          <cell r="AF238">
            <v>0.99502302999999992</v>
          </cell>
        </row>
        <row r="239">
          <cell r="A239" t="str">
            <v>Hamilton Lane-Carpenters Partnership Fund, L.P.</v>
          </cell>
          <cell r="G239" t="str">
            <v>Columbia Capital (QP)</v>
          </cell>
          <cell r="I239" t="str">
            <v>Primary Partnership</v>
          </cell>
          <cell r="J239">
            <v>8000000</v>
          </cell>
          <cell r="K239">
            <v>8063881.9000000004</v>
          </cell>
          <cell r="R239" t="str">
            <v>Multi-Stage</v>
          </cell>
          <cell r="S239">
            <v>7.0507385657047061</v>
          </cell>
          <cell r="Y239">
            <v>5711710</v>
          </cell>
          <cell r="Z239">
            <v>4640799.8499999996</v>
          </cell>
          <cell r="AA239" t="str">
            <v>Venture Capital</v>
          </cell>
          <cell r="AF239">
            <v>1.0079852375</v>
          </cell>
        </row>
        <row r="240">
          <cell r="A240" t="str">
            <v>Princess Private Equity Subholding Ltd.</v>
          </cell>
          <cell r="G240" t="str">
            <v>Columbia Capital (Cayman)</v>
          </cell>
          <cell r="I240" t="str">
            <v>Primary Partnership</v>
          </cell>
          <cell r="J240">
            <v>10000000</v>
          </cell>
          <cell r="K240">
            <v>10084752.309999997</v>
          </cell>
          <cell r="R240" t="str">
            <v>Multi-Stage</v>
          </cell>
          <cell r="S240">
            <v>7.4021622958007294</v>
          </cell>
          <cell r="Y240">
            <v>7327724</v>
          </cell>
          <cell r="Z240">
            <v>5800983.4299999997</v>
          </cell>
          <cell r="AA240" t="str">
            <v>Venture Capital</v>
          </cell>
          <cell r="AF240">
            <v>1.0084752309999996</v>
          </cell>
        </row>
        <row r="241">
          <cell r="A241" t="str">
            <v>Textron Master Trust</v>
          </cell>
          <cell r="G241" t="str">
            <v>Columbia Capital (QP)</v>
          </cell>
          <cell r="I241" t="str">
            <v>Primary Partnership</v>
          </cell>
          <cell r="J241">
            <v>10000000</v>
          </cell>
          <cell r="K241">
            <v>10079864.85</v>
          </cell>
          <cell r="R241" t="str">
            <v>Multi-Stage</v>
          </cell>
          <cell r="S241">
            <v>7.0507385657047061</v>
          </cell>
          <cell r="Y241">
            <v>7139637</v>
          </cell>
          <cell r="Z241">
            <v>5800999.7699999996</v>
          </cell>
          <cell r="AA241" t="str">
            <v>Venture Capital</v>
          </cell>
          <cell r="AF241">
            <v>1.007986485</v>
          </cell>
        </row>
        <row r="242">
          <cell r="A242" t="str">
            <v>Unisys Master Trust</v>
          </cell>
          <cell r="G242" t="str">
            <v>Columbia Capital (QP)</v>
          </cell>
          <cell r="I242" t="str">
            <v>Primary Partnership</v>
          </cell>
          <cell r="J242">
            <v>3000000</v>
          </cell>
          <cell r="K242">
            <v>3025778.63</v>
          </cell>
          <cell r="R242" t="str">
            <v>Multi-Stage</v>
          </cell>
          <cell r="S242">
            <v>7.0507385657047061</v>
          </cell>
          <cell r="Y242">
            <v>2141891</v>
          </cell>
          <cell r="Z242">
            <v>1739908.15</v>
          </cell>
          <cell r="AA242" t="str">
            <v>Venture Capital</v>
          </cell>
          <cell r="AF242">
            <v>1.0085928766666665</v>
          </cell>
        </row>
        <row r="243">
          <cell r="A243" t="str">
            <v>Hamilton Lane Private Equity Fund IV L.P.</v>
          </cell>
          <cell r="G243" t="str">
            <v>Columbia Capital</v>
          </cell>
          <cell r="I243" t="str">
            <v>Co/Direct Investment</v>
          </cell>
          <cell r="J243">
            <v>2114477</v>
          </cell>
          <cell r="K243">
            <v>2116241.87</v>
          </cell>
          <cell r="R243" t="str">
            <v>Early Stage</v>
          </cell>
          <cell r="Y243">
            <v>0</v>
          </cell>
          <cell r="Z243">
            <v>0</v>
          </cell>
          <cell r="AA243" t="str">
            <v>Venture Capital</v>
          </cell>
          <cell r="AF243">
            <v>1.0008346602966125</v>
          </cell>
        </row>
        <row r="244">
          <cell r="A244" t="str">
            <v>Hamilton Lane Private Equity Fund Plc</v>
          </cell>
          <cell r="G244" t="str">
            <v>Welsh, Carson, Anderson &amp; Stowe</v>
          </cell>
          <cell r="I244" t="str">
            <v>Co/Direct Investment</v>
          </cell>
          <cell r="J244">
            <v>913527.4</v>
          </cell>
          <cell r="K244">
            <v>913527.4</v>
          </cell>
          <cell r="R244" t="str">
            <v>Large</v>
          </cell>
          <cell r="S244">
            <v>8.2631172050655408</v>
          </cell>
          <cell r="Y244">
            <v>975325</v>
          </cell>
          <cell r="Z244">
            <v>626890.68999999994</v>
          </cell>
          <cell r="AA244" t="str">
            <v>Corporate Finance/Buyout</v>
          </cell>
          <cell r="AF244">
            <v>1</v>
          </cell>
        </row>
        <row r="245">
          <cell r="A245" t="str">
            <v>Hamilton Lane Private Equity Partners, L.P.</v>
          </cell>
          <cell r="G245" t="str">
            <v>Welsh, Carson, Anderson &amp; Stowe</v>
          </cell>
          <cell r="I245" t="str">
            <v>Co/Direct Investment</v>
          </cell>
          <cell r="J245">
            <v>421815.6</v>
          </cell>
          <cell r="K245">
            <v>421815.6</v>
          </cell>
          <cell r="R245" t="str">
            <v>Large</v>
          </cell>
          <cell r="S245">
            <v>8.2631172050655408</v>
          </cell>
          <cell r="Y245">
            <v>450380</v>
          </cell>
          <cell r="Z245">
            <v>289479.17</v>
          </cell>
          <cell r="AA245" t="str">
            <v>Corporate Finance/Buyout</v>
          </cell>
          <cell r="AF245">
            <v>1</v>
          </cell>
        </row>
        <row r="246">
          <cell r="A246" t="str">
            <v>The Hudson River Fund II</v>
          </cell>
          <cell r="G246" t="str">
            <v>Crescent Capital NI Ltd.</v>
          </cell>
          <cell r="I246" t="str">
            <v>Primary Partnership</v>
          </cell>
          <cell r="J246">
            <v>7306488.7499999991</v>
          </cell>
          <cell r="K246">
            <v>2454401.25</v>
          </cell>
          <cell r="R246" t="str">
            <v>Early Stage</v>
          </cell>
          <cell r="S246">
            <v>-14.359453557241187</v>
          </cell>
          <cell r="Y246">
            <v>1730122.0275999997</v>
          </cell>
          <cell r="Z246">
            <v>241360.33308499999</v>
          </cell>
          <cell r="AA246" t="str">
            <v>Venture Capital</v>
          </cell>
          <cell r="AF246">
            <v>0.33592075947561001</v>
          </cell>
        </row>
        <row r="247">
          <cell r="A247" t="str">
            <v>The Markaz/Hamilton Lane Technology Fund L.P.</v>
          </cell>
          <cell r="G247" t="str">
            <v>Crimson Capital Management Ltd</v>
          </cell>
          <cell r="I247" t="str">
            <v>Primary Partnership</v>
          </cell>
          <cell r="J247">
            <v>2412469</v>
          </cell>
          <cell r="K247">
            <v>2410568.46</v>
          </cell>
          <cell r="R247" t="str">
            <v>Late Stage</v>
          </cell>
          <cell r="S247">
            <v>3.2243892494171034</v>
          </cell>
          <cell r="Y247">
            <v>2199469</v>
          </cell>
          <cell r="Z247">
            <v>555270.946</v>
          </cell>
          <cell r="AA247" t="str">
            <v>Venture Capital</v>
          </cell>
          <cell r="AF247">
            <v>0.99921220127595423</v>
          </cell>
        </row>
        <row r="248">
          <cell r="A248" t="str">
            <v>Textron Master Trust - Real Estate</v>
          </cell>
          <cell r="G248" t="str">
            <v>Crow Holdings</v>
          </cell>
          <cell r="I248" t="str">
            <v>Primary Partnership</v>
          </cell>
          <cell r="J248">
            <v>10000000</v>
          </cell>
          <cell r="K248">
            <v>9702846</v>
          </cell>
          <cell r="R248" t="str">
            <v>Opportunistic - Indirect</v>
          </cell>
          <cell r="S248">
            <v>16.274959443326196</v>
          </cell>
          <cell r="Y248">
            <v>172112</v>
          </cell>
          <cell r="Z248">
            <v>14523223</v>
          </cell>
          <cell r="AA248" t="str">
            <v>Real Estate</v>
          </cell>
          <cell r="AF248">
            <v>0.97028460000000005</v>
          </cell>
        </row>
        <row r="249">
          <cell r="A249" t="str">
            <v>Textron Master Trust - Real Estate</v>
          </cell>
          <cell r="G249" t="str">
            <v>Crow Holdings</v>
          </cell>
          <cell r="I249" t="str">
            <v>Primary Partnership</v>
          </cell>
          <cell r="J249">
            <v>10000000</v>
          </cell>
          <cell r="K249">
            <v>5575032</v>
          </cell>
          <cell r="R249" t="str">
            <v>Opportunistic - Indirect</v>
          </cell>
          <cell r="S249">
            <v>-0.67946440433599431</v>
          </cell>
          <cell r="Y249">
            <v>5541939</v>
          </cell>
          <cell r="Z249">
            <v>0</v>
          </cell>
          <cell r="AA249" t="str">
            <v>Real Estate</v>
          </cell>
          <cell r="AF249">
            <v>0.55750319999999998</v>
          </cell>
        </row>
        <row r="250">
          <cell r="A250" t="str">
            <v>Textron Master Trust</v>
          </cell>
          <cell r="G250" t="str">
            <v>CVC Capital Partners</v>
          </cell>
          <cell r="I250" t="str">
            <v>Primary Partnership</v>
          </cell>
          <cell r="J250">
            <v>20000000</v>
          </cell>
          <cell r="K250">
            <v>18860969.090000004</v>
          </cell>
          <cell r="R250" t="str">
            <v>Large</v>
          </cell>
          <cell r="S250">
            <v>45.99133606775181</v>
          </cell>
          <cell r="Y250">
            <v>11115150</v>
          </cell>
          <cell r="Z250">
            <v>42711900.419999994</v>
          </cell>
          <cell r="AA250" t="str">
            <v>Corporate Finance/Buyout</v>
          </cell>
          <cell r="AF250">
            <v>0.94304845450000019</v>
          </cell>
        </row>
        <row r="251">
          <cell r="A251" t="str">
            <v>Los Angeles City Employees' Retirement System</v>
          </cell>
          <cell r="G251" t="str">
            <v>CVC Capital Partners</v>
          </cell>
          <cell r="I251" t="str">
            <v>Primary Partnership</v>
          </cell>
          <cell r="J251">
            <v>26596843.290278498</v>
          </cell>
          <cell r="K251">
            <v>22077301.652598999</v>
          </cell>
          <cell r="R251" t="str">
            <v>Mega</v>
          </cell>
          <cell r="S251">
            <v>52.288596034319788</v>
          </cell>
          <cell r="Y251">
            <v>22230161.757449999</v>
          </cell>
          <cell r="Z251">
            <v>9626555.8989460003</v>
          </cell>
          <cell r="AA251" t="str">
            <v>Corporate Finance/Buyout</v>
          </cell>
          <cell r="AF251">
            <v>0.83007225375007376</v>
          </cell>
        </row>
        <row r="252">
          <cell r="A252" t="str">
            <v>Royal Mail Pensions Trustees Limited</v>
          </cell>
          <cell r="G252" t="str">
            <v>CVC Capital Partners</v>
          </cell>
          <cell r="I252" t="str">
            <v>Primary Partnership</v>
          </cell>
          <cell r="J252">
            <v>19939459.654974502</v>
          </cell>
          <cell r="K252">
            <v>16569207.672118001</v>
          </cell>
          <cell r="R252" t="str">
            <v>Mega</v>
          </cell>
          <cell r="S252">
            <v>52.288596034319788</v>
          </cell>
          <cell r="Y252">
            <v>16672316.115150001</v>
          </cell>
          <cell r="Z252">
            <v>7234239.0210820008</v>
          </cell>
          <cell r="AA252" t="str">
            <v>Corporate Finance/Buyout</v>
          </cell>
          <cell r="AF252">
            <v>0.83097576157156849</v>
          </cell>
        </row>
        <row r="253">
          <cell r="A253" t="str">
            <v>Textron Master Trust</v>
          </cell>
          <cell r="G253" t="str">
            <v>CVC Capital Partners</v>
          </cell>
          <cell r="I253" t="str">
            <v>Primary Partnership</v>
          </cell>
          <cell r="J253">
            <v>19969387.508123077</v>
          </cell>
          <cell r="K253">
            <v>16615144.890175967</v>
          </cell>
          <cell r="R253" t="str">
            <v>Mega</v>
          </cell>
          <cell r="S253">
            <v>52.288596034319788</v>
          </cell>
          <cell r="Y253">
            <v>16671954.9888</v>
          </cell>
          <cell r="Z253">
            <v>7229992.5960430754</v>
          </cell>
          <cell r="AA253" t="str">
            <v>Corporate Finance/Buyout</v>
          </cell>
          <cell r="AF253">
            <v>0.83203077127014113</v>
          </cell>
        </row>
        <row r="254">
          <cell r="A254" t="str">
            <v>Hamilton Lane Private Equity Fund VI, L.P.</v>
          </cell>
          <cell r="G254" t="str">
            <v>CVC Capital Partners</v>
          </cell>
          <cell r="I254" t="str">
            <v>Primary Partnership</v>
          </cell>
          <cell r="J254">
            <v>15813491.724244377</v>
          </cell>
          <cell r="K254">
            <v>4498281.91</v>
          </cell>
          <cell r="R254" t="str">
            <v>Mega</v>
          </cell>
          <cell r="S254">
            <v>4.8418425200493775</v>
          </cell>
          <cell r="Y254">
            <v>4544242.9285500003</v>
          </cell>
          <cell r="Z254">
            <v>64402.28</v>
          </cell>
          <cell r="AA254" t="str">
            <v>Corporate Finance/Buyout</v>
          </cell>
          <cell r="AF254">
            <v>0.28445848573111032</v>
          </cell>
        </row>
        <row r="255">
          <cell r="A255" t="str">
            <v>Marsh &amp; McLennan Master Retirement Trust</v>
          </cell>
          <cell r="G255" t="str">
            <v>CVC Capital Partners</v>
          </cell>
          <cell r="I255" t="str">
            <v>Primary Partnership</v>
          </cell>
          <cell r="J255">
            <v>17229662.643370192</v>
          </cell>
          <cell r="K255">
            <v>4885525.4868400414</v>
          </cell>
          <cell r="R255" t="str">
            <v>Mega</v>
          </cell>
          <cell r="S255">
            <v>4.8418425200493775</v>
          </cell>
          <cell r="Y255">
            <v>4957355.3903999999</v>
          </cell>
          <cell r="Z255">
            <v>69982.34</v>
          </cell>
          <cell r="AA255" t="str">
            <v>Corporate Finance/Buyout</v>
          </cell>
          <cell r="AF255">
            <v>0.28355317152538356</v>
          </cell>
        </row>
        <row r="256">
          <cell r="A256" t="str">
            <v>NJHL European Buyout Investment Fund, L.P.</v>
          </cell>
          <cell r="G256" t="str">
            <v>CVC Capital Partners</v>
          </cell>
          <cell r="I256" t="str">
            <v>Primary Partnership</v>
          </cell>
          <cell r="J256">
            <v>57496878.389200501</v>
          </cell>
          <cell r="K256">
            <v>16348681.654035002</v>
          </cell>
          <cell r="R256" t="str">
            <v>Mega</v>
          </cell>
          <cell r="S256">
            <v>4.8418425200493775</v>
          </cell>
          <cell r="Y256">
            <v>16524517.48065</v>
          </cell>
          <cell r="Z256">
            <v>232190.89270200001</v>
          </cell>
          <cell r="AA256" t="str">
            <v>Corporate Finance/Buyout</v>
          </cell>
          <cell r="AF256">
            <v>0.28434033485034788</v>
          </cell>
        </row>
        <row r="257">
          <cell r="A257" t="str">
            <v>Royal Mail Pensions Trustees Limited</v>
          </cell>
          <cell r="G257" t="str">
            <v>CVC Capital Partners</v>
          </cell>
          <cell r="I257" t="str">
            <v>Primary Partnership</v>
          </cell>
          <cell r="J257">
            <v>21548745.120318003</v>
          </cell>
          <cell r="K257">
            <v>6118570.525529</v>
          </cell>
          <cell r="R257" t="str">
            <v>Mega</v>
          </cell>
          <cell r="S257">
            <v>4.8418425200493775</v>
          </cell>
          <cell r="Y257">
            <v>6196694.2379999999</v>
          </cell>
          <cell r="Z257">
            <v>87474.791865000007</v>
          </cell>
          <cell r="AA257" t="str">
            <v>Corporate Finance/Buyout</v>
          </cell>
          <cell r="AF257">
            <v>0.2839409205206983</v>
          </cell>
        </row>
        <row r="258">
          <cell r="A258" t="str">
            <v>The Essex County Council</v>
          </cell>
          <cell r="G258" t="str">
            <v>CVC Capital Partners</v>
          </cell>
          <cell r="I258" t="str">
            <v>Primary Partnership</v>
          </cell>
          <cell r="J258">
            <v>21548745.120318003</v>
          </cell>
          <cell r="K258">
            <v>6118570.525529</v>
          </cell>
          <cell r="R258" t="str">
            <v>Mega</v>
          </cell>
          <cell r="S258">
            <v>4.8418425200493775</v>
          </cell>
          <cell r="Y258">
            <v>6189275.2679284625</v>
          </cell>
          <cell r="Z258">
            <v>87474.791865000007</v>
          </cell>
          <cell r="AA258" t="str">
            <v>Corporate Finance/Buyout</v>
          </cell>
          <cell r="AF258">
            <v>0.2839409205206983</v>
          </cell>
        </row>
        <row r="259">
          <cell r="A259" t="str">
            <v>Winnipeg Civic - Manitoba Ltd.</v>
          </cell>
          <cell r="G259" t="str">
            <v>CVC Capital Partners</v>
          </cell>
          <cell r="I259" t="str">
            <v>Primary Partnership</v>
          </cell>
          <cell r="J259">
            <v>4597065.6258200016</v>
          </cell>
          <cell r="K259">
            <v>1305295.0529080003</v>
          </cell>
          <cell r="R259" t="str">
            <v>Mega</v>
          </cell>
          <cell r="S259">
            <v>4.8418425200493775</v>
          </cell>
          <cell r="Y259">
            <v>1321957.8310500002</v>
          </cell>
          <cell r="Z259">
            <v>18661.287264999999</v>
          </cell>
          <cell r="AA259" t="str">
            <v>Corporate Finance/Buyout</v>
          </cell>
          <cell r="AF259">
            <v>0.28394092213446881</v>
          </cell>
        </row>
        <row r="260">
          <cell r="A260" t="str">
            <v>Winnipeg Police - Manitoba Ltd.</v>
          </cell>
          <cell r="G260" t="str">
            <v>CVC Capital Partners</v>
          </cell>
          <cell r="I260" t="str">
            <v>Primary Partnership</v>
          </cell>
          <cell r="J260">
            <v>1149266.4081854997</v>
          </cell>
          <cell r="K260">
            <v>326323.7426590001</v>
          </cell>
          <cell r="R260" t="str">
            <v>Mega</v>
          </cell>
          <cell r="S260">
            <v>4.8418425200493775</v>
          </cell>
          <cell r="Y260">
            <v>330489.09225000005</v>
          </cell>
          <cell r="Z260">
            <v>4665.33223</v>
          </cell>
          <cell r="AA260" t="str">
            <v>Corporate Finance/Buyout</v>
          </cell>
          <cell r="AF260">
            <v>0.28394090381029319</v>
          </cell>
        </row>
        <row r="261">
          <cell r="A261" t="str">
            <v>Textron Master Trust</v>
          </cell>
          <cell r="G261" t="str">
            <v>The Cypress Group LLC</v>
          </cell>
          <cell r="I261" t="str">
            <v>Primary Partnership</v>
          </cell>
          <cell r="J261">
            <v>30000000</v>
          </cell>
          <cell r="K261">
            <v>28365810.420000002</v>
          </cell>
          <cell r="R261" t="str">
            <v>Large</v>
          </cell>
          <cell r="S261">
            <v>-0.55931479197934841</v>
          </cell>
          <cell r="Y261">
            <v>11726470</v>
          </cell>
          <cell r="Z261">
            <v>17543274.450000003</v>
          </cell>
          <cell r="AA261" t="str">
            <v>Corporate Finance/Buyout</v>
          </cell>
          <cell r="AF261">
            <v>0.94552701400000005</v>
          </cell>
        </row>
        <row r="262">
          <cell r="A262" t="str">
            <v>Golden State Investment Fund, LLC</v>
          </cell>
          <cell r="G262" t="str">
            <v>DLJ Merchant Banking</v>
          </cell>
          <cell r="I262" t="str">
            <v>Co/Direct Investment</v>
          </cell>
          <cell r="J262">
            <v>14000000</v>
          </cell>
          <cell r="K262">
            <v>14000000</v>
          </cell>
          <cell r="R262" t="str">
            <v>Large</v>
          </cell>
          <cell r="S262">
            <v>-1.8873791418627661E-13</v>
          </cell>
          <cell r="Y262">
            <v>14000000</v>
          </cell>
          <cell r="Z262">
            <v>0</v>
          </cell>
          <cell r="AA262" t="str">
            <v>Corporate Finance/Buyout</v>
          </cell>
          <cell r="AF262">
            <v>1</v>
          </cell>
        </row>
        <row r="263">
          <cell r="A263" t="str">
            <v>Golden State Investment Fund, LLC</v>
          </cell>
          <cell r="G263" t="str">
            <v>Draper Fisher Jurvetson</v>
          </cell>
          <cell r="I263" t="str">
            <v>Primary Partnership</v>
          </cell>
          <cell r="J263">
            <v>10000000</v>
          </cell>
          <cell r="K263">
            <v>1000000</v>
          </cell>
          <cell r="R263" t="str">
            <v>Early Stage</v>
          </cell>
          <cell r="S263">
            <v>-17.689800000001632</v>
          </cell>
          <cell r="Y263">
            <v>823102</v>
          </cell>
          <cell r="Z263">
            <v>0</v>
          </cell>
          <cell r="AA263" t="str">
            <v>Venture Capital</v>
          </cell>
          <cell r="AF263">
            <v>0.1</v>
          </cell>
        </row>
        <row r="264">
          <cell r="A264" t="str">
            <v>Gad - Gmulim - Hevra Lenihul Kupot Gemel Ltd.</v>
          </cell>
          <cell r="G264" t="str">
            <v>DLJ Merchant Banking</v>
          </cell>
          <cell r="I264" t="str">
            <v>Primary Partnership</v>
          </cell>
          <cell r="J264">
            <v>3100000</v>
          </cell>
          <cell r="K264">
            <v>1878932.36</v>
          </cell>
          <cell r="R264" t="str">
            <v>Large</v>
          </cell>
          <cell r="S264">
            <v>14.417078263137807</v>
          </cell>
          <cell r="Y264">
            <v>2194732.2200000002</v>
          </cell>
          <cell r="Z264">
            <v>44253.69</v>
          </cell>
          <cell r="AA264" t="str">
            <v>Corporate Finance/Buyout</v>
          </cell>
          <cell r="AF264">
            <v>0.60610721290322589</v>
          </cell>
        </row>
        <row r="265">
          <cell r="A265" t="str">
            <v>Hamilton Lane-Carpenters Partnership Fund II L.P.</v>
          </cell>
          <cell r="G265" t="str">
            <v>DLJ Merchant Banking</v>
          </cell>
          <cell r="I265" t="str">
            <v>Primary Partnership</v>
          </cell>
          <cell r="J265">
            <v>6600000</v>
          </cell>
          <cell r="K265">
            <v>4000378.81</v>
          </cell>
          <cell r="R265" t="str">
            <v>Large</v>
          </cell>
          <cell r="S265">
            <v>14.417078263137807</v>
          </cell>
          <cell r="Y265">
            <v>4673597</v>
          </cell>
          <cell r="Z265">
            <v>120327.95</v>
          </cell>
          <cell r="AA265" t="str">
            <v>Corporate Finance/Buyout</v>
          </cell>
          <cell r="AF265">
            <v>0.60611800151515149</v>
          </cell>
        </row>
        <row r="266">
          <cell r="A266" t="str">
            <v>Harel Gemel Ltd.</v>
          </cell>
          <cell r="G266" t="str">
            <v>DLJ Merchant Banking</v>
          </cell>
          <cell r="I266" t="str">
            <v>Primary Partnership</v>
          </cell>
          <cell r="J266">
            <v>1750000</v>
          </cell>
          <cell r="K266">
            <v>1060687.67</v>
          </cell>
          <cell r="R266" t="str">
            <v>Large</v>
          </cell>
          <cell r="S266">
            <v>14.417078263137807</v>
          </cell>
          <cell r="Y266">
            <v>1238962.8899999999</v>
          </cell>
          <cell r="Z266">
            <v>24981.919999999998</v>
          </cell>
          <cell r="AA266" t="str">
            <v>Corporate Finance/Buyout</v>
          </cell>
          <cell r="AF266">
            <v>0.60610723999999994</v>
          </cell>
        </row>
        <row r="267">
          <cell r="A267" t="str">
            <v>Kovetz Hevra Lenihul Kupot Gemel Ltd.</v>
          </cell>
          <cell r="G267" t="str">
            <v>DLJ Merchant Banking</v>
          </cell>
          <cell r="I267" t="str">
            <v>Primary Partnership</v>
          </cell>
          <cell r="J267">
            <v>2150000</v>
          </cell>
          <cell r="K267">
            <v>1303154.8799999999</v>
          </cell>
          <cell r="R267" t="str">
            <v>Large</v>
          </cell>
          <cell r="S267">
            <v>14.417078263137807</v>
          </cell>
          <cell r="Y267">
            <v>1522154.41</v>
          </cell>
          <cell r="Z267">
            <v>30692.09</v>
          </cell>
          <cell r="AA267" t="str">
            <v>Corporate Finance/Buyout</v>
          </cell>
          <cell r="AF267">
            <v>0.60611854883720928</v>
          </cell>
        </row>
        <row r="268">
          <cell r="A268" t="str">
            <v>Mivtachim - The Workers Social Insurance Fund Ltd.</v>
          </cell>
          <cell r="G268" t="str">
            <v>DLJ Merchant Banking</v>
          </cell>
          <cell r="I268" t="str">
            <v>Primary Partnership</v>
          </cell>
          <cell r="J268">
            <v>3300000</v>
          </cell>
          <cell r="K268">
            <v>2000153.04</v>
          </cell>
          <cell r="R268" t="str">
            <v>Large</v>
          </cell>
          <cell r="S268">
            <v>14.417078263137807</v>
          </cell>
          <cell r="Y268">
            <v>2336330.04</v>
          </cell>
          <cell r="Z268">
            <v>46654.77</v>
          </cell>
          <cell r="AA268" t="str">
            <v>Corporate Finance/Buyout</v>
          </cell>
          <cell r="AF268">
            <v>0.60610698181818179</v>
          </cell>
        </row>
        <row r="269">
          <cell r="A269" t="str">
            <v>Prisma Provident Funds Ltd.</v>
          </cell>
          <cell r="G269" t="str">
            <v>DLJ Merchant Banking</v>
          </cell>
          <cell r="I269" t="str">
            <v>Primary Partnership</v>
          </cell>
          <cell r="J269">
            <v>1550000</v>
          </cell>
          <cell r="K269">
            <v>939525.87</v>
          </cell>
          <cell r="R269" t="str">
            <v>Large</v>
          </cell>
          <cell r="S269">
            <v>14.417078263137807</v>
          </cell>
          <cell r="Y269">
            <v>1097367.1200000001</v>
          </cell>
          <cell r="Z269">
            <v>22126.85</v>
          </cell>
          <cell r="AA269" t="str">
            <v>Corporate Finance/Buyout</v>
          </cell>
          <cell r="AF269">
            <v>0.60614572258064514</v>
          </cell>
        </row>
        <row r="270">
          <cell r="A270" t="str">
            <v>The Essex County Council</v>
          </cell>
          <cell r="G270" t="str">
            <v>DLJ Merchant Banking</v>
          </cell>
          <cell r="I270" t="str">
            <v>Primary Partnership</v>
          </cell>
          <cell r="J270">
            <v>5250000</v>
          </cell>
          <cell r="K270">
            <v>3182079.59</v>
          </cell>
          <cell r="R270" t="str">
            <v>Large</v>
          </cell>
          <cell r="S270">
            <v>14.417078263137807</v>
          </cell>
          <cell r="Y270">
            <v>3716888.75</v>
          </cell>
          <cell r="Z270">
            <v>100352.01</v>
          </cell>
          <cell r="AA270" t="str">
            <v>Corporate Finance/Buyout</v>
          </cell>
          <cell r="AF270">
            <v>0.60611039809523803</v>
          </cell>
        </row>
        <row r="271">
          <cell r="A271" t="str">
            <v>United Food &amp; Commercial Workers Intl. Union</v>
          </cell>
          <cell r="G271" t="str">
            <v>DLJ Merchant Banking</v>
          </cell>
          <cell r="I271" t="str">
            <v>Primary Partnership</v>
          </cell>
          <cell r="J271">
            <v>3300000</v>
          </cell>
          <cell r="K271">
            <v>2000189.41</v>
          </cell>
          <cell r="R271" t="str">
            <v>Large</v>
          </cell>
          <cell r="S271">
            <v>14.417078263137807</v>
          </cell>
          <cell r="Y271">
            <v>2336809.5699999998</v>
          </cell>
          <cell r="Z271">
            <v>63280.76</v>
          </cell>
          <cell r="AA271" t="str">
            <v>Corporate Finance/Buyout</v>
          </cell>
          <cell r="AF271">
            <v>0.60611800303030305</v>
          </cell>
        </row>
        <row r="272">
          <cell r="A272" t="str">
            <v>Hamilton Lane Secondary Fund L.P. (Investments)</v>
          </cell>
          <cell r="G272" t="str">
            <v>DLJ Merchant Banking</v>
          </cell>
          <cell r="I272" t="str">
            <v>Secondary Purchase</v>
          </cell>
          <cell r="J272">
            <v>23000000</v>
          </cell>
          <cell r="K272">
            <v>13940714.050000001</v>
          </cell>
          <cell r="R272" t="str">
            <v>Large</v>
          </cell>
          <cell r="S272">
            <v>14.417078263137807</v>
          </cell>
          <cell r="Y272">
            <v>16286778.41</v>
          </cell>
          <cell r="Z272">
            <v>417922.43</v>
          </cell>
          <cell r="AA272" t="str">
            <v>Corporate Finance/Buyout</v>
          </cell>
          <cell r="AF272">
            <v>0.6061180021739131</v>
          </cell>
        </row>
        <row r="273">
          <cell r="A273" t="str">
            <v>Princess Private Equity Subholding Ltd.</v>
          </cell>
          <cell r="G273" t="str">
            <v>Dolphin Communications</v>
          </cell>
          <cell r="I273" t="str">
            <v>Primary Partnership</v>
          </cell>
          <cell r="J273">
            <v>10000000</v>
          </cell>
          <cell r="K273">
            <v>10239555.01</v>
          </cell>
          <cell r="R273" t="str">
            <v>Multi-Stage</v>
          </cell>
          <cell r="S273">
            <v>-14.89427743410806</v>
          </cell>
          <cell r="Y273">
            <v>3294363</v>
          </cell>
          <cell r="Z273">
            <v>413910</v>
          </cell>
          <cell r="AA273" t="str">
            <v>Venture Capital</v>
          </cell>
          <cell r="AF273">
            <v>1.0239555009999999</v>
          </cell>
        </row>
        <row r="274">
          <cell r="A274" t="str">
            <v>Unisys Master Trust</v>
          </cell>
          <cell r="G274" t="str">
            <v>Dominion Ventures Inc.</v>
          </cell>
          <cell r="I274" t="str">
            <v>Primary Partnership</v>
          </cell>
          <cell r="J274">
            <v>2500000</v>
          </cell>
          <cell r="K274">
            <v>2500000</v>
          </cell>
          <cell r="R274" t="str">
            <v>Early Stage</v>
          </cell>
          <cell r="S274">
            <v>-2.1172738849708161</v>
          </cell>
          <cell r="Y274">
            <v>535263.53</v>
          </cell>
          <cell r="Z274">
            <v>1552125.4624999999</v>
          </cell>
          <cell r="AA274" t="str">
            <v>Venture Capital</v>
          </cell>
          <cell r="AF274">
            <v>1</v>
          </cell>
        </row>
        <row r="275">
          <cell r="A275" t="str">
            <v>Princess Private Equity Subholding Ltd.</v>
          </cell>
          <cell r="G275" t="str">
            <v>Draper Fisher Jurvetson</v>
          </cell>
          <cell r="I275" t="str">
            <v>Primary Partnership</v>
          </cell>
          <cell r="J275">
            <v>5000000</v>
          </cell>
          <cell r="K275">
            <v>4502500</v>
          </cell>
          <cell r="R275" t="str">
            <v>Early Stage</v>
          </cell>
          <cell r="S275">
            <v>-2.4956974315601288</v>
          </cell>
          <cell r="Y275">
            <v>3327238</v>
          </cell>
          <cell r="Z275">
            <v>794521.93</v>
          </cell>
          <cell r="AA275" t="str">
            <v>Venture Capital</v>
          </cell>
          <cell r="AF275">
            <v>0.90049999999999997</v>
          </cell>
        </row>
        <row r="276">
          <cell r="A276" t="str">
            <v>The Hudson River Fund II</v>
          </cell>
          <cell r="G276" t="str">
            <v>Easton Capital Investors Group</v>
          </cell>
          <cell r="I276" t="str">
            <v>Primary Partnership</v>
          </cell>
          <cell r="J276">
            <v>17000000</v>
          </cell>
          <cell r="K276">
            <v>14110000</v>
          </cell>
          <cell r="R276" t="str">
            <v>Multi-Stage</v>
          </cell>
          <cell r="S276">
            <v>0.2789323928993781</v>
          </cell>
          <cell r="Y276">
            <v>14065333</v>
          </cell>
          <cell r="Z276">
            <v>81920</v>
          </cell>
          <cell r="AA276" t="str">
            <v>Venture Capital</v>
          </cell>
          <cell r="AF276">
            <v>0.83</v>
          </cell>
        </row>
        <row r="277">
          <cell r="A277" t="str">
            <v>I.A.M. National Pension Fund</v>
          </cell>
          <cell r="G277" t="str">
            <v>Elevation Associates, L.P.</v>
          </cell>
          <cell r="I277" t="str">
            <v>Primary Partnership</v>
          </cell>
          <cell r="J277">
            <v>3000000</v>
          </cell>
          <cell r="K277">
            <v>1713440</v>
          </cell>
          <cell r="R277" t="str">
            <v>Mid</v>
          </cell>
          <cell r="S277">
            <v>7.6707615095864101</v>
          </cell>
          <cell r="Y277">
            <v>1855992</v>
          </cell>
          <cell r="Z277">
            <v>9778</v>
          </cell>
          <cell r="AA277" t="str">
            <v>Corporate Finance/Buyout</v>
          </cell>
          <cell r="AF277">
            <v>0.57114666666666669</v>
          </cell>
        </row>
        <row r="278">
          <cell r="A278" t="str">
            <v>Hamilton Lane Co-Investment Fund, L.P.</v>
          </cell>
          <cell r="G278" t="str">
            <v>Texas Pacific Group</v>
          </cell>
          <cell r="I278" t="str">
            <v>Co/Direct Investment</v>
          </cell>
          <cell r="J278">
            <v>30000000</v>
          </cell>
          <cell r="K278">
            <v>30000000</v>
          </cell>
          <cell r="R278" t="str">
            <v>Large</v>
          </cell>
          <cell r="S278">
            <v>-5.285538164491177E-2</v>
          </cell>
          <cell r="Y278">
            <v>30000000</v>
          </cell>
          <cell r="Z278">
            <v>0</v>
          </cell>
          <cell r="AA278" t="str">
            <v>Corporate Finance/Buyout</v>
          </cell>
          <cell r="AF278">
            <v>1</v>
          </cell>
        </row>
        <row r="279">
          <cell r="A279" t="str">
            <v>Hamilton Lane Private Equity Fund Investments KB</v>
          </cell>
          <cell r="G279" t="str">
            <v>Enhanced Capital Partners, LLC</v>
          </cell>
          <cell r="I279" t="str">
            <v>Primary Partnership</v>
          </cell>
          <cell r="J279">
            <v>10000000</v>
          </cell>
          <cell r="K279">
            <v>4608516.82</v>
          </cell>
          <cell r="R279" t="str">
            <v>Small</v>
          </cell>
          <cell r="S279">
            <v>8.2096705423376104</v>
          </cell>
          <cell r="Y279">
            <v>4958496</v>
          </cell>
          <cell r="Z279">
            <v>0</v>
          </cell>
          <cell r="AA279" t="str">
            <v>Corporate Finance/Buyout</v>
          </cell>
          <cell r="AF279">
            <v>0.46085168200000004</v>
          </cell>
        </row>
        <row r="280">
          <cell r="A280" t="str">
            <v>Hamilton Lane Private Equity Fund V, L.P.</v>
          </cell>
          <cell r="G280" t="str">
            <v>Enhanced Capital Partners, LLC</v>
          </cell>
          <cell r="I280" t="str">
            <v>Primary Partnership</v>
          </cell>
          <cell r="J280">
            <v>8000000</v>
          </cell>
          <cell r="K280">
            <v>3686520.23</v>
          </cell>
          <cell r="R280" t="str">
            <v>Small</v>
          </cell>
          <cell r="S280">
            <v>8.2096705423376104</v>
          </cell>
          <cell r="Y280">
            <v>3966796</v>
          </cell>
          <cell r="Z280">
            <v>0</v>
          </cell>
          <cell r="AA280" t="str">
            <v>Corporate Finance/Buyout</v>
          </cell>
          <cell r="AF280">
            <v>0.46081502875000002</v>
          </cell>
        </row>
        <row r="281">
          <cell r="A281" t="str">
            <v>Hamilton Lane Private Equity Fund VI, L.P.</v>
          </cell>
          <cell r="G281" t="str">
            <v>Enhanced Capital Partners, LLC</v>
          </cell>
          <cell r="I281" t="str">
            <v>Primary Partnership</v>
          </cell>
          <cell r="J281">
            <v>15000000</v>
          </cell>
          <cell r="K281">
            <v>6912775.6800000006</v>
          </cell>
          <cell r="R281" t="str">
            <v>Small</v>
          </cell>
          <cell r="S281">
            <v>8.2096705423376104</v>
          </cell>
          <cell r="Y281">
            <v>7437743</v>
          </cell>
          <cell r="Z281">
            <v>0</v>
          </cell>
          <cell r="AA281" t="str">
            <v>Corporate Finance/Buyout</v>
          </cell>
          <cell r="AF281">
            <v>0.46085171200000002</v>
          </cell>
        </row>
        <row r="282">
          <cell r="A282" t="str">
            <v>Hamilton Lane-Carpenters Partnership Fund II L.P.</v>
          </cell>
          <cell r="G282" t="str">
            <v>Enhanced Capital Partners, LLC</v>
          </cell>
          <cell r="I282" t="str">
            <v>Primary Partnership</v>
          </cell>
          <cell r="J282">
            <v>10000000</v>
          </cell>
          <cell r="K282">
            <v>4608517.13</v>
          </cell>
          <cell r="R282" t="str">
            <v>Small</v>
          </cell>
          <cell r="S282">
            <v>8.2096705423376104</v>
          </cell>
          <cell r="Y282">
            <v>4958496</v>
          </cell>
          <cell r="Z282">
            <v>0</v>
          </cell>
          <cell r="AA282" t="str">
            <v>Corporate Finance/Buyout</v>
          </cell>
          <cell r="AF282">
            <v>0.460851713</v>
          </cell>
        </row>
        <row r="283">
          <cell r="A283" t="str">
            <v>International Union of Operating Engineers</v>
          </cell>
          <cell r="G283" t="str">
            <v>Enhanced Capital Partners, LLC</v>
          </cell>
          <cell r="I283" t="str">
            <v>Primary Partnership</v>
          </cell>
          <cell r="J283">
            <v>5000000</v>
          </cell>
          <cell r="K283">
            <v>2304474.4700000002</v>
          </cell>
          <cell r="R283" t="str">
            <v>Small</v>
          </cell>
          <cell r="S283">
            <v>8.2096705423376104</v>
          </cell>
          <cell r="Y283">
            <v>2479248</v>
          </cell>
          <cell r="Z283">
            <v>0</v>
          </cell>
          <cell r="AA283" t="str">
            <v>Corporate Finance/Buyout</v>
          </cell>
          <cell r="AF283">
            <v>0.46089489400000005</v>
          </cell>
        </row>
        <row r="284">
          <cell r="A284" t="str">
            <v>Los Angeles City Employees' Retirement System</v>
          </cell>
          <cell r="G284" t="str">
            <v>Enhanced Capital Partners, LLC</v>
          </cell>
          <cell r="I284" t="str">
            <v>Primary Partnership</v>
          </cell>
          <cell r="J284">
            <v>10000000</v>
          </cell>
          <cell r="K284">
            <v>4608150.2699999996</v>
          </cell>
          <cell r="R284" t="str">
            <v>Small</v>
          </cell>
          <cell r="S284">
            <v>8.2096705423376104</v>
          </cell>
          <cell r="Y284">
            <v>4958496</v>
          </cell>
          <cell r="Z284">
            <v>0</v>
          </cell>
          <cell r="AA284" t="str">
            <v>Corporate Finance/Buyout</v>
          </cell>
          <cell r="AF284">
            <v>0.46081502699999993</v>
          </cell>
        </row>
        <row r="285">
          <cell r="A285" t="str">
            <v>Marsh &amp; McLennan Master Retirement Trust</v>
          </cell>
          <cell r="G285" t="str">
            <v>Enhanced Capital Partners, LLC</v>
          </cell>
          <cell r="I285" t="str">
            <v>Primary Partnership</v>
          </cell>
          <cell r="J285">
            <v>10000000</v>
          </cell>
          <cell r="K285">
            <v>4608948.93</v>
          </cell>
          <cell r="R285" t="str">
            <v>Small</v>
          </cell>
          <cell r="S285">
            <v>8.2096705423376104</v>
          </cell>
          <cell r="Y285">
            <v>4958496</v>
          </cell>
          <cell r="Z285">
            <v>6068.81</v>
          </cell>
          <cell r="AA285" t="str">
            <v>Corporate Finance/Buyout</v>
          </cell>
          <cell r="AF285">
            <v>0.46089489299999997</v>
          </cell>
        </row>
        <row r="286">
          <cell r="A286" t="str">
            <v>Princeton Theological Seminary</v>
          </cell>
          <cell r="G286" t="str">
            <v>Enhanced Capital Partners, LLC</v>
          </cell>
          <cell r="I286" t="str">
            <v>Primary Partnership</v>
          </cell>
          <cell r="J286">
            <v>5000000</v>
          </cell>
          <cell r="K286">
            <v>2304258.56</v>
          </cell>
          <cell r="R286" t="str">
            <v>Small</v>
          </cell>
          <cell r="S286">
            <v>8.2096705423376104</v>
          </cell>
          <cell r="Y286">
            <v>2479248</v>
          </cell>
          <cell r="Z286">
            <v>0</v>
          </cell>
          <cell r="AA286" t="str">
            <v>Corporate Finance/Buyout</v>
          </cell>
          <cell r="AF286">
            <v>0.46085171200000002</v>
          </cell>
        </row>
        <row r="287">
          <cell r="A287" t="str">
            <v>Royal Mail Pensions Trustees Limited</v>
          </cell>
          <cell r="G287" t="str">
            <v>Enhanced Capital Partners, LLC</v>
          </cell>
          <cell r="I287" t="str">
            <v>Primary Partnership</v>
          </cell>
          <cell r="J287">
            <v>15000000</v>
          </cell>
          <cell r="K287">
            <v>6912225.370000001</v>
          </cell>
          <cell r="R287" t="str">
            <v>Small</v>
          </cell>
          <cell r="S287">
            <v>8.2096705423376104</v>
          </cell>
          <cell r="Y287">
            <v>7437743</v>
          </cell>
          <cell r="Z287">
            <v>9103.2199999999993</v>
          </cell>
          <cell r="AA287" t="str">
            <v>Corporate Finance/Buyout</v>
          </cell>
          <cell r="AF287">
            <v>0.46081502466666674</v>
          </cell>
        </row>
        <row r="288">
          <cell r="A288" t="str">
            <v>The 1199 Health Care Employees Pension Fund</v>
          </cell>
          <cell r="G288" t="str">
            <v>Enhanced Capital Partners, LLC</v>
          </cell>
          <cell r="I288" t="str">
            <v>Primary Partnership</v>
          </cell>
          <cell r="J288">
            <v>10000000</v>
          </cell>
          <cell r="K288">
            <v>4608150.2699999996</v>
          </cell>
          <cell r="R288" t="str">
            <v>Small</v>
          </cell>
          <cell r="S288">
            <v>8.2096705423376104</v>
          </cell>
          <cell r="Y288">
            <v>4958496</v>
          </cell>
          <cell r="Z288">
            <v>6069</v>
          </cell>
          <cell r="AA288" t="str">
            <v>Corporate Finance/Buyout</v>
          </cell>
          <cell r="AF288">
            <v>0.46081502699999993</v>
          </cell>
        </row>
        <row r="289">
          <cell r="A289" t="str">
            <v>Winnipeg Civic - Manitoba Ltd.</v>
          </cell>
          <cell r="G289" t="str">
            <v>Enhanced Capital Partners, LLC</v>
          </cell>
          <cell r="I289" t="str">
            <v>Primary Partnership</v>
          </cell>
          <cell r="J289">
            <v>2000000</v>
          </cell>
          <cell r="K289">
            <v>921946.43</v>
          </cell>
          <cell r="R289" t="str">
            <v>Small</v>
          </cell>
          <cell r="S289">
            <v>8.2096705423376104</v>
          </cell>
          <cell r="Y289">
            <v>991698</v>
          </cell>
          <cell r="Z289">
            <v>0</v>
          </cell>
          <cell r="AA289" t="str">
            <v>Corporate Finance/Buyout</v>
          </cell>
          <cell r="AF289">
            <v>0.46097321500000005</v>
          </cell>
        </row>
        <row r="290">
          <cell r="A290" t="str">
            <v>Winnipeg Police - Manitoba Ltd.</v>
          </cell>
          <cell r="G290" t="str">
            <v>Enhanced Capital Partners, LLC</v>
          </cell>
          <cell r="I290" t="str">
            <v>Primary Partnership</v>
          </cell>
          <cell r="J290">
            <v>500000</v>
          </cell>
          <cell r="K290">
            <v>230486.63</v>
          </cell>
          <cell r="R290" t="str">
            <v>Small</v>
          </cell>
          <cell r="S290">
            <v>8.2096705423376104</v>
          </cell>
          <cell r="Y290">
            <v>247925</v>
          </cell>
          <cell r="Z290">
            <v>0</v>
          </cell>
          <cell r="AA290" t="str">
            <v>Corporate Finance/Buyout</v>
          </cell>
          <cell r="AF290">
            <v>0.46097326</v>
          </cell>
        </row>
        <row r="291">
          <cell r="A291" t="str">
            <v>Hamilton Lane Co-Investment Fund, L.P.</v>
          </cell>
          <cell r="G291" t="str">
            <v>Gores Technology Group</v>
          </cell>
          <cell r="I291" t="str">
            <v>Co/Direct Investment</v>
          </cell>
          <cell r="J291">
            <v>22800361</v>
          </cell>
          <cell r="K291">
            <v>22800361</v>
          </cell>
          <cell r="R291" t="str">
            <v>Large</v>
          </cell>
          <cell r="S291">
            <v>0</v>
          </cell>
          <cell r="Y291">
            <v>22800361</v>
          </cell>
          <cell r="Z291">
            <v>0</v>
          </cell>
          <cell r="AA291" t="str">
            <v>Corporate Finance/Buyout</v>
          </cell>
          <cell r="AF291">
            <v>1</v>
          </cell>
        </row>
        <row r="292">
          <cell r="A292" t="str">
            <v>NJHL European Buyout Investment Fund, L.P.</v>
          </cell>
          <cell r="G292" t="str">
            <v>EQT Limited</v>
          </cell>
          <cell r="I292" t="str">
            <v>Primary Partnership</v>
          </cell>
          <cell r="J292">
            <v>42788987.627431005</v>
          </cell>
          <cell r="K292">
            <v>13498771.340065001</v>
          </cell>
          <cell r="R292" t="str">
            <v>Large</v>
          </cell>
          <cell r="S292">
            <v>0.9530113065445045</v>
          </cell>
          <cell r="Y292">
            <v>13583484.017550001</v>
          </cell>
          <cell r="Z292">
            <v>550.79</v>
          </cell>
          <cell r="AA292" t="str">
            <v>Corporate Finance/Buyout</v>
          </cell>
          <cell r="AF292">
            <v>0.31547302445200315</v>
          </cell>
        </row>
        <row r="293">
          <cell r="A293" t="str">
            <v>Princess Private Equity Subholding Ltd.</v>
          </cell>
          <cell r="G293" t="str">
            <v>Exxel Group</v>
          </cell>
          <cell r="I293" t="str">
            <v>Primary Partnership</v>
          </cell>
          <cell r="J293">
            <v>5000000</v>
          </cell>
          <cell r="K293">
            <v>4975390</v>
          </cell>
          <cell r="R293" t="str">
            <v>Mid</v>
          </cell>
          <cell r="S293">
            <v>-11.401706736673278</v>
          </cell>
          <cell r="Y293">
            <v>3183313</v>
          </cell>
          <cell r="Z293">
            <v>223448</v>
          </cell>
          <cell r="AA293" t="str">
            <v>Corporate Finance/Buyout</v>
          </cell>
          <cell r="AF293">
            <v>0.99507800000000002</v>
          </cell>
        </row>
        <row r="294">
          <cell r="A294" t="str">
            <v>International Union of Operating Engineers</v>
          </cell>
          <cell r="G294" t="str">
            <v>Falcon Investment Advisors, LLC</v>
          </cell>
          <cell r="I294" t="str">
            <v>Primary Partnership</v>
          </cell>
          <cell r="J294">
            <v>10000000</v>
          </cell>
          <cell r="K294">
            <v>9230848.5400000028</v>
          </cell>
          <cell r="R294"/>
          <cell r="S294">
            <v>6.771966729397727</v>
          </cell>
          <cell r="Y294">
            <v>9277127</v>
          </cell>
          <cell r="Z294">
            <v>724236.96</v>
          </cell>
          <cell r="AA294" t="str">
            <v>Mezzanine</v>
          </cell>
          <cell r="AF294">
            <v>0.92308485400000029</v>
          </cell>
        </row>
        <row r="295">
          <cell r="A295" t="str">
            <v>Textron Master Trust</v>
          </cell>
          <cell r="G295" t="str">
            <v>Falcon Investment Advisors, LLC</v>
          </cell>
          <cell r="I295" t="str">
            <v>Primary Partnership</v>
          </cell>
          <cell r="J295">
            <v>5000000</v>
          </cell>
          <cell r="K295">
            <v>4615424.29</v>
          </cell>
          <cell r="R295"/>
          <cell r="S295">
            <v>6.771966729397727</v>
          </cell>
          <cell r="Y295">
            <v>4638564</v>
          </cell>
          <cell r="Z295">
            <v>362118.5</v>
          </cell>
          <cell r="AA295" t="str">
            <v>Mezzanine</v>
          </cell>
          <cell r="AF295">
            <v>0.92308485799999995</v>
          </cell>
        </row>
        <row r="296">
          <cell r="A296" t="str">
            <v>I.A.M. National Pension Fund</v>
          </cell>
          <cell r="G296" t="str">
            <v>Falcon Investment Advisors, LLC</v>
          </cell>
          <cell r="I296" t="str">
            <v>Primary Partnership</v>
          </cell>
          <cell r="J296">
            <v>10000000</v>
          </cell>
          <cell r="K296">
            <v>9637243.5599999949</v>
          </cell>
          <cell r="R296"/>
          <cell r="S296">
            <v>30.100486507411041</v>
          </cell>
          <cell r="Y296">
            <v>6979748.29</v>
          </cell>
          <cell r="Z296">
            <v>11595673.15</v>
          </cell>
          <cell r="AA296" t="str">
            <v>Mezzanine</v>
          </cell>
          <cell r="AF296">
            <v>0.9637243559999995</v>
          </cell>
        </row>
        <row r="297">
          <cell r="A297" t="str">
            <v>Textron Master Trust</v>
          </cell>
          <cell r="G297" t="str">
            <v>Falcon Investment Advisors, LLC</v>
          </cell>
          <cell r="I297" t="str">
            <v>Primary Partnership</v>
          </cell>
          <cell r="J297">
            <v>5000000</v>
          </cell>
          <cell r="K297">
            <v>4807407.8099999996</v>
          </cell>
          <cell r="R297"/>
          <cell r="S297">
            <v>30.100486507411041</v>
          </cell>
          <cell r="Y297">
            <v>3489874.12</v>
          </cell>
          <cell r="Z297">
            <v>5786622.6399999997</v>
          </cell>
          <cell r="AA297" t="str">
            <v>Mezzanine</v>
          </cell>
          <cell r="AF297">
            <v>0.9614815619999999</v>
          </cell>
        </row>
        <row r="298">
          <cell r="A298" t="str">
            <v>Hamilton Lane Co-Investment Fund, L.P.</v>
          </cell>
          <cell r="G298" t="str">
            <v>Bridgepoint Capital Ltd.</v>
          </cell>
          <cell r="I298" t="str">
            <v>Co/Direct Investment</v>
          </cell>
          <cell r="J298">
            <v>34187112.149368502</v>
          </cell>
          <cell r="K298">
            <v>33743934.719999999</v>
          </cell>
          <cell r="R298" t="str">
            <v>Mega</v>
          </cell>
          <cell r="S298">
            <v>7.0060619825113468</v>
          </cell>
          <cell r="Y298">
            <v>36551250</v>
          </cell>
          <cell r="Z298">
            <v>0</v>
          </cell>
          <cell r="AA298" t="str">
            <v>Corporate Finance/Buyout</v>
          </cell>
          <cell r="AF298">
            <v>0.9870367105758393</v>
          </cell>
        </row>
        <row r="299">
          <cell r="A299" t="str">
            <v>Hamilton Lane Private Equity Fund Plc</v>
          </cell>
          <cell r="G299" t="str">
            <v>Fenway Partners</v>
          </cell>
          <cell r="I299" t="str">
            <v>Primary Partnership</v>
          </cell>
          <cell r="J299">
            <v>5130750</v>
          </cell>
          <cell r="K299">
            <v>4745684.87</v>
          </cell>
          <cell r="R299" t="str">
            <v>Mid</v>
          </cell>
          <cell r="S299">
            <v>11.974623281957196</v>
          </cell>
          <cell r="Y299">
            <v>2546816</v>
          </cell>
          <cell r="Z299">
            <v>5211299.9419999998</v>
          </cell>
          <cell r="AA299" t="str">
            <v>Corporate Finance/Buyout</v>
          </cell>
          <cell r="AF299">
            <v>0.92494954343906843</v>
          </cell>
        </row>
        <row r="300">
          <cell r="A300" t="str">
            <v>Hamilton Lane Private Equity Partners, L.P.</v>
          </cell>
          <cell r="G300" t="str">
            <v>Fenway Partners</v>
          </cell>
          <cell r="I300" t="str">
            <v>Primary Partnership</v>
          </cell>
          <cell r="J300">
            <v>2369250</v>
          </cell>
          <cell r="K300">
            <v>2191442.13</v>
          </cell>
          <cell r="R300" t="str">
            <v>Mid</v>
          </cell>
          <cell r="S300">
            <v>11.974623281957196</v>
          </cell>
          <cell r="Y300">
            <v>1176064</v>
          </cell>
          <cell r="Z300">
            <v>2406499.372</v>
          </cell>
          <cell r="AA300" t="str">
            <v>Corporate Finance/Buyout</v>
          </cell>
          <cell r="AF300">
            <v>0.92495183285849947</v>
          </cell>
        </row>
        <row r="301">
          <cell r="A301" t="str">
            <v>Princess Private Equity Subholding Ltd.</v>
          </cell>
          <cell r="G301" t="str">
            <v>Fenway Partners</v>
          </cell>
          <cell r="I301" t="str">
            <v>Primary Partnership</v>
          </cell>
          <cell r="J301">
            <v>30500000</v>
          </cell>
          <cell r="K301">
            <v>30980795</v>
          </cell>
          <cell r="R301" t="str">
            <v>Mid</v>
          </cell>
          <cell r="S301">
            <v>11.974623281957196</v>
          </cell>
          <cell r="Y301">
            <v>14555076</v>
          </cell>
          <cell r="Z301">
            <v>35826551.420000002</v>
          </cell>
          <cell r="AA301" t="str">
            <v>Corporate Finance/Buyout</v>
          </cell>
          <cell r="AF301">
            <v>1.0157637704918032</v>
          </cell>
        </row>
        <row r="302">
          <cell r="A302" t="str">
            <v>Textron Master Trust</v>
          </cell>
          <cell r="G302" t="str">
            <v>Fenway Partners</v>
          </cell>
          <cell r="I302" t="str">
            <v>Primary Partnership</v>
          </cell>
          <cell r="J302">
            <v>25000000</v>
          </cell>
          <cell r="K302">
            <v>27025163</v>
          </cell>
          <cell r="R302" t="str">
            <v>Mid</v>
          </cell>
          <cell r="S302">
            <v>9.963224805022076</v>
          </cell>
          <cell r="Y302">
            <v>0</v>
          </cell>
          <cell r="Z302">
            <v>36209796.909999996</v>
          </cell>
          <cell r="AA302" t="str">
            <v>Corporate Finance/Buyout</v>
          </cell>
          <cell r="AF302">
            <v>1.0810065200000001</v>
          </cell>
        </row>
        <row r="303">
          <cell r="A303" t="str">
            <v>The Hudson River Fund</v>
          </cell>
          <cell r="G303" t="str">
            <v>Fenway Partners</v>
          </cell>
          <cell r="I303" t="str">
            <v>Primary Partnership</v>
          </cell>
          <cell r="J303">
            <v>30000000</v>
          </cell>
          <cell r="K303">
            <v>31242192</v>
          </cell>
          <cell r="R303" t="str">
            <v>Mid</v>
          </cell>
          <cell r="S303">
            <v>11.974623281957196</v>
          </cell>
          <cell r="Y303">
            <v>14891408</v>
          </cell>
          <cell r="Z303">
            <v>33964935.781999998</v>
          </cell>
          <cell r="AA303" t="str">
            <v>Corporate Finance/Buyout</v>
          </cell>
          <cell r="AF303">
            <v>1.0414064000000001</v>
          </cell>
        </row>
        <row r="304">
          <cell r="A304" t="str">
            <v>Textron Master Trust - Real Estate</v>
          </cell>
          <cell r="G304" t="str">
            <v>The Fidelity Real Estate Group</v>
          </cell>
          <cell r="I304" t="str">
            <v>Primary Partnership</v>
          </cell>
          <cell r="J304">
            <v>10000000</v>
          </cell>
          <cell r="K304">
            <v>9608140.3499999996</v>
          </cell>
          <cell r="R304" t="str">
            <v>Opportunistic - Indirect</v>
          </cell>
          <cell r="S304">
            <v>10.727271500413217</v>
          </cell>
          <cell r="Y304">
            <v>8420436.1300000008</v>
          </cell>
          <cell r="Z304">
            <v>2904546.53</v>
          </cell>
          <cell r="AA304" t="str">
            <v>Real Estate</v>
          </cell>
          <cell r="AF304">
            <v>0.96081403499999996</v>
          </cell>
        </row>
        <row r="305">
          <cell r="A305" t="str">
            <v>Hamilton Lane-Carpenters Partnership Fund II L.P.</v>
          </cell>
          <cell r="G305" t="str">
            <v>First Reserve Corporation</v>
          </cell>
          <cell r="I305" t="str">
            <v>Primary Partnership</v>
          </cell>
          <cell r="J305">
            <v>15000000</v>
          </cell>
          <cell r="K305">
            <v>2960961</v>
          </cell>
          <cell r="R305" t="str">
            <v>Industry Focused</v>
          </cell>
          <cell r="S305">
            <v>32.682712422308001</v>
          </cell>
          <cell r="Y305">
            <v>3356000</v>
          </cell>
          <cell r="Z305">
            <v>0</v>
          </cell>
          <cell r="AA305" t="str">
            <v>Special Situation</v>
          </cell>
          <cell r="AF305">
            <v>0.1973974</v>
          </cell>
        </row>
        <row r="306">
          <cell r="A306" t="str">
            <v>Los Angeles City Employees' Retirement System</v>
          </cell>
          <cell r="G306" t="str">
            <v>First Reserve Corporation</v>
          </cell>
          <cell r="I306" t="str">
            <v>Primary Partnership</v>
          </cell>
          <cell r="J306">
            <v>30000000</v>
          </cell>
          <cell r="K306">
            <v>5741595</v>
          </cell>
          <cell r="R306" t="str">
            <v>Industry Focused</v>
          </cell>
          <cell r="S306">
            <v>32.682712422308001</v>
          </cell>
          <cell r="Y306">
            <v>6723000</v>
          </cell>
          <cell r="Z306">
            <v>0</v>
          </cell>
          <cell r="AA306" t="str">
            <v>Special Situation</v>
          </cell>
          <cell r="AF306">
            <v>0.19138649999999999</v>
          </cell>
        </row>
        <row r="307">
          <cell r="A307" t="str">
            <v>Marsh &amp; McLennan Master Retirement Trust</v>
          </cell>
          <cell r="G307" t="str">
            <v>First Reserve Corporation</v>
          </cell>
          <cell r="I307" t="str">
            <v>Primary Partnership</v>
          </cell>
          <cell r="J307">
            <v>10000000</v>
          </cell>
          <cell r="K307">
            <v>1973975</v>
          </cell>
          <cell r="R307" t="str">
            <v>Industry Focused</v>
          </cell>
          <cell r="S307">
            <v>32.682712422308001</v>
          </cell>
          <cell r="Y307">
            <v>2237000</v>
          </cell>
          <cell r="Z307">
            <v>0</v>
          </cell>
          <cell r="AA307" t="str">
            <v>Special Situation</v>
          </cell>
          <cell r="AF307">
            <v>0.1973975</v>
          </cell>
        </row>
        <row r="308">
          <cell r="A308" t="str">
            <v>Princeton Theological Seminary</v>
          </cell>
          <cell r="G308" t="str">
            <v>First Reserve Corporation</v>
          </cell>
          <cell r="I308" t="str">
            <v>Primary Partnership</v>
          </cell>
          <cell r="J308">
            <v>10000000</v>
          </cell>
          <cell r="K308">
            <v>1913865</v>
          </cell>
          <cell r="R308" t="str">
            <v>Industry Focused</v>
          </cell>
          <cell r="S308">
            <v>32.682712422308001</v>
          </cell>
          <cell r="Y308">
            <v>2241000</v>
          </cell>
          <cell r="Z308">
            <v>0</v>
          </cell>
          <cell r="AA308" t="str">
            <v>Special Situation</v>
          </cell>
          <cell r="AF308">
            <v>0.19138649999999999</v>
          </cell>
        </row>
        <row r="309">
          <cell r="A309" t="str">
            <v>Southwest Carpenters Pension Trust</v>
          </cell>
          <cell r="G309" t="str">
            <v>First Reserve Corporation</v>
          </cell>
          <cell r="I309" t="str">
            <v>Primary Partnership</v>
          </cell>
          <cell r="J309">
            <v>20000000</v>
          </cell>
          <cell r="K309">
            <v>3947948</v>
          </cell>
          <cell r="R309" t="str">
            <v>Industry Focused</v>
          </cell>
          <cell r="S309">
            <v>32.682712422308001</v>
          </cell>
          <cell r="Y309">
            <v>4475000</v>
          </cell>
          <cell r="Z309">
            <v>0</v>
          </cell>
          <cell r="AA309" t="str">
            <v>Special Situation</v>
          </cell>
          <cell r="AF309">
            <v>0.1973974</v>
          </cell>
        </row>
        <row r="310">
          <cell r="A310" t="str">
            <v>The 1199 Health Care Employees Pension Fund</v>
          </cell>
          <cell r="G310" t="str">
            <v>First Reserve Corporation</v>
          </cell>
          <cell r="I310" t="str">
            <v>Primary Partnership</v>
          </cell>
          <cell r="J310">
            <v>10000000</v>
          </cell>
          <cell r="K310">
            <v>1973975</v>
          </cell>
          <cell r="R310" t="str">
            <v>Industry Focused</v>
          </cell>
          <cell r="S310">
            <v>32.682712422308001</v>
          </cell>
          <cell r="Y310">
            <v>2237000</v>
          </cell>
          <cell r="Z310">
            <v>0</v>
          </cell>
          <cell r="AA310" t="str">
            <v>Special Situation</v>
          </cell>
          <cell r="AF310">
            <v>0.1973975</v>
          </cell>
        </row>
        <row r="311">
          <cell r="A311" t="str">
            <v>Hamilton Lane Secondary Fund L.P. (Investments)</v>
          </cell>
          <cell r="G311" t="str">
            <v>Forbion Capital Partners</v>
          </cell>
          <cell r="I311" t="str">
            <v>Secondary Purchase</v>
          </cell>
          <cell r="J311">
            <v>10053514.4305715</v>
          </cell>
          <cell r="K311">
            <v>6551602.6941440012</v>
          </cell>
          <cell r="R311" t="str">
            <v>Early Stage</v>
          </cell>
          <cell r="S311">
            <v>51.361543744992979</v>
          </cell>
          <cell r="Y311">
            <v>7590963.6000000006</v>
          </cell>
          <cell r="Z311">
            <v>1422385.6505424741</v>
          </cell>
          <cell r="AA311" t="str">
            <v>Venture Capital</v>
          </cell>
          <cell r="AF311">
            <v>0.6516728791099542</v>
          </cell>
        </row>
        <row r="312">
          <cell r="A312" t="str">
            <v>Hamilton Lane Co-Investment Fund, L.P.</v>
          </cell>
          <cell r="G312" t="str">
            <v>Blackstone Group</v>
          </cell>
          <cell r="I312" t="str">
            <v>Co/Direct Investment</v>
          </cell>
          <cell r="J312">
            <v>25000000</v>
          </cell>
          <cell r="K312">
            <v>25000000</v>
          </cell>
          <cell r="R312" t="str">
            <v>Mega</v>
          </cell>
          <cell r="S312">
            <v>-13.944325360265431</v>
          </cell>
          <cell r="Y312">
            <v>21250000</v>
          </cell>
          <cell r="Z312">
            <v>0</v>
          </cell>
          <cell r="AA312" t="str">
            <v>Corporate Finance/Buyout</v>
          </cell>
          <cell r="AF312">
            <v>1</v>
          </cell>
        </row>
        <row r="313">
          <cell r="A313" t="str">
            <v>Hamilton Lane-Carpenters Partnership Fund, L.P.</v>
          </cell>
          <cell r="G313" t="str">
            <v>FS Equity</v>
          </cell>
          <cell r="I313" t="str">
            <v>Primary Partnership</v>
          </cell>
          <cell r="J313">
            <v>10000000</v>
          </cell>
          <cell r="K313">
            <v>6821111</v>
          </cell>
          <cell r="R313" t="str">
            <v>Mid</v>
          </cell>
          <cell r="S313">
            <v>20.098535342820846</v>
          </cell>
          <cell r="Y313">
            <v>7666871</v>
          </cell>
          <cell r="Z313">
            <v>1855627</v>
          </cell>
          <cell r="AA313" t="str">
            <v>Corporate Finance/Buyout</v>
          </cell>
          <cell r="AF313">
            <v>0.68211109999999997</v>
          </cell>
        </row>
        <row r="314">
          <cell r="A314" t="str">
            <v>Hamilton Lane Private Equity Fund Plc</v>
          </cell>
          <cell r="G314" t="str">
            <v>Beacon Partners, Inc.</v>
          </cell>
          <cell r="I314" t="str">
            <v>Co/Direct Investment</v>
          </cell>
          <cell r="J314">
            <v>1382858</v>
          </cell>
          <cell r="K314">
            <v>1382858</v>
          </cell>
          <cell r="R314" t="str">
            <v>Mid</v>
          </cell>
          <cell r="S314">
            <v>-34.689136390554452</v>
          </cell>
          <cell r="Y314">
            <v>0</v>
          </cell>
          <cell r="Z314">
            <v>442260.69</v>
          </cell>
          <cell r="AA314" t="str">
            <v>Corporate Finance/Buyout</v>
          </cell>
          <cell r="AF314">
            <v>1</v>
          </cell>
        </row>
        <row r="315">
          <cell r="A315" t="str">
            <v>Hamilton Lane Private Equity Partners, L.P.</v>
          </cell>
          <cell r="G315" t="str">
            <v>Beacon Partners, Inc.</v>
          </cell>
          <cell r="I315" t="str">
            <v>Co/Direct Investment</v>
          </cell>
          <cell r="J315">
            <v>638698</v>
          </cell>
          <cell r="K315">
            <v>638698</v>
          </cell>
          <cell r="R315" t="str">
            <v>Mid</v>
          </cell>
          <cell r="S315">
            <v>-34.689136390554452</v>
          </cell>
          <cell r="Y315">
            <v>0</v>
          </cell>
          <cell r="Z315">
            <v>204267.03</v>
          </cell>
          <cell r="AA315" t="str">
            <v>Corporate Finance/Buyout</v>
          </cell>
          <cell r="AF315">
            <v>1</v>
          </cell>
        </row>
        <row r="316">
          <cell r="A316" t="str">
            <v>Textron Master Trust</v>
          </cell>
          <cell r="G316" t="str">
            <v>Geocapital Partners</v>
          </cell>
          <cell r="I316" t="str">
            <v>Primary Partnership</v>
          </cell>
          <cell r="J316">
            <v>7000000</v>
          </cell>
          <cell r="K316">
            <v>7000000</v>
          </cell>
          <cell r="R316" t="str">
            <v>Late Stage</v>
          </cell>
          <cell r="S316">
            <v>-6.1908782172438777</v>
          </cell>
          <cell r="Y316">
            <v>2501935</v>
          </cell>
          <cell r="Z316">
            <v>2211376.04</v>
          </cell>
          <cell r="AA316" t="str">
            <v>Venture Capital</v>
          </cell>
          <cell r="AF316">
            <v>1</v>
          </cell>
        </row>
        <row r="317">
          <cell r="A317" t="str">
            <v>Unisys Master Trust</v>
          </cell>
          <cell r="G317" t="str">
            <v>Geocapital Partners</v>
          </cell>
          <cell r="I317" t="str">
            <v>Primary Partnership</v>
          </cell>
          <cell r="J317">
            <v>3000000</v>
          </cell>
          <cell r="K317">
            <v>3000000</v>
          </cell>
          <cell r="R317" t="str">
            <v>Late Stage</v>
          </cell>
          <cell r="S317">
            <v>-6.1908782172438777</v>
          </cell>
          <cell r="Y317">
            <v>1072254</v>
          </cell>
          <cell r="Z317">
            <v>947742.1</v>
          </cell>
          <cell r="AA317" t="str">
            <v>Venture Capital</v>
          </cell>
          <cell r="AF317">
            <v>1</v>
          </cell>
        </row>
        <row r="318">
          <cell r="A318" t="str">
            <v>Hamilton Lane Capital Opportunities Fund LP</v>
          </cell>
          <cell r="G318" t="str">
            <v>GESD</v>
          </cell>
          <cell r="I318" t="str">
            <v>Primary Partnership</v>
          </cell>
          <cell r="J318">
            <v>20000000</v>
          </cell>
          <cell r="K318">
            <v>3949941</v>
          </cell>
          <cell r="R318" t="str">
            <v>Small</v>
          </cell>
          <cell r="S318">
            <v>-38.779628554168845</v>
          </cell>
          <cell r="Y318">
            <v>3270963</v>
          </cell>
          <cell r="Z318">
            <v>0</v>
          </cell>
          <cell r="AA318" t="str">
            <v>Corporate Finance/Buyout</v>
          </cell>
          <cell r="AF318">
            <v>0.19749705000000001</v>
          </cell>
        </row>
        <row r="319">
          <cell r="A319" t="str">
            <v>Hamilton Lane-Carpenters Partnership Fund II L.P.</v>
          </cell>
          <cell r="G319" t="str">
            <v>GESD</v>
          </cell>
          <cell r="I319" t="str">
            <v>Primary Partnership</v>
          </cell>
          <cell r="J319">
            <v>15000000</v>
          </cell>
          <cell r="K319">
            <v>2721787</v>
          </cell>
          <cell r="R319" t="str">
            <v>Small</v>
          </cell>
          <cell r="S319">
            <v>-38.779628554168845</v>
          </cell>
          <cell r="Y319">
            <v>2212553</v>
          </cell>
          <cell r="Z319">
            <v>0</v>
          </cell>
          <cell r="AA319" t="str">
            <v>Corporate Finance/Buyout</v>
          </cell>
          <cell r="AF319">
            <v>0.18145246666666667</v>
          </cell>
        </row>
        <row r="320">
          <cell r="A320" t="str">
            <v>International Union of Operating Engineers</v>
          </cell>
          <cell r="G320" t="str">
            <v>GESD</v>
          </cell>
          <cell r="I320" t="str">
            <v>Primary Partnership</v>
          </cell>
          <cell r="J320">
            <v>5000000</v>
          </cell>
          <cell r="K320">
            <v>1360894</v>
          </cell>
          <cell r="R320" t="str">
            <v>Small</v>
          </cell>
          <cell r="S320">
            <v>-38.779628554168845</v>
          </cell>
          <cell r="Y320">
            <v>1191149</v>
          </cell>
          <cell r="Z320">
            <v>0</v>
          </cell>
          <cell r="AA320" t="str">
            <v>Corporate Finance/Buyout</v>
          </cell>
          <cell r="AF320">
            <v>0.2721788</v>
          </cell>
        </row>
        <row r="321">
          <cell r="A321" t="str">
            <v>The 1199 Health Care Employees Pension Fund</v>
          </cell>
          <cell r="G321" t="str">
            <v>GESD</v>
          </cell>
          <cell r="I321" t="str">
            <v>Primary Partnership</v>
          </cell>
          <cell r="J321">
            <v>10000000</v>
          </cell>
          <cell r="K321">
            <v>1360894</v>
          </cell>
          <cell r="R321" t="str">
            <v>Small</v>
          </cell>
          <cell r="S321">
            <v>-38.779628554168845</v>
          </cell>
          <cell r="Y321">
            <v>1021404</v>
          </cell>
          <cell r="Z321">
            <v>0</v>
          </cell>
          <cell r="AA321" t="str">
            <v>Corporate Finance/Buyout</v>
          </cell>
          <cell r="AF321">
            <v>0.1360894</v>
          </cell>
        </row>
        <row r="322">
          <cell r="A322" t="str">
            <v>The Hudson River Fund II</v>
          </cell>
          <cell r="G322" t="str">
            <v>GESD</v>
          </cell>
          <cell r="I322" t="str">
            <v>Primary Partnership</v>
          </cell>
          <cell r="J322">
            <v>15000000</v>
          </cell>
          <cell r="K322">
            <v>0</v>
          </cell>
          <cell r="R322" t="str">
            <v>Small</v>
          </cell>
          <cell r="S322">
            <v>-38.779628554168845</v>
          </cell>
          <cell r="Y322">
            <v>0</v>
          </cell>
          <cell r="Z322">
            <v>0</v>
          </cell>
          <cell r="AA322" t="str">
            <v>Corporate Finance/Buyout</v>
          </cell>
          <cell r="AF322">
            <v>0</v>
          </cell>
        </row>
        <row r="323">
          <cell r="A323" t="str">
            <v>United Food &amp; Commercial Workers Intl. Union</v>
          </cell>
          <cell r="G323" t="str">
            <v>GESD</v>
          </cell>
          <cell r="I323" t="str">
            <v>Primary Partnership</v>
          </cell>
          <cell r="J323">
            <v>15000000</v>
          </cell>
          <cell r="K323">
            <v>4082680</v>
          </cell>
          <cell r="R323" t="str">
            <v>Small</v>
          </cell>
          <cell r="S323">
            <v>-38.779628554168845</v>
          </cell>
          <cell r="Y323">
            <v>3573447</v>
          </cell>
          <cell r="Z323">
            <v>0</v>
          </cell>
          <cell r="AA323" t="str">
            <v>Corporate Finance/Buyout</v>
          </cell>
          <cell r="AF323">
            <v>0.27217866666666668</v>
          </cell>
        </row>
        <row r="324">
          <cell r="A324" t="str">
            <v>Hamilton Lane-Carpenters Partnership Fund, L.P.</v>
          </cell>
          <cell r="G324" t="str">
            <v>GESD</v>
          </cell>
          <cell r="I324" t="str">
            <v>Primary Partnership</v>
          </cell>
          <cell r="J324">
            <v>5000000</v>
          </cell>
          <cell r="K324">
            <v>4924291</v>
          </cell>
          <cell r="R324" t="str">
            <v>Small</v>
          </cell>
          <cell r="S324">
            <v>-1.4131933108948003</v>
          </cell>
          <cell r="Y324">
            <v>3830147</v>
          </cell>
          <cell r="Z324">
            <v>853216.72</v>
          </cell>
          <cell r="AA324" t="str">
            <v>Corporate Finance/Buyout</v>
          </cell>
          <cell r="AF324">
            <v>0.98485820000000002</v>
          </cell>
        </row>
        <row r="325">
          <cell r="A325" t="str">
            <v>I.A.M. National Pension Fund</v>
          </cell>
          <cell r="G325" t="str">
            <v>GESD</v>
          </cell>
          <cell r="I325" t="str">
            <v>Primary Partnership</v>
          </cell>
          <cell r="J325">
            <v>5000000</v>
          </cell>
          <cell r="K325">
            <v>4924291</v>
          </cell>
          <cell r="R325" t="str">
            <v>Small</v>
          </cell>
          <cell r="S325">
            <v>-1.4131933108948003</v>
          </cell>
          <cell r="Y325">
            <v>3830147</v>
          </cell>
          <cell r="Z325">
            <v>853216.72</v>
          </cell>
          <cell r="AA325" t="str">
            <v>Corporate Finance/Buyout</v>
          </cell>
          <cell r="AF325">
            <v>0.98485820000000002</v>
          </cell>
        </row>
        <row r="326">
          <cell r="A326" t="str">
            <v>The 1199 Health Care Employees Pension Fund</v>
          </cell>
          <cell r="G326" t="str">
            <v>GESD</v>
          </cell>
          <cell r="I326" t="str">
            <v>Primary Partnership</v>
          </cell>
          <cell r="J326">
            <v>10000000</v>
          </cell>
          <cell r="K326">
            <v>9848580</v>
          </cell>
          <cell r="R326" t="str">
            <v>Small</v>
          </cell>
          <cell r="S326">
            <v>-1.4131933108948003</v>
          </cell>
          <cell r="Y326">
            <v>7660293</v>
          </cell>
          <cell r="Z326">
            <v>1706433.43</v>
          </cell>
          <cell r="AA326" t="str">
            <v>Corporate Finance/Buyout</v>
          </cell>
          <cell r="AF326">
            <v>0.98485800000000001</v>
          </cell>
        </row>
        <row r="327">
          <cell r="A327" t="str">
            <v>United Food &amp; Commercial Workers Intl. Union</v>
          </cell>
          <cell r="G327" t="str">
            <v>GESD</v>
          </cell>
          <cell r="I327" t="str">
            <v>Primary Partnership</v>
          </cell>
          <cell r="J327">
            <v>5000000</v>
          </cell>
          <cell r="K327">
            <v>4924291</v>
          </cell>
          <cell r="R327" t="str">
            <v>Small</v>
          </cell>
          <cell r="S327">
            <v>-1.4131933108948003</v>
          </cell>
          <cell r="Y327">
            <v>3830147</v>
          </cell>
          <cell r="Z327">
            <v>853216.72</v>
          </cell>
          <cell r="AA327" t="str">
            <v>Corporate Finance/Buyout</v>
          </cell>
          <cell r="AF327">
            <v>0.98485820000000002</v>
          </cell>
        </row>
        <row r="328">
          <cell r="A328" t="str">
            <v>The Hudson River Fund II</v>
          </cell>
          <cell r="G328" t="str">
            <v>Giza Venture Capital</v>
          </cell>
          <cell r="I328" t="str">
            <v>Primary Partnership</v>
          </cell>
          <cell r="J328">
            <v>15000000</v>
          </cell>
          <cell r="K328">
            <v>0</v>
          </cell>
          <cell r="R328" t="str">
            <v>Early Stage</v>
          </cell>
          <cell r="Y328">
            <v>0</v>
          </cell>
          <cell r="Z328">
            <v>0</v>
          </cell>
          <cell r="AA328" t="str">
            <v>Venture Capital</v>
          </cell>
          <cell r="AF328">
            <v>0</v>
          </cell>
        </row>
        <row r="329">
          <cell r="A329" t="str">
            <v>Hamilton Lane-Carpenters Partnership Fund, L.P.</v>
          </cell>
          <cell r="G329" t="str">
            <v>Goense Bounds</v>
          </cell>
          <cell r="I329" t="str">
            <v>Primary Partnership</v>
          </cell>
          <cell r="J329">
            <v>15000000</v>
          </cell>
          <cell r="K329">
            <v>16072750.84</v>
          </cell>
          <cell r="R329" t="str">
            <v>Small</v>
          </cell>
          <cell r="S329">
            <v>9.8728384355533336</v>
          </cell>
          <cell r="Y329">
            <v>9522830</v>
          </cell>
          <cell r="Z329">
            <v>11938834.709999999</v>
          </cell>
          <cell r="AA329" t="str">
            <v>Corporate Finance/Buyout</v>
          </cell>
          <cell r="AF329">
            <v>1.0715167226666666</v>
          </cell>
        </row>
        <row r="330">
          <cell r="A330" t="str">
            <v>The Hudson River Fund</v>
          </cell>
          <cell r="G330" t="str">
            <v>Goense Bounds</v>
          </cell>
          <cell r="I330" t="str">
            <v>Primary Partnership</v>
          </cell>
          <cell r="J330">
            <v>25000000</v>
          </cell>
          <cell r="K330">
            <v>26776791.689999994</v>
          </cell>
          <cell r="R330" t="str">
            <v>Small</v>
          </cell>
          <cell r="S330">
            <v>9.8728384355533336</v>
          </cell>
          <cell r="Y330">
            <v>15871396</v>
          </cell>
          <cell r="Z330">
            <v>19886936.489999998</v>
          </cell>
          <cell r="AA330" t="str">
            <v>Corporate Finance/Buyout</v>
          </cell>
          <cell r="AF330">
            <v>1.0710716675999998</v>
          </cell>
        </row>
        <row r="331">
          <cell r="A331" t="str">
            <v>United Food &amp; Commercial Workers Intl. Union</v>
          </cell>
          <cell r="G331" t="str">
            <v>Goense Bounds</v>
          </cell>
          <cell r="I331" t="str">
            <v>Primary Partnership</v>
          </cell>
          <cell r="J331">
            <v>10000000</v>
          </cell>
          <cell r="K331">
            <v>10715166.670000009</v>
          </cell>
          <cell r="R331" t="str">
            <v>Small</v>
          </cell>
          <cell r="S331">
            <v>9.8728384355533336</v>
          </cell>
          <cell r="Y331">
            <v>0</v>
          </cell>
          <cell r="Z331">
            <v>13740838.919999998</v>
          </cell>
          <cell r="AA331" t="str">
            <v>Corporate Finance/Buyout</v>
          </cell>
          <cell r="AF331">
            <v>1.0715166670000009</v>
          </cell>
        </row>
        <row r="332">
          <cell r="A332" t="str">
            <v>Los Angeles City Employees' Retirement System</v>
          </cell>
          <cell r="G332" t="str">
            <v>Golder, Thoma, Cressey</v>
          </cell>
          <cell r="I332" t="str">
            <v>Primary Partnership</v>
          </cell>
          <cell r="J332">
            <v>15000000</v>
          </cell>
          <cell r="K332">
            <v>2653341</v>
          </cell>
          <cell r="R332" t="str">
            <v>Mid</v>
          </cell>
          <cell r="S332">
            <v>48.515155885118567</v>
          </cell>
          <cell r="Y332">
            <v>2189140</v>
          </cell>
          <cell r="Z332">
            <v>948346</v>
          </cell>
          <cell r="AA332" t="str">
            <v>Corporate Finance/Buyout</v>
          </cell>
          <cell r="AF332">
            <v>0.1768894</v>
          </cell>
        </row>
        <row r="333">
          <cell r="A333" t="str">
            <v>Royal Mail Pensions Trustees Limited</v>
          </cell>
          <cell r="G333" t="str">
            <v>Gores Technology Group</v>
          </cell>
          <cell r="I333" t="str">
            <v>Primary Partnership</v>
          </cell>
          <cell r="J333">
            <v>10000000</v>
          </cell>
          <cell r="K333">
            <v>3050000</v>
          </cell>
          <cell r="R333" t="str">
            <v>Mid</v>
          </cell>
          <cell r="S333">
            <v>-26.776094098148228</v>
          </cell>
          <cell r="Y333">
            <v>2728433.94</v>
          </cell>
          <cell r="Z333">
            <v>0</v>
          </cell>
          <cell r="AA333" t="str">
            <v>Corporate Finance/Buyout</v>
          </cell>
          <cell r="AF333">
            <v>0.30499999999999999</v>
          </cell>
        </row>
        <row r="334">
          <cell r="A334" t="str">
            <v>The 1199 Health Care Employees Pension Fund</v>
          </cell>
          <cell r="G334" t="str">
            <v>Gores Technology Group</v>
          </cell>
          <cell r="I334" t="str">
            <v>Primary Partnership</v>
          </cell>
          <cell r="J334">
            <v>5000000</v>
          </cell>
          <cell r="K334">
            <v>1525000</v>
          </cell>
          <cell r="R334" t="str">
            <v>Mid</v>
          </cell>
          <cell r="S334">
            <v>-26.776094098148228</v>
          </cell>
          <cell r="Y334">
            <v>1364216.99</v>
          </cell>
          <cell r="Z334">
            <v>0</v>
          </cell>
          <cell r="AA334" t="str">
            <v>Corporate Finance/Buyout</v>
          </cell>
          <cell r="AF334">
            <v>0.30499999999999999</v>
          </cell>
        </row>
        <row r="335">
          <cell r="A335" t="str">
            <v>The Hudson River Fund II</v>
          </cell>
          <cell r="G335" t="str">
            <v>Gores Technology Group</v>
          </cell>
          <cell r="I335" t="str">
            <v>Primary Partnership</v>
          </cell>
          <cell r="J335">
            <v>20000000</v>
          </cell>
          <cell r="K335">
            <v>6100000</v>
          </cell>
          <cell r="R335" t="str">
            <v>Mid</v>
          </cell>
          <cell r="S335">
            <v>-26.776094098148228</v>
          </cell>
          <cell r="Y335">
            <v>5456867.96</v>
          </cell>
          <cell r="Z335">
            <v>0</v>
          </cell>
          <cell r="AA335" t="str">
            <v>Corporate Finance/Buyout</v>
          </cell>
          <cell r="AF335">
            <v>0.30499999999999999</v>
          </cell>
        </row>
        <row r="336">
          <cell r="A336" t="str">
            <v>Hamilton Lane Private Equity Fund Investments KB</v>
          </cell>
          <cell r="G336" t="str">
            <v>Gores Technology Group</v>
          </cell>
          <cell r="I336" t="str">
            <v>Primary Partnership</v>
          </cell>
          <cell r="J336">
            <v>2500000</v>
          </cell>
          <cell r="K336">
            <v>2325564</v>
          </cell>
          <cell r="R336" t="str">
            <v>Mid</v>
          </cell>
          <cell r="S336">
            <v>20.16185273912745</v>
          </cell>
          <cell r="Y336">
            <v>2141521</v>
          </cell>
          <cell r="Z336">
            <v>1146906.1299999999</v>
          </cell>
          <cell r="AA336" t="str">
            <v>Corporate Finance/Buyout</v>
          </cell>
          <cell r="AF336">
            <v>0.93022559999999999</v>
          </cell>
        </row>
        <row r="337">
          <cell r="A337" t="str">
            <v>Hamilton Lane Private Equity Fund V, L.P.</v>
          </cell>
          <cell r="G337" t="str">
            <v>Gores Technology Group</v>
          </cell>
          <cell r="I337" t="str">
            <v>Primary Partnership</v>
          </cell>
          <cell r="J337">
            <v>5000000</v>
          </cell>
          <cell r="K337">
            <v>4651125</v>
          </cell>
          <cell r="R337" t="str">
            <v>Mid</v>
          </cell>
          <cell r="S337">
            <v>20.16185273912745</v>
          </cell>
          <cell r="Y337">
            <v>4283041</v>
          </cell>
          <cell r="Z337">
            <v>2293813.2799999998</v>
          </cell>
          <cell r="AA337" t="str">
            <v>Corporate Finance/Buyout</v>
          </cell>
          <cell r="AF337">
            <v>0.93022499999999997</v>
          </cell>
        </row>
        <row r="338">
          <cell r="A338" t="str">
            <v>I.A.M. National Pension Fund</v>
          </cell>
          <cell r="G338" t="str">
            <v>Gores Technology Group</v>
          </cell>
          <cell r="I338" t="str">
            <v>Primary Partnership</v>
          </cell>
          <cell r="J338">
            <v>5000000</v>
          </cell>
          <cell r="K338">
            <v>4651125</v>
          </cell>
          <cell r="R338" t="str">
            <v>Mid</v>
          </cell>
          <cell r="S338">
            <v>20.16185273912745</v>
          </cell>
          <cell r="Y338">
            <v>4283041</v>
          </cell>
          <cell r="Z338">
            <v>2293813.2799999998</v>
          </cell>
          <cell r="AA338" t="str">
            <v>Corporate Finance/Buyout</v>
          </cell>
          <cell r="AF338">
            <v>0.93022499999999997</v>
          </cell>
        </row>
        <row r="339">
          <cell r="A339" t="str">
            <v>Royal Mail Pensions Trustees Limited</v>
          </cell>
          <cell r="G339" t="str">
            <v>Gores Technology Group</v>
          </cell>
          <cell r="I339" t="str">
            <v>Primary Partnership</v>
          </cell>
          <cell r="J339">
            <v>5000000</v>
          </cell>
          <cell r="K339">
            <v>4651125</v>
          </cell>
          <cell r="R339" t="str">
            <v>Mid</v>
          </cell>
          <cell r="S339">
            <v>20.16185273912745</v>
          </cell>
          <cell r="Y339">
            <v>4283041</v>
          </cell>
          <cell r="Z339">
            <v>2293813.2799999998</v>
          </cell>
          <cell r="AA339" t="str">
            <v>Corporate Finance/Buyout</v>
          </cell>
          <cell r="AF339">
            <v>0.93022499999999997</v>
          </cell>
        </row>
        <row r="340">
          <cell r="A340" t="str">
            <v>The 1199 Health Care Employees Pension Fund</v>
          </cell>
          <cell r="G340" t="str">
            <v>Gores Technology Group</v>
          </cell>
          <cell r="I340" t="str">
            <v>Primary Partnership</v>
          </cell>
          <cell r="J340">
            <v>5000000</v>
          </cell>
          <cell r="K340">
            <v>4651125</v>
          </cell>
          <cell r="R340" t="str">
            <v>Mid</v>
          </cell>
          <cell r="S340">
            <v>20.16185273912745</v>
          </cell>
          <cell r="Y340">
            <v>4283042</v>
          </cell>
          <cell r="Z340">
            <v>2293813.2799999998</v>
          </cell>
          <cell r="AA340" t="str">
            <v>Corporate Finance/Buyout</v>
          </cell>
          <cell r="AF340">
            <v>0.93022499999999997</v>
          </cell>
        </row>
        <row r="341">
          <cell r="A341" t="str">
            <v>The Hudson River Fund II</v>
          </cell>
          <cell r="G341" t="str">
            <v>Gores Technology Group</v>
          </cell>
          <cell r="I341" t="str">
            <v>Primary Partnership</v>
          </cell>
          <cell r="J341">
            <v>20000000</v>
          </cell>
          <cell r="K341">
            <v>18604499</v>
          </cell>
          <cell r="R341" t="str">
            <v>Mid</v>
          </cell>
          <cell r="S341">
            <v>20.16185273912745</v>
          </cell>
          <cell r="Y341">
            <v>17126959</v>
          </cell>
          <cell r="Z341">
            <v>9180986.129999999</v>
          </cell>
          <cell r="AA341" t="str">
            <v>Corporate Finance/Buyout</v>
          </cell>
          <cell r="AF341">
            <v>0.93022495000000005</v>
          </cell>
        </row>
        <row r="342">
          <cell r="A342" t="str">
            <v>The Markaz/Hamilton Lane Technology Fund L.P.</v>
          </cell>
          <cell r="G342" t="str">
            <v>Gores Technology Group</v>
          </cell>
          <cell r="I342" t="str">
            <v>Primary Partnership</v>
          </cell>
          <cell r="J342">
            <v>1000000</v>
          </cell>
          <cell r="K342">
            <v>930224</v>
          </cell>
          <cell r="R342" t="str">
            <v>Mid</v>
          </cell>
          <cell r="S342">
            <v>20.16185273912745</v>
          </cell>
          <cell r="Y342">
            <v>856607</v>
          </cell>
          <cell r="Z342">
            <v>458763.46</v>
          </cell>
          <cell r="AA342" t="str">
            <v>Corporate Finance/Buyout</v>
          </cell>
          <cell r="AF342">
            <v>0.93022400000000005</v>
          </cell>
        </row>
        <row r="343">
          <cell r="A343" t="str">
            <v>Hamilton Lane-Carpenters Partnership Fund, L.P.</v>
          </cell>
          <cell r="G343" t="str">
            <v>Leonard Green &amp; Company</v>
          </cell>
          <cell r="I343" t="str">
            <v>Primary Partnership</v>
          </cell>
          <cell r="J343">
            <v>10000000</v>
          </cell>
          <cell r="K343">
            <v>9633458.4200000037</v>
          </cell>
          <cell r="R343" t="str">
            <v>Mid</v>
          </cell>
          <cell r="S343">
            <v>5.9754731350033952</v>
          </cell>
          <cell r="Y343">
            <v>8800590</v>
          </cell>
          <cell r="Z343">
            <v>1887352.93</v>
          </cell>
          <cell r="AA343" t="str">
            <v>Corporate Finance/Buyout</v>
          </cell>
          <cell r="AF343">
            <v>0.9633458420000004</v>
          </cell>
        </row>
        <row r="344">
          <cell r="A344" t="str">
            <v>I.A.M. National Pension Fund</v>
          </cell>
          <cell r="G344" t="str">
            <v>Leonard Green &amp; Company</v>
          </cell>
          <cell r="I344" t="str">
            <v>Primary Partnership</v>
          </cell>
          <cell r="J344">
            <v>10000000</v>
          </cell>
          <cell r="K344">
            <v>9633459.0900000017</v>
          </cell>
          <cell r="R344" t="str">
            <v>Mid</v>
          </cell>
          <cell r="S344">
            <v>5.9754731350033952</v>
          </cell>
          <cell r="Y344">
            <v>8800590</v>
          </cell>
          <cell r="Z344">
            <v>1887353.11</v>
          </cell>
          <cell r="AA344" t="str">
            <v>Corporate Finance/Buyout</v>
          </cell>
          <cell r="AF344">
            <v>0.96334590900000017</v>
          </cell>
        </row>
        <row r="345">
          <cell r="A345" t="str">
            <v>Nordea Thematic Fund-of-Funds</v>
          </cell>
          <cell r="G345" t="str">
            <v>Leonard Green &amp; Company</v>
          </cell>
          <cell r="I345" t="str">
            <v>Primary Partnership</v>
          </cell>
          <cell r="J345">
            <v>10000000</v>
          </cell>
          <cell r="K345">
            <v>9741075.290000001</v>
          </cell>
          <cell r="R345" t="str">
            <v>Mid</v>
          </cell>
          <cell r="S345">
            <v>5.9754731350033952</v>
          </cell>
          <cell r="Y345">
            <v>8800590</v>
          </cell>
          <cell r="Z345">
            <v>1770519.89</v>
          </cell>
          <cell r="AA345" t="str">
            <v>Corporate Finance/Buyout</v>
          </cell>
          <cell r="AF345">
            <v>0.97410752900000008</v>
          </cell>
        </row>
        <row r="346">
          <cell r="A346" t="str">
            <v>Royal Mail Pensions Trustees Limited</v>
          </cell>
          <cell r="G346" t="str">
            <v>Leonard Green &amp; Company</v>
          </cell>
          <cell r="I346" t="str">
            <v>Primary Partnership</v>
          </cell>
          <cell r="J346">
            <v>10000000</v>
          </cell>
          <cell r="K346">
            <v>9640990.8699999992</v>
          </cell>
          <cell r="R346" t="str">
            <v>Mid</v>
          </cell>
          <cell r="S346">
            <v>5.9754731350033952</v>
          </cell>
          <cell r="Y346">
            <v>8800590</v>
          </cell>
          <cell r="Z346">
            <v>1887352.51</v>
          </cell>
          <cell r="AA346" t="str">
            <v>Corporate Finance/Buyout</v>
          </cell>
          <cell r="AF346">
            <v>0.96409908699999991</v>
          </cell>
        </row>
        <row r="347">
          <cell r="A347" t="str">
            <v>Textron Master Trust</v>
          </cell>
          <cell r="G347" t="str">
            <v>Leonard Green &amp; Company</v>
          </cell>
          <cell r="I347" t="str">
            <v>Primary Partnership</v>
          </cell>
          <cell r="J347">
            <v>10000000</v>
          </cell>
          <cell r="K347">
            <v>9633451.5999999996</v>
          </cell>
          <cell r="R347" t="str">
            <v>Mid</v>
          </cell>
          <cell r="S347">
            <v>5.9754731350033952</v>
          </cell>
          <cell r="Y347">
            <v>8800590</v>
          </cell>
          <cell r="Z347">
            <v>1887351.73</v>
          </cell>
          <cell r="AA347" t="str">
            <v>Corporate Finance/Buyout</v>
          </cell>
          <cell r="AF347">
            <v>0.96334515999999992</v>
          </cell>
        </row>
        <row r="348">
          <cell r="A348" t="str">
            <v>United Food &amp; Commercial Workers Intl. Union</v>
          </cell>
          <cell r="G348" t="str">
            <v>Leonard Green &amp; Company</v>
          </cell>
          <cell r="I348" t="str">
            <v>Primary Partnership</v>
          </cell>
          <cell r="J348">
            <v>10000000</v>
          </cell>
          <cell r="K348">
            <v>9633451.6100000013</v>
          </cell>
          <cell r="R348" t="str">
            <v>Mid</v>
          </cell>
          <cell r="S348">
            <v>5.9754731350033952</v>
          </cell>
          <cell r="Y348">
            <v>8800590</v>
          </cell>
          <cell r="Z348">
            <v>1887351.79</v>
          </cell>
          <cell r="AA348" t="str">
            <v>Corporate Finance/Buyout</v>
          </cell>
          <cell r="AF348">
            <v>0.96334516100000012</v>
          </cell>
        </row>
        <row r="349">
          <cell r="A349" t="str">
            <v>Generali Global Private Equity S.A. SICAR</v>
          </cell>
          <cell r="G349" t="str">
            <v>Leonard Green &amp; Company</v>
          </cell>
          <cell r="I349" t="str">
            <v>Primary Partnership</v>
          </cell>
          <cell r="J349">
            <v>25000000</v>
          </cell>
          <cell r="K349">
            <v>3410935</v>
          </cell>
          <cell r="R349" t="str">
            <v>Large</v>
          </cell>
          <cell r="S349">
            <v>0.77910106997614026</v>
          </cell>
          <cell r="Y349">
            <v>3434087</v>
          </cell>
          <cell r="Z349">
            <v>0</v>
          </cell>
          <cell r="AA349" t="str">
            <v>Corporate Finance/Buyout</v>
          </cell>
          <cell r="AF349">
            <v>0.13643739999999999</v>
          </cell>
        </row>
        <row r="350">
          <cell r="A350" t="str">
            <v>Hamilton Lane-Carpenters Partnership Fund II L.P.</v>
          </cell>
          <cell r="G350" t="str">
            <v>Leonard Green &amp; Company</v>
          </cell>
          <cell r="I350" t="str">
            <v>Primary Partnership</v>
          </cell>
          <cell r="J350">
            <v>15000000</v>
          </cell>
          <cell r="K350">
            <v>2046562</v>
          </cell>
          <cell r="R350" t="str">
            <v>Large</v>
          </cell>
          <cell r="S350">
            <v>0.77910106997614026</v>
          </cell>
          <cell r="Y350">
            <v>2060457</v>
          </cell>
          <cell r="Z350">
            <v>0</v>
          </cell>
          <cell r="AA350" t="str">
            <v>Corporate Finance/Buyout</v>
          </cell>
          <cell r="AF350">
            <v>0.13643746666666667</v>
          </cell>
        </row>
        <row r="351">
          <cell r="A351" t="str">
            <v>International Union of Operating Engineers</v>
          </cell>
          <cell r="G351" t="str">
            <v>Leonard Green &amp; Company</v>
          </cell>
          <cell r="I351" t="str">
            <v>Primary Partnership</v>
          </cell>
          <cell r="J351">
            <v>10000000</v>
          </cell>
          <cell r="K351">
            <v>1364375</v>
          </cell>
          <cell r="R351" t="str">
            <v>Large</v>
          </cell>
          <cell r="S351">
            <v>0.77910106997614026</v>
          </cell>
          <cell r="Y351">
            <v>1373637</v>
          </cell>
          <cell r="Z351">
            <v>0</v>
          </cell>
          <cell r="AA351" t="str">
            <v>Corporate Finance/Buyout</v>
          </cell>
          <cell r="AF351">
            <v>0.13643749999999999</v>
          </cell>
        </row>
        <row r="352">
          <cell r="A352" t="str">
            <v>Los Angeles City Employees' Retirement System</v>
          </cell>
          <cell r="G352" t="str">
            <v>Leonard Green &amp; Company</v>
          </cell>
          <cell r="I352" t="str">
            <v>Primary Partnership</v>
          </cell>
          <cell r="J352">
            <v>20000000</v>
          </cell>
          <cell r="K352">
            <v>2728750</v>
          </cell>
          <cell r="R352" t="str">
            <v>Large</v>
          </cell>
          <cell r="S352">
            <v>0.77910106997614026</v>
          </cell>
          <cell r="Y352">
            <v>2747275</v>
          </cell>
          <cell r="Z352">
            <v>0</v>
          </cell>
          <cell r="AA352" t="str">
            <v>Corporate Finance/Buyout</v>
          </cell>
          <cell r="AF352">
            <v>0.13643749999999999</v>
          </cell>
        </row>
        <row r="353">
          <cell r="A353" t="str">
            <v>Royal Mail Pensions Trustees Limited</v>
          </cell>
          <cell r="G353" t="str">
            <v>Leonard Green &amp; Company</v>
          </cell>
          <cell r="I353" t="str">
            <v>Primary Partnership</v>
          </cell>
          <cell r="J353">
            <v>15000000</v>
          </cell>
          <cell r="K353">
            <v>2046562</v>
          </cell>
          <cell r="R353" t="str">
            <v>Large</v>
          </cell>
          <cell r="S353">
            <v>0.77910106997614026</v>
          </cell>
          <cell r="Y353">
            <v>2060456</v>
          </cell>
          <cell r="Z353">
            <v>0</v>
          </cell>
          <cell r="AA353" t="str">
            <v>Corporate Finance/Buyout</v>
          </cell>
          <cell r="AF353">
            <v>0.13643746666666667</v>
          </cell>
        </row>
        <row r="354">
          <cell r="A354" t="str">
            <v>United Food &amp; Commercial Workers Intl. Union</v>
          </cell>
          <cell r="G354" t="str">
            <v>Leonard Green &amp; Company</v>
          </cell>
          <cell r="I354" t="str">
            <v>Primary Partnership</v>
          </cell>
          <cell r="J354">
            <v>10000000</v>
          </cell>
          <cell r="K354">
            <v>1364375</v>
          </cell>
          <cell r="R354" t="str">
            <v>Large</v>
          </cell>
          <cell r="S354">
            <v>0.77910106997614026</v>
          </cell>
          <cell r="Y354">
            <v>1373637</v>
          </cell>
          <cell r="Z354">
            <v>0</v>
          </cell>
          <cell r="AA354" t="str">
            <v>Corporate Finance/Buyout</v>
          </cell>
          <cell r="AF354">
            <v>0.13643749999999999</v>
          </cell>
        </row>
        <row r="355">
          <cell r="A355" t="str">
            <v>Hamilton Lane Secondary Fund L.P. (Investments)</v>
          </cell>
          <cell r="G355" t="str">
            <v>Green Mountain Advisors, Inc.</v>
          </cell>
          <cell r="I355" t="str">
            <v>Secondary Purchase</v>
          </cell>
          <cell r="J355">
            <v>4693028</v>
          </cell>
          <cell r="K355">
            <v>4663853.7</v>
          </cell>
          <cell r="R355"/>
          <cell r="S355">
            <v>24.298581664343288</v>
          </cell>
          <cell r="Y355">
            <v>5797104</v>
          </cell>
          <cell r="Z355">
            <v>0</v>
          </cell>
          <cell r="AA355" t="str">
            <v>Mezzanine</v>
          </cell>
          <cell r="AF355">
            <v>0.99378348051620413</v>
          </cell>
        </row>
        <row r="356">
          <cell r="A356" t="str">
            <v>Hamilton Lane Secondary Fund L.P. (Investments)</v>
          </cell>
          <cell r="G356" t="str">
            <v>Green Mountain Advisors, Inc.</v>
          </cell>
          <cell r="I356" t="str">
            <v>Secondary Purchase</v>
          </cell>
          <cell r="J356">
            <v>10430041</v>
          </cell>
          <cell r="K356">
            <v>10285753.970000001</v>
          </cell>
          <cell r="R356"/>
          <cell r="S356">
            <v>5.0683890701695544</v>
          </cell>
          <cell r="Y356">
            <v>10807076</v>
          </cell>
          <cell r="Z356">
            <v>0</v>
          </cell>
          <cell r="AA356" t="str">
            <v>Mezzanine</v>
          </cell>
          <cell r="AF356">
            <v>0.98616620682507394</v>
          </cell>
        </row>
        <row r="357">
          <cell r="A357" t="str">
            <v>Hamilton Lane Co-Investment Fund, L.P.</v>
          </cell>
          <cell r="G357" t="str">
            <v>Providence Equity Partners, Inc.</v>
          </cell>
          <cell r="I357" t="str">
            <v>Co/Direct Investment</v>
          </cell>
          <cell r="J357">
            <v>14829894</v>
          </cell>
          <cell r="K357">
            <v>14829894</v>
          </cell>
          <cell r="R357" t="str">
            <v>Large</v>
          </cell>
          <cell r="S357">
            <v>9.2570154581146813</v>
          </cell>
          <cell r="Y357">
            <v>18040363.610400002</v>
          </cell>
          <cell r="Z357">
            <v>0</v>
          </cell>
          <cell r="AA357" t="str">
            <v>Corporate Finance/Buyout</v>
          </cell>
          <cell r="AF357">
            <v>1</v>
          </cell>
        </row>
        <row r="358">
          <cell r="A358" t="str">
            <v>Hamilton Lane Co-Investment Fund, L.P.</v>
          </cell>
          <cell r="G358" t="str">
            <v>Levine Leichtman Capital Partners, Inc.</v>
          </cell>
          <cell r="I358" t="str">
            <v>Co/Direct Investment</v>
          </cell>
          <cell r="J358">
            <v>10000000</v>
          </cell>
          <cell r="K358">
            <v>10000000</v>
          </cell>
          <cell r="R358" t="str">
            <v>Mid</v>
          </cell>
          <cell r="S358">
            <v>71.614525785898707</v>
          </cell>
          <cell r="Y358">
            <v>11584830</v>
          </cell>
          <cell r="Z358">
            <v>7524406.2699999996</v>
          </cell>
          <cell r="AA358" t="str">
            <v>Corporate Finance/Buyout</v>
          </cell>
          <cell r="AF358">
            <v>1</v>
          </cell>
        </row>
        <row r="359">
          <cell r="A359" t="str">
            <v>Los Angeles City Employees' Retirement System</v>
          </cell>
          <cell r="G359" t="str">
            <v>The Halilfax Group</v>
          </cell>
          <cell r="I359" t="str">
            <v>Primary Partnership</v>
          </cell>
          <cell r="J359">
            <v>10000000</v>
          </cell>
          <cell r="K359">
            <v>1903092</v>
          </cell>
          <cell r="R359" t="str">
            <v>Small</v>
          </cell>
          <cell r="S359">
            <v>6.5374175701302661</v>
          </cell>
          <cell r="Y359">
            <v>1073479</v>
          </cell>
          <cell r="Z359">
            <v>1065210</v>
          </cell>
          <cell r="AA359" t="str">
            <v>Corporate Finance/Buyout</v>
          </cell>
          <cell r="AF359">
            <v>0.19030920000000001</v>
          </cell>
        </row>
        <row r="360">
          <cell r="A360" t="str">
            <v>The Hudson River Fund II</v>
          </cell>
          <cell r="G360" t="str">
            <v>The Halilfax Group</v>
          </cell>
          <cell r="I360" t="str">
            <v>Primary Partnership</v>
          </cell>
          <cell r="J360">
            <v>20000000</v>
          </cell>
          <cell r="K360">
            <v>3884559</v>
          </cell>
          <cell r="R360" t="str">
            <v>Small</v>
          </cell>
          <cell r="S360">
            <v>6.5374175701302661</v>
          </cell>
          <cell r="Y360">
            <v>2146955</v>
          </cell>
          <cell r="Z360">
            <v>2130420</v>
          </cell>
          <cell r="AA360" t="str">
            <v>Corporate Finance/Buyout</v>
          </cell>
          <cell r="AF360">
            <v>0.19422795000000001</v>
          </cell>
        </row>
        <row r="361">
          <cell r="A361" t="str">
            <v>Hamilton Lane Private Equity Fund Investments KB</v>
          </cell>
          <cell r="G361" t="str">
            <v>Hellman &amp; Friedman</v>
          </cell>
          <cell r="I361" t="str">
            <v>Primary Partnership</v>
          </cell>
          <cell r="J361">
            <v>4000000</v>
          </cell>
          <cell r="K361">
            <v>3482373</v>
          </cell>
          <cell r="R361" t="str">
            <v>Large</v>
          </cell>
          <cell r="S361">
            <v>50.400247536673689</v>
          </cell>
          <cell r="Y361">
            <v>6478785</v>
          </cell>
          <cell r="Z361">
            <v>533726</v>
          </cell>
          <cell r="AA361" t="str">
            <v>Corporate Finance/Buyout</v>
          </cell>
          <cell r="AF361">
            <v>0.87059324999999999</v>
          </cell>
        </row>
        <row r="362">
          <cell r="A362" t="str">
            <v>Hamilton Lane Private Equity Fund V, L.P.</v>
          </cell>
          <cell r="G362" t="str">
            <v>Hellman &amp; Friedman</v>
          </cell>
          <cell r="I362" t="str">
            <v>Primary Partnership</v>
          </cell>
          <cell r="J362">
            <v>7500000</v>
          </cell>
          <cell r="K362">
            <v>6528235</v>
          </cell>
          <cell r="R362" t="str">
            <v>Large</v>
          </cell>
          <cell r="S362">
            <v>50.400247536673689</v>
          </cell>
          <cell r="Y362">
            <v>12141127</v>
          </cell>
          <cell r="Z362">
            <v>995359</v>
          </cell>
          <cell r="AA362" t="str">
            <v>Corporate Finance/Buyout</v>
          </cell>
          <cell r="AF362">
            <v>0.87043133333333333</v>
          </cell>
        </row>
        <row r="363">
          <cell r="A363" t="str">
            <v>Los Angeles City Employees' Retirement System</v>
          </cell>
          <cell r="G363" t="str">
            <v>Hellman &amp; Friedman</v>
          </cell>
          <cell r="I363" t="str">
            <v>Primary Partnership</v>
          </cell>
          <cell r="J363">
            <v>20000000</v>
          </cell>
          <cell r="K363">
            <v>6955484</v>
          </cell>
          <cell r="R363" t="str">
            <v>Large</v>
          </cell>
          <cell r="S363">
            <v>4.2381224397628037</v>
          </cell>
          <cell r="Y363">
            <v>7124624</v>
          </cell>
          <cell r="Z363">
            <v>16203</v>
          </cell>
          <cell r="AA363" t="str">
            <v>Corporate Finance/Buyout</v>
          </cell>
          <cell r="AF363">
            <v>0.34777419999999998</v>
          </cell>
        </row>
        <row r="364">
          <cell r="A364" t="str">
            <v>Hamilton Lane-Carpenters Partnership Fund, L.P.</v>
          </cell>
          <cell r="G364" t="str">
            <v>Heritage Partners, Inc.</v>
          </cell>
          <cell r="I364" t="str">
            <v>Primary Partnership</v>
          </cell>
          <cell r="J364">
            <v>10000000</v>
          </cell>
          <cell r="K364">
            <v>8297650</v>
          </cell>
          <cell r="R364" t="str">
            <v>Mid</v>
          </cell>
          <cell r="S364">
            <v>-29.000544005167374</v>
          </cell>
          <cell r="Y364">
            <v>704954</v>
          </cell>
          <cell r="Z364">
            <v>2788484</v>
          </cell>
          <cell r="AA364" t="str">
            <v>Corporate Finance/Buyout</v>
          </cell>
          <cell r="AF364">
            <v>0.82976499999999997</v>
          </cell>
        </row>
        <row r="365">
          <cell r="A365" t="str">
            <v>Princess Private Equity Subholding Ltd.</v>
          </cell>
          <cell r="G365" t="str">
            <v>Heritage Partners, Inc.</v>
          </cell>
          <cell r="I365" t="str">
            <v>Primary Partnership</v>
          </cell>
          <cell r="J365">
            <v>10000000</v>
          </cell>
          <cell r="K365">
            <v>8297650</v>
          </cell>
          <cell r="R365" t="str">
            <v>Mid</v>
          </cell>
          <cell r="S365">
            <v>-29.000544005167374</v>
          </cell>
          <cell r="Y365">
            <v>501490</v>
          </cell>
          <cell r="Z365">
            <v>2788484</v>
          </cell>
          <cell r="AA365" t="str">
            <v>Corporate Finance/Buyout</v>
          </cell>
          <cell r="AF365">
            <v>0.82976499999999997</v>
          </cell>
        </row>
        <row r="366">
          <cell r="A366" t="str">
            <v>Hamilton Lane Capital Opportunities Fund LP</v>
          </cell>
          <cell r="G366" t="str">
            <v>High Road Capital Partners</v>
          </cell>
          <cell r="I366" t="str">
            <v>Primary Partnership</v>
          </cell>
          <cell r="J366">
            <v>15000000</v>
          </cell>
          <cell r="K366">
            <v>51359</v>
          </cell>
          <cell r="R366" t="str">
            <v>Small</v>
          </cell>
          <cell r="S366">
            <v>-100</v>
          </cell>
          <cell r="Y366">
            <v>0</v>
          </cell>
          <cell r="Z366">
            <v>0</v>
          </cell>
          <cell r="AA366" t="str">
            <v>Corporate Finance/Buyout</v>
          </cell>
          <cell r="AF366">
            <v>3.4239333333333333E-3</v>
          </cell>
        </row>
        <row r="367">
          <cell r="A367" t="str">
            <v>Hamilton Lane Private Equity Fund VI, L.P.</v>
          </cell>
          <cell r="G367" t="str">
            <v>High Road Capital Partners</v>
          </cell>
          <cell r="I367" t="str">
            <v>Primary Partnership</v>
          </cell>
          <cell r="J367">
            <v>15000000</v>
          </cell>
          <cell r="K367">
            <v>51359</v>
          </cell>
          <cell r="R367" t="str">
            <v>Small</v>
          </cell>
          <cell r="S367">
            <v>-100</v>
          </cell>
          <cell r="Y367">
            <v>0</v>
          </cell>
          <cell r="Z367">
            <v>0</v>
          </cell>
          <cell r="AA367" t="str">
            <v>Corporate Finance/Buyout</v>
          </cell>
          <cell r="AF367">
            <v>3.4239333333333333E-3</v>
          </cell>
        </row>
        <row r="368">
          <cell r="A368" t="str">
            <v>The Hudson River Fund II</v>
          </cell>
          <cell r="G368" t="str">
            <v>High Road Capital Partners</v>
          </cell>
          <cell r="I368" t="str">
            <v>Primary Partnership</v>
          </cell>
          <cell r="J368">
            <v>15000000</v>
          </cell>
          <cell r="K368">
            <v>51359</v>
          </cell>
          <cell r="R368" t="str">
            <v>Small</v>
          </cell>
          <cell r="S368">
            <v>-100</v>
          </cell>
          <cell r="Y368">
            <v>0</v>
          </cell>
          <cell r="Z368">
            <v>0</v>
          </cell>
          <cell r="AA368" t="str">
            <v>Corporate Finance/Buyout</v>
          </cell>
          <cell r="AF368">
            <v>3.4239333333333333E-3</v>
          </cell>
        </row>
        <row r="369">
          <cell r="A369" t="str">
            <v>Nordea Thematic Fund-of-Funds</v>
          </cell>
          <cell r="G369" t="str">
            <v>Highland Capital</v>
          </cell>
          <cell r="I369" t="str">
            <v>Primary Partnership</v>
          </cell>
          <cell r="J369">
            <v>5000000</v>
          </cell>
          <cell r="K369">
            <v>4787500</v>
          </cell>
          <cell r="R369" t="str">
            <v>Multi-Stage</v>
          </cell>
          <cell r="S369">
            <v>20.155533496422983</v>
          </cell>
          <cell r="Y369">
            <v>3925499</v>
          </cell>
          <cell r="Z369">
            <v>3398578.43</v>
          </cell>
          <cell r="AA369" t="str">
            <v>Venture Capital</v>
          </cell>
          <cell r="AF369">
            <v>0.95750000000000002</v>
          </cell>
        </row>
        <row r="370">
          <cell r="A370" t="str">
            <v>The Markaz/Hamilton Lane Technology Fund L.P.</v>
          </cell>
          <cell r="G370" t="str">
            <v>Highland Capital</v>
          </cell>
          <cell r="I370" t="str">
            <v>Primary Partnership</v>
          </cell>
          <cell r="J370">
            <v>2000000</v>
          </cell>
          <cell r="K370">
            <v>1915000</v>
          </cell>
          <cell r="R370" t="str">
            <v>Multi-Stage</v>
          </cell>
          <cell r="S370">
            <v>20.155533496422983</v>
          </cell>
          <cell r="Y370">
            <v>1570199</v>
          </cell>
          <cell r="Z370">
            <v>1359882.66</v>
          </cell>
          <cell r="AA370" t="str">
            <v>Venture Capital</v>
          </cell>
          <cell r="AF370">
            <v>0.95750000000000002</v>
          </cell>
        </row>
        <row r="371">
          <cell r="A371" t="str">
            <v>Hamilton Lane Secondary Fund L.P. (Investments)</v>
          </cell>
          <cell r="G371" t="str">
            <v>Wachovia Investors</v>
          </cell>
          <cell r="I371" t="str">
            <v>Secondary Purchase</v>
          </cell>
          <cell r="J371">
            <v>20666999.420000002</v>
          </cell>
          <cell r="K371">
            <v>15920265</v>
          </cell>
          <cell r="R371" t="str">
            <v>Fund-of-Funds</v>
          </cell>
          <cell r="S371">
            <v>37.754231271232541</v>
          </cell>
          <cell r="Y371">
            <v>21662037</v>
          </cell>
          <cell r="Z371">
            <v>5079600</v>
          </cell>
          <cell r="AA371" t="str">
            <v>Special Situation</v>
          </cell>
          <cell r="AF371">
            <v>0.77032300028002798</v>
          </cell>
        </row>
        <row r="372">
          <cell r="A372" t="str">
            <v>NJHL European Buyout Investment Fund, L.P.</v>
          </cell>
          <cell r="G372" t="str">
            <v>Iberian Capital Management</v>
          </cell>
          <cell r="I372" t="str">
            <v>Primary Partnership</v>
          </cell>
          <cell r="J372">
            <v>14075808.389174569</v>
          </cell>
          <cell r="K372">
            <v>4764939.8584480705</v>
          </cell>
          <cell r="R372" t="str">
            <v>Mid</v>
          </cell>
          <cell r="S372">
            <v>96.938049467702569</v>
          </cell>
          <cell r="Y372">
            <v>9902485.1187000014</v>
          </cell>
          <cell r="Z372">
            <v>760.65599999999995</v>
          </cell>
          <cell r="AA372" t="str">
            <v>Corporate Finance/Buyout</v>
          </cell>
          <cell r="AF372">
            <v>0.33851980125792941</v>
          </cell>
        </row>
        <row r="373">
          <cell r="A373" t="str">
            <v>Hamilton Lane Co-Investment Fund, L.P.</v>
          </cell>
          <cell r="G373" t="str">
            <v>Providence Equity Partners, Inc.</v>
          </cell>
          <cell r="I373" t="str">
            <v>Co/Direct Investment</v>
          </cell>
          <cell r="J373">
            <v>26250000</v>
          </cell>
          <cell r="K373">
            <v>24890500</v>
          </cell>
          <cell r="R373" t="str">
            <v>Large</v>
          </cell>
          <cell r="S373">
            <v>153.73265931524958</v>
          </cell>
          <cell r="Y373">
            <v>69004344.609999999</v>
          </cell>
          <cell r="Z373">
            <v>0</v>
          </cell>
          <cell r="AA373" t="str">
            <v>Corporate Finance/Buyout</v>
          </cell>
          <cell r="AF373">
            <v>0.94820952380952384</v>
          </cell>
        </row>
        <row r="374">
          <cell r="A374" t="str">
            <v>Textron Master Trust - Real Estate</v>
          </cell>
          <cell r="G374" t="str">
            <v>LaSalle Investment Management</v>
          </cell>
          <cell r="I374" t="str">
            <v>Primary Partnership</v>
          </cell>
          <cell r="J374">
            <v>10000000</v>
          </cell>
          <cell r="K374">
            <v>10000000</v>
          </cell>
          <cell r="R374" t="str">
            <v>Value-Add - Indirect</v>
          </cell>
          <cell r="S374">
            <v>20.53975403781827</v>
          </cell>
          <cell r="Y374">
            <v>0</v>
          </cell>
          <cell r="Z374">
            <v>18391881.050000001</v>
          </cell>
          <cell r="AA374" t="str">
            <v>Real Estate</v>
          </cell>
          <cell r="AF374">
            <v>1</v>
          </cell>
        </row>
        <row r="375">
          <cell r="A375" t="str">
            <v>Textron Master Trust - Real Estate</v>
          </cell>
          <cell r="G375" t="str">
            <v>LaSalle Investment Management</v>
          </cell>
          <cell r="I375" t="str">
            <v>Primary Partnership</v>
          </cell>
          <cell r="J375">
            <v>10000000</v>
          </cell>
          <cell r="K375">
            <v>8983467.9199999981</v>
          </cell>
          <cell r="R375" t="str">
            <v>Value-Add - Indirect</v>
          </cell>
          <cell r="S375">
            <v>14.330221126831155</v>
          </cell>
          <cell r="Y375">
            <v>7174926.1900000004</v>
          </cell>
          <cell r="Z375">
            <v>8419837.0899999999</v>
          </cell>
          <cell r="AA375" t="str">
            <v>Real Estate</v>
          </cell>
          <cell r="AF375">
            <v>0.89834679199999978</v>
          </cell>
        </row>
        <row r="376">
          <cell r="A376" t="str">
            <v>Textron Master Trust - Real Estate</v>
          </cell>
          <cell r="G376" t="str">
            <v>LaSalle Investment Management</v>
          </cell>
          <cell r="I376" t="str">
            <v>Primary Partnership</v>
          </cell>
          <cell r="J376">
            <v>15000000</v>
          </cell>
          <cell r="K376">
            <v>13377996.289999999</v>
          </cell>
          <cell r="R376" t="str">
            <v>Value-Add - Indirect</v>
          </cell>
          <cell r="S376">
            <v>11.938121922542555</v>
          </cell>
          <cell r="Y376">
            <v>14167727.34</v>
          </cell>
          <cell r="Z376">
            <v>1209351.0900000001</v>
          </cell>
          <cell r="AA376" t="str">
            <v>Real Estate</v>
          </cell>
          <cell r="AF376">
            <v>0.89186641933333333</v>
          </cell>
        </row>
        <row r="377">
          <cell r="A377" t="str">
            <v>Textron Master Trust - Real Estate</v>
          </cell>
          <cell r="G377" t="str">
            <v>LaSalle Investment Management</v>
          </cell>
          <cell r="I377" t="str">
            <v>Primary Partnership</v>
          </cell>
          <cell r="J377">
            <v>10000000</v>
          </cell>
          <cell r="K377">
            <v>0</v>
          </cell>
          <cell r="R377" t="str">
            <v>Value-Add - Indirect</v>
          </cell>
          <cell r="Y377">
            <v>0</v>
          </cell>
          <cell r="Z377">
            <v>0</v>
          </cell>
          <cell r="AA377" t="str">
            <v>Real Estate</v>
          </cell>
          <cell r="AF377">
            <v>0</v>
          </cell>
        </row>
        <row r="378">
          <cell r="A378" t="str">
            <v>Royal Mail Pensions Trustees Limited</v>
          </cell>
          <cell r="G378" t="str">
            <v>Indigo Capital</v>
          </cell>
          <cell r="I378" t="str">
            <v>Primary Partnership</v>
          </cell>
          <cell r="J378">
            <v>12789674.768566953</v>
          </cell>
          <cell r="K378">
            <v>12400598.7306158</v>
          </cell>
          <cell r="R378"/>
          <cell r="S378">
            <v>17.911308386658842</v>
          </cell>
          <cell r="Y378">
            <v>7996420.7680500001</v>
          </cell>
          <cell r="Z378">
            <v>7699517.2832699995</v>
          </cell>
          <cell r="AA378" t="str">
            <v>Mezzanine</v>
          </cell>
          <cell r="AF378">
            <v>0.96957889508595008</v>
          </cell>
        </row>
        <row r="379">
          <cell r="A379" t="str">
            <v>The Hudson River Fund II</v>
          </cell>
          <cell r="G379" t="str">
            <v>Indigo Capital</v>
          </cell>
          <cell r="I379" t="str">
            <v>Primary Partnership</v>
          </cell>
          <cell r="J379">
            <v>12827728.256090201</v>
          </cell>
          <cell r="K379">
            <v>11229557.864325698</v>
          </cell>
          <cell r="R379"/>
          <cell r="S379">
            <v>17.911308386658842</v>
          </cell>
          <cell r="Y379">
            <v>12300782.229</v>
          </cell>
          <cell r="Z379">
            <v>6508517.1505203983</v>
          </cell>
          <cell r="AA379" t="str">
            <v>Mezzanine</v>
          </cell>
          <cell r="AF379">
            <v>0.87541282759823491</v>
          </cell>
        </row>
        <row r="380">
          <cell r="A380" t="str">
            <v>Hamilton Lane-Carpenters Partnership Fund, L.P.</v>
          </cell>
          <cell r="G380" t="str">
            <v>Infinity Capital</v>
          </cell>
          <cell r="I380" t="str">
            <v>Primary Partnership</v>
          </cell>
          <cell r="J380">
            <v>10000000</v>
          </cell>
          <cell r="K380">
            <v>9800776</v>
          </cell>
          <cell r="R380" t="str">
            <v>Early Stage</v>
          </cell>
          <cell r="S380">
            <v>-30.013637643289513</v>
          </cell>
          <cell r="Y380">
            <v>834356</v>
          </cell>
          <cell r="Z380">
            <v>849322.80999844475</v>
          </cell>
          <cell r="AA380" t="str">
            <v>Venture Capital</v>
          </cell>
          <cell r="AF380">
            <v>0.98007759999999999</v>
          </cell>
        </row>
        <row r="381">
          <cell r="A381" t="str">
            <v>Princess Private Equity Subholding Ltd.</v>
          </cell>
          <cell r="G381" t="str">
            <v>Infinity Capital</v>
          </cell>
          <cell r="I381" t="str">
            <v>Primary Partnership</v>
          </cell>
          <cell r="J381">
            <v>10000000</v>
          </cell>
          <cell r="K381">
            <v>9800776</v>
          </cell>
          <cell r="R381" t="str">
            <v>Early Stage</v>
          </cell>
          <cell r="S381">
            <v>-30.013637643289513</v>
          </cell>
          <cell r="Y381">
            <v>834356</v>
          </cell>
          <cell r="Z381">
            <v>849242.56</v>
          </cell>
          <cell r="AA381" t="str">
            <v>Venture Capital</v>
          </cell>
          <cell r="AF381">
            <v>0.98007759999999999</v>
          </cell>
        </row>
        <row r="382">
          <cell r="A382" t="str">
            <v>Textron Master Trust</v>
          </cell>
          <cell r="G382" t="str">
            <v>Infinity Capital</v>
          </cell>
          <cell r="I382" t="str">
            <v>Primary Partnership</v>
          </cell>
          <cell r="J382">
            <v>10000000</v>
          </cell>
          <cell r="K382">
            <v>9800776</v>
          </cell>
          <cell r="R382" t="str">
            <v>Early Stage</v>
          </cell>
          <cell r="S382">
            <v>-30.013637643289513</v>
          </cell>
          <cell r="Y382">
            <v>834356</v>
          </cell>
          <cell r="Z382">
            <v>849242.56</v>
          </cell>
          <cell r="AA382" t="str">
            <v>Venture Capital</v>
          </cell>
          <cell r="AF382">
            <v>0.98007759999999999</v>
          </cell>
        </row>
        <row r="383">
          <cell r="A383" t="str">
            <v>Unisys Master Trust</v>
          </cell>
          <cell r="G383" t="str">
            <v>Infinity Capital</v>
          </cell>
          <cell r="I383" t="str">
            <v>Primary Partnership</v>
          </cell>
          <cell r="J383">
            <v>3000000</v>
          </cell>
          <cell r="K383">
            <v>2940232</v>
          </cell>
          <cell r="R383" t="str">
            <v>Early Stage</v>
          </cell>
          <cell r="S383">
            <v>-30.013637643289513</v>
          </cell>
          <cell r="Y383">
            <v>250305</v>
          </cell>
          <cell r="Z383">
            <v>254783.8</v>
          </cell>
          <cell r="AA383" t="str">
            <v>Venture Capital</v>
          </cell>
          <cell r="AF383">
            <v>0.98007733333333336</v>
          </cell>
        </row>
        <row r="384">
          <cell r="A384" t="str">
            <v>Unisys Master Trust</v>
          </cell>
          <cell r="G384" t="str">
            <v>Information Technology Ventures</v>
          </cell>
          <cell r="I384" t="str">
            <v>Primary Partnership</v>
          </cell>
          <cell r="J384">
            <v>2000000</v>
          </cell>
          <cell r="K384">
            <v>2008463</v>
          </cell>
          <cell r="R384" t="str">
            <v>Early Stage</v>
          </cell>
          <cell r="S384">
            <v>93.112785207708427</v>
          </cell>
          <cell r="Y384">
            <v>1</v>
          </cell>
          <cell r="Z384">
            <v>11104065.744852994</v>
          </cell>
          <cell r="AA384" t="str">
            <v>Venture Capital</v>
          </cell>
          <cell r="AF384">
            <v>1.0042314999999999</v>
          </cell>
        </row>
        <row r="385">
          <cell r="A385" t="str">
            <v>Textron Master Trust - Real Estate</v>
          </cell>
          <cell r="G385" t="str">
            <v>ING Clarion Partners</v>
          </cell>
          <cell r="I385" t="str">
            <v>Primary Partnership</v>
          </cell>
          <cell r="J385">
            <v>10000000</v>
          </cell>
          <cell r="K385">
            <v>7860258.3900000006</v>
          </cell>
          <cell r="R385" t="str">
            <v>Opportunistic - Indirect</v>
          </cell>
          <cell r="S385">
            <v>13.952678829002219</v>
          </cell>
          <cell r="Y385">
            <v>6489607</v>
          </cell>
          <cell r="Z385">
            <v>3003232.29</v>
          </cell>
          <cell r="AA385" t="str">
            <v>Real Estate</v>
          </cell>
          <cell r="AF385">
            <v>0.78602583900000011</v>
          </cell>
        </row>
        <row r="386">
          <cell r="A386" t="str">
            <v>Hamilton Lane Secondary Fund L.P. (Investments)</v>
          </cell>
          <cell r="G386" t="str">
            <v>Inverness Capital Partners</v>
          </cell>
          <cell r="I386" t="str">
            <v>Secondary Purchase</v>
          </cell>
          <cell r="J386">
            <v>6133219</v>
          </cell>
          <cell r="K386">
            <v>0</v>
          </cell>
          <cell r="R386"/>
          <cell r="Y386">
            <v>0</v>
          </cell>
          <cell r="Z386">
            <v>0</v>
          </cell>
          <cell r="AA386" t="str">
            <v>Venture Capital</v>
          </cell>
          <cell r="AF386">
            <v>0</v>
          </cell>
        </row>
        <row r="387">
          <cell r="A387" t="str">
            <v>Hamilton Lane Secondary Fund L.P. (Investments)</v>
          </cell>
          <cell r="G387" t="str">
            <v>Inverness Capital Partners</v>
          </cell>
          <cell r="I387" t="str">
            <v>Secondary Purchase</v>
          </cell>
          <cell r="J387">
            <v>13866781</v>
          </cell>
          <cell r="K387">
            <v>10815914</v>
          </cell>
          <cell r="R387"/>
          <cell r="S387">
            <v>-3.3306690738754696E-14</v>
          </cell>
          <cell r="Y387">
            <v>10815914</v>
          </cell>
          <cell r="Z387">
            <v>0</v>
          </cell>
          <cell r="AA387" t="str">
            <v>Venture Capital</v>
          </cell>
          <cell r="AF387">
            <v>0.77998736693108517</v>
          </cell>
        </row>
        <row r="388">
          <cell r="A388" t="str">
            <v>Marsh &amp; McLennan Master Retirement Trust</v>
          </cell>
          <cell r="G388" t="str">
            <v>InvestCorp</v>
          </cell>
          <cell r="I388" t="str">
            <v>Primary Partnership</v>
          </cell>
          <cell r="J388">
            <v>15000000</v>
          </cell>
          <cell r="K388">
            <v>3259872.18</v>
          </cell>
          <cell r="R388" t="str">
            <v>Mid</v>
          </cell>
          <cell r="S388">
            <v>-0.83684412390744312</v>
          </cell>
          <cell r="Y388">
            <v>3298199</v>
          </cell>
          <cell r="Z388">
            <v>5870.06</v>
          </cell>
          <cell r="AA388" t="str">
            <v>Corporate Finance/Buyout</v>
          </cell>
          <cell r="AF388">
            <v>0.21732481200000001</v>
          </cell>
        </row>
        <row r="389">
          <cell r="A389" t="str">
            <v>Hamilton Lane Private Equity Fund Investments KB</v>
          </cell>
          <cell r="G389" t="str">
            <v>J.H. Whitney</v>
          </cell>
          <cell r="I389" t="str">
            <v>Primary Partnership</v>
          </cell>
          <cell r="J389">
            <v>10000000</v>
          </cell>
          <cell r="K389">
            <v>5572330</v>
          </cell>
          <cell r="R389" t="str">
            <v>Mid</v>
          </cell>
          <cell r="S389">
            <v>17.593402214679266</v>
          </cell>
          <cell r="Y389">
            <v>4944042</v>
          </cell>
          <cell r="Z389">
            <v>1752348</v>
          </cell>
          <cell r="AA389" t="str">
            <v>Corporate Finance/Buyout</v>
          </cell>
          <cell r="AF389">
            <v>0.55723299999999998</v>
          </cell>
        </row>
        <row r="390">
          <cell r="A390" t="str">
            <v>Hamilton Lane Private Equity Fund V, L.P.</v>
          </cell>
          <cell r="G390" t="str">
            <v>J.H. Whitney</v>
          </cell>
          <cell r="I390" t="str">
            <v>Primary Partnership</v>
          </cell>
          <cell r="J390">
            <v>5000000</v>
          </cell>
          <cell r="K390">
            <v>2786163</v>
          </cell>
          <cell r="R390" t="str">
            <v>Mid</v>
          </cell>
          <cell r="S390">
            <v>17.593402214679266</v>
          </cell>
          <cell r="Y390">
            <v>2472020</v>
          </cell>
          <cell r="Z390">
            <v>876165</v>
          </cell>
          <cell r="AA390" t="str">
            <v>Corporate Finance/Buyout</v>
          </cell>
          <cell r="AF390">
            <v>0.55723259999999997</v>
          </cell>
        </row>
        <row r="391">
          <cell r="A391" t="str">
            <v>Hamilton Lane-Carpenters Partnership Fund II L.P.</v>
          </cell>
          <cell r="G391" t="str">
            <v>J.H. Whitney</v>
          </cell>
          <cell r="I391" t="str">
            <v>Primary Partnership</v>
          </cell>
          <cell r="J391">
            <v>10000000</v>
          </cell>
          <cell r="K391">
            <v>5572330</v>
          </cell>
          <cell r="R391" t="str">
            <v>Mid</v>
          </cell>
          <cell r="S391">
            <v>17.593402214679266</v>
          </cell>
          <cell r="Y391">
            <v>4944042</v>
          </cell>
          <cell r="Z391">
            <v>1752348</v>
          </cell>
          <cell r="AA391" t="str">
            <v>Corporate Finance/Buyout</v>
          </cell>
          <cell r="AF391">
            <v>0.55723299999999998</v>
          </cell>
        </row>
        <row r="392">
          <cell r="A392" t="str">
            <v>Los Angeles City Employees' Retirement System</v>
          </cell>
          <cell r="G392" t="str">
            <v>J.H. Whitney</v>
          </cell>
          <cell r="I392" t="str">
            <v>Primary Partnership</v>
          </cell>
          <cell r="J392">
            <v>15000000</v>
          </cell>
          <cell r="K392">
            <v>8358490</v>
          </cell>
          <cell r="R392" t="str">
            <v>Mid</v>
          </cell>
          <cell r="S392">
            <v>17.593402214679266</v>
          </cell>
          <cell r="Y392">
            <v>7416058</v>
          </cell>
          <cell r="Z392">
            <v>2628513</v>
          </cell>
          <cell r="AA392" t="str">
            <v>Corporate Finance/Buyout</v>
          </cell>
          <cell r="AF392">
            <v>0.55723266666666671</v>
          </cell>
        </row>
        <row r="393">
          <cell r="A393" t="str">
            <v>The Hudson River Fund II</v>
          </cell>
          <cell r="G393" t="str">
            <v>J.H. Whitney</v>
          </cell>
          <cell r="I393" t="str">
            <v>Primary Partnership</v>
          </cell>
          <cell r="J393">
            <v>20000000</v>
          </cell>
          <cell r="K393">
            <v>11144658</v>
          </cell>
          <cell r="R393" t="str">
            <v>Mid</v>
          </cell>
          <cell r="S393">
            <v>17.593402214679266</v>
          </cell>
          <cell r="Y393">
            <v>9888081</v>
          </cell>
          <cell r="Z393">
            <v>3504697</v>
          </cell>
          <cell r="AA393" t="str">
            <v>Corporate Finance/Buyout</v>
          </cell>
          <cell r="AF393">
            <v>0.55723290000000003</v>
          </cell>
        </row>
        <row r="394">
          <cell r="A394" t="str">
            <v>Fire and Police Pension Association of Colorado</v>
          </cell>
          <cell r="G394" t="str">
            <v>JMI Management</v>
          </cell>
          <cell r="I394" t="str">
            <v>Primary Partnership</v>
          </cell>
          <cell r="J394">
            <v>10000000</v>
          </cell>
          <cell r="K394">
            <v>1150000</v>
          </cell>
          <cell r="R394" t="str">
            <v>Multi-Stage</v>
          </cell>
          <cell r="S394">
            <v>-9.8676556816413967</v>
          </cell>
          <cell r="Y394">
            <v>1063257</v>
          </cell>
          <cell r="Z394">
            <v>0</v>
          </cell>
          <cell r="AA394" t="str">
            <v>Venture Capital</v>
          </cell>
          <cell r="AF394">
            <v>0.115</v>
          </cell>
        </row>
        <row r="395">
          <cell r="A395" t="str">
            <v>Hamilton Lane-Carpenters Partnership Fund II L.P.</v>
          </cell>
          <cell r="G395" t="str">
            <v>JMI Management</v>
          </cell>
          <cell r="I395" t="str">
            <v>Primary Partnership</v>
          </cell>
          <cell r="J395">
            <v>5000000</v>
          </cell>
          <cell r="K395">
            <v>575000</v>
          </cell>
          <cell r="R395" t="str">
            <v>Multi-Stage</v>
          </cell>
          <cell r="S395">
            <v>-9.8676556816413967</v>
          </cell>
          <cell r="Y395">
            <v>531628</v>
          </cell>
          <cell r="Z395">
            <v>0</v>
          </cell>
          <cell r="AA395" t="str">
            <v>Venture Capital</v>
          </cell>
          <cell r="AF395">
            <v>0.115</v>
          </cell>
        </row>
        <row r="396">
          <cell r="A396" t="str">
            <v>Winnipeg Civic - Manitoba Ltd.</v>
          </cell>
          <cell r="G396" t="str">
            <v>JMI Management</v>
          </cell>
          <cell r="I396" t="str">
            <v>Primary Partnership</v>
          </cell>
          <cell r="J396">
            <v>2400000</v>
          </cell>
          <cell r="K396">
            <v>276000</v>
          </cell>
          <cell r="R396" t="str">
            <v>Multi-Stage</v>
          </cell>
          <cell r="S396">
            <v>-9.8676556816413967</v>
          </cell>
          <cell r="Y396">
            <v>255182</v>
          </cell>
          <cell r="Z396">
            <v>0</v>
          </cell>
          <cell r="AA396" t="str">
            <v>Venture Capital</v>
          </cell>
          <cell r="AF396">
            <v>0.115</v>
          </cell>
        </row>
        <row r="397">
          <cell r="A397" t="str">
            <v>Winnipeg Police - Manitoba Ltd.</v>
          </cell>
          <cell r="G397" t="str">
            <v>JMI Management</v>
          </cell>
          <cell r="I397" t="str">
            <v>Primary Partnership</v>
          </cell>
          <cell r="J397">
            <v>600000</v>
          </cell>
          <cell r="K397">
            <v>69000</v>
          </cell>
          <cell r="R397" t="str">
            <v>Multi-Stage</v>
          </cell>
          <cell r="S397">
            <v>-9.8676556816413967</v>
          </cell>
          <cell r="Y397">
            <v>63795</v>
          </cell>
          <cell r="Z397">
            <v>0</v>
          </cell>
          <cell r="AA397" t="str">
            <v>Venture Capital</v>
          </cell>
          <cell r="AF397">
            <v>0.115</v>
          </cell>
        </row>
        <row r="398">
          <cell r="A398" t="str">
            <v>Hamilton Lane Private Equity Fund Plc</v>
          </cell>
          <cell r="G398" t="str">
            <v>Kelso &amp; Company</v>
          </cell>
          <cell r="I398" t="str">
            <v>Primary Partnership</v>
          </cell>
          <cell r="J398">
            <v>3420500</v>
          </cell>
          <cell r="K398">
            <v>2895472.55</v>
          </cell>
          <cell r="R398" t="str">
            <v>Mid</v>
          </cell>
          <cell r="S398">
            <v>9.3501571536441794</v>
          </cell>
          <cell r="Y398">
            <v>342213</v>
          </cell>
          <cell r="Z398">
            <v>3633163</v>
          </cell>
          <cell r="AA398" t="str">
            <v>Corporate Finance/Buyout</v>
          </cell>
          <cell r="AF398">
            <v>0.8465056424499342</v>
          </cell>
        </row>
        <row r="399">
          <cell r="A399" t="str">
            <v>Hamilton Lane Private Equity Partners, L.P.</v>
          </cell>
          <cell r="G399" t="str">
            <v>Kelso &amp; Company</v>
          </cell>
          <cell r="I399" t="str">
            <v>Primary Partnership</v>
          </cell>
          <cell r="J399">
            <v>1579500</v>
          </cell>
          <cell r="K399">
            <v>1337056.45</v>
          </cell>
          <cell r="R399" t="str">
            <v>Mid</v>
          </cell>
          <cell r="S399">
            <v>9.3501571536441794</v>
          </cell>
          <cell r="Y399">
            <v>158026</v>
          </cell>
          <cell r="Z399">
            <v>1677677</v>
          </cell>
          <cell r="AA399" t="str">
            <v>Corporate Finance/Buyout</v>
          </cell>
          <cell r="AF399">
            <v>0.84650614118391898</v>
          </cell>
        </row>
        <row r="400">
          <cell r="A400" t="str">
            <v>Hamilton Lane Private Equity Fund Investments KB</v>
          </cell>
          <cell r="G400" t="str">
            <v>Kelso &amp; Company</v>
          </cell>
          <cell r="I400" t="str">
            <v>Primary Partnership</v>
          </cell>
          <cell r="J400">
            <v>3500000</v>
          </cell>
          <cell r="K400">
            <v>3047973</v>
          </cell>
          <cell r="R400" t="str">
            <v>Mid</v>
          </cell>
          <cell r="S400">
            <v>50.24625123641173</v>
          </cell>
          <cell r="Y400">
            <v>4719761</v>
          </cell>
          <cell r="Z400">
            <v>1023561</v>
          </cell>
          <cell r="AA400" t="str">
            <v>Corporate Finance/Buyout</v>
          </cell>
          <cell r="AF400">
            <v>0.87084942857142855</v>
          </cell>
        </row>
        <row r="401">
          <cell r="A401" t="str">
            <v>Hamilton Lane Private Equity Fund V, L.P.</v>
          </cell>
          <cell r="G401" t="str">
            <v>Kelso &amp; Company</v>
          </cell>
          <cell r="I401" t="str">
            <v>Primary Partnership</v>
          </cell>
          <cell r="J401">
            <v>4500000</v>
          </cell>
          <cell r="K401">
            <v>3918827</v>
          </cell>
          <cell r="R401" t="str">
            <v>Mid</v>
          </cell>
          <cell r="S401">
            <v>50.24625123641173</v>
          </cell>
          <cell r="Y401">
            <v>6059739</v>
          </cell>
          <cell r="Z401">
            <v>1320518</v>
          </cell>
          <cell r="AA401" t="str">
            <v>Corporate Finance/Buyout</v>
          </cell>
          <cell r="AF401">
            <v>0.87085044444444448</v>
          </cell>
        </row>
        <row r="402">
          <cell r="A402" t="str">
            <v>I.A.M. National Pension Fund</v>
          </cell>
          <cell r="G402" t="str">
            <v>Kelso &amp; Company</v>
          </cell>
          <cell r="I402" t="str">
            <v>Primary Partnership</v>
          </cell>
          <cell r="J402">
            <v>10000000</v>
          </cell>
          <cell r="K402">
            <v>8708499</v>
          </cell>
          <cell r="R402" t="str">
            <v>Mid</v>
          </cell>
          <cell r="S402">
            <v>50.24625123641173</v>
          </cell>
          <cell r="Y402">
            <v>13485047</v>
          </cell>
          <cell r="Z402">
            <v>2914785</v>
          </cell>
          <cell r="AA402" t="str">
            <v>Corporate Finance/Buyout</v>
          </cell>
          <cell r="AF402">
            <v>0.87084989999999995</v>
          </cell>
        </row>
        <row r="403">
          <cell r="A403" t="str">
            <v>The 1199 Health Care Employees Pension Fund</v>
          </cell>
          <cell r="G403" t="str">
            <v>Kelso &amp; Company</v>
          </cell>
          <cell r="I403" t="str">
            <v>Primary Partnership</v>
          </cell>
          <cell r="J403">
            <v>10000000</v>
          </cell>
          <cell r="K403">
            <v>8708499</v>
          </cell>
          <cell r="R403" t="str">
            <v>Mid</v>
          </cell>
          <cell r="S403">
            <v>50.24625123641173</v>
          </cell>
          <cell r="Y403">
            <v>13485047</v>
          </cell>
          <cell r="Z403">
            <v>2914785</v>
          </cell>
          <cell r="AA403" t="str">
            <v>Corporate Finance/Buyout</v>
          </cell>
          <cell r="AF403">
            <v>0.87084989999999995</v>
          </cell>
        </row>
        <row r="404">
          <cell r="A404" t="str">
            <v>Fire and Police Pension Association of Colorado</v>
          </cell>
          <cell r="G404" t="str">
            <v>Kelso &amp; Company</v>
          </cell>
          <cell r="I404" t="str">
            <v>Primary Partnership</v>
          </cell>
          <cell r="J404">
            <v>15000000</v>
          </cell>
          <cell r="K404">
            <v>261113</v>
          </cell>
          <cell r="R404" t="str">
            <v>Mid</v>
          </cell>
          <cell r="S404">
            <v>-6.812586624820927</v>
          </cell>
          <cell r="Y404">
            <v>241992</v>
          </cell>
          <cell r="Z404">
            <v>0</v>
          </cell>
          <cell r="AA404" t="str">
            <v>Corporate Finance/Buyout</v>
          </cell>
          <cell r="AF404">
            <v>1.7407533333333332E-2</v>
          </cell>
        </row>
        <row r="405">
          <cell r="A405" t="str">
            <v>Hamilton Lane Private Equity Fund Investments KB</v>
          </cell>
          <cell r="G405" t="str">
            <v>Kelso &amp; Company</v>
          </cell>
          <cell r="I405" t="str">
            <v>Primary Partnership</v>
          </cell>
          <cell r="J405">
            <v>15000000</v>
          </cell>
          <cell r="K405">
            <v>261113</v>
          </cell>
          <cell r="R405" t="str">
            <v>Mid</v>
          </cell>
          <cell r="S405">
            <v>-6.812586624820927</v>
          </cell>
          <cell r="Y405">
            <v>241223</v>
          </cell>
          <cell r="Z405">
            <v>0</v>
          </cell>
          <cell r="AA405" t="str">
            <v>Corporate Finance/Buyout</v>
          </cell>
          <cell r="AF405">
            <v>1.7407533333333332E-2</v>
          </cell>
        </row>
        <row r="406">
          <cell r="A406" t="str">
            <v>Hamilton Lane-Carpenters Partnership Fund II L.P.</v>
          </cell>
          <cell r="G406" t="str">
            <v>Kelso &amp; Company</v>
          </cell>
          <cell r="I406" t="str">
            <v>Primary Partnership</v>
          </cell>
          <cell r="J406">
            <v>15000000</v>
          </cell>
          <cell r="K406">
            <v>261113</v>
          </cell>
          <cell r="R406" t="str">
            <v>Mid</v>
          </cell>
          <cell r="S406">
            <v>-6.812586624820927</v>
          </cell>
          <cell r="Y406">
            <v>241223</v>
          </cell>
          <cell r="Z406">
            <v>0</v>
          </cell>
          <cell r="AA406" t="str">
            <v>Corporate Finance/Buyout</v>
          </cell>
          <cell r="AF406">
            <v>1.7407533333333332E-2</v>
          </cell>
        </row>
        <row r="407">
          <cell r="A407" t="str">
            <v>Los Angeles City Employees' Retirement System</v>
          </cell>
          <cell r="G407" t="str">
            <v>Kelso &amp; Company</v>
          </cell>
          <cell r="I407" t="str">
            <v>Primary Partnership</v>
          </cell>
          <cell r="J407">
            <v>20000000</v>
          </cell>
          <cell r="K407">
            <v>348152</v>
          </cell>
          <cell r="R407" t="str">
            <v>Mid</v>
          </cell>
          <cell r="S407">
            <v>-6.812586624820927</v>
          </cell>
          <cell r="Y407">
            <v>332655</v>
          </cell>
          <cell r="Z407">
            <v>0</v>
          </cell>
          <cell r="AA407" t="str">
            <v>Corporate Finance/Buyout</v>
          </cell>
          <cell r="AF407">
            <v>1.7407599999999999E-2</v>
          </cell>
        </row>
        <row r="408">
          <cell r="A408" t="str">
            <v>The 1199 Health Care Employees Pension Fund</v>
          </cell>
          <cell r="G408" t="str">
            <v>Kelso &amp; Company</v>
          </cell>
          <cell r="I408" t="str">
            <v>Primary Partnership</v>
          </cell>
          <cell r="J408">
            <v>10000000</v>
          </cell>
          <cell r="K408">
            <v>174076</v>
          </cell>
          <cell r="R408" t="str">
            <v>Mid</v>
          </cell>
          <cell r="S408">
            <v>-6.812586624820927</v>
          </cell>
          <cell r="Y408">
            <v>160816</v>
          </cell>
          <cell r="Z408">
            <v>0</v>
          </cell>
          <cell r="AA408" t="str">
            <v>Corporate Finance/Buyout</v>
          </cell>
          <cell r="AF408">
            <v>1.7407599999999999E-2</v>
          </cell>
        </row>
        <row r="409">
          <cell r="A409" t="str">
            <v>Generali Global Private Equity S.A. SICAR</v>
          </cell>
          <cell r="G409" t="str">
            <v>Kohlberg Kravis Roberts &amp; Co.</v>
          </cell>
          <cell r="I409" t="str">
            <v>Primary Partnership</v>
          </cell>
          <cell r="J409">
            <v>25000000</v>
          </cell>
          <cell r="K409">
            <v>16085000</v>
          </cell>
          <cell r="R409" t="str">
            <v>Mega</v>
          </cell>
          <cell r="S409">
            <v>-3.2359311796000712</v>
          </cell>
          <cell r="Y409">
            <v>16124486</v>
          </cell>
          <cell r="Z409">
            <v>16032</v>
          </cell>
          <cell r="AA409" t="str">
            <v>Corporate Finance/Buyout</v>
          </cell>
          <cell r="AF409">
            <v>0.64339999999999997</v>
          </cell>
        </row>
        <row r="410">
          <cell r="A410" t="str">
            <v>Harel Gemel Ltd.</v>
          </cell>
          <cell r="G410" t="str">
            <v>Kohlberg Kravis Roberts &amp; Co.</v>
          </cell>
          <cell r="I410" t="str">
            <v>Primary Partnership</v>
          </cell>
          <cell r="J410">
            <v>1620000</v>
          </cell>
          <cell r="K410">
            <v>1042000</v>
          </cell>
          <cell r="R410" t="str">
            <v>Mega</v>
          </cell>
          <cell r="S410">
            <v>-3.2359311796000712</v>
          </cell>
          <cell r="Y410">
            <v>1044365</v>
          </cell>
          <cell r="Z410">
            <v>1039</v>
          </cell>
          <cell r="AA410" t="str">
            <v>Corporate Finance/Buyout</v>
          </cell>
          <cell r="AF410">
            <v>0.64320987654320982</v>
          </cell>
        </row>
        <row r="411">
          <cell r="A411" t="str">
            <v>Los Angeles City Employees' Retirement System</v>
          </cell>
          <cell r="G411" t="str">
            <v>Kohlberg Kravis Roberts &amp; Co.</v>
          </cell>
          <cell r="I411" t="str">
            <v>Primary Partnership</v>
          </cell>
          <cell r="J411">
            <v>30000000</v>
          </cell>
          <cell r="K411">
            <v>19300000</v>
          </cell>
          <cell r="R411" t="str">
            <v>Mega</v>
          </cell>
          <cell r="S411">
            <v>-3.2359311796000712</v>
          </cell>
          <cell r="Y411">
            <v>19347081</v>
          </cell>
          <cell r="Z411">
            <v>19237</v>
          </cell>
          <cell r="AA411" t="str">
            <v>Corporate Finance/Buyout</v>
          </cell>
          <cell r="AF411">
            <v>0.64333333333333331</v>
          </cell>
        </row>
        <row r="412">
          <cell r="A412" t="str">
            <v>Prisma Provident Funds Ltd.</v>
          </cell>
          <cell r="G412" t="str">
            <v>Kohlberg Kravis Roberts &amp; Co.</v>
          </cell>
          <cell r="I412" t="str">
            <v>Primary Partnership</v>
          </cell>
          <cell r="J412">
            <v>1380000</v>
          </cell>
          <cell r="K412">
            <v>887000</v>
          </cell>
          <cell r="R412" t="str">
            <v>Mega</v>
          </cell>
          <cell r="S412">
            <v>-3.2359311796000712</v>
          </cell>
          <cell r="Y412">
            <v>889398</v>
          </cell>
          <cell r="Z412">
            <v>885</v>
          </cell>
          <cell r="AA412" t="str">
            <v>Corporate Finance/Buyout</v>
          </cell>
          <cell r="AF412">
            <v>0.64275362318840579</v>
          </cell>
        </row>
        <row r="413">
          <cell r="A413" t="str">
            <v>Los Angeles City Employees' Retirement System</v>
          </cell>
          <cell r="G413" t="str">
            <v>Kohlberg Kravis Roberts &amp; Co.</v>
          </cell>
          <cell r="I413" t="str">
            <v>Primary Partnership</v>
          </cell>
          <cell r="J413">
            <v>15000000</v>
          </cell>
          <cell r="K413">
            <v>13572975</v>
          </cell>
          <cell r="R413" t="str">
            <v>Large</v>
          </cell>
          <cell r="S413">
            <v>4.5999604915077708</v>
          </cell>
          <cell r="Y413">
            <v>12485943</v>
          </cell>
          <cell r="Z413">
            <v>1855689</v>
          </cell>
          <cell r="AA413" t="str">
            <v>Corporate Finance/Buyout</v>
          </cell>
          <cell r="AF413">
            <v>0.90486500000000003</v>
          </cell>
        </row>
        <row r="414">
          <cell r="A414" t="str">
            <v>United Food &amp; Commercial Workers Intl. Union</v>
          </cell>
          <cell r="G414" t="str">
            <v>Kline Hawkes &amp; Co.</v>
          </cell>
          <cell r="I414" t="str">
            <v>Primary Partnership</v>
          </cell>
          <cell r="J414">
            <v>5000000</v>
          </cell>
          <cell r="K414">
            <v>5315019</v>
          </cell>
          <cell r="R414" t="str">
            <v>Late Stage</v>
          </cell>
          <cell r="S414">
            <v>-0.96776156502946797</v>
          </cell>
          <cell r="Y414">
            <v>3144614</v>
          </cell>
          <cell r="Z414">
            <v>2011453</v>
          </cell>
          <cell r="AA414" t="str">
            <v>Venture Capital</v>
          </cell>
          <cell r="AF414">
            <v>1.0630037999999999</v>
          </cell>
        </row>
        <row r="415">
          <cell r="A415" t="str">
            <v>Hudson River Co-Investment Fund L.P.</v>
          </cell>
          <cell r="G415" t="str">
            <v>Lindsay, Goldberg &amp; Bessemer</v>
          </cell>
          <cell r="I415" t="str">
            <v>Co/Direct Investment</v>
          </cell>
          <cell r="J415">
            <v>14761836</v>
          </cell>
          <cell r="K415">
            <v>14671836</v>
          </cell>
          <cell r="R415" t="str">
            <v>Large</v>
          </cell>
          <cell r="S415">
            <v>109.54916257154133</v>
          </cell>
          <cell r="Y415">
            <v>236424</v>
          </cell>
          <cell r="Z415">
            <v>52975435</v>
          </cell>
          <cell r="AA415" t="str">
            <v>Corporate Finance/Buyout</v>
          </cell>
          <cell r="AF415">
            <v>0.99390319740715183</v>
          </cell>
        </row>
        <row r="416">
          <cell r="A416" t="str">
            <v>Hamilton Lane Private Equity Fund IV L.P.</v>
          </cell>
          <cell r="G416" t="str">
            <v>Kohlberg Investors (TE)</v>
          </cell>
          <cell r="I416" t="str">
            <v>Primary Partnership</v>
          </cell>
          <cell r="J416">
            <v>10000000</v>
          </cell>
          <cell r="K416">
            <v>8926522</v>
          </cell>
          <cell r="R416" t="str">
            <v>Mid</v>
          </cell>
          <cell r="S416">
            <v>19.473165706586681</v>
          </cell>
          <cell r="Y416">
            <v>5483404</v>
          </cell>
          <cell r="Z416">
            <v>10355368</v>
          </cell>
          <cell r="AA416" t="str">
            <v>Corporate Finance/Buyout</v>
          </cell>
          <cell r="AF416">
            <v>0.89265220000000001</v>
          </cell>
        </row>
        <row r="417">
          <cell r="A417" t="str">
            <v>Hamilton Lane-Carpenters Partnership Fund, L.P.</v>
          </cell>
          <cell r="G417" t="str">
            <v>Kohlberg Investors (TE)</v>
          </cell>
          <cell r="I417" t="str">
            <v>Primary Partnership</v>
          </cell>
          <cell r="J417">
            <v>5829413</v>
          </cell>
          <cell r="K417">
            <v>5829413</v>
          </cell>
          <cell r="R417" t="str">
            <v>Mid</v>
          </cell>
          <cell r="S417">
            <v>19.473165706586681</v>
          </cell>
          <cell r="Y417">
            <v>0</v>
          </cell>
          <cell r="Z417">
            <v>5263825</v>
          </cell>
          <cell r="AA417" t="str">
            <v>Corporate Finance/Buyout</v>
          </cell>
          <cell r="AF417">
            <v>1</v>
          </cell>
        </row>
        <row r="418">
          <cell r="A418" t="str">
            <v>Princess Private Equity Subholding Ltd.</v>
          </cell>
          <cell r="G418" t="str">
            <v>Kohlberg Investors (TE)</v>
          </cell>
          <cell r="I418" t="str">
            <v>Primary Partnership</v>
          </cell>
          <cell r="J418">
            <v>10000000</v>
          </cell>
          <cell r="K418">
            <v>8926522</v>
          </cell>
          <cell r="R418" t="str">
            <v>Mid</v>
          </cell>
          <cell r="S418">
            <v>19.473165706586681</v>
          </cell>
          <cell r="Y418">
            <v>5483402</v>
          </cell>
          <cell r="Z418">
            <v>10352317</v>
          </cell>
          <cell r="AA418" t="str">
            <v>Corporate Finance/Buyout</v>
          </cell>
          <cell r="AF418">
            <v>0.89265220000000001</v>
          </cell>
        </row>
        <row r="419">
          <cell r="A419" t="str">
            <v>The Hudson River Fund</v>
          </cell>
          <cell r="G419" t="str">
            <v>Kohlberg Investors</v>
          </cell>
          <cell r="I419" t="str">
            <v>Primary Partnership</v>
          </cell>
          <cell r="J419">
            <v>20000000</v>
          </cell>
          <cell r="K419">
            <v>17852652</v>
          </cell>
          <cell r="R419" t="str">
            <v>Mid</v>
          </cell>
          <cell r="S419">
            <v>20.717086126770457</v>
          </cell>
          <cell r="Y419">
            <v>10945437</v>
          </cell>
          <cell r="Z419">
            <v>20789835</v>
          </cell>
          <cell r="AA419" t="str">
            <v>Corporate Finance/Buyout</v>
          </cell>
          <cell r="AF419">
            <v>0.8926326</v>
          </cell>
        </row>
        <row r="420">
          <cell r="A420" t="str">
            <v>United Food &amp; Commercial Workers Intl. Union</v>
          </cell>
          <cell r="G420" t="str">
            <v>Kohlberg Investors (TE)</v>
          </cell>
          <cell r="I420" t="str">
            <v>Primary Partnership</v>
          </cell>
          <cell r="J420">
            <v>10000000</v>
          </cell>
          <cell r="K420">
            <v>8926522</v>
          </cell>
          <cell r="R420" t="str">
            <v>Mid</v>
          </cell>
          <cell r="S420">
            <v>19.473165706586681</v>
          </cell>
          <cell r="Y420">
            <v>5484202</v>
          </cell>
          <cell r="Z420">
            <v>10354635</v>
          </cell>
          <cell r="AA420" t="str">
            <v>Corporate Finance/Buyout</v>
          </cell>
          <cell r="AF420">
            <v>0.89265220000000001</v>
          </cell>
        </row>
        <row r="421">
          <cell r="A421" t="str">
            <v>Generali Global Private Equity S.A. SICAR</v>
          </cell>
          <cell r="G421" t="str">
            <v>Kohlberg Investors (TE)</v>
          </cell>
          <cell r="I421" t="str">
            <v>Primary Partnership</v>
          </cell>
          <cell r="J421">
            <v>10000000</v>
          </cell>
          <cell r="K421">
            <v>7854930</v>
          </cell>
          <cell r="R421" t="str">
            <v>Mid</v>
          </cell>
          <cell r="S421">
            <v>22.925004083144728</v>
          </cell>
          <cell r="Y421">
            <v>9208869</v>
          </cell>
          <cell r="Z421">
            <v>1068750</v>
          </cell>
          <cell r="AA421" t="str">
            <v>Corporate Finance/Buyout</v>
          </cell>
          <cell r="AF421">
            <v>0.785493</v>
          </cell>
        </row>
        <row r="422">
          <cell r="A422" t="str">
            <v>Hamilton Lane Private Equity Fund Investments KB</v>
          </cell>
          <cell r="G422" t="str">
            <v>Kohlberg Investors (TE)</v>
          </cell>
          <cell r="I422" t="str">
            <v>Primary Partnership</v>
          </cell>
          <cell r="J422">
            <v>5000000</v>
          </cell>
          <cell r="K422">
            <v>3927465</v>
          </cell>
          <cell r="R422" t="str">
            <v>Mid</v>
          </cell>
          <cell r="S422">
            <v>22.925004083144728</v>
          </cell>
          <cell r="Y422">
            <v>4604421</v>
          </cell>
          <cell r="Z422">
            <v>534375</v>
          </cell>
          <cell r="AA422" t="str">
            <v>Corporate Finance/Buyout</v>
          </cell>
          <cell r="AF422">
            <v>0.785493</v>
          </cell>
        </row>
        <row r="423">
          <cell r="A423" t="str">
            <v>Hamilton Lane Private Equity Fund V, L.P.</v>
          </cell>
          <cell r="G423" t="str">
            <v>Kohlberg Investors (TE)</v>
          </cell>
          <cell r="I423" t="str">
            <v>Primary Partnership</v>
          </cell>
          <cell r="J423">
            <v>5000000</v>
          </cell>
          <cell r="K423">
            <v>3927465</v>
          </cell>
          <cell r="R423" t="str">
            <v>Mid</v>
          </cell>
          <cell r="S423">
            <v>22.925004083144728</v>
          </cell>
          <cell r="Y423">
            <v>4604422</v>
          </cell>
          <cell r="Z423">
            <v>534375</v>
          </cell>
          <cell r="AA423" t="str">
            <v>Corporate Finance/Buyout</v>
          </cell>
          <cell r="AF423">
            <v>0.785493</v>
          </cell>
        </row>
        <row r="424">
          <cell r="A424" t="str">
            <v>I.A.M. National Pension Fund</v>
          </cell>
          <cell r="G424" t="str">
            <v>Kohlberg Investors (TE)</v>
          </cell>
          <cell r="I424" t="str">
            <v>Primary Partnership</v>
          </cell>
          <cell r="J424">
            <v>5000000</v>
          </cell>
          <cell r="K424">
            <v>3927555</v>
          </cell>
          <cell r="R424" t="str">
            <v>Mid</v>
          </cell>
          <cell r="S424">
            <v>22.925004083144728</v>
          </cell>
          <cell r="Y424">
            <v>4604471</v>
          </cell>
          <cell r="Z424">
            <v>534375</v>
          </cell>
          <cell r="AA424" t="str">
            <v>Corporate Finance/Buyout</v>
          </cell>
          <cell r="AF424">
            <v>0.78551099999999996</v>
          </cell>
        </row>
        <row r="425">
          <cell r="A425" t="str">
            <v>Royal Mail Pensions Trustees Limited</v>
          </cell>
          <cell r="G425" t="str">
            <v>Kohlberg Investors (TE)</v>
          </cell>
          <cell r="I425" t="str">
            <v>Primary Partnership</v>
          </cell>
          <cell r="J425">
            <v>5000000</v>
          </cell>
          <cell r="K425">
            <v>3927465</v>
          </cell>
          <cell r="R425" t="str">
            <v>Mid</v>
          </cell>
          <cell r="S425">
            <v>22.925004083144728</v>
          </cell>
          <cell r="Y425">
            <v>4604450</v>
          </cell>
          <cell r="Z425">
            <v>534375</v>
          </cell>
          <cell r="AA425" t="str">
            <v>Corporate Finance/Buyout</v>
          </cell>
          <cell r="AF425">
            <v>0.785493</v>
          </cell>
        </row>
        <row r="426">
          <cell r="A426" t="str">
            <v>The 1199 Health Care Employees Pension Fund</v>
          </cell>
          <cell r="G426" t="str">
            <v>Kohlberg Investors (TE)</v>
          </cell>
          <cell r="I426" t="str">
            <v>Primary Partnership</v>
          </cell>
          <cell r="J426">
            <v>15000000</v>
          </cell>
          <cell r="K426">
            <v>11782395</v>
          </cell>
          <cell r="R426" t="str">
            <v>Mid</v>
          </cell>
          <cell r="S426">
            <v>22.925004083144728</v>
          </cell>
          <cell r="Y426">
            <v>13813142</v>
          </cell>
          <cell r="Z426">
            <v>1603125</v>
          </cell>
          <cell r="AA426" t="str">
            <v>Corporate Finance/Buyout</v>
          </cell>
          <cell r="AF426">
            <v>0.785493</v>
          </cell>
        </row>
        <row r="427">
          <cell r="A427" t="str">
            <v>The Hudson River Fund II</v>
          </cell>
          <cell r="G427" t="str">
            <v>Kohlberg Investors</v>
          </cell>
          <cell r="I427" t="str">
            <v>Primary Partnership</v>
          </cell>
          <cell r="J427">
            <v>20000000</v>
          </cell>
          <cell r="K427">
            <v>15709860</v>
          </cell>
          <cell r="R427" t="str">
            <v>Mid</v>
          </cell>
          <cell r="S427">
            <v>22.925004083144728</v>
          </cell>
          <cell r="Y427">
            <v>18399011</v>
          </cell>
          <cell r="Z427">
            <v>2221702</v>
          </cell>
          <cell r="AA427" t="str">
            <v>Corporate Finance/Buyout</v>
          </cell>
          <cell r="AF427">
            <v>0.785493</v>
          </cell>
        </row>
        <row r="428">
          <cell r="A428" t="str">
            <v>Fire and Police Pension Association of Colorado</v>
          </cell>
          <cell r="G428" t="str">
            <v>Kohlberg Investors</v>
          </cell>
          <cell r="I428" t="str">
            <v>Primary Partnership</v>
          </cell>
          <cell r="J428">
            <v>15000000</v>
          </cell>
          <cell r="K428">
            <v>1716953</v>
          </cell>
          <cell r="R428" t="str">
            <v>Mid</v>
          </cell>
          <cell r="S428">
            <v>-15.71374625770895</v>
          </cell>
          <cell r="Y428">
            <v>1544876</v>
          </cell>
          <cell r="Z428">
            <v>9370</v>
          </cell>
          <cell r="AA428" t="str">
            <v>Corporate Finance/Buyout</v>
          </cell>
          <cell r="AF428">
            <v>0.11446353333333334</v>
          </cell>
        </row>
        <row r="429">
          <cell r="A429" t="str">
            <v>Generali Global Private Equity S.A. SICAR</v>
          </cell>
          <cell r="G429" t="str">
            <v>Kohlberg Investors (TE)</v>
          </cell>
          <cell r="I429" t="str">
            <v>Primary Partnership</v>
          </cell>
          <cell r="J429">
            <v>25000000</v>
          </cell>
          <cell r="K429">
            <v>2861587</v>
          </cell>
          <cell r="R429" t="str">
            <v>Mid</v>
          </cell>
          <cell r="S429">
            <v>-12.503025651211308</v>
          </cell>
          <cell r="Y429">
            <v>2574694</v>
          </cell>
          <cell r="Z429">
            <v>15623</v>
          </cell>
          <cell r="AA429" t="str">
            <v>Corporate Finance/Buyout</v>
          </cell>
          <cell r="AF429">
            <v>0.11446348000000001</v>
          </cell>
        </row>
        <row r="430">
          <cell r="A430" t="str">
            <v>Hamilton Lane Private Equity Fund Investments KB</v>
          </cell>
          <cell r="G430" t="str">
            <v>Kohlberg Investors (TE)</v>
          </cell>
          <cell r="I430" t="str">
            <v>Primary Partnership</v>
          </cell>
          <cell r="J430">
            <v>10000000</v>
          </cell>
          <cell r="K430">
            <v>1144634</v>
          </cell>
          <cell r="R430" t="str">
            <v>Mid</v>
          </cell>
          <cell r="S430">
            <v>-12.503025651211308</v>
          </cell>
          <cell r="Y430">
            <v>1029877</v>
          </cell>
          <cell r="Z430">
            <v>6249</v>
          </cell>
          <cell r="AA430" t="str">
            <v>Corporate Finance/Buyout</v>
          </cell>
          <cell r="AF430">
            <v>0.11446340000000001</v>
          </cell>
        </row>
        <row r="431">
          <cell r="A431" t="str">
            <v>Hamilton Lane Private Equity Fund VI, L.P.</v>
          </cell>
          <cell r="G431" t="str">
            <v>Kohlberg Investors</v>
          </cell>
          <cell r="I431" t="str">
            <v>Primary Partnership</v>
          </cell>
          <cell r="J431">
            <v>15000000</v>
          </cell>
          <cell r="K431">
            <v>1716953</v>
          </cell>
          <cell r="R431" t="str">
            <v>Mid</v>
          </cell>
          <cell r="S431">
            <v>-15.71374625770895</v>
          </cell>
          <cell r="Y431">
            <v>1554246</v>
          </cell>
          <cell r="Z431">
            <v>9370</v>
          </cell>
          <cell r="AA431" t="str">
            <v>Corporate Finance/Buyout</v>
          </cell>
          <cell r="AF431">
            <v>0.11446353333333334</v>
          </cell>
        </row>
        <row r="432">
          <cell r="A432" t="str">
            <v>Mivtachim - The Workers Social Insurance Fund Ltd.</v>
          </cell>
          <cell r="G432" t="str">
            <v>Kohlberg Investors</v>
          </cell>
          <cell r="I432" t="str">
            <v>Primary Partnership</v>
          </cell>
          <cell r="J432">
            <v>10000000</v>
          </cell>
          <cell r="K432">
            <v>1144634</v>
          </cell>
          <cell r="R432" t="str">
            <v>Mid</v>
          </cell>
          <cell r="S432">
            <v>-15.71374625770895</v>
          </cell>
          <cell r="Y432">
            <v>1029259</v>
          </cell>
          <cell r="Z432">
            <v>1809</v>
          </cell>
          <cell r="AA432" t="str">
            <v>Corporate Finance/Buyout</v>
          </cell>
          <cell r="AF432">
            <v>0.11446340000000001</v>
          </cell>
        </row>
        <row r="433">
          <cell r="A433" t="str">
            <v>Princeton Theological Seminary</v>
          </cell>
          <cell r="G433" t="str">
            <v>Kohlberg Investors</v>
          </cell>
          <cell r="I433" t="str">
            <v>Primary Partnership</v>
          </cell>
          <cell r="J433">
            <v>10000000</v>
          </cell>
          <cell r="K433">
            <v>1144634</v>
          </cell>
          <cell r="R433" t="str">
            <v>Mid</v>
          </cell>
          <cell r="S433">
            <v>-15.71374625770895</v>
          </cell>
          <cell r="Y433">
            <v>1029917</v>
          </cell>
          <cell r="Z433">
            <v>6247</v>
          </cell>
          <cell r="AA433" t="str">
            <v>Corporate Finance/Buyout</v>
          </cell>
          <cell r="AF433">
            <v>0.11446340000000001</v>
          </cell>
        </row>
        <row r="434">
          <cell r="A434" t="str">
            <v>Royal Mail Pensions Trustees Limited</v>
          </cell>
          <cell r="G434" t="str">
            <v>Kohlberg Investors (TE)</v>
          </cell>
          <cell r="I434" t="str">
            <v>Primary Partnership</v>
          </cell>
          <cell r="J434">
            <v>15000000</v>
          </cell>
          <cell r="K434">
            <v>1716953</v>
          </cell>
          <cell r="R434" t="str">
            <v>Mid</v>
          </cell>
          <cell r="S434">
            <v>-12.503025651211308</v>
          </cell>
          <cell r="Y434">
            <v>1544817</v>
          </cell>
          <cell r="Z434">
            <v>9373</v>
          </cell>
          <cell r="AA434" t="str">
            <v>Corporate Finance/Buyout</v>
          </cell>
          <cell r="AF434">
            <v>0.11446353333333334</v>
          </cell>
        </row>
        <row r="435">
          <cell r="A435" t="str">
            <v>Santa Barbara County Employees' Retirement System</v>
          </cell>
          <cell r="G435" t="str">
            <v>Kohlberg Investors</v>
          </cell>
          <cell r="I435" t="str">
            <v>Primary Partnership</v>
          </cell>
          <cell r="J435">
            <v>10000000</v>
          </cell>
          <cell r="K435">
            <v>1144634</v>
          </cell>
          <cell r="R435" t="str">
            <v>Mid</v>
          </cell>
          <cell r="S435">
            <v>-15.71374625770895</v>
          </cell>
          <cell r="Y435">
            <v>1029917</v>
          </cell>
          <cell r="Z435">
            <v>6247</v>
          </cell>
          <cell r="AA435" t="str">
            <v>Corporate Finance/Buyout</v>
          </cell>
          <cell r="AF435">
            <v>0.11446340000000001</v>
          </cell>
        </row>
        <row r="436">
          <cell r="A436" t="str">
            <v>The 1199 Health Care Employees Pension Fund</v>
          </cell>
          <cell r="G436" t="str">
            <v>Kohlberg Investors (TE)</v>
          </cell>
          <cell r="I436" t="str">
            <v>Primary Partnership</v>
          </cell>
          <cell r="J436">
            <v>15000000</v>
          </cell>
          <cell r="K436">
            <v>1716953</v>
          </cell>
          <cell r="R436" t="str">
            <v>Mid</v>
          </cell>
          <cell r="S436">
            <v>-12.503025651211308</v>
          </cell>
          <cell r="Y436">
            <v>1549354</v>
          </cell>
          <cell r="Z436">
            <v>9373</v>
          </cell>
          <cell r="AA436" t="str">
            <v>Corporate Finance/Buyout</v>
          </cell>
          <cell r="AF436">
            <v>0.11446353333333334</v>
          </cell>
        </row>
        <row r="437">
          <cell r="A437" t="str">
            <v>The Essex County Council</v>
          </cell>
          <cell r="G437" t="str">
            <v>Kohlberg Investors (TE)</v>
          </cell>
          <cell r="I437" t="str">
            <v>Primary Partnership</v>
          </cell>
          <cell r="J437">
            <v>20000000</v>
          </cell>
          <cell r="K437">
            <v>2289272</v>
          </cell>
          <cell r="R437" t="str">
            <v>Mid</v>
          </cell>
          <cell r="S437">
            <v>-12.503025651211308</v>
          </cell>
          <cell r="Y437">
            <v>2059758</v>
          </cell>
          <cell r="Z437">
            <v>12500</v>
          </cell>
          <cell r="AA437" t="str">
            <v>Corporate Finance/Buyout</v>
          </cell>
          <cell r="AF437">
            <v>0.1144636</v>
          </cell>
        </row>
        <row r="438">
          <cell r="A438" t="str">
            <v>The Hudson River Fund II</v>
          </cell>
          <cell r="G438" t="str">
            <v>Kohlberg Investors</v>
          </cell>
          <cell r="I438" t="str">
            <v>Primary Partnership</v>
          </cell>
          <cell r="J438">
            <v>25000000</v>
          </cell>
          <cell r="K438">
            <v>2861589</v>
          </cell>
          <cell r="R438" t="str">
            <v>Mid</v>
          </cell>
          <cell r="S438">
            <v>-15.71374625770895</v>
          </cell>
          <cell r="Y438">
            <v>2573099</v>
          </cell>
          <cell r="Z438">
            <v>4521</v>
          </cell>
          <cell r="AA438" t="str">
            <v>Corporate Finance/Buyout</v>
          </cell>
          <cell r="AF438">
            <v>0.11446356000000001</v>
          </cell>
        </row>
        <row r="439">
          <cell r="A439" t="str">
            <v>United Food &amp; Commercial Workers Intl. Union</v>
          </cell>
          <cell r="G439" t="str">
            <v>Kohlberg Investors (TE)</v>
          </cell>
          <cell r="I439" t="str">
            <v>Primary Partnership</v>
          </cell>
          <cell r="J439">
            <v>10000000</v>
          </cell>
          <cell r="K439">
            <v>1144634</v>
          </cell>
          <cell r="R439" t="str">
            <v>Mid</v>
          </cell>
          <cell r="S439">
            <v>-12.503025651211308</v>
          </cell>
          <cell r="Y439">
            <v>1029877</v>
          </cell>
          <cell r="Z439">
            <v>6249</v>
          </cell>
          <cell r="AA439" t="str">
            <v>Corporate Finance/Buyout</v>
          </cell>
          <cell r="AF439">
            <v>0.11446340000000001</v>
          </cell>
        </row>
        <row r="440">
          <cell r="A440" t="str">
            <v>Winnipeg Civic - Manitoba Ltd.</v>
          </cell>
          <cell r="G440" t="str">
            <v>Kohlberg Investors (TE)</v>
          </cell>
          <cell r="I440" t="str">
            <v>Primary Partnership</v>
          </cell>
          <cell r="J440">
            <v>4000000</v>
          </cell>
          <cell r="K440">
            <v>457854</v>
          </cell>
          <cell r="R440" t="str">
            <v>Mid</v>
          </cell>
          <cell r="S440">
            <v>-12.503025651211308</v>
          </cell>
          <cell r="Y440">
            <v>411951</v>
          </cell>
          <cell r="Z440">
            <v>2499</v>
          </cell>
          <cell r="AA440" t="str">
            <v>Corporate Finance/Buyout</v>
          </cell>
          <cell r="AF440">
            <v>0.1144635</v>
          </cell>
        </row>
        <row r="441">
          <cell r="A441" t="str">
            <v>Winnipeg Police - Manitoba Ltd.</v>
          </cell>
          <cell r="G441" t="str">
            <v>Kohlberg Investors (TE)</v>
          </cell>
          <cell r="I441" t="str">
            <v>Primary Partnership</v>
          </cell>
          <cell r="J441">
            <v>1000000</v>
          </cell>
          <cell r="K441">
            <v>114463</v>
          </cell>
          <cell r="R441" t="str">
            <v>Mid</v>
          </cell>
          <cell r="S441">
            <v>-12.503025651211308</v>
          </cell>
          <cell r="Y441">
            <v>102987</v>
          </cell>
          <cell r="Z441">
            <v>625</v>
          </cell>
          <cell r="AA441" t="str">
            <v>Corporate Finance/Buyout</v>
          </cell>
          <cell r="AF441">
            <v>0.114463</v>
          </cell>
        </row>
        <row r="442">
          <cell r="A442" t="str">
            <v>Royal Mail Pensions Trustees Limited</v>
          </cell>
          <cell r="G442" t="str">
            <v>Kohlberg Investors</v>
          </cell>
          <cell r="I442" t="str">
            <v>Secondary Purchase</v>
          </cell>
          <cell r="J442">
            <v>9575895</v>
          </cell>
          <cell r="K442">
            <v>8502411</v>
          </cell>
          <cell r="R442" t="str">
            <v>Mid</v>
          </cell>
          <cell r="S442">
            <v>19.473165706586681</v>
          </cell>
          <cell r="Y442">
            <v>5483660</v>
          </cell>
          <cell r="Z442">
            <v>10346446</v>
          </cell>
          <cell r="AA442" t="str">
            <v>Corporate Finance/Buyout</v>
          </cell>
          <cell r="AF442">
            <v>0.88789726704396821</v>
          </cell>
        </row>
        <row r="443">
          <cell r="A443" t="str">
            <v>Hamilton Lane-Carpenters Partnership Fund, L.P.</v>
          </cell>
          <cell r="G443" t="str">
            <v>KPS</v>
          </cell>
          <cell r="I443" t="str">
            <v>Primary Partnership</v>
          </cell>
          <cell r="J443">
            <v>10000000</v>
          </cell>
          <cell r="K443">
            <v>7984093.0100000026</v>
          </cell>
          <cell r="R443" t="str">
            <v>Distressed/Turnaround</v>
          </cell>
          <cell r="S443">
            <v>51.599807297329846</v>
          </cell>
          <cell r="Y443">
            <v>3271570</v>
          </cell>
          <cell r="Z443">
            <v>11209770.82</v>
          </cell>
          <cell r="AA443" t="str">
            <v>Special Situation</v>
          </cell>
          <cell r="AF443">
            <v>0.79840930100000029</v>
          </cell>
        </row>
        <row r="444">
          <cell r="A444" t="str">
            <v>I.A.M. National Pension Fund</v>
          </cell>
          <cell r="G444" t="str">
            <v>KPS</v>
          </cell>
          <cell r="I444" t="str">
            <v>Primary Partnership</v>
          </cell>
          <cell r="J444">
            <v>5000000</v>
          </cell>
          <cell r="K444">
            <v>3992045.83</v>
          </cell>
          <cell r="R444" t="str">
            <v>Distressed/Turnaround</v>
          </cell>
          <cell r="S444">
            <v>51.599807297329846</v>
          </cell>
          <cell r="Y444">
            <v>1635283</v>
          </cell>
          <cell r="Z444">
            <v>5605386.2300000014</v>
          </cell>
          <cell r="AA444" t="str">
            <v>Special Situation</v>
          </cell>
          <cell r="AF444">
            <v>0.798409166</v>
          </cell>
        </row>
        <row r="445">
          <cell r="A445" t="str">
            <v>The 1199 Health Care Employees Pension Fund</v>
          </cell>
          <cell r="G445" t="str">
            <v>KPS</v>
          </cell>
          <cell r="I445" t="str">
            <v>Primary Partnership</v>
          </cell>
          <cell r="J445">
            <v>10000000</v>
          </cell>
          <cell r="K445">
            <v>7984093.0000000009</v>
          </cell>
          <cell r="R445" t="str">
            <v>Distressed/Turnaround</v>
          </cell>
          <cell r="S445">
            <v>51.599807297329846</v>
          </cell>
          <cell r="Y445">
            <v>3271570</v>
          </cell>
          <cell r="Z445">
            <v>11209770.809999999</v>
          </cell>
          <cell r="AA445" t="str">
            <v>Special Situation</v>
          </cell>
          <cell r="AF445">
            <v>0.7984093000000001</v>
          </cell>
        </row>
        <row r="446">
          <cell r="A446" t="str">
            <v>The Hudson River Fund II</v>
          </cell>
          <cell r="G446" t="str">
            <v>KPS</v>
          </cell>
          <cell r="I446" t="str">
            <v>Primary Partnership</v>
          </cell>
          <cell r="J446">
            <v>15000000</v>
          </cell>
          <cell r="K446">
            <v>11976139.589999998</v>
          </cell>
          <cell r="R446" t="str">
            <v>Distressed/Turnaround</v>
          </cell>
          <cell r="S446">
            <v>51.599807297329846</v>
          </cell>
          <cell r="Y446">
            <v>4907354</v>
          </cell>
          <cell r="Z446">
            <v>16814656.720000003</v>
          </cell>
          <cell r="AA446" t="str">
            <v>Special Situation</v>
          </cell>
          <cell r="AF446">
            <v>0.79840930599999982</v>
          </cell>
        </row>
        <row r="447">
          <cell r="A447" t="str">
            <v>United Food &amp; Commercial Workers Intl. Union</v>
          </cell>
          <cell r="G447" t="str">
            <v>KPS</v>
          </cell>
          <cell r="I447" t="str">
            <v>Primary Partnership</v>
          </cell>
          <cell r="J447">
            <v>10000000</v>
          </cell>
          <cell r="K447">
            <v>7984093.0000000028</v>
          </cell>
          <cell r="R447" t="str">
            <v>Distressed/Turnaround</v>
          </cell>
          <cell r="S447">
            <v>51.599807297329846</v>
          </cell>
          <cell r="Y447">
            <v>3271570</v>
          </cell>
          <cell r="Z447">
            <v>11209770.809999999</v>
          </cell>
          <cell r="AA447" t="str">
            <v>Special Situation</v>
          </cell>
          <cell r="AF447">
            <v>0.79840930000000032</v>
          </cell>
        </row>
        <row r="448">
          <cell r="A448" t="str">
            <v>Hamilton Lane Private Equity Fund VI, L.P.</v>
          </cell>
          <cell r="G448" t="str">
            <v>KPS</v>
          </cell>
          <cell r="I448" t="str">
            <v>Primary Partnership</v>
          </cell>
          <cell r="J448">
            <v>15000000</v>
          </cell>
          <cell r="K448">
            <v>647987.49</v>
          </cell>
          <cell r="R448" t="str">
            <v>Distressed/Turnaround</v>
          </cell>
          <cell r="S448">
            <v>-8.6396684355789404</v>
          </cell>
          <cell r="Y448">
            <v>590834</v>
          </cell>
          <cell r="Z448">
            <v>0</v>
          </cell>
          <cell r="AA448" t="str">
            <v>Special Situation</v>
          </cell>
          <cell r="AF448">
            <v>4.3199165999999997E-2</v>
          </cell>
        </row>
        <row r="449">
          <cell r="A449" t="str">
            <v>Hamilton Lane-Carpenters Partnership Fund II L.P.</v>
          </cell>
          <cell r="G449" t="str">
            <v>KPS</v>
          </cell>
          <cell r="I449" t="str">
            <v>Primary Partnership</v>
          </cell>
          <cell r="J449">
            <v>25000000</v>
          </cell>
          <cell r="K449">
            <v>1079979.1499999999</v>
          </cell>
          <cell r="R449" t="str">
            <v>Distressed/Turnaround</v>
          </cell>
          <cell r="S449">
            <v>-8.6396684355789404</v>
          </cell>
          <cell r="Y449">
            <v>984723</v>
          </cell>
          <cell r="Z449">
            <v>0</v>
          </cell>
          <cell r="AA449" t="str">
            <v>Special Situation</v>
          </cell>
          <cell r="AF449">
            <v>4.3199165999999997E-2</v>
          </cell>
        </row>
        <row r="450">
          <cell r="A450" t="str">
            <v>International Union of Operating Engineers</v>
          </cell>
          <cell r="G450" t="str">
            <v>KPS</v>
          </cell>
          <cell r="I450" t="str">
            <v>Primary Partnership</v>
          </cell>
          <cell r="J450">
            <v>15000000</v>
          </cell>
          <cell r="K450">
            <v>647987.49</v>
          </cell>
          <cell r="R450" t="str">
            <v>Distressed/Turnaround</v>
          </cell>
          <cell r="S450">
            <v>-8.6396684355789404</v>
          </cell>
          <cell r="Y450">
            <v>590834</v>
          </cell>
          <cell r="Z450">
            <v>0</v>
          </cell>
          <cell r="AA450" t="str">
            <v>Special Situation</v>
          </cell>
          <cell r="AF450">
            <v>4.3199165999999997E-2</v>
          </cell>
        </row>
        <row r="451">
          <cell r="A451" t="str">
            <v>Santa Barbara County Employees' Retirement System</v>
          </cell>
          <cell r="G451" t="str">
            <v>KPS</v>
          </cell>
          <cell r="I451" t="str">
            <v>Primary Partnership</v>
          </cell>
          <cell r="J451">
            <v>10000000</v>
          </cell>
          <cell r="K451">
            <v>431991.66</v>
          </cell>
          <cell r="R451" t="str">
            <v>Distressed/Turnaround</v>
          </cell>
          <cell r="S451">
            <v>-8.6396684355789404</v>
          </cell>
          <cell r="Y451">
            <v>393890</v>
          </cell>
          <cell r="Z451">
            <v>0</v>
          </cell>
          <cell r="AA451" t="str">
            <v>Special Situation</v>
          </cell>
          <cell r="AF451">
            <v>4.3199165999999997E-2</v>
          </cell>
        </row>
        <row r="452">
          <cell r="A452" t="str">
            <v>Southwest Carpenters Pension Trust</v>
          </cell>
          <cell r="G452" t="str">
            <v>KPS</v>
          </cell>
          <cell r="I452" t="str">
            <v>Primary Partnership</v>
          </cell>
          <cell r="J452">
            <v>20000000</v>
          </cell>
          <cell r="K452">
            <v>863983.32</v>
          </cell>
          <cell r="R452" t="str">
            <v>Distressed/Turnaround</v>
          </cell>
          <cell r="S452">
            <v>-8.6396684355789404</v>
          </cell>
          <cell r="Y452">
            <v>787778</v>
          </cell>
          <cell r="Z452">
            <v>0</v>
          </cell>
          <cell r="AA452" t="str">
            <v>Special Situation</v>
          </cell>
          <cell r="AF452">
            <v>4.3199165999999997E-2</v>
          </cell>
        </row>
        <row r="453">
          <cell r="A453" t="str">
            <v>The 1199 Health Care Employees Pension Fund</v>
          </cell>
          <cell r="G453" t="str">
            <v>KPS</v>
          </cell>
          <cell r="I453" t="str">
            <v>Primary Partnership</v>
          </cell>
          <cell r="J453">
            <v>15000000</v>
          </cell>
          <cell r="K453">
            <v>647987.49</v>
          </cell>
          <cell r="R453" t="str">
            <v>Distressed/Turnaround</v>
          </cell>
          <cell r="S453">
            <v>-8.6396684355789404</v>
          </cell>
          <cell r="Y453">
            <v>590834</v>
          </cell>
          <cell r="Z453">
            <v>0</v>
          </cell>
          <cell r="AA453" t="str">
            <v>Special Situation</v>
          </cell>
          <cell r="AF453">
            <v>4.3199165999999997E-2</v>
          </cell>
        </row>
        <row r="454">
          <cell r="A454" t="str">
            <v>The Hudson River Fund II</v>
          </cell>
          <cell r="G454" t="str">
            <v>KPS</v>
          </cell>
          <cell r="I454" t="str">
            <v>Primary Partnership</v>
          </cell>
          <cell r="J454">
            <v>25000000</v>
          </cell>
          <cell r="K454">
            <v>1079979.1499999999</v>
          </cell>
          <cell r="R454" t="str">
            <v>Distressed/Turnaround</v>
          </cell>
          <cell r="S454">
            <v>-8.6396684355789404</v>
          </cell>
          <cell r="Y454">
            <v>984723</v>
          </cell>
          <cell r="Z454">
            <v>0</v>
          </cell>
          <cell r="AA454" t="str">
            <v>Special Situation</v>
          </cell>
          <cell r="AF454">
            <v>4.3199165999999997E-2</v>
          </cell>
        </row>
        <row r="455">
          <cell r="A455" t="str">
            <v>United Brotherhood of Carpenters Pension Fund</v>
          </cell>
          <cell r="G455" t="str">
            <v>KPS</v>
          </cell>
          <cell r="I455" t="str">
            <v>Primary Partnership</v>
          </cell>
          <cell r="J455">
            <v>10000000</v>
          </cell>
          <cell r="K455">
            <v>431991.66</v>
          </cell>
          <cell r="R455" t="str">
            <v>Distressed/Turnaround</v>
          </cell>
          <cell r="S455">
            <v>-8.6396684355789404</v>
          </cell>
          <cell r="Y455">
            <v>393890</v>
          </cell>
          <cell r="Z455">
            <v>0</v>
          </cell>
          <cell r="AA455" t="str">
            <v>Special Situation</v>
          </cell>
          <cell r="AF455">
            <v>4.3199165999999997E-2</v>
          </cell>
        </row>
        <row r="456">
          <cell r="A456" t="str">
            <v>United Food &amp; Commercial Workers Intl. Union</v>
          </cell>
          <cell r="G456" t="str">
            <v>KPS</v>
          </cell>
          <cell r="I456" t="str">
            <v>Primary Partnership</v>
          </cell>
          <cell r="J456">
            <v>15000000</v>
          </cell>
          <cell r="K456">
            <v>647987.49</v>
          </cell>
          <cell r="R456" t="str">
            <v>Distressed/Turnaround</v>
          </cell>
          <cell r="S456">
            <v>-8.6396684355789404</v>
          </cell>
          <cell r="Y456">
            <v>590834</v>
          </cell>
          <cell r="Z456">
            <v>0</v>
          </cell>
          <cell r="AA456" t="str">
            <v>Special Situation</v>
          </cell>
          <cell r="AF456">
            <v>4.3199165999999997E-2</v>
          </cell>
        </row>
        <row r="457">
          <cell r="A457" t="str">
            <v>Hamilton Lane-Carpenters Partnership Fund, L.P.</v>
          </cell>
          <cell r="G457" t="str">
            <v>Landmark Partners</v>
          </cell>
          <cell r="I457" t="str">
            <v>Primary Partnership</v>
          </cell>
          <cell r="J457">
            <v>5000000</v>
          </cell>
          <cell r="K457">
            <v>4982936</v>
          </cell>
          <cell r="R457" t="str">
            <v>Small</v>
          </cell>
          <cell r="S457">
            <v>9.0210119574609884</v>
          </cell>
          <cell r="Y457">
            <v>5397513</v>
          </cell>
          <cell r="Z457">
            <v>998342</v>
          </cell>
          <cell r="AA457" t="str">
            <v>Corporate Finance/Buyout</v>
          </cell>
          <cell r="AF457">
            <v>0.99658720000000001</v>
          </cell>
        </row>
        <row r="458">
          <cell r="A458" t="str">
            <v>The 1199 Health Care Employees Pension Fund</v>
          </cell>
          <cell r="G458" t="str">
            <v>Landmark Partners</v>
          </cell>
          <cell r="I458" t="str">
            <v>Primary Partnership</v>
          </cell>
          <cell r="J458">
            <v>5000000</v>
          </cell>
          <cell r="K458">
            <v>4982936</v>
          </cell>
          <cell r="R458" t="str">
            <v>Small</v>
          </cell>
          <cell r="S458">
            <v>9.0210119574609884</v>
          </cell>
          <cell r="Y458">
            <v>5397512</v>
          </cell>
          <cell r="Z458">
            <v>998342</v>
          </cell>
          <cell r="AA458" t="str">
            <v>Corporate Finance/Buyout</v>
          </cell>
          <cell r="AF458">
            <v>0.99658720000000001</v>
          </cell>
        </row>
        <row r="459">
          <cell r="A459" t="str">
            <v>United Food &amp; Commercial Workers Intl. Union</v>
          </cell>
          <cell r="G459" t="str">
            <v>Landmark Partners</v>
          </cell>
          <cell r="I459" t="str">
            <v>Primary Partnership</v>
          </cell>
          <cell r="J459">
            <v>5000000</v>
          </cell>
          <cell r="K459">
            <v>4982936</v>
          </cell>
          <cell r="R459" t="str">
            <v>Small</v>
          </cell>
          <cell r="S459">
            <v>9.0210119574609884</v>
          </cell>
          <cell r="Y459">
            <v>5397513</v>
          </cell>
          <cell r="Z459">
            <v>998342</v>
          </cell>
          <cell r="AA459" t="str">
            <v>Corporate Finance/Buyout</v>
          </cell>
          <cell r="AF459">
            <v>0.99658720000000001</v>
          </cell>
        </row>
        <row r="460">
          <cell r="A460" t="str">
            <v>Hamilton Lane Private Equity Fund Plc</v>
          </cell>
          <cell r="G460" t="str">
            <v>Levine Leichtman Capital Partners, Inc.</v>
          </cell>
          <cell r="I460" t="str">
            <v>Primary Partnership</v>
          </cell>
          <cell r="J460">
            <v>6841000</v>
          </cell>
          <cell r="K460">
            <v>7535033.7199999997</v>
          </cell>
          <cell r="R460" t="str">
            <v>Small</v>
          </cell>
          <cell r="S460">
            <v>10.391553305024036</v>
          </cell>
          <cell r="Y460">
            <v>3650415</v>
          </cell>
          <cell r="Z460">
            <v>7496413.4300000006</v>
          </cell>
          <cell r="AA460" t="str">
            <v>Corporate Finance/Buyout</v>
          </cell>
          <cell r="AF460">
            <v>1.101452085952346</v>
          </cell>
        </row>
        <row r="461">
          <cell r="A461" t="str">
            <v>Hamilton Lane Private Equity Partners, L.P.</v>
          </cell>
          <cell r="G461" t="str">
            <v>Levine Leichtman Capital Partners, Inc.</v>
          </cell>
          <cell r="I461" t="str">
            <v>Primary Partnership</v>
          </cell>
          <cell r="J461">
            <v>3159000</v>
          </cell>
          <cell r="K461">
            <v>3479491.19</v>
          </cell>
          <cell r="R461" t="str">
            <v>Small</v>
          </cell>
          <cell r="S461">
            <v>10.391553305024036</v>
          </cell>
          <cell r="Y461">
            <v>1685666</v>
          </cell>
          <cell r="Z461">
            <v>3461655.66</v>
          </cell>
          <cell r="AA461" t="str">
            <v>Corporate Finance/Buyout</v>
          </cell>
          <cell r="AF461">
            <v>1.1014533681544791</v>
          </cell>
        </row>
        <row r="462">
          <cell r="A462" t="str">
            <v>Princess Private Equity Subholding Ltd.</v>
          </cell>
          <cell r="G462" t="str">
            <v>Levine Leichtman Capital Partners, Inc.</v>
          </cell>
          <cell r="I462" t="str">
            <v>Primary Partnership</v>
          </cell>
          <cell r="J462">
            <v>30000000</v>
          </cell>
          <cell r="K462">
            <v>29873612.960000001</v>
          </cell>
          <cell r="R462" t="str">
            <v>Small</v>
          </cell>
          <cell r="S462">
            <v>10.391553305024036</v>
          </cell>
          <cell r="Y462">
            <v>15836560</v>
          </cell>
          <cell r="Z462">
            <v>32832422.879999988</v>
          </cell>
          <cell r="AA462" t="str">
            <v>Corporate Finance/Buyout</v>
          </cell>
          <cell r="AF462">
            <v>0.9957870986666667</v>
          </cell>
        </row>
        <row r="463">
          <cell r="A463" t="str">
            <v>The Hudson River Fund</v>
          </cell>
          <cell r="G463" t="str">
            <v>Levine Leichtman Capital Partners, Inc.</v>
          </cell>
          <cell r="I463" t="str">
            <v>Primary Partnership</v>
          </cell>
          <cell r="J463">
            <v>35000000</v>
          </cell>
          <cell r="K463">
            <v>38550803.539999992</v>
          </cell>
          <cell r="R463" t="str">
            <v>Small</v>
          </cell>
          <cell r="S463">
            <v>10.391553305024036</v>
          </cell>
          <cell r="Y463">
            <v>18676302</v>
          </cell>
          <cell r="Z463">
            <v>38357717.82</v>
          </cell>
          <cell r="AA463" t="str">
            <v>Corporate Finance/Buyout</v>
          </cell>
          <cell r="AF463">
            <v>1.1014515297142855</v>
          </cell>
        </row>
        <row r="464">
          <cell r="A464" t="str">
            <v>Hamilton Lane Private Equity Fund V, L.P.</v>
          </cell>
          <cell r="G464" t="str">
            <v>Levine Leichtman Capital Partners, Inc.</v>
          </cell>
          <cell r="I464" t="str">
            <v>Primary Partnership</v>
          </cell>
          <cell r="J464">
            <v>5000000</v>
          </cell>
          <cell r="K464">
            <v>4542990.84</v>
          </cell>
          <cell r="R464" t="str">
            <v>Small</v>
          </cell>
          <cell r="S464">
            <v>14.157115905712669</v>
          </cell>
          <cell r="Y464">
            <v>3836574</v>
          </cell>
          <cell r="Z464">
            <v>1820805.59</v>
          </cell>
          <cell r="AA464" t="str">
            <v>Corporate Finance/Buyout</v>
          </cell>
          <cell r="AF464">
            <v>0.90859816799999993</v>
          </cell>
        </row>
        <row r="465">
          <cell r="A465" t="str">
            <v>I.A.M. National Pension Fund</v>
          </cell>
          <cell r="G465" t="str">
            <v>Levine Leichtman Capital Partners, Inc.</v>
          </cell>
          <cell r="I465" t="str">
            <v>Primary Partnership</v>
          </cell>
          <cell r="J465">
            <v>10000000</v>
          </cell>
          <cell r="K465">
            <v>8542589.709999999</v>
          </cell>
          <cell r="R465" t="str">
            <v>Small</v>
          </cell>
          <cell r="S465">
            <v>14.157115905712669</v>
          </cell>
          <cell r="Y465">
            <v>7673147</v>
          </cell>
          <cell r="Z465">
            <v>3666521.57</v>
          </cell>
          <cell r="AA465" t="str">
            <v>Corporate Finance/Buyout</v>
          </cell>
          <cell r="AF465">
            <v>0.85425897099999992</v>
          </cell>
        </row>
        <row r="466">
          <cell r="A466" t="str">
            <v>Los Angeles City Employees' Retirement System</v>
          </cell>
          <cell r="G466" t="str">
            <v>Levine Leichtman Capital Partners, Inc.</v>
          </cell>
          <cell r="I466" t="str">
            <v>Primary Partnership</v>
          </cell>
          <cell r="J466">
            <v>20000000</v>
          </cell>
          <cell r="K466">
            <v>17085179.199999999</v>
          </cell>
          <cell r="R466" t="str">
            <v>Small</v>
          </cell>
          <cell r="S466">
            <v>14.157115905712669</v>
          </cell>
          <cell r="Y466">
            <v>15346288</v>
          </cell>
          <cell r="Z466">
            <v>7222086.919999999</v>
          </cell>
          <cell r="AA466" t="str">
            <v>Corporate Finance/Buyout</v>
          </cell>
          <cell r="AF466">
            <v>0.85425896000000001</v>
          </cell>
        </row>
        <row r="467">
          <cell r="A467" t="str">
            <v>Royal Mail Pensions Trustees Limited</v>
          </cell>
          <cell r="G467" t="str">
            <v>Levine Leichtman Capital Partners, Inc.</v>
          </cell>
          <cell r="I467" t="str">
            <v>Primary Partnership</v>
          </cell>
          <cell r="J467">
            <v>10000000</v>
          </cell>
          <cell r="K467">
            <v>8542589.5999999996</v>
          </cell>
          <cell r="R467" t="str">
            <v>Small</v>
          </cell>
          <cell r="S467">
            <v>14.157115905712669</v>
          </cell>
          <cell r="Y467">
            <v>7673147</v>
          </cell>
          <cell r="Z467">
            <v>3666521.68</v>
          </cell>
          <cell r="AA467" t="str">
            <v>Corporate Finance/Buyout</v>
          </cell>
          <cell r="AF467">
            <v>0.85425896000000001</v>
          </cell>
        </row>
        <row r="468">
          <cell r="A468" t="str">
            <v>The 1199 Health Care Employees Pension Fund</v>
          </cell>
          <cell r="G468" t="str">
            <v>Levine Leichtman Capital Partners, Inc.</v>
          </cell>
          <cell r="I468" t="str">
            <v>Primary Partnership</v>
          </cell>
          <cell r="J468">
            <v>10000000</v>
          </cell>
          <cell r="K468">
            <v>8542589.709999999</v>
          </cell>
          <cell r="R468" t="str">
            <v>Small</v>
          </cell>
          <cell r="S468">
            <v>14.157115905712669</v>
          </cell>
          <cell r="Y468">
            <v>7673147</v>
          </cell>
          <cell r="Z468">
            <v>3632346.77</v>
          </cell>
          <cell r="AA468" t="str">
            <v>Corporate Finance/Buyout</v>
          </cell>
          <cell r="AF468">
            <v>0.85425897099999992</v>
          </cell>
        </row>
        <row r="469">
          <cell r="A469" t="str">
            <v>The Hudson River Fund II</v>
          </cell>
          <cell r="G469" t="str">
            <v>Levine Leichtman Capital Partners, Inc.</v>
          </cell>
          <cell r="I469" t="str">
            <v>Primary Partnership</v>
          </cell>
          <cell r="J469">
            <v>30000000</v>
          </cell>
          <cell r="K469">
            <v>26233193.120000001</v>
          </cell>
          <cell r="R469" t="str">
            <v>Small</v>
          </cell>
          <cell r="S469">
            <v>14.157115905712669</v>
          </cell>
          <cell r="Y469">
            <v>23151410</v>
          </cell>
          <cell r="Z469">
            <v>11469936.850000001</v>
          </cell>
          <cell r="AA469" t="str">
            <v>Corporate Finance/Buyout</v>
          </cell>
          <cell r="AF469">
            <v>0.87443977066666667</v>
          </cell>
        </row>
        <row r="470">
          <cell r="A470" t="str">
            <v>United Food &amp; Commercial Workers Intl. Union</v>
          </cell>
          <cell r="G470" t="str">
            <v>Levine Leichtman Capital Partners, Inc.</v>
          </cell>
          <cell r="I470" t="str">
            <v>Primary Partnership</v>
          </cell>
          <cell r="J470">
            <v>3700000</v>
          </cell>
          <cell r="K470">
            <v>3160758.15</v>
          </cell>
          <cell r="R470" t="str">
            <v>Small</v>
          </cell>
          <cell r="S470">
            <v>14.157115905712669</v>
          </cell>
          <cell r="Y470">
            <v>2839063</v>
          </cell>
          <cell r="Z470">
            <v>1356612.91</v>
          </cell>
          <cell r="AA470" t="str">
            <v>Corporate Finance/Buyout</v>
          </cell>
          <cell r="AF470">
            <v>0.8542589594594594</v>
          </cell>
        </row>
        <row r="471">
          <cell r="A471" t="str">
            <v>Hamilton Lane Private Equity Fund IV L.P.</v>
          </cell>
          <cell r="G471" t="str">
            <v>Lexington Partners - Hamilton Lane LLC</v>
          </cell>
          <cell r="I471" t="str">
            <v>Secondary Purchase</v>
          </cell>
          <cell r="J471">
            <v>43415976</v>
          </cell>
          <cell r="K471">
            <v>40962095.780000001</v>
          </cell>
          <cell r="R471" t="str">
            <v>Fund-of-Funds</v>
          </cell>
          <cell r="S471">
            <v>6.9873597722813319</v>
          </cell>
          <cell r="Y471">
            <v>7932796</v>
          </cell>
          <cell r="Z471">
            <v>43835910</v>
          </cell>
          <cell r="AA471" t="str">
            <v>Special Situation</v>
          </cell>
          <cell r="AF471">
            <v>0.94347978679553357</v>
          </cell>
        </row>
        <row r="472">
          <cell r="A472" t="str">
            <v>Hamilton Lane-Carpenters Partnership Fund, L.P.</v>
          </cell>
          <cell r="G472" t="str">
            <v>Lexington Partners - Hamilton Lane LLC</v>
          </cell>
          <cell r="I472" t="str">
            <v>Secondary Purchase</v>
          </cell>
          <cell r="J472">
            <v>34297007</v>
          </cell>
          <cell r="K472">
            <v>32362695.810000002</v>
          </cell>
          <cell r="R472" t="str">
            <v>Fund-of-Funds</v>
          </cell>
          <cell r="S472">
            <v>6.9873597722813319</v>
          </cell>
          <cell r="Y472">
            <v>6270024</v>
          </cell>
          <cell r="Z472">
            <v>34629494</v>
          </cell>
          <cell r="AA472" t="str">
            <v>Special Situation</v>
          </cell>
          <cell r="AF472">
            <v>0.94360116642248115</v>
          </cell>
        </row>
        <row r="473">
          <cell r="A473" t="str">
            <v>I.A.M. National Pension Fund</v>
          </cell>
          <cell r="G473" t="str">
            <v>Lexington Partners - Hamilton Lane LLC</v>
          </cell>
          <cell r="I473" t="str">
            <v>Secondary Purchase</v>
          </cell>
          <cell r="J473">
            <v>17673046</v>
          </cell>
          <cell r="K473">
            <v>16671469.9</v>
          </cell>
          <cell r="R473" t="str">
            <v>Fund-of-Funds</v>
          </cell>
          <cell r="S473">
            <v>6.9873597722813319</v>
          </cell>
          <cell r="Y473">
            <v>3215189</v>
          </cell>
          <cell r="Z473">
            <v>17843644</v>
          </cell>
          <cell r="AA473" t="str">
            <v>Special Situation</v>
          </cell>
          <cell r="AF473">
            <v>0.9433274773346938</v>
          </cell>
        </row>
        <row r="474">
          <cell r="A474" t="str">
            <v>I.A.M. National Pension Fund</v>
          </cell>
          <cell r="G474" t="str">
            <v>Lighthouse</v>
          </cell>
          <cell r="I474" t="str">
            <v>Primary Partnership</v>
          </cell>
          <cell r="J474">
            <v>5000000</v>
          </cell>
          <cell r="K474">
            <v>4650000</v>
          </cell>
          <cell r="R474" t="str">
            <v>Early Stage</v>
          </cell>
          <cell r="S474">
            <v>6.4547793155030453</v>
          </cell>
          <cell r="Y474">
            <v>4470466</v>
          </cell>
          <cell r="Z474">
            <v>951172.51</v>
          </cell>
          <cell r="AA474" t="str">
            <v>Venture Capital</v>
          </cell>
          <cell r="AF474">
            <v>0.93</v>
          </cell>
        </row>
        <row r="475">
          <cell r="A475" t="str">
            <v>The 1199 Health Care Employees Pension Fund</v>
          </cell>
          <cell r="G475" t="str">
            <v>Lighthouse</v>
          </cell>
          <cell r="I475" t="str">
            <v>Primary Partnership</v>
          </cell>
          <cell r="J475">
            <v>10000000</v>
          </cell>
          <cell r="K475">
            <v>9300000</v>
          </cell>
          <cell r="R475" t="str">
            <v>Early Stage</v>
          </cell>
          <cell r="S475">
            <v>6.4547793155030453</v>
          </cell>
          <cell r="Y475">
            <v>8940933</v>
          </cell>
          <cell r="Z475">
            <v>1902345.03</v>
          </cell>
          <cell r="AA475" t="str">
            <v>Venture Capital</v>
          </cell>
          <cell r="AF475">
            <v>0.93</v>
          </cell>
        </row>
        <row r="476">
          <cell r="A476" t="str">
            <v>Princess Private Equity Subholding Ltd.</v>
          </cell>
          <cell r="G476" t="str">
            <v>Lightspeed Venture Partners</v>
          </cell>
          <cell r="I476" t="str">
            <v>Primary Partnership</v>
          </cell>
          <cell r="J476">
            <v>8000000</v>
          </cell>
          <cell r="K476">
            <v>6900182.04</v>
          </cell>
          <cell r="R476" t="str">
            <v>Early Stage</v>
          </cell>
          <cell r="S476">
            <v>7.4680850026224377</v>
          </cell>
          <cell r="Y476">
            <v>4264305.84</v>
          </cell>
          <cell r="Z476">
            <v>4727449.0959999999</v>
          </cell>
          <cell r="AA476" t="str">
            <v>Venture Capital</v>
          </cell>
          <cell r="AF476">
            <v>0.86252275499999997</v>
          </cell>
        </row>
        <row r="477">
          <cell r="A477" t="str">
            <v>Generali Global Private Equity S.A. SICAR</v>
          </cell>
          <cell r="G477" t="str">
            <v>Lindsay, Goldberg &amp; Bessemer</v>
          </cell>
          <cell r="I477" t="str">
            <v>Primary Partnership</v>
          </cell>
          <cell r="J477">
            <v>25000000</v>
          </cell>
          <cell r="K477">
            <v>10685441</v>
          </cell>
          <cell r="R477" t="str">
            <v>Large</v>
          </cell>
          <cell r="S477">
            <v>0.21457300935714407</v>
          </cell>
          <cell r="Y477">
            <v>10677484</v>
          </cell>
          <cell r="Z477">
            <v>8444</v>
          </cell>
          <cell r="AA477" t="str">
            <v>Corporate Finance/Buyout</v>
          </cell>
          <cell r="AF477">
            <v>0.42741763999999999</v>
          </cell>
        </row>
        <row r="478">
          <cell r="A478" t="str">
            <v>Harel Gemel Ltd.</v>
          </cell>
          <cell r="G478" t="str">
            <v>Lindsay, Goldberg &amp; Bessemer</v>
          </cell>
          <cell r="I478" t="str">
            <v>Primary Partnership</v>
          </cell>
          <cell r="J478">
            <v>1620000</v>
          </cell>
          <cell r="K478">
            <v>692419</v>
          </cell>
          <cell r="R478" t="str">
            <v>Large</v>
          </cell>
          <cell r="S478">
            <v>0.21457300935714407</v>
          </cell>
          <cell r="Y478">
            <v>691901</v>
          </cell>
          <cell r="Z478">
            <v>491</v>
          </cell>
          <cell r="AA478" t="str">
            <v>Corporate Finance/Buyout</v>
          </cell>
          <cell r="AF478">
            <v>0.42741913580246915</v>
          </cell>
        </row>
        <row r="479">
          <cell r="A479" t="str">
            <v>Los Angeles City Employees' Retirement System</v>
          </cell>
          <cell r="G479" t="str">
            <v>Lindsay, Goldberg &amp; Bessemer</v>
          </cell>
          <cell r="I479" t="str">
            <v>Primary Partnership</v>
          </cell>
          <cell r="J479">
            <v>20000000</v>
          </cell>
          <cell r="K479">
            <v>8548355</v>
          </cell>
          <cell r="R479" t="str">
            <v>Large</v>
          </cell>
          <cell r="S479">
            <v>0.21457300935714407</v>
          </cell>
          <cell r="Y479">
            <v>8541985</v>
          </cell>
          <cell r="Z479">
            <v>28869</v>
          </cell>
          <cell r="AA479" t="str">
            <v>Corporate Finance/Buyout</v>
          </cell>
          <cell r="AF479">
            <v>0.42741774999999999</v>
          </cell>
        </row>
        <row r="480">
          <cell r="A480" t="str">
            <v>Marsh &amp; McLennan Master Retirement Trust</v>
          </cell>
          <cell r="G480" t="str">
            <v>Lindsay, Goldberg &amp; Bessemer</v>
          </cell>
          <cell r="I480" t="str">
            <v>Primary Partnership</v>
          </cell>
          <cell r="J480">
            <v>15000000</v>
          </cell>
          <cell r="K480">
            <v>6411264</v>
          </cell>
          <cell r="R480" t="str">
            <v>Large</v>
          </cell>
          <cell r="S480">
            <v>0.21457300935714407</v>
          </cell>
          <cell r="Y480">
            <v>6406489</v>
          </cell>
          <cell r="Z480">
            <v>5679</v>
          </cell>
          <cell r="AA480" t="str">
            <v>Corporate Finance/Buyout</v>
          </cell>
          <cell r="AF480">
            <v>0.42741760000000001</v>
          </cell>
        </row>
        <row r="481">
          <cell r="A481" t="str">
            <v>Princeton Theological Seminary</v>
          </cell>
          <cell r="G481" t="str">
            <v>Lindsay, Goldberg &amp; Bessemer</v>
          </cell>
          <cell r="I481" t="str">
            <v>Primary Partnership</v>
          </cell>
          <cell r="J481">
            <v>10000000</v>
          </cell>
          <cell r="K481">
            <v>4274173</v>
          </cell>
          <cell r="R481" t="str">
            <v>Large</v>
          </cell>
          <cell r="S481">
            <v>0.21457300935714407</v>
          </cell>
          <cell r="Y481">
            <v>4270988</v>
          </cell>
          <cell r="Z481">
            <v>11981</v>
          </cell>
          <cell r="AA481" t="str">
            <v>Corporate Finance/Buyout</v>
          </cell>
          <cell r="AF481">
            <v>0.4274173</v>
          </cell>
        </row>
        <row r="482">
          <cell r="A482" t="str">
            <v>Prisma Provident Funds Ltd.</v>
          </cell>
          <cell r="G482" t="str">
            <v>Lindsay, Goldberg &amp; Bessemer</v>
          </cell>
          <cell r="I482" t="str">
            <v>Primary Partnership</v>
          </cell>
          <cell r="J482">
            <v>1380000</v>
          </cell>
          <cell r="K482">
            <v>589836</v>
          </cell>
          <cell r="R482" t="str">
            <v>Large</v>
          </cell>
          <cell r="S482">
            <v>0.21457300935714407</v>
          </cell>
          <cell r="Y482">
            <v>589402</v>
          </cell>
          <cell r="Z482">
            <v>413</v>
          </cell>
          <cell r="AA482" t="str">
            <v>Corporate Finance/Buyout</v>
          </cell>
          <cell r="AF482">
            <v>0.4274173913043478</v>
          </cell>
        </row>
        <row r="483">
          <cell r="A483" t="str">
            <v>Southwest Carpenters Pension Trust</v>
          </cell>
          <cell r="G483" t="str">
            <v>Lindsay, Goldberg &amp; Bessemer</v>
          </cell>
          <cell r="I483" t="str">
            <v>Primary Partnership</v>
          </cell>
          <cell r="J483">
            <v>20000000</v>
          </cell>
          <cell r="K483">
            <v>8548355</v>
          </cell>
          <cell r="R483" t="str">
            <v>Large</v>
          </cell>
          <cell r="S483">
            <v>0.21457300935714407</v>
          </cell>
          <cell r="Y483">
            <v>8541985</v>
          </cell>
          <cell r="Z483">
            <v>7571</v>
          </cell>
          <cell r="AA483" t="str">
            <v>Corporate Finance/Buyout</v>
          </cell>
          <cell r="AF483">
            <v>0.42741774999999999</v>
          </cell>
        </row>
        <row r="484">
          <cell r="A484" t="str">
            <v>The 1199 Health Care Employees Pension Fund</v>
          </cell>
          <cell r="G484" t="str">
            <v>Lindsay, Goldberg &amp; Bessemer</v>
          </cell>
          <cell r="I484" t="str">
            <v>Primary Partnership</v>
          </cell>
          <cell r="J484">
            <v>15000000</v>
          </cell>
          <cell r="K484">
            <v>6411264</v>
          </cell>
          <cell r="R484" t="str">
            <v>Large</v>
          </cell>
          <cell r="S484">
            <v>0.21457300935714407</v>
          </cell>
          <cell r="Y484">
            <v>6406488</v>
          </cell>
          <cell r="Z484">
            <v>21652</v>
          </cell>
          <cell r="AA484" t="str">
            <v>Corporate Finance/Buyout</v>
          </cell>
          <cell r="AF484">
            <v>0.42741760000000001</v>
          </cell>
        </row>
        <row r="485">
          <cell r="A485" t="str">
            <v>United Food &amp; Commercial Workers Intl. Union</v>
          </cell>
          <cell r="G485" t="str">
            <v>Lindsay, Goldberg &amp; Bessemer</v>
          </cell>
          <cell r="I485" t="str">
            <v>Primary Partnership</v>
          </cell>
          <cell r="J485">
            <v>10000000</v>
          </cell>
          <cell r="K485">
            <v>4274173</v>
          </cell>
          <cell r="R485" t="str">
            <v>Large</v>
          </cell>
          <cell r="S485">
            <v>0.21457300935714407</v>
          </cell>
          <cell r="Y485">
            <v>4270987</v>
          </cell>
          <cell r="Z485">
            <v>14433</v>
          </cell>
          <cell r="AA485" t="str">
            <v>Corporate Finance/Buyout</v>
          </cell>
          <cell r="AF485">
            <v>0.4274173</v>
          </cell>
        </row>
        <row r="486">
          <cell r="A486" t="str">
            <v>Hamilton Lane-Carpenters Partnership Fund, L.P.</v>
          </cell>
          <cell r="G486" t="str">
            <v>Lindsay, Goldberg &amp; Bessemer</v>
          </cell>
          <cell r="I486" t="str">
            <v>Primary Partnership</v>
          </cell>
          <cell r="J486">
            <v>5000000</v>
          </cell>
          <cell r="K486">
            <v>4574347</v>
          </cell>
          <cell r="R486" t="str">
            <v>Large</v>
          </cell>
          <cell r="S486">
            <v>41.313974881092008</v>
          </cell>
          <cell r="Y486">
            <v>3895187</v>
          </cell>
          <cell r="Z486">
            <v>5538574.5600000005</v>
          </cell>
          <cell r="AA486" t="str">
            <v>Corporate Finance/Buyout</v>
          </cell>
          <cell r="AF486">
            <v>0.91486940000000005</v>
          </cell>
        </row>
        <row r="487">
          <cell r="A487" t="str">
            <v>I.A.M. National Pension Fund</v>
          </cell>
          <cell r="G487" t="str">
            <v>Lindsay, Goldberg &amp; Bessemer</v>
          </cell>
          <cell r="I487" t="str">
            <v>Primary Partnership</v>
          </cell>
          <cell r="J487">
            <v>5000000</v>
          </cell>
          <cell r="K487">
            <v>4574347</v>
          </cell>
          <cell r="R487" t="str">
            <v>Large</v>
          </cell>
          <cell r="S487">
            <v>41.313974881092008</v>
          </cell>
          <cell r="Y487">
            <v>4745990</v>
          </cell>
          <cell r="Z487">
            <v>5523958.5600000005</v>
          </cell>
          <cell r="AA487" t="str">
            <v>Corporate Finance/Buyout</v>
          </cell>
          <cell r="AF487">
            <v>0.91486940000000005</v>
          </cell>
        </row>
        <row r="488">
          <cell r="A488" t="str">
            <v>Nordea Thematic Fund-of-Funds</v>
          </cell>
          <cell r="G488" t="str">
            <v>Lindsay, Goldberg &amp; Bessemer</v>
          </cell>
          <cell r="I488" t="str">
            <v>Primary Partnership</v>
          </cell>
          <cell r="J488">
            <v>10000000</v>
          </cell>
          <cell r="K488">
            <v>9134435</v>
          </cell>
          <cell r="R488" t="str">
            <v>Large</v>
          </cell>
          <cell r="S488">
            <v>41.313974881092008</v>
          </cell>
          <cell r="Y488">
            <v>9491971</v>
          </cell>
          <cell r="Z488">
            <v>10155364.129999999</v>
          </cell>
          <cell r="AA488" t="str">
            <v>Corporate Finance/Buyout</v>
          </cell>
          <cell r="AF488">
            <v>0.91344349999999996</v>
          </cell>
        </row>
        <row r="489">
          <cell r="A489" t="str">
            <v>Royal Mail Pensions Trustees Limited</v>
          </cell>
          <cell r="G489" t="str">
            <v>Lindsay, Goldberg &amp; Bessemer</v>
          </cell>
          <cell r="I489" t="str">
            <v>Primary Partnership</v>
          </cell>
          <cell r="J489">
            <v>10000000</v>
          </cell>
          <cell r="K489">
            <v>9148700</v>
          </cell>
          <cell r="R489" t="str">
            <v>Large</v>
          </cell>
          <cell r="S489">
            <v>41.313974881092008</v>
          </cell>
          <cell r="Y489">
            <v>9491975</v>
          </cell>
          <cell r="Z489">
            <v>10758822.129999999</v>
          </cell>
          <cell r="AA489" t="str">
            <v>Corporate Finance/Buyout</v>
          </cell>
          <cell r="AF489">
            <v>0.91486999999999996</v>
          </cell>
        </row>
        <row r="490">
          <cell r="A490" t="str">
            <v>United Food &amp; Commercial Workers Intl. Union</v>
          </cell>
          <cell r="G490" t="str">
            <v>Lindsay, Goldberg &amp; Bessemer</v>
          </cell>
          <cell r="I490" t="str">
            <v>Primary Partnership</v>
          </cell>
          <cell r="J490">
            <v>5000000</v>
          </cell>
          <cell r="K490">
            <v>4701673</v>
          </cell>
          <cell r="R490" t="str">
            <v>Large</v>
          </cell>
          <cell r="S490">
            <v>41.313974881092008</v>
          </cell>
          <cell r="Y490">
            <v>4745986</v>
          </cell>
          <cell r="Z490">
            <v>5651285.5600000005</v>
          </cell>
          <cell r="AA490" t="str">
            <v>Corporate Finance/Buyout</v>
          </cell>
          <cell r="AF490">
            <v>0.94033460000000002</v>
          </cell>
        </row>
        <row r="491">
          <cell r="A491" t="str">
            <v>Hamilton Lane-Carpenters Partnership Fund, L.P.</v>
          </cell>
          <cell r="G491" t="str">
            <v>Little John</v>
          </cell>
          <cell r="I491" t="str">
            <v>Primary Partnership</v>
          </cell>
          <cell r="J491">
            <v>10000000</v>
          </cell>
          <cell r="K491">
            <v>8563331.7799999993</v>
          </cell>
          <cell r="R491" t="str">
            <v>Mid</v>
          </cell>
          <cell r="S491">
            <v>12.848190168200135</v>
          </cell>
          <cell r="Y491">
            <v>4379130</v>
          </cell>
          <cell r="Z491">
            <v>9254899.4699999988</v>
          </cell>
          <cell r="AA491" t="str">
            <v>Corporate Finance/Buyout</v>
          </cell>
          <cell r="AF491">
            <v>0.85633317799999997</v>
          </cell>
        </row>
        <row r="492">
          <cell r="A492" t="str">
            <v>The Hudson River Fund</v>
          </cell>
          <cell r="G492" t="str">
            <v>Little John</v>
          </cell>
          <cell r="I492" t="str">
            <v>Primary Partnership</v>
          </cell>
          <cell r="J492">
            <v>30000000</v>
          </cell>
          <cell r="K492">
            <v>25350502.710000008</v>
          </cell>
          <cell r="R492" t="str">
            <v>Mid</v>
          </cell>
          <cell r="S492">
            <v>12.848190168200135</v>
          </cell>
          <cell r="Y492">
            <v>13137390</v>
          </cell>
          <cell r="Z492">
            <v>27425146.430000003</v>
          </cell>
          <cell r="AA492" t="str">
            <v>Corporate Finance/Buyout</v>
          </cell>
          <cell r="AF492">
            <v>0.84501675700000023</v>
          </cell>
        </row>
        <row r="493">
          <cell r="A493" t="str">
            <v>Golden State Investment Fund, LLC</v>
          </cell>
          <cell r="G493" t="str">
            <v>Levine Leichtman Capital Partners, Inc.</v>
          </cell>
          <cell r="I493" t="str">
            <v>Primary Partnership</v>
          </cell>
          <cell r="J493">
            <v>35000000</v>
          </cell>
          <cell r="K493">
            <v>0</v>
          </cell>
          <cell r="R493" t="str">
            <v>Small</v>
          </cell>
          <cell r="S493">
            <v>-100</v>
          </cell>
          <cell r="Y493">
            <v>0</v>
          </cell>
          <cell r="Z493">
            <v>0</v>
          </cell>
          <cell r="AA493" t="str">
            <v>Corporate Finance/Buyout</v>
          </cell>
          <cell r="AF493">
            <v>0</v>
          </cell>
        </row>
        <row r="494">
          <cell r="A494" t="str">
            <v>Hamilton Lane Private Equity Fund Plc</v>
          </cell>
          <cell r="G494" t="str">
            <v>Madison Dearborn Partners LLC</v>
          </cell>
          <cell r="I494" t="str">
            <v>Primary Partnership</v>
          </cell>
          <cell r="J494">
            <v>6841000</v>
          </cell>
          <cell r="K494">
            <v>6778643.4799999995</v>
          </cell>
          <cell r="R494" t="str">
            <v>Large</v>
          </cell>
          <cell r="S494">
            <v>10.364739546236134</v>
          </cell>
          <cell r="Y494">
            <v>2167234</v>
          </cell>
          <cell r="Z494">
            <v>9008240.318</v>
          </cell>
          <cell r="AA494" t="str">
            <v>Corporate Finance/Buyout</v>
          </cell>
          <cell r="AF494">
            <v>0.99088488232714511</v>
          </cell>
        </row>
        <row r="495">
          <cell r="A495" t="str">
            <v>Hamilton Lane Private Equity Partners, L.P.</v>
          </cell>
          <cell r="G495" t="str">
            <v>Madison Dearborn Partners LLC</v>
          </cell>
          <cell r="I495" t="str">
            <v>Primary Partnership</v>
          </cell>
          <cell r="J495">
            <v>3159000</v>
          </cell>
          <cell r="K495">
            <v>3130203.8</v>
          </cell>
          <cell r="R495" t="str">
            <v>Large</v>
          </cell>
          <cell r="S495">
            <v>10.364739546236134</v>
          </cell>
          <cell r="Y495">
            <v>1000766</v>
          </cell>
          <cell r="Z495">
            <v>4159778.3560000001</v>
          </cell>
          <cell r="AA495" t="str">
            <v>Corporate Finance/Buyout</v>
          </cell>
          <cell r="AF495">
            <v>0.99088439379550486</v>
          </cell>
        </row>
        <row r="496">
          <cell r="A496" t="str">
            <v>I.A.M. National Pension Fund</v>
          </cell>
          <cell r="G496" t="str">
            <v>Madison Dearborn Partners LLC</v>
          </cell>
          <cell r="I496" t="str">
            <v>Primary Partnership</v>
          </cell>
          <cell r="J496">
            <v>9295398.9700000007</v>
          </cell>
          <cell r="K496">
            <v>9295398.9700000007</v>
          </cell>
          <cell r="R496" t="str">
            <v>Large</v>
          </cell>
          <cell r="S496">
            <v>25.879045922081147</v>
          </cell>
          <cell r="Y496">
            <v>0</v>
          </cell>
          <cell r="Z496">
            <v>17153032.09</v>
          </cell>
          <cell r="AA496" t="str">
            <v>Corporate Finance/Buyout</v>
          </cell>
          <cell r="AF496">
            <v>1</v>
          </cell>
        </row>
        <row r="497">
          <cell r="A497" t="str">
            <v>United Food &amp; Commercial Workers Intl. Union</v>
          </cell>
          <cell r="G497" t="str">
            <v>Madison Dearborn Partners LLC</v>
          </cell>
          <cell r="I497" t="str">
            <v>Primary Partnership</v>
          </cell>
          <cell r="J497">
            <v>9295398.9700000007</v>
          </cell>
          <cell r="K497">
            <v>9295398.9700000007</v>
          </cell>
          <cell r="R497" t="str">
            <v>Large</v>
          </cell>
          <cell r="S497">
            <v>25.879045922081147</v>
          </cell>
          <cell r="Y497">
            <v>0</v>
          </cell>
          <cell r="Z497">
            <v>17153032.09</v>
          </cell>
          <cell r="AA497" t="str">
            <v>Corporate Finance/Buyout</v>
          </cell>
          <cell r="AF497">
            <v>1</v>
          </cell>
        </row>
        <row r="498">
          <cell r="A498" t="str">
            <v>Royal Mail Pensions Trustees Limited</v>
          </cell>
          <cell r="G498" t="str">
            <v>Markstone Investment Management, LLC</v>
          </cell>
          <cell r="I498" t="str">
            <v>Primary Partnership</v>
          </cell>
          <cell r="J498">
            <v>15000000</v>
          </cell>
          <cell r="K498">
            <v>10158851</v>
          </cell>
          <cell r="R498" t="str">
            <v>Mid</v>
          </cell>
          <cell r="S498">
            <v>15.557010191484277</v>
          </cell>
          <cell r="Y498">
            <v>8844821</v>
          </cell>
          <cell r="Z498">
            <v>3776969</v>
          </cell>
          <cell r="AA498" t="str">
            <v>Corporate Finance/Buyout</v>
          </cell>
          <cell r="AF498">
            <v>0.67725673333333336</v>
          </cell>
        </row>
        <row r="499">
          <cell r="A499" t="str">
            <v>Hamilton Lane Private Equity Fund Plc</v>
          </cell>
          <cell r="G499" t="str">
            <v>McCown De Leeuw &amp; Co.</v>
          </cell>
          <cell r="I499" t="str">
            <v>Primary Partnership</v>
          </cell>
          <cell r="J499">
            <v>3420500</v>
          </cell>
          <cell r="K499">
            <v>2907391</v>
          </cell>
          <cell r="R499" t="str">
            <v>Mid</v>
          </cell>
          <cell r="S499">
            <v>-4.5945551873290196</v>
          </cell>
          <cell r="Y499">
            <v>472038</v>
          </cell>
          <cell r="Z499">
            <v>1672426.81</v>
          </cell>
          <cell r="AA499" t="str">
            <v>Corporate Finance/Buyout</v>
          </cell>
          <cell r="AF499">
            <v>0.84999005993275834</v>
          </cell>
        </row>
        <row r="500">
          <cell r="A500" t="str">
            <v>Hamilton Lane Private Equity Partners, L.P.</v>
          </cell>
          <cell r="G500" t="str">
            <v>McCown De Leeuw &amp; Co.</v>
          </cell>
          <cell r="I500" t="str">
            <v>Primary Partnership</v>
          </cell>
          <cell r="J500">
            <v>1579500</v>
          </cell>
          <cell r="K500">
            <v>1342560</v>
          </cell>
          <cell r="R500" t="str">
            <v>Mid</v>
          </cell>
          <cell r="S500">
            <v>-4.5945551873290196</v>
          </cell>
          <cell r="Y500">
            <v>217975</v>
          </cell>
          <cell r="Z500">
            <v>772284.22</v>
          </cell>
          <cell r="AA500" t="str">
            <v>Corporate Finance/Buyout</v>
          </cell>
          <cell r="AF500">
            <v>0.84999050332383663</v>
          </cell>
        </row>
        <row r="501">
          <cell r="A501" t="str">
            <v>Golden State Investment Fund, LLC</v>
          </cell>
          <cell r="G501" t="str">
            <v>JLL Partners</v>
          </cell>
          <cell r="I501" t="str">
            <v>Co/Direct Investment</v>
          </cell>
          <cell r="J501">
            <v>15000000</v>
          </cell>
          <cell r="K501">
            <v>15000000</v>
          </cell>
          <cell r="R501" t="str">
            <v>Large</v>
          </cell>
          <cell r="S501">
            <v>-2.5979218776228663E-12</v>
          </cell>
          <cell r="Y501">
            <v>15000000</v>
          </cell>
          <cell r="Z501">
            <v>0</v>
          </cell>
          <cell r="AA501" t="str">
            <v>Corporate Finance/Buyout</v>
          </cell>
          <cell r="AF501">
            <v>1</v>
          </cell>
        </row>
        <row r="502">
          <cell r="A502" t="str">
            <v>Hamilton Lane-Carpenters Partnership Fund, L.P.</v>
          </cell>
          <cell r="G502" t="str">
            <v>Menlo Ventures</v>
          </cell>
          <cell r="I502" t="str">
            <v>Primary Partnership</v>
          </cell>
          <cell r="J502">
            <v>10000000</v>
          </cell>
          <cell r="K502">
            <v>9000000</v>
          </cell>
          <cell r="R502" t="str">
            <v>Early Stage</v>
          </cell>
          <cell r="S502">
            <v>5.0460027482956082</v>
          </cell>
          <cell r="Y502">
            <v>7000508</v>
          </cell>
          <cell r="Z502">
            <v>3730550.6797818001</v>
          </cell>
          <cell r="AA502" t="str">
            <v>Venture Capital</v>
          </cell>
          <cell r="AF502">
            <v>0.9</v>
          </cell>
        </row>
        <row r="503">
          <cell r="A503" t="str">
            <v>United Food &amp; Commercial Workers Intl. Union</v>
          </cell>
          <cell r="G503" t="str">
            <v>Menlo Ventures</v>
          </cell>
          <cell r="I503" t="str">
            <v>Primary Partnership</v>
          </cell>
          <cell r="J503">
            <v>10000000</v>
          </cell>
          <cell r="K503">
            <v>9000000</v>
          </cell>
          <cell r="R503" t="str">
            <v>Early Stage</v>
          </cell>
          <cell r="S503">
            <v>5.0460027482956082</v>
          </cell>
          <cell r="Y503">
            <v>7000508</v>
          </cell>
          <cell r="Z503">
            <v>3730550.6797818001</v>
          </cell>
          <cell r="AA503" t="str">
            <v>Venture Capital</v>
          </cell>
          <cell r="AF503">
            <v>0.9</v>
          </cell>
        </row>
        <row r="504">
          <cell r="A504" t="str">
            <v>Generali Global Private Equity S.A. SICAR</v>
          </cell>
          <cell r="G504" t="str">
            <v>Menlo Ventures</v>
          </cell>
          <cell r="I504" t="str">
            <v>Primary Partnership</v>
          </cell>
          <cell r="J504">
            <v>5000000</v>
          </cell>
          <cell r="K504">
            <v>1250000</v>
          </cell>
          <cell r="R504" t="str">
            <v>Multi-Stage</v>
          </cell>
          <cell r="S504">
            <v>-14.097463191729254</v>
          </cell>
          <cell r="Y504">
            <v>1045971</v>
          </cell>
          <cell r="Z504">
            <v>0</v>
          </cell>
          <cell r="AA504" t="str">
            <v>Venture Capital</v>
          </cell>
          <cell r="AF504">
            <v>0.25</v>
          </cell>
        </row>
        <row r="505">
          <cell r="A505" t="str">
            <v>Hamilton Lane Private Equity Fund Investments KB</v>
          </cell>
          <cell r="G505" t="str">
            <v>Menlo Ventures</v>
          </cell>
          <cell r="I505" t="str">
            <v>Primary Partnership</v>
          </cell>
          <cell r="J505">
            <v>5000000</v>
          </cell>
          <cell r="K505">
            <v>1250000</v>
          </cell>
          <cell r="R505" t="str">
            <v>Multi-Stage</v>
          </cell>
          <cell r="S505">
            <v>-14.097463191729254</v>
          </cell>
          <cell r="Y505">
            <v>1045971</v>
          </cell>
          <cell r="Z505">
            <v>0</v>
          </cell>
          <cell r="AA505" t="str">
            <v>Venture Capital</v>
          </cell>
          <cell r="AF505">
            <v>0.25</v>
          </cell>
        </row>
        <row r="506">
          <cell r="A506" t="str">
            <v>Hamilton Lane Private Equity Fund V, L.P.</v>
          </cell>
          <cell r="G506" t="str">
            <v>Merit Capital Partners</v>
          </cell>
          <cell r="I506" t="str">
            <v>Primary Partnership</v>
          </cell>
          <cell r="J506">
            <v>10000000</v>
          </cell>
          <cell r="K506">
            <v>6166483.1699999999</v>
          </cell>
          <cell r="R506"/>
          <cell r="S506">
            <v>9.8171391176418599</v>
          </cell>
          <cell r="Y506">
            <v>6701551.4299999997</v>
          </cell>
          <cell r="Z506">
            <v>0</v>
          </cell>
          <cell r="AA506" t="str">
            <v>Mezzanine</v>
          </cell>
          <cell r="AF506">
            <v>0.616648317</v>
          </cell>
        </row>
        <row r="507">
          <cell r="A507" t="str">
            <v>Textron Master Trust</v>
          </cell>
          <cell r="G507" t="str">
            <v>Merit Capital Partners</v>
          </cell>
          <cell r="I507" t="str">
            <v>Primary Partnership</v>
          </cell>
          <cell r="J507">
            <v>10000000</v>
          </cell>
          <cell r="K507">
            <v>6166483.5199999996</v>
          </cell>
          <cell r="R507"/>
          <cell r="S507">
            <v>9.8171391176418599</v>
          </cell>
          <cell r="Y507">
            <v>6701551.4299999997</v>
          </cell>
          <cell r="Z507">
            <v>0</v>
          </cell>
          <cell r="AA507" t="str">
            <v>Mezzanine</v>
          </cell>
          <cell r="AF507">
            <v>0.61664835200000001</v>
          </cell>
        </row>
        <row r="508">
          <cell r="A508" t="str">
            <v>Hamilton Lane Secondary Fund L.P. (Investments)</v>
          </cell>
          <cell r="G508" t="str">
            <v>Merit Capital Partners</v>
          </cell>
          <cell r="I508" t="str">
            <v>Secondary Purchase</v>
          </cell>
          <cell r="J508">
            <v>10048590</v>
          </cell>
          <cell r="K508">
            <v>6215073.8899999997</v>
          </cell>
          <cell r="R508"/>
          <cell r="S508">
            <v>9.8171391176418599</v>
          </cell>
          <cell r="Y508">
            <v>6701551</v>
          </cell>
          <cell r="Z508">
            <v>0</v>
          </cell>
          <cell r="AA508" t="str">
            <v>Mezzanine</v>
          </cell>
          <cell r="AF508">
            <v>0.61850208735752976</v>
          </cell>
        </row>
        <row r="509">
          <cell r="A509" t="str">
            <v>Hamilton Lane Secondary Fund L.P. (Investments)</v>
          </cell>
          <cell r="G509" t="str">
            <v>Midwest Mezzanine Funds</v>
          </cell>
          <cell r="I509" t="str">
            <v>Secondary Purchase</v>
          </cell>
          <cell r="J509">
            <v>722870</v>
          </cell>
          <cell r="K509">
            <v>720946.29</v>
          </cell>
          <cell r="R509"/>
          <cell r="S509">
            <v>34.861918770675857</v>
          </cell>
          <cell r="Y509">
            <v>972282</v>
          </cell>
          <cell r="Z509">
            <v>0</v>
          </cell>
          <cell r="AA509" t="str">
            <v>Mezzanine</v>
          </cell>
          <cell r="AF509">
            <v>0.99733878844052182</v>
          </cell>
        </row>
        <row r="510">
          <cell r="A510" t="str">
            <v>Golden State Investment Fund, LLC</v>
          </cell>
          <cell r="G510" t="str">
            <v>GESD</v>
          </cell>
          <cell r="I510" t="str">
            <v>Co/Direct Investment</v>
          </cell>
          <cell r="J510">
            <v>12500000</v>
          </cell>
          <cell r="K510">
            <v>12500000</v>
          </cell>
          <cell r="R510" t="str">
            <v>Large</v>
          </cell>
          <cell r="S510">
            <v>-2.0095036745715333E-12</v>
          </cell>
          <cell r="Y510">
            <v>12500000</v>
          </cell>
          <cell r="Z510">
            <v>0</v>
          </cell>
          <cell r="AA510" t="str">
            <v>Corporate Finance/Buyout</v>
          </cell>
          <cell r="AF510">
            <v>1</v>
          </cell>
        </row>
        <row r="511">
          <cell r="A511" t="str">
            <v>Hamilton Lane Capital Opportunities Fund LP</v>
          </cell>
          <cell r="G511" t="str">
            <v>Montreux Equity Partners</v>
          </cell>
          <cell r="I511" t="str">
            <v>Primary Partnership</v>
          </cell>
          <cell r="J511">
            <v>5000000</v>
          </cell>
          <cell r="K511">
            <v>1250000</v>
          </cell>
          <cell r="R511" t="str">
            <v>Late Stage</v>
          </cell>
          <cell r="S511">
            <v>-16.045932411486884</v>
          </cell>
          <cell r="Y511">
            <v>1083067</v>
          </cell>
          <cell r="Z511">
            <v>0</v>
          </cell>
          <cell r="AA511" t="str">
            <v>Venture Capital</v>
          </cell>
          <cell r="AF511">
            <v>0.25</v>
          </cell>
        </row>
        <row r="512">
          <cell r="A512" t="str">
            <v>Hamilton Lane Private Equity Fund VI, L.P.</v>
          </cell>
          <cell r="G512" t="str">
            <v>Montreux Equity Partners</v>
          </cell>
          <cell r="I512" t="str">
            <v>Primary Partnership</v>
          </cell>
          <cell r="J512">
            <v>10000000</v>
          </cell>
          <cell r="K512">
            <v>2500000</v>
          </cell>
          <cell r="R512" t="str">
            <v>Late Stage</v>
          </cell>
          <cell r="S512">
            <v>-16.045932411486884</v>
          </cell>
          <cell r="Y512">
            <v>2166135</v>
          </cell>
          <cell r="Z512">
            <v>0</v>
          </cell>
          <cell r="AA512" t="str">
            <v>Venture Capital</v>
          </cell>
          <cell r="AF512">
            <v>0.25</v>
          </cell>
        </row>
        <row r="513">
          <cell r="A513" t="str">
            <v>Hamilton Lane-Carpenters Partnership Fund II L.P.</v>
          </cell>
          <cell r="G513" t="str">
            <v>Montreux Equity Partners</v>
          </cell>
          <cell r="I513" t="str">
            <v>Primary Partnership</v>
          </cell>
          <cell r="J513">
            <v>5000000</v>
          </cell>
          <cell r="K513">
            <v>1250000</v>
          </cell>
          <cell r="R513" t="str">
            <v>Late Stage</v>
          </cell>
          <cell r="S513">
            <v>-16.045932411486884</v>
          </cell>
          <cell r="Y513">
            <v>1083067</v>
          </cell>
          <cell r="Z513">
            <v>0</v>
          </cell>
          <cell r="AA513" t="str">
            <v>Venture Capital</v>
          </cell>
          <cell r="AF513">
            <v>0.25</v>
          </cell>
        </row>
        <row r="514">
          <cell r="A514" t="str">
            <v>Santa Barbara County Employees' Retirement System</v>
          </cell>
          <cell r="G514" t="str">
            <v>Montreux Equity Partners</v>
          </cell>
          <cell r="I514" t="str">
            <v>Primary Partnership</v>
          </cell>
          <cell r="J514">
            <v>5000000</v>
          </cell>
          <cell r="K514">
            <v>1250000</v>
          </cell>
          <cell r="R514" t="str">
            <v>Late Stage</v>
          </cell>
          <cell r="S514">
            <v>-16.045932411486884</v>
          </cell>
          <cell r="Y514">
            <v>1083067</v>
          </cell>
          <cell r="Z514">
            <v>0</v>
          </cell>
          <cell r="AA514" t="str">
            <v>Venture Capital</v>
          </cell>
          <cell r="AF514">
            <v>0.25</v>
          </cell>
        </row>
        <row r="515">
          <cell r="A515" t="str">
            <v>Royal Mail Pensions Trustees Limited</v>
          </cell>
          <cell r="G515" t="str">
            <v>Morgan Stanley</v>
          </cell>
          <cell r="I515" t="str">
            <v>Primary Partnership</v>
          </cell>
          <cell r="J515">
            <v>5000000</v>
          </cell>
          <cell r="K515">
            <v>4500000</v>
          </cell>
          <cell r="R515" t="str">
            <v>Late Stage</v>
          </cell>
          <cell r="S515">
            <v>13.950830365132294</v>
          </cell>
          <cell r="Y515">
            <v>5262173</v>
          </cell>
          <cell r="Z515">
            <v>1537910</v>
          </cell>
          <cell r="AA515" t="str">
            <v>Venture Capital</v>
          </cell>
          <cell r="AF515">
            <v>0.9</v>
          </cell>
        </row>
        <row r="516">
          <cell r="A516" t="str">
            <v>Textron Master Trust</v>
          </cell>
          <cell r="G516" t="str">
            <v>Morgan Stanley</v>
          </cell>
          <cell r="I516" t="str">
            <v>Primary Partnership</v>
          </cell>
          <cell r="J516">
            <v>5000000</v>
          </cell>
          <cell r="K516">
            <v>4500000</v>
          </cell>
          <cell r="R516" t="str">
            <v>Late Stage</v>
          </cell>
          <cell r="S516">
            <v>13.950830365132294</v>
          </cell>
          <cell r="Y516">
            <v>5262173</v>
          </cell>
          <cell r="Z516">
            <v>1537910</v>
          </cell>
          <cell r="AA516" t="str">
            <v>Venture Capital</v>
          </cell>
          <cell r="AF516">
            <v>0.9</v>
          </cell>
        </row>
        <row r="517">
          <cell r="A517" t="str">
            <v>Unisys Master Trust</v>
          </cell>
          <cell r="G517" t="str">
            <v>Morgan Stanley</v>
          </cell>
          <cell r="I517" t="str">
            <v>Primary Partnership</v>
          </cell>
          <cell r="J517">
            <v>2000000</v>
          </cell>
          <cell r="K517">
            <v>2000000</v>
          </cell>
          <cell r="R517" t="str">
            <v>Late Stage</v>
          </cell>
          <cell r="S517">
            <v>41.283294521846692</v>
          </cell>
          <cell r="Y517">
            <v>376840</v>
          </cell>
          <cell r="Z517">
            <v>4279278.7000450008</v>
          </cell>
          <cell r="AA517" t="str">
            <v>Venture Capital</v>
          </cell>
          <cell r="AF517">
            <v>1</v>
          </cell>
        </row>
        <row r="518">
          <cell r="A518" t="str">
            <v>Hamilton Lane-Carpenters Partnership Fund, L.P.</v>
          </cell>
          <cell r="G518" t="str">
            <v>Morgan Stanley</v>
          </cell>
          <cell r="I518" t="str">
            <v>Primary Partnership</v>
          </cell>
          <cell r="J518">
            <v>5000000</v>
          </cell>
          <cell r="K518">
            <v>4883432</v>
          </cell>
          <cell r="R518" t="str">
            <v>Late Stage</v>
          </cell>
          <cell r="S518">
            <v>-3.3578677106826382</v>
          </cell>
          <cell r="Y518">
            <v>2188412</v>
          </cell>
          <cell r="Z518">
            <v>1790594</v>
          </cell>
          <cell r="AA518" t="str">
            <v>Venture Capital</v>
          </cell>
          <cell r="AF518">
            <v>0.97668639999999995</v>
          </cell>
        </row>
        <row r="519">
          <cell r="A519" t="str">
            <v>Princess Private Equity Subholding Ltd.</v>
          </cell>
          <cell r="G519" t="str">
            <v>Morgan Stanley</v>
          </cell>
          <cell r="I519" t="str">
            <v>Primary Partnership</v>
          </cell>
          <cell r="J519">
            <v>5000000</v>
          </cell>
          <cell r="K519">
            <v>4883432</v>
          </cell>
          <cell r="R519" t="str">
            <v>Late Stage</v>
          </cell>
          <cell r="S519">
            <v>-3.3578677106826382</v>
          </cell>
          <cell r="Y519">
            <v>2188412</v>
          </cell>
          <cell r="Z519">
            <v>1790594</v>
          </cell>
          <cell r="AA519" t="str">
            <v>Venture Capital</v>
          </cell>
          <cell r="AF519">
            <v>0.97668639999999995</v>
          </cell>
        </row>
        <row r="520">
          <cell r="A520" t="str">
            <v>Textron Master Trust</v>
          </cell>
          <cell r="G520" t="str">
            <v>Morgan Stanley</v>
          </cell>
          <cell r="I520" t="str">
            <v>Primary Partnership</v>
          </cell>
          <cell r="J520">
            <v>6000000</v>
          </cell>
          <cell r="K520">
            <v>5860118</v>
          </cell>
          <cell r="R520" t="str">
            <v>Late Stage</v>
          </cell>
          <cell r="S520">
            <v>-3.3578677106826382</v>
          </cell>
          <cell r="Y520">
            <v>2626094</v>
          </cell>
          <cell r="Z520">
            <v>2148712</v>
          </cell>
          <cell r="AA520" t="str">
            <v>Venture Capital</v>
          </cell>
          <cell r="AF520">
            <v>0.97668633333333332</v>
          </cell>
        </row>
        <row r="521">
          <cell r="A521" t="str">
            <v>Unisys Master Trust</v>
          </cell>
          <cell r="G521" t="str">
            <v>Morgan Stanley</v>
          </cell>
          <cell r="I521" t="str">
            <v>Primary Partnership</v>
          </cell>
          <cell r="J521">
            <v>3000000</v>
          </cell>
          <cell r="K521">
            <v>2930929</v>
          </cell>
          <cell r="R521" t="str">
            <v>Late Stage</v>
          </cell>
          <cell r="S521">
            <v>-3.3578677106826382</v>
          </cell>
          <cell r="Y521">
            <v>1313047</v>
          </cell>
          <cell r="Z521">
            <v>1074356</v>
          </cell>
          <cell r="AA521" t="str">
            <v>Venture Capital</v>
          </cell>
          <cell r="AF521">
            <v>0.97697633333333334</v>
          </cell>
        </row>
        <row r="522">
          <cell r="A522" t="str">
            <v>Hamilton Lane-Carpenters Partnership Fund, L.P.</v>
          </cell>
          <cell r="G522" t="str">
            <v>Multi-Employer Management</v>
          </cell>
          <cell r="I522" t="str">
            <v>Primary Partnership</v>
          </cell>
          <cell r="J522">
            <v>25000000</v>
          </cell>
          <cell r="K522">
            <v>21954629.809999999</v>
          </cell>
          <cell r="R522" t="str">
            <v>Opportunistic - Indirect</v>
          </cell>
          <cell r="S522">
            <v>4.2991365640245416</v>
          </cell>
          <cell r="Y522">
            <v>5899492</v>
          </cell>
          <cell r="Z522">
            <v>21026127</v>
          </cell>
          <cell r="AA522" t="str">
            <v>Real Estate</v>
          </cell>
          <cell r="AF522">
            <v>0.87818519239999993</v>
          </cell>
        </row>
        <row r="523">
          <cell r="A523" t="str">
            <v>Hamilton Lane-Carpenters Partnership Fund, L.P.</v>
          </cell>
          <cell r="G523" t="str">
            <v>Nautic Partners LLC</v>
          </cell>
          <cell r="I523" t="str">
            <v>Primary Partnership</v>
          </cell>
          <cell r="J523">
            <v>10000000</v>
          </cell>
          <cell r="K523">
            <v>9010534.9200000037</v>
          </cell>
          <cell r="R523" t="str">
            <v>Mid</v>
          </cell>
          <cell r="S523">
            <v>16.158306357043628</v>
          </cell>
          <cell r="Y523">
            <v>5856238</v>
          </cell>
          <cell r="Z523">
            <v>8623809.7699999996</v>
          </cell>
          <cell r="AA523" t="str">
            <v>Corporate Finance/Buyout</v>
          </cell>
          <cell r="AF523">
            <v>0.9010534920000004</v>
          </cell>
        </row>
        <row r="524">
          <cell r="A524" t="str">
            <v>I.A.M. National Pension Fund</v>
          </cell>
          <cell r="G524" t="str">
            <v>Nautic Partners LLC</v>
          </cell>
          <cell r="I524" t="str">
            <v>Primary Partnership</v>
          </cell>
          <cell r="J524">
            <v>4491947.8600000003</v>
          </cell>
          <cell r="K524">
            <v>4491947.8600000003</v>
          </cell>
          <cell r="R524" t="str">
            <v>Mid</v>
          </cell>
          <cell r="S524">
            <v>16.158306357043628</v>
          </cell>
          <cell r="Y524">
            <v>0</v>
          </cell>
          <cell r="Z524">
            <v>6660155.1399999997</v>
          </cell>
          <cell r="AA524" t="str">
            <v>Corporate Finance/Buyout</v>
          </cell>
          <cell r="AF524">
            <v>1</v>
          </cell>
        </row>
        <row r="525">
          <cell r="A525" t="str">
            <v>United Food &amp; Commercial Workers Intl. Union</v>
          </cell>
          <cell r="G525" t="str">
            <v>Nautic Partners LLC</v>
          </cell>
          <cell r="I525" t="str">
            <v>Primary Partnership</v>
          </cell>
          <cell r="J525">
            <v>4491947.8600000003</v>
          </cell>
          <cell r="K525">
            <v>4491947.8600000003</v>
          </cell>
          <cell r="R525" t="str">
            <v>Mid</v>
          </cell>
          <cell r="S525">
            <v>16.158306357043628</v>
          </cell>
          <cell r="Y525">
            <v>0</v>
          </cell>
          <cell r="Z525">
            <v>6660155.1399999997</v>
          </cell>
          <cell r="AA525" t="str">
            <v>Corporate Finance/Buyout</v>
          </cell>
          <cell r="AF525">
            <v>1</v>
          </cell>
        </row>
        <row r="526">
          <cell r="A526" t="str">
            <v>Hudson River Co-Investment Fund L.P.</v>
          </cell>
          <cell r="G526" t="str">
            <v>Citigroup Venture Capital</v>
          </cell>
          <cell r="I526" t="str">
            <v>Co/Direct Investment</v>
          </cell>
          <cell r="J526">
            <v>10000000</v>
          </cell>
          <cell r="K526">
            <v>10000000</v>
          </cell>
          <cell r="R526"/>
          <cell r="S526">
            <v>-4.0523140398818214E-12</v>
          </cell>
          <cell r="Y526">
            <v>10000000</v>
          </cell>
          <cell r="Z526">
            <v>0</v>
          </cell>
          <cell r="AA526" t="str">
            <v>Corporate Finance/Buyout</v>
          </cell>
          <cell r="AF526">
            <v>1</v>
          </cell>
        </row>
        <row r="527">
          <cell r="A527" t="str">
            <v>The Hudson River Fund II</v>
          </cell>
          <cell r="G527" t="str">
            <v>NCH Capital Inc.</v>
          </cell>
          <cell r="I527" t="str">
            <v>Primary Partnership</v>
          </cell>
          <cell r="J527">
            <v>30000000</v>
          </cell>
          <cell r="K527">
            <v>30000000</v>
          </cell>
          <cell r="R527" t="str">
            <v>Multi-Stage</v>
          </cell>
          <cell r="S527">
            <v>37.283763962589788</v>
          </cell>
          <cell r="Y527">
            <v>0</v>
          </cell>
          <cell r="Z527">
            <v>60238072.100000001</v>
          </cell>
          <cell r="AA527" t="str">
            <v>Special Situation</v>
          </cell>
          <cell r="AF527">
            <v>1</v>
          </cell>
        </row>
        <row r="528">
          <cell r="A528" t="str">
            <v>I.A.M. National Pension Fund</v>
          </cell>
          <cell r="G528" t="str">
            <v>New Enterprise Associates</v>
          </cell>
          <cell r="I528" t="str">
            <v>Primary Partnership</v>
          </cell>
          <cell r="J528">
            <v>2500000</v>
          </cell>
          <cell r="K528">
            <v>2025000</v>
          </cell>
          <cell r="R528" t="str">
            <v>Early Stage</v>
          </cell>
          <cell r="S528">
            <v>16.988213138047325</v>
          </cell>
          <cell r="Y528">
            <v>2092027</v>
          </cell>
          <cell r="Z528">
            <v>787778.39090488479</v>
          </cell>
          <cell r="AA528" t="str">
            <v>Venture Capital</v>
          </cell>
          <cell r="AF528">
            <v>0.81</v>
          </cell>
        </row>
        <row r="529">
          <cell r="A529" t="str">
            <v>The 1199 Health Care Employees Pension Fund</v>
          </cell>
          <cell r="G529" t="str">
            <v>New Enterprise Associates</v>
          </cell>
          <cell r="I529" t="str">
            <v>Primary Partnership</v>
          </cell>
          <cell r="J529">
            <v>2500000</v>
          </cell>
          <cell r="K529">
            <v>2025000</v>
          </cell>
          <cell r="R529" t="str">
            <v>Early Stage</v>
          </cell>
          <cell r="S529">
            <v>16.988213138047325</v>
          </cell>
          <cell r="Y529">
            <v>2092027</v>
          </cell>
          <cell r="Z529">
            <v>787778.38885514718</v>
          </cell>
          <cell r="AA529" t="str">
            <v>Venture Capital</v>
          </cell>
          <cell r="AF529">
            <v>0.81</v>
          </cell>
        </row>
        <row r="530">
          <cell r="A530" t="str">
            <v>Hamilton Lane-Carpenters Partnership Fund II L.P.</v>
          </cell>
          <cell r="G530" t="str">
            <v>New Enterprise Associates</v>
          </cell>
          <cell r="I530" t="str">
            <v>Primary Partnership</v>
          </cell>
          <cell r="J530">
            <v>5500000</v>
          </cell>
          <cell r="K530">
            <v>1705000</v>
          </cell>
          <cell r="R530" t="str">
            <v>Multi-Stage</v>
          </cell>
          <cell r="S530">
            <v>10.538699422662479</v>
          </cell>
          <cell r="Y530">
            <v>1731234</v>
          </cell>
          <cell r="Z530">
            <v>106426.9999966</v>
          </cell>
          <cell r="AA530" t="str">
            <v>Venture Capital</v>
          </cell>
          <cell r="AF530">
            <v>0.31</v>
          </cell>
        </row>
        <row r="531">
          <cell r="A531" t="str">
            <v>Marsh &amp; McLennan Master Retirement Trust</v>
          </cell>
          <cell r="G531" t="str">
            <v>New Enterprise Associates</v>
          </cell>
          <cell r="I531" t="str">
            <v>Primary Partnership</v>
          </cell>
          <cell r="J531">
            <v>5500000</v>
          </cell>
          <cell r="K531">
            <v>1705000</v>
          </cell>
          <cell r="R531" t="str">
            <v>Early Stage</v>
          </cell>
          <cell r="S531">
            <v>10.538699422662479</v>
          </cell>
          <cell r="Y531">
            <v>1731234</v>
          </cell>
          <cell r="Z531">
            <v>106426.9999966</v>
          </cell>
          <cell r="AA531" t="str">
            <v>Venture Capital</v>
          </cell>
          <cell r="AF531">
            <v>0.31</v>
          </cell>
        </row>
        <row r="532">
          <cell r="A532" t="str">
            <v>The 1199 Health Care Employees Pension Fund</v>
          </cell>
          <cell r="G532" t="str">
            <v>New Enterprise Associates</v>
          </cell>
          <cell r="I532" t="str">
            <v>Primary Partnership</v>
          </cell>
          <cell r="J532">
            <v>4000000</v>
          </cell>
          <cell r="K532">
            <v>1240000</v>
          </cell>
          <cell r="R532" t="str">
            <v>Early Stage</v>
          </cell>
          <cell r="S532">
            <v>10.538699422662479</v>
          </cell>
          <cell r="Y532">
            <v>1259047</v>
          </cell>
          <cell r="Z532">
            <v>77432.999995499995</v>
          </cell>
          <cell r="AA532" t="str">
            <v>Venture Capital</v>
          </cell>
          <cell r="AF532">
            <v>0.31</v>
          </cell>
        </row>
        <row r="533">
          <cell r="A533" t="str">
            <v>Hamilton Lane Private Equity Fund Investments KB</v>
          </cell>
          <cell r="G533" t="str">
            <v>New Mountain Capital, LLC</v>
          </cell>
          <cell r="I533" t="str">
            <v>Primary Partnership</v>
          </cell>
          <cell r="J533">
            <v>5000000</v>
          </cell>
          <cell r="K533">
            <v>4055214</v>
          </cell>
          <cell r="R533" t="str">
            <v>Mid</v>
          </cell>
          <cell r="S533">
            <v>20.919109330018195</v>
          </cell>
          <cell r="Y533">
            <v>4477870</v>
          </cell>
          <cell r="Z533">
            <v>767692</v>
          </cell>
          <cell r="AA533" t="str">
            <v>Corporate Finance/Buyout</v>
          </cell>
          <cell r="AF533">
            <v>0.81104279999999995</v>
          </cell>
        </row>
        <row r="534">
          <cell r="A534" t="str">
            <v>Hamilton Lane Private Equity Fund V, L.P.</v>
          </cell>
          <cell r="G534" t="str">
            <v>New Mountain Capital, LLC</v>
          </cell>
          <cell r="I534" t="str">
            <v>Primary Partnership</v>
          </cell>
          <cell r="J534">
            <v>5000000</v>
          </cell>
          <cell r="K534">
            <v>4055214</v>
          </cell>
          <cell r="R534" t="str">
            <v>Large</v>
          </cell>
          <cell r="S534">
            <v>20.919109330018195</v>
          </cell>
          <cell r="Y534">
            <v>4477870</v>
          </cell>
          <cell r="Z534">
            <v>767692</v>
          </cell>
          <cell r="AA534" t="str">
            <v>Corporate Finance/Buyout</v>
          </cell>
          <cell r="AF534">
            <v>0.81104279999999995</v>
          </cell>
        </row>
        <row r="535">
          <cell r="A535" t="str">
            <v>Royal Mail Pensions Trustees Limited</v>
          </cell>
          <cell r="G535" t="str">
            <v>New Mountain Capital, LLC</v>
          </cell>
          <cell r="I535" t="str">
            <v>Primary Partnership</v>
          </cell>
          <cell r="J535">
            <v>5000000</v>
          </cell>
          <cell r="K535">
            <v>3792050</v>
          </cell>
          <cell r="R535" t="str">
            <v>Mid</v>
          </cell>
          <cell r="S535">
            <v>20.919109330018195</v>
          </cell>
          <cell r="Y535">
            <v>4477870</v>
          </cell>
          <cell r="Z535">
            <v>504528</v>
          </cell>
          <cell r="AA535" t="str">
            <v>Corporate Finance/Buyout</v>
          </cell>
          <cell r="AF535">
            <v>0.75841000000000003</v>
          </cell>
        </row>
        <row r="536">
          <cell r="A536" t="str">
            <v>The Hudson River Fund II</v>
          </cell>
          <cell r="G536" t="str">
            <v>New Mountain Capital, LLC</v>
          </cell>
          <cell r="I536" t="str">
            <v>Primary Partnership</v>
          </cell>
          <cell r="J536">
            <v>30000000</v>
          </cell>
          <cell r="K536">
            <v>24331285</v>
          </cell>
          <cell r="R536" t="str">
            <v>Mid</v>
          </cell>
          <cell r="S536">
            <v>20.919109330018195</v>
          </cell>
          <cell r="Y536">
            <v>26867202</v>
          </cell>
          <cell r="Z536">
            <v>4606167</v>
          </cell>
          <cell r="AA536" t="str">
            <v>Corporate Finance/Buyout</v>
          </cell>
          <cell r="AF536">
            <v>0.81104283333333338</v>
          </cell>
        </row>
        <row r="537">
          <cell r="A537" t="str">
            <v>AustralianSuper Pty Ltd.</v>
          </cell>
          <cell r="G537" t="str">
            <v>New Mountain Capital, LLC</v>
          </cell>
          <cell r="I537" t="str">
            <v>Primary Partnership</v>
          </cell>
          <cell r="J537">
            <v>75000000</v>
          </cell>
          <cell r="K537">
            <v>0</v>
          </cell>
          <cell r="R537" t="str">
            <v>Large</v>
          </cell>
          <cell r="S537">
            <v>-11.303741920068145</v>
          </cell>
          <cell r="Y537">
            <v>0</v>
          </cell>
          <cell r="Z537">
            <v>0</v>
          </cell>
          <cell r="AA537" t="str">
            <v>Corporate Finance/Buyout</v>
          </cell>
          <cell r="AF537">
            <v>0</v>
          </cell>
        </row>
        <row r="538">
          <cell r="A538" t="str">
            <v>Hamilton Lane-Carpenters Partnership Fund II L.P.</v>
          </cell>
          <cell r="G538" t="str">
            <v>New Mountain Capital, LLC</v>
          </cell>
          <cell r="I538" t="str">
            <v>Primary Partnership</v>
          </cell>
          <cell r="J538">
            <v>10000000</v>
          </cell>
          <cell r="K538">
            <v>645787</v>
          </cell>
          <cell r="R538" t="str">
            <v>Large</v>
          </cell>
          <cell r="S538">
            <v>-11.303741920068145</v>
          </cell>
          <cell r="Y538">
            <v>548302</v>
          </cell>
          <cell r="Z538">
            <v>6260</v>
          </cell>
          <cell r="AA538" t="str">
            <v>Corporate Finance/Buyout</v>
          </cell>
          <cell r="AF538">
            <v>6.4578700000000003E-2</v>
          </cell>
        </row>
        <row r="539">
          <cell r="A539" t="str">
            <v>Los Angeles City Employees' Retirement System</v>
          </cell>
          <cell r="G539" t="str">
            <v>New Mountain Capital, LLC</v>
          </cell>
          <cell r="I539" t="str">
            <v>Primary Partnership</v>
          </cell>
          <cell r="J539">
            <v>20000000</v>
          </cell>
          <cell r="K539">
            <v>1291574</v>
          </cell>
          <cell r="R539" t="str">
            <v>Large</v>
          </cell>
          <cell r="S539">
            <v>-11.303741920068145</v>
          </cell>
          <cell r="Y539">
            <v>1096605</v>
          </cell>
          <cell r="Z539">
            <v>12520</v>
          </cell>
          <cell r="AA539" t="str">
            <v>Corporate Finance/Buyout</v>
          </cell>
          <cell r="AF539">
            <v>6.4578700000000003E-2</v>
          </cell>
        </row>
        <row r="540">
          <cell r="A540" t="str">
            <v>Princeton Theological Seminary</v>
          </cell>
          <cell r="G540" t="str">
            <v>New Mountain Capital, LLC</v>
          </cell>
          <cell r="I540" t="str">
            <v>Primary Partnership</v>
          </cell>
          <cell r="J540">
            <v>10000000</v>
          </cell>
          <cell r="K540">
            <v>645787</v>
          </cell>
          <cell r="R540" t="str">
            <v>Large</v>
          </cell>
          <cell r="S540">
            <v>-11.303741920068145</v>
          </cell>
          <cell r="Y540">
            <v>548302</v>
          </cell>
          <cell r="Z540">
            <v>6260</v>
          </cell>
          <cell r="AA540" t="str">
            <v>Corporate Finance/Buyout</v>
          </cell>
          <cell r="AF540">
            <v>6.4578700000000003E-2</v>
          </cell>
        </row>
        <row r="541">
          <cell r="A541" t="str">
            <v>Royal Mail Pensions Trustees Limited</v>
          </cell>
          <cell r="G541" t="str">
            <v>New Mountain Capital, LLC</v>
          </cell>
          <cell r="I541" t="str">
            <v>Primary Partnership</v>
          </cell>
          <cell r="J541">
            <v>10000000</v>
          </cell>
          <cell r="K541">
            <v>645783</v>
          </cell>
          <cell r="R541" t="str">
            <v>Large</v>
          </cell>
          <cell r="S541">
            <v>-11.303741920068145</v>
          </cell>
          <cell r="Y541">
            <v>548302</v>
          </cell>
          <cell r="Z541">
            <v>6240</v>
          </cell>
          <cell r="AA541" t="str">
            <v>Corporate Finance/Buyout</v>
          </cell>
          <cell r="AF541">
            <v>6.4578300000000005E-2</v>
          </cell>
        </row>
        <row r="542">
          <cell r="A542" t="str">
            <v>Second Stockholm Global Private Equity L.P.</v>
          </cell>
          <cell r="G542" t="str">
            <v>New Mountain Capital, LLC</v>
          </cell>
          <cell r="I542" t="str">
            <v>Primary Partnership</v>
          </cell>
          <cell r="J542">
            <v>20000000</v>
          </cell>
          <cell r="K542">
            <v>1291574</v>
          </cell>
          <cell r="R542" t="str">
            <v>Large</v>
          </cell>
          <cell r="S542">
            <v>-11.303741920068145</v>
          </cell>
          <cell r="Y542">
            <v>1096605</v>
          </cell>
          <cell r="Z542">
            <v>12520</v>
          </cell>
          <cell r="AA542" t="str">
            <v>Corporate Finance/Buyout</v>
          </cell>
          <cell r="AF542">
            <v>6.4578700000000003E-2</v>
          </cell>
        </row>
        <row r="543">
          <cell r="A543" t="str">
            <v>The Essex County Council</v>
          </cell>
          <cell r="G543" t="str">
            <v>New Mountain Capital, LLC</v>
          </cell>
          <cell r="I543" t="str">
            <v>Primary Partnership</v>
          </cell>
          <cell r="J543">
            <v>20000000</v>
          </cell>
          <cell r="K543">
            <v>1291574</v>
          </cell>
          <cell r="R543" t="str">
            <v>Large</v>
          </cell>
          <cell r="S543">
            <v>-11.303741920068145</v>
          </cell>
          <cell r="Y543">
            <v>1096605</v>
          </cell>
          <cell r="Z543">
            <v>12520</v>
          </cell>
          <cell r="AA543" t="str">
            <v>Corporate Finance/Buyout</v>
          </cell>
          <cell r="AF543">
            <v>6.4578700000000003E-2</v>
          </cell>
        </row>
        <row r="544">
          <cell r="A544" t="str">
            <v>The Hudson River Fund</v>
          </cell>
          <cell r="G544" t="str">
            <v>Newbridge Asia</v>
          </cell>
          <cell r="I544" t="str">
            <v>Primary Partnership</v>
          </cell>
          <cell r="J544">
            <v>10000000</v>
          </cell>
          <cell r="K544">
            <v>9829942</v>
          </cell>
          <cell r="R544" t="str">
            <v>Mid</v>
          </cell>
          <cell r="S544">
            <v>41.969718052174152</v>
          </cell>
          <cell r="Y544">
            <v>25294453</v>
          </cell>
          <cell r="Z544">
            <v>4985193</v>
          </cell>
          <cell r="AA544" t="str">
            <v>Corporate Finance/Buyout</v>
          </cell>
          <cell r="AF544">
            <v>0.98299420000000004</v>
          </cell>
        </row>
        <row r="545">
          <cell r="A545" t="str">
            <v>Los Angeles City Employees' Retirement System</v>
          </cell>
          <cell r="G545" t="str">
            <v>Newbridge Asia</v>
          </cell>
          <cell r="I545" t="str">
            <v>Primary Partnership</v>
          </cell>
          <cell r="J545">
            <v>10000000</v>
          </cell>
          <cell r="K545">
            <v>8053624</v>
          </cell>
          <cell r="R545" t="str">
            <v>Large</v>
          </cell>
          <cell r="S545">
            <v>27.803919528092425</v>
          </cell>
          <cell r="Y545">
            <v>9115683</v>
          </cell>
          <cell r="Z545">
            <v>1732096</v>
          </cell>
          <cell r="AA545" t="str">
            <v>Corporate Finance/Buyout</v>
          </cell>
          <cell r="AF545">
            <v>0.80536240000000003</v>
          </cell>
        </row>
        <row r="546">
          <cell r="A546" t="str">
            <v>The Hudson River Fund II</v>
          </cell>
          <cell r="G546" t="str">
            <v>Newbridge Asia</v>
          </cell>
          <cell r="I546" t="str">
            <v>Primary Partnership</v>
          </cell>
          <cell r="J546">
            <v>25000000</v>
          </cell>
          <cell r="K546">
            <v>20134056</v>
          </cell>
          <cell r="R546" t="str">
            <v>Large</v>
          </cell>
          <cell r="S546">
            <v>27.803919528092425</v>
          </cell>
          <cell r="Y546">
            <v>22789424</v>
          </cell>
          <cell r="Z546">
            <v>4330233</v>
          </cell>
          <cell r="AA546" t="str">
            <v>Corporate Finance/Buyout</v>
          </cell>
          <cell r="AF546">
            <v>0.80536224000000001</v>
          </cell>
        </row>
        <row r="547">
          <cell r="A547" t="str">
            <v>Golden State Investment Fund, LLC</v>
          </cell>
          <cell r="G547" t="str">
            <v>Providence Equity Partners, Inc.</v>
          </cell>
          <cell r="I547" t="str">
            <v>Co/Direct Investment</v>
          </cell>
          <cell r="J547">
            <v>3000000</v>
          </cell>
          <cell r="K547">
            <v>3000000</v>
          </cell>
          <cell r="R547" t="str">
            <v>Small</v>
          </cell>
          <cell r="S547">
            <v>-7.6605388699135801E-13</v>
          </cell>
          <cell r="Y547">
            <v>3000000</v>
          </cell>
          <cell r="Z547">
            <v>0</v>
          </cell>
          <cell r="AA547" t="str">
            <v>Corporate Finance/Buyout</v>
          </cell>
          <cell r="AF547">
            <v>1</v>
          </cell>
        </row>
        <row r="548">
          <cell r="A548" t="str">
            <v>Royal Mail Pensions Trustees Limited</v>
          </cell>
          <cell r="G548" t="str">
            <v>Nordic Capital</v>
          </cell>
          <cell r="I548" t="str">
            <v>Primary Partnership</v>
          </cell>
          <cell r="J548">
            <v>12660882.976363404</v>
          </cell>
          <cell r="K548">
            <v>13187978.891966006</v>
          </cell>
          <cell r="R548" t="str">
            <v>Mid</v>
          </cell>
          <cell r="S548">
            <v>28.150406344194213</v>
          </cell>
          <cell r="Y548">
            <v>17206160.279850002</v>
          </cell>
          <cell r="Z548">
            <v>5792967.8495620005</v>
          </cell>
          <cell r="AA548" t="str">
            <v>Corporate Finance/Buyout</v>
          </cell>
          <cell r="AF548">
            <v>1.0416318448394664</v>
          </cell>
        </row>
        <row r="549">
          <cell r="A549" t="str">
            <v>Hudson River Co-Investment Fund L.P.</v>
          </cell>
          <cell r="G549" t="str">
            <v>Brent Enterprises, LLC (Permolex)</v>
          </cell>
          <cell r="I549" t="str">
            <v>Co/Direct Investment</v>
          </cell>
          <cell r="J549">
            <v>7500000</v>
          </cell>
          <cell r="K549">
            <v>7500000</v>
          </cell>
          <cell r="R549"/>
          <cell r="S549">
            <v>-4.0523140398818214E-12</v>
          </cell>
          <cell r="Y549">
            <v>7500000</v>
          </cell>
          <cell r="Z549">
            <v>0</v>
          </cell>
          <cell r="AA549" t="str">
            <v>Special Situation</v>
          </cell>
          <cell r="AF549">
            <v>1</v>
          </cell>
        </row>
        <row r="550">
          <cell r="A550" t="str">
            <v>Hudson River Co-Investment Fund L.P.</v>
          </cell>
          <cell r="G550" t="str">
            <v>Trillium Group</v>
          </cell>
          <cell r="I550" t="str">
            <v>Co/Direct Investment</v>
          </cell>
          <cell r="J550">
            <v>1500000</v>
          </cell>
          <cell r="K550">
            <v>1500000</v>
          </cell>
          <cell r="R550" t="str">
            <v>Small</v>
          </cell>
          <cell r="S550">
            <v>30.412190371183456</v>
          </cell>
          <cell r="Y550">
            <v>0</v>
          </cell>
          <cell r="Z550">
            <v>2824615.07</v>
          </cell>
          <cell r="AA550" t="str">
            <v>Corporate Finance/Buyout</v>
          </cell>
          <cell r="AF550">
            <v>1</v>
          </cell>
        </row>
        <row r="551">
          <cell r="A551" t="str">
            <v>Hudson River Co-Investment Fund L.P.</v>
          </cell>
          <cell r="G551" t="str">
            <v>Trillium Group</v>
          </cell>
          <cell r="I551" t="str">
            <v>Co/Direct Investment</v>
          </cell>
          <cell r="J551">
            <v>3500000</v>
          </cell>
          <cell r="K551">
            <v>2750000</v>
          </cell>
          <cell r="R551" t="str">
            <v>Small</v>
          </cell>
          <cell r="S551">
            <v>-7.5495165674510645E-13</v>
          </cell>
          <cell r="Y551">
            <v>2750000</v>
          </cell>
          <cell r="Z551">
            <v>0</v>
          </cell>
          <cell r="AA551" t="str">
            <v>Corporate Finance/Buyout</v>
          </cell>
          <cell r="AF551">
            <v>0.7857142857142857</v>
          </cell>
        </row>
        <row r="552">
          <cell r="A552" t="str">
            <v>Hudson River Co-Investment Fund L.P.</v>
          </cell>
          <cell r="G552" t="str">
            <v>J.P. Morgan</v>
          </cell>
          <cell r="I552" t="str">
            <v>Co/Direct Investment</v>
          </cell>
          <cell r="J552">
            <v>5000000</v>
          </cell>
          <cell r="K552">
            <v>5000000</v>
          </cell>
          <cell r="R552" t="str">
            <v>Large</v>
          </cell>
          <cell r="S552">
            <v>-7.6199727828391906</v>
          </cell>
          <cell r="Y552">
            <v>0</v>
          </cell>
          <cell r="Z552">
            <v>3888364.21</v>
          </cell>
          <cell r="AA552" t="str">
            <v>Corporate Finance/Buyout</v>
          </cell>
          <cell r="AF552">
            <v>1</v>
          </cell>
        </row>
        <row r="553">
          <cell r="A553" t="str">
            <v>Hamilton Lane Co-Investment Fund, L.P.</v>
          </cell>
          <cell r="G553" t="str">
            <v>Kohlberg Kravis Roberts &amp; Co.</v>
          </cell>
          <cell r="I553" t="str">
            <v>Co/Direct Investment</v>
          </cell>
          <cell r="J553">
            <v>20235087.997285783</v>
          </cell>
          <cell r="K553">
            <v>20235087.997285783</v>
          </cell>
          <cell r="R553" t="str">
            <v>Mega</v>
          </cell>
          <cell r="S553">
            <v>-0.79249057014451063</v>
          </cell>
          <cell r="Y553">
            <v>20076987.563999999</v>
          </cell>
          <cell r="Z553">
            <v>0</v>
          </cell>
          <cell r="AA553" t="str">
            <v>Corporate Finance/Buyout</v>
          </cell>
          <cell r="AF553">
            <v>1</v>
          </cell>
        </row>
        <row r="554">
          <cell r="A554" t="str">
            <v>Hamilton Lane-Carpenters Partnership Fund, L.P.</v>
          </cell>
          <cell r="G554" t="str">
            <v>Oak Investment Partners</v>
          </cell>
          <cell r="I554" t="str">
            <v>Primary Partnership</v>
          </cell>
          <cell r="J554">
            <v>5000000</v>
          </cell>
          <cell r="K554">
            <v>5000000</v>
          </cell>
          <cell r="R554" t="str">
            <v>Multi-Stage</v>
          </cell>
          <cell r="S554">
            <v>-4.0551212817588329</v>
          </cell>
          <cell r="Y554">
            <v>1731907.3</v>
          </cell>
          <cell r="Z554">
            <v>2307654.0299999998</v>
          </cell>
          <cell r="AA554" t="str">
            <v>Venture Capital</v>
          </cell>
          <cell r="AF554">
            <v>1</v>
          </cell>
        </row>
        <row r="555">
          <cell r="A555" t="str">
            <v>Hamilton Lane-Carpenters Partnership Fund, L.P.</v>
          </cell>
          <cell r="G555" t="str">
            <v>Oak Investment Partners</v>
          </cell>
          <cell r="I555" t="str">
            <v>Primary Partnership</v>
          </cell>
          <cell r="J555">
            <v>5000000</v>
          </cell>
          <cell r="K555">
            <v>5000000</v>
          </cell>
          <cell r="R555" t="str">
            <v>Multi-Stage</v>
          </cell>
          <cell r="S555">
            <v>4.8529871080173814</v>
          </cell>
          <cell r="Y555">
            <v>3585993</v>
          </cell>
          <cell r="Z555">
            <v>2225459.65</v>
          </cell>
          <cell r="AA555" t="str">
            <v>Venture Capital</v>
          </cell>
          <cell r="AF555">
            <v>1</v>
          </cell>
        </row>
        <row r="556">
          <cell r="A556" t="str">
            <v>The Markaz/Hamilton Lane Technology Fund L.P.</v>
          </cell>
          <cell r="G556" t="str">
            <v>Oak Investment Partners</v>
          </cell>
          <cell r="I556" t="str">
            <v>Primary Partnership</v>
          </cell>
          <cell r="J556">
            <v>2000000</v>
          </cell>
          <cell r="K556">
            <v>1999999</v>
          </cell>
          <cell r="R556" t="str">
            <v>Multi-Stage</v>
          </cell>
          <cell r="S556">
            <v>4.8529871080173814</v>
          </cell>
          <cell r="Y556">
            <v>1434376.56</v>
          </cell>
          <cell r="Z556">
            <v>886585.04</v>
          </cell>
          <cell r="AA556" t="str">
            <v>Venture Capital</v>
          </cell>
          <cell r="AF556">
            <v>0.99999950000000004</v>
          </cell>
        </row>
        <row r="557">
          <cell r="A557" t="str">
            <v>Hamilton Lane Private Equity Fund Investments KB</v>
          </cell>
          <cell r="G557" t="str">
            <v>Oak Investment Partners</v>
          </cell>
          <cell r="I557" t="str">
            <v>Primary Partnership</v>
          </cell>
          <cell r="J557">
            <v>5000000</v>
          </cell>
          <cell r="K557">
            <v>4674997</v>
          </cell>
          <cell r="R557" t="str">
            <v>Multi-Stage</v>
          </cell>
          <cell r="S557">
            <v>6.312710687000056</v>
          </cell>
          <cell r="Y557">
            <v>4433837.7300000004</v>
          </cell>
          <cell r="Z557">
            <v>775722.45</v>
          </cell>
          <cell r="AA557" t="str">
            <v>Venture Capital</v>
          </cell>
          <cell r="AF557">
            <v>0.93499940000000004</v>
          </cell>
        </row>
        <row r="558">
          <cell r="A558" t="str">
            <v>I.A.M. National Pension Fund</v>
          </cell>
          <cell r="G558" t="str">
            <v>Oak Investment Partners</v>
          </cell>
          <cell r="I558" t="str">
            <v>Primary Partnership</v>
          </cell>
          <cell r="J558">
            <v>3000000</v>
          </cell>
          <cell r="K558">
            <v>2805004</v>
          </cell>
          <cell r="R558" t="str">
            <v>Multi-Stage</v>
          </cell>
          <cell r="S558">
            <v>6.312710687000056</v>
          </cell>
          <cell r="Y558">
            <v>2660306.7599999998</v>
          </cell>
          <cell r="Z558">
            <v>471457.87</v>
          </cell>
          <cell r="AA558" t="str">
            <v>Venture Capital</v>
          </cell>
          <cell r="AF558">
            <v>0.93500133333333335</v>
          </cell>
        </row>
        <row r="559">
          <cell r="A559" t="str">
            <v>Royal Mail Pensions Trustees Limited</v>
          </cell>
          <cell r="G559" t="str">
            <v>Oak Investment Partners</v>
          </cell>
          <cell r="I559" t="str">
            <v>Primary Partnership</v>
          </cell>
          <cell r="J559">
            <v>5000000</v>
          </cell>
          <cell r="K559">
            <v>4674997</v>
          </cell>
          <cell r="R559" t="str">
            <v>Multi-Stage</v>
          </cell>
          <cell r="S559">
            <v>6.312710687000056</v>
          </cell>
          <cell r="Y559">
            <v>4433837.7300000004</v>
          </cell>
          <cell r="Z559">
            <v>785760.45</v>
          </cell>
          <cell r="AA559" t="str">
            <v>Venture Capital</v>
          </cell>
          <cell r="AF559">
            <v>0.93499940000000004</v>
          </cell>
        </row>
        <row r="560">
          <cell r="A560" t="str">
            <v>Hamilton Lane Private Equity Fund Investments KB</v>
          </cell>
          <cell r="G560" t="str">
            <v>Oak Investment Partners</v>
          </cell>
          <cell r="I560" t="str">
            <v>Primary Partnership</v>
          </cell>
          <cell r="J560">
            <v>5000000</v>
          </cell>
          <cell r="K560">
            <v>1708578</v>
          </cell>
          <cell r="R560" t="str">
            <v>Multi-Stage</v>
          </cell>
          <cell r="S560">
            <v>8.11192154955258</v>
          </cell>
          <cell r="Y560">
            <v>1821151.91</v>
          </cell>
          <cell r="Z560">
            <v>0</v>
          </cell>
          <cell r="AA560" t="str">
            <v>Venture Capital</v>
          </cell>
          <cell r="AF560">
            <v>0.34171560000000001</v>
          </cell>
        </row>
        <row r="561">
          <cell r="A561" t="str">
            <v>Hamilton Lane-Carpenters Partnership Fund II L.P.</v>
          </cell>
          <cell r="G561" t="str">
            <v>Oak Investment Partners</v>
          </cell>
          <cell r="I561" t="str">
            <v>Primary Partnership</v>
          </cell>
          <cell r="J561">
            <v>10000000</v>
          </cell>
          <cell r="K561">
            <v>3417162</v>
          </cell>
          <cell r="R561" t="str">
            <v>Multi-Stage</v>
          </cell>
          <cell r="S561">
            <v>8.11192154955258</v>
          </cell>
          <cell r="Y561">
            <v>3642309.97</v>
          </cell>
          <cell r="Z561">
            <v>0</v>
          </cell>
          <cell r="AA561" t="str">
            <v>Venture Capital</v>
          </cell>
          <cell r="AF561">
            <v>0.34171620000000003</v>
          </cell>
        </row>
        <row r="562">
          <cell r="A562" t="str">
            <v>Los Angeles City Employees' Retirement System</v>
          </cell>
          <cell r="G562" t="str">
            <v>Oak Investment Partners</v>
          </cell>
          <cell r="I562" t="str">
            <v>Primary Partnership</v>
          </cell>
          <cell r="J562">
            <v>15000000</v>
          </cell>
          <cell r="K562">
            <v>5125740</v>
          </cell>
          <cell r="R562" t="str">
            <v>Multi-Stage</v>
          </cell>
          <cell r="S562">
            <v>8.11192154955258</v>
          </cell>
          <cell r="Y562">
            <v>5463461.8899999997</v>
          </cell>
          <cell r="Z562">
            <v>0</v>
          </cell>
          <cell r="AA562" t="str">
            <v>Venture Capital</v>
          </cell>
          <cell r="AF562">
            <v>0.34171600000000002</v>
          </cell>
        </row>
        <row r="563">
          <cell r="A563" t="str">
            <v>Textron Master Trust</v>
          </cell>
          <cell r="G563" t="str">
            <v>Oak Investment Partners</v>
          </cell>
          <cell r="I563" t="str">
            <v>Primary Partnership</v>
          </cell>
          <cell r="J563">
            <v>10000000</v>
          </cell>
          <cell r="K563">
            <v>3417162</v>
          </cell>
          <cell r="R563" t="str">
            <v>Multi-Stage</v>
          </cell>
          <cell r="S563">
            <v>8.11192154955258</v>
          </cell>
          <cell r="Y563">
            <v>3642309.97</v>
          </cell>
          <cell r="Z563">
            <v>0</v>
          </cell>
          <cell r="AA563" t="str">
            <v>Venture Capital</v>
          </cell>
          <cell r="AF563">
            <v>0.34171620000000003</v>
          </cell>
        </row>
        <row r="564">
          <cell r="A564" t="str">
            <v>The 1199 Health Care Employees Pension Fund</v>
          </cell>
          <cell r="G564" t="str">
            <v>Oak Investment Partners</v>
          </cell>
          <cell r="I564" t="str">
            <v>Primary Partnership</v>
          </cell>
          <cell r="J564">
            <v>10000000</v>
          </cell>
          <cell r="K564">
            <v>3417162</v>
          </cell>
          <cell r="R564" t="str">
            <v>Multi-Stage</v>
          </cell>
          <cell r="S564">
            <v>8.11192154955258</v>
          </cell>
          <cell r="Y564">
            <v>3642309.97</v>
          </cell>
          <cell r="Z564">
            <v>0</v>
          </cell>
          <cell r="AA564" t="str">
            <v>Venture Capital</v>
          </cell>
          <cell r="AF564">
            <v>0.34171620000000003</v>
          </cell>
        </row>
        <row r="565">
          <cell r="A565" t="str">
            <v>Hamilton Lane Private Equity Fund Plc</v>
          </cell>
          <cell r="G565" t="str">
            <v>Oaktree Capital Mgmt</v>
          </cell>
          <cell r="I565" t="str">
            <v>Primary Partnership</v>
          </cell>
          <cell r="J565">
            <v>5130752</v>
          </cell>
          <cell r="K565">
            <v>5130751.5</v>
          </cell>
          <cell r="R565" t="str">
            <v>Distressed/Turnaround</v>
          </cell>
          <cell r="S565">
            <v>8.3790766076378809</v>
          </cell>
          <cell r="Y565">
            <v>49992</v>
          </cell>
          <cell r="Z565">
            <v>7651960.9299999997</v>
          </cell>
          <cell r="AA565" t="str">
            <v>Special Situation</v>
          </cell>
          <cell r="AF565">
            <v>0.99999990254839832</v>
          </cell>
        </row>
        <row r="566">
          <cell r="A566" t="str">
            <v>Hamilton Lane Private Equity Partners, L.P.</v>
          </cell>
          <cell r="G566" t="str">
            <v>Oaktree Capital Mgmt</v>
          </cell>
          <cell r="I566" t="str">
            <v>Primary Partnership</v>
          </cell>
          <cell r="J566">
            <v>2369251</v>
          </cell>
          <cell r="K566">
            <v>2369251.5</v>
          </cell>
          <cell r="R566" t="str">
            <v>Distressed/Turnaround</v>
          </cell>
          <cell r="S566">
            <v>8.3790766076378809</v>
          </cell>
          <cell r="Y566">
            <v>23086</v>
          </cell>
          <cell r="Z566">
            <v>3533478.12</v>
          </cell>
          <cell r="AA566" t="str">
            <v>Special Situation</v>
          </cell>
          <cell r="AF566">
            <v>1.0000002110371591</v>
          </cell>
        </row>
        <row r="567">
          <cell r="A567" t="str">
            <v>Hamilton Lane Private Equity Fund IV L.P.</v>
          </cell>
          <cell r="G567" t="str">
            <v>Oaktree Capital Mgmt</v>
          </cell>
          <cell r="I567" t="str">
            <v>Primary Partnership</v>
          </cell>
          <cell r="J567">
            <v>5000000</v>
          </cell>
          <cell r="K567">
            <v>5000000</v>
          </cell>
          <cell r="R567" t="str">
            <v>Distressed/Turnaround</v>
          </cell>
          <cell r="S567">
            <v>11.857053490269532</v>
          </cell>
          <cell r="Y567">
            <v>129862</v>
          </cell>
          <cell r="Z567">
            <v>7277601.6899999995</v>
          </cell>
          <cell r="AA567" t="str">
            <v>Special Situation</v>
          </cell>
          <cell r="AF567">
            <v>1</v>
          </cell>
        </row>
        <row r="568">
          <cell r="A568" t="str">
            <v>Hamilton Lane-Carpenters Partnership Fund, L.P.</v>
          </cell>
          <cell r="G568" t="str">
            <v>Oaktree Capital Mgmt</v>
          </cell>
          <cell r="I568" t="str">
            <v>Primary Partnership</v>
          </cell>
          <cell r="J568">
            <v>20000000</v>
          </cell>
          <cell r="K568">
            <v>20000000</v>
          </cell>
          <cell r="R568" t="str">
            <v>Distressed/Turnaround</v>
          </cell>
          <cell r="S568">
            <v>11.857053490269532</v>
          </cell>
          <cell r="Y568">
            <v>519453</v>
          </cell>
          <cell r="Z568">
            <v>29168985.32</v>
          </cell>
          <cell r="AA568" t="str">
            <v>Special Situation</v>
          </cell>
          <cell r="AF568">
            <v>1</v>
          </cell>
        </row>
        <row r="569">
          <cell r="A569" t="str">
            <v>Princess Private Equity Subholding Ltd.</v>
          </cell>
          <cell r="G569" t="str">
            <v>Oaktree Capital Mgmt</v>
          </cell>
          <cell r="I569" t="str">
            <v>Primary Partnership</v>
          </cell>
          <cell r="J569">
            <v>4000000</v>
          </cell>
          <cell r="K569">
            <v>4000000</v>
          </cell>
          <cell r="R569" t="str">
            <v>Distressed/Turnaround</v>
          </cell>
          <cell r="S569">
            <v>11.857053490269532</v>
          </cell>
          <cell r="Y569">
            <v>103891</v>
          </cell>
          <cell r="Z569">
            <v>5816631.75</v>
          </cell>
          <cell r="AA569" t="str">
            <v>Special Situation</v>
          </cell>
          <cell r="AF569">
            <v>1</v>
          </cell>
        </row>
        <row r="570">
          <cell r="A570" t="str">
            <v>Textron Master Trust</v>
          </cell>
          <cell r="G570" t="str">
            <v>Oaktree Capital Mgmt</v>
          </cell>
          <cell r="I570" t="str">
            <v>Primary Partnership</v>
          </cell>
          <cell r="J570">
            <v>20000000</v>
          </cell>
          <cell r="K570">
            <v>20000000</v>
          </cell>
          <cell r="R570" t="str">
            <v>Distressed/Turnaround</v>
          </cell>
          <cell r="S570">
            <v>11.857053490269532</v>
          </cell>
          <cell r="Y570">
            <v>519453</v>
          </cell>
          <cell r="Z570">
            <v>29168985.32</v>
          </cell>
          <cell r="AA570" t="str">
            <v>Special Situation</v>
          </cell>
          <cell r="AF570">
            <v>1</v>
          </cell>
        </row>
        <row r="571">
          <cell r="A571" t="str">
            <v>Hamilton Lane-Carpenters Partnership Fund, L.P.</v>
          </cell>
          <cell r="G571" t="str">
            <v>Oaktree Capital Mgmt</v>
          </cell>
          <cell r="I571" t="str">
            <v>Primary Partnership</v>
          </cell>
          <cell r="J571">
            <v>10000000</v>
          </cell>
          <cell r="K571">
            <v>10000000</v>
          </cell>
          <cell r="R571" t="str">
            <v>Distressed/Turnaround</v>
          </cell>
          <cell r="S571">
            <v>28.178923466636462</v>
          </cell>
          <cell r="Y571">
            <v>50474</v>
          </cell>
          <cell r="Z571">
            <v>16409324.210000001</v>
          </cell>
          <cell r="AA571" t="str">
            <v>Special Situation</v>
          </cell>
          <cell r="AF571">
            <v>1</v>
          </cell>
        </row>
        <row r="572">
          <cell r="A572" t="str">
            <v>Royal Mail Pensions Trustees Limited</v>
          </cell>
          <cell r="G572" t="str">
            <v>Oaktree Capital Mgmt</v>
          </cell>
          <cell r="I572" t="str">
            <v>Primary Partnership</v>
          </cell>
          <cell r="J572">
            <v>10000000</v>
          </cell>
          <cell r="K572">
            <v>10000000</v>
          </cell>
          <cell r="R572" t="str">
            <v>Distressed/Turnaround</v>
          </cell>
          <cell r="S572">
            <v>28.178923466636462</v>
          </cell>
          <cell r="Y572">
            <v>50474</v>
          </cell>
          <cell r="Z572">
            <v>16409324.210000001</v>
          </cell>
          <cell r="AA572" t="str">
            <v>Special Situation</v>
          </cell>
          <cell r="AF572">
            <v>1</v>
          </cell>
        </row>
        <row r="573">
          <cell r="A573" t="str">
            <v>Textron Master Trust</v>
          </cell>
          <cell r="G573" t="str">
            <v>Oaktree Capital Mgmt</v>
          </cell>
          <cell r="I573" t="str">
            <v>Primary Partnership</v>
          </cell>
          <cell r="J573">
            <v>20000000</v>
          </cell>
          <cell r="K573">
            <v>20000000</v>
          </cell>
          <cell r="R573" t="str">
            <v>Distressed/Turnaround</v>
          </cell>
          <cell r="S573">
            <v>28.178923466636462</v>
          </cell>
          <cell r="Y573">
            <v>100949</v>
          </cell>
          <cell r="Z573">
            <v>32774768</v>
          </cell>
          <cell r="AA573" t="str">
            <v>Special Situation</v>
          </cell>
          <cell r="AF573">
            <v>1</v>
          </cell>
        </row>
        <row r="574">
          <cell r="A574" t="str">
            <v>Textron Master Trust</v>
          </cell>
          <cell r="G574" t="str">
            <v>Oaktree Capital Mgmt</v>
          </cell>
          <cell r="I574" t="str">
            <v>Primary Partnership</v>
          </cell>
          <cell r="J574">
            <v>10000000</v>
          </cell>
          <cell r="K574">
            <v>10000000</v>
          </cell>
          <cell r="R574" t="str">
            <v>Distressed/Turnaround</v>
          </cell>
          <cell r="S574">
            <v>16.834058128623887</v>
          </cell>
          <cell r="Y574">
            <v>13170792</v>
          </cell>
          <cell r="Z574">
            <v>22247</v>
          </cell>
          <cell r="AA574" t="str">
            <v>Special Situation</v>
          </cell>
          <cell r="AF574">
            <v>1</v>
          </cell>
        </row>
        <row r="575">
          <cell r="A575" t="str">
            <v>Los Angeles City Employees' Retirement System</v>
          </cell>
          <cell r="G575" t="str">
            <v>Oaktree Capital Mgmt</v>
          </cell>
          <cell r="I575" t="str">
            <v>Primary Partnership</v>
          </cell>
          <cell r="J575">
            <v>10000000</v>
          </cell>
          <cell r="K575">
            <v>4500000</v>
          </cell>
          <cell r="R575" t="str">
            <v>Distressed/Turnaround</v>
          </cell>
          <cell r="S575">
            <v>-4.7907142047827751</v>
          </cell>
          <cell r="Y575">
            <v>4304033</v>
          </cell>
          <cell r="Z575">
            <v>73753</v>
          </cell>
          <cell r="AA575" t="str">
            <v>Special Situation</v>
          </cell>
          <cell r="AF575">
            <v>0.45</v>
          </cell>
        </row>
        <row r="576">
          <cell r="A576" t="str">
            <v>Textron Master Trust</v>
          </cell>
          <cell r="G576" t="str">
            <v>Oaktree Capital Mgmt</v>
          </cell>
          <cell r="I576" t="str">
            <v>Primary Partnership</v>
          </cell>
          <cell r="J576">
            <v>7500000</v>
          </cell>
          <cell r="K576">
            <v>3375000</v>
          </cell>
          <cell r="R576" t="str">
            <v>Distressed/Turnaround</v>
          </cell>
          <cell r="S576">
            <v>-4.7907142047827751</v>
          </cell>
          <cell r="Y576">
            <v>3228025</v>
          </cell>
          <cell r="Z576">
            <v>66822</v>
          </cell>
          <cell r="AA576" t="str">
            <v>Special Situation</v>
          </cell>
          <cell r="AF576">
            <v>0.45</v>
          </cell>
        </row>
        <row r="577">
          <cell r="A577" t="str">
            <v>Los Angeles City Employees' Retirement System</v>
          </cell>
          <cell r="G577" t="str">
            <v>Oaktree Capital Mgmt</v>
          </cell>
          <cell r="I577" t="str">
            <v>Primary Partnership</v>
          </cell>
          <cell r="J577">
            <v>10000000</v>
          </cell>
          <cell r="K577">
            <v>0</v>
          </cell>
          <cell r="R577" t="str">
            <v>Distressed/Turnaround</v>
          </cell>
          <cell r="Y577">
            <v>0</v>
          </cell>
          <cell r="Z577">
            <v>0</v>
          </cell>
          <cell r="AA577" t="str">
            <v>Special Situation</v>
          </cell>
          <cell r="AF577">
            <v>0</v>
          </cell>
        </row>
        <row r="578">
          <cell r="A578" t="str">
            <v>Textron Master Trust</v>
          </cell>
          <cell r="G578" t="str">
            <v>Oaktree Capital Mgmt</v>
          </cell>
          <cell r="I578" t="str">
            <v>Primary Partnership</v>
          </cell>
          <cell r="J578">
            <v>7500000</v>
          </cell>
          <cell r="K578">
            <v>0</v>
          </cell>
          <cell r="R578" t="str">
            <v>Distressed/Turnaround</v>
          </cell>
          <cell r="Y578">
            <v>0</v>
          </cell>
          <cell r="Z578">
            <v>0</v>
          </cell>
          <cell r="AA578" t="str">
            <v>Special Situation</v>
          </cell>
          <cell r="AF578">
            <v>0</v>
          </cell>
        </row>
        <row r="579">
          <cell r="A579" t="str">
            <v>Hamilton Lane-Carpenters Partnership Fund, L.P.</v>
          </cell>
          <cell r="G579" t="str">
            <v>Oaktree Capital Mgmt</v>
          </cell>
          <cell r="I579" t="str">
            <v>Primary Partnership</v>
          </cell>
          <cell r="J579">
            <v>15000000</v>
          </cell>
          <cell r="K579">
            <v>12392388.75</v>
          </cell>
          <cell r="R579" t="str">
            <v>Industry Focused</v>
          </cell>
          <cell r="S579">
            <v>13.289917088228997</v>
          </cell>
          <cell r="Y579">
            <v>1617489</v>
          </cell>
          <cell r="Z579">
            <v>17224777.140000001</v>
          </cell>
          <cell r="AA579" t="str">
            <v>Special Situation</v>
          </cell>
          <cell r="AF579">
            <v>0.82615925000000001</v>
          </cell>
        </row>
        <row r="580">
          <cell r="A580" t="str">
            <v>Princess Private Equity Subholding Ltd.</v>
          </cell>
          <cell r="G580" t="str">
            <v>Oaktree Capital Mgmt</v>
          </cell>
          <cell r="I580" t="str">
            <v>Primary Partnership</v>
          </cell>
          <cell r="J580">
            <v>4000000</v>
          </cell>
          <cell r="K580">
            <v>3304635.93</v>
          </cell>
          <cell r="R580" t="str">
            <v>Industry Focused</v>
          </cell>
          <cell r="S580">
            <v>13.289917088228997</v>
          </cell>
          <cell r="Y580">
            <v>431330</v>
          </cell>
          <cell r="Z580">
            <v>4593133.6399999997</v>
          </cell>
          <cell r="AA580" t="str">
            <v>Special Situation</v>
          </cell>
          <cell r="AF580">
            <v>0.82615898250000008</v>
          </cell>
        </row>
        <row r="581">
          <cell r="A581" t="str">
            <v>Textron Master Trust</v>
          </cell>
          <cell r="G581" t="str">
            <v>Oaktree Capital Mgmt</v>
          </cell>
          <cell r="I581" t="str">
            <v>Primary Partnership</v>
          </cell>
          <cell r="J581">
            <v>20000000</v>
          </cell>
          <cell r="K581">
            <v>16523186.67</v>
          </cell>
          <cell r="R581" t="str">
            <v>Industry Focused</v>
          </cell>
          <cell r="S581">
            <v>13.289917088228997</v>
          </cell>
          <cell r="Y581">
            <v>2156654</v>
          </cell>
          <cell r="Z581">
            <v>22966368.199999999</v>
          </cell>
          <cell r="AA581" t="str">
            <v>Special Situation</v>
          </cell>
          <cell r="AF581">
            <v>0.82615933350000004</v>
          </cell>
        </row>
        <row r="582">
          <cell r="A582" t="str">
            <v>The Hudson River Fund</v>
          </cell>
          <cell r="G582" t="str">
            <v>Oaktree Capital Mgmt</v>
          </cell>
          <cell r="I582" t="str">
            <v>Primary Partnership</v>
          </cell>
          <cell r="J582">
            <v>40000000</v>
          </cell>
          <cell r="K582">
            <v>33046376.350000001</v>
          </cell>
          <cell r="R582" t="str">
            <v>Industry Focused</v>
          </cell>
          <cell r="S582">
            <v>13.289917088228997</v>
          </cell>
          <cell r="Y582">
            <v>4313312</v>
          </cell>
          <cell r="Z582">
            <v>45932735.399999999</v>
          </cell>
          <cell r="AA582" t="str">
            <v>Special Situation</v>
          </cell>
          <cell r="AF582">
            <v>0.82615940875000005</v>
          </cell>
        </row>
        <row r="583">
          <cell r="A583" t="str">
            <v>The Hudson River Fund II</v>
          </cell>
          <cell r="G583" t="str">
            <v>Odyssey Investment Partners</v>
          </cell>
          <cell r="I583" t="str">
            <v>Primary Partnership</v>
          </cell>
          <cell r="J583">
            <v>20000000</v>
          </cell>
          <cell r="K583">
            <v>14377139.639999999</v>
          </cell>
          <cell r="R583" t="str">
            <v>Mid</v>
          </cell>
          <cell r="S583">
            <v>41.274013669234378</v>
          </cell>
          <cell r="Y583">
            <v>20277024</v>
          </cell>
          <cell r="Z583">
            <v>5123197.17</v>
          </cell>
          <cell r="AA583" t="str">
            <v>Corporate Finance/Buyout</v>
          </cell>
          <cell r="AF583">
            <v>0.71885698199999992</v>
          </cell>
        </row>
        <row r="584">
          <cell r="A584" t="str">
            <v>Textron Master Trust - Real Estate</v>
          </cell>
          <cell r="G584" t="str">
            <v>Olympus</v>
          </cell>
          <cell r="I584" t="str">
            <v>Primary Partnership</v>
          </cell>
          <cell r="J584">
            <v>15000000</v>
          </cell>
          <cell r="K584">
            <v>13023880</v>
          </cell>
          <cell r="R584" t="str">
            <v>Opportunistic - Indirect</v>
          </cell>
          <cell r="S584">
            <v>-1.8409587861649257</v>
          </cell>
          <cell r="Y584">
            <v>2913114</v>
          </cell>
          <cell r="Z584">
            <v>10484563</v>
          </cell>
          <cell r="AA584" t="str">
            <v>Real Estate</v>
          </cell>
          <cell r="AF584">
            <v>0.86825866666666662</v>
          </cell>
        </row>
        <row r="585">
          <cell r="A585" t="str">
            <v>Hudson River Co-Investment Fund L.P.</v>
          </cell>
          <cell r="G585" t="str">
            <v>American Securities Capital Partners, LLC</v>
          </cell>
          <cell r="I585" t="str">
            <v>Co/Direct Investment</v>
          </cell>
          <cell r="J585">
            <v>9111747.2899999991</v>
          </cell>
          <cell r="K585">
            <v>9111747.2899999991</v>
          </cell>
          <cell r="R585" t="str">
            <v>Mid</v>
          </cell>
          <cell r="S585">
            <v>-33.173529291602613</v>
          </cell>
          <cell r="Y585">
            <v>913973</v>
          </cell>
          <cell r="Z585">
            <v>4223815.6100000003</v>
          </cell>
          <cell r="AA585" t="str">
            <v>Corporate Finance/Buyout</v>
          </cell>
          <cell r="AF585">
            <v>1</v>
          </cell>
        </row>
        <row r="586">
          <cell r="A586" t="str">
            <v>Nordea Thematic Fund-of-Funds</v>
          </cell>
          <cell r="G586" t="str">
            <v>Oxford Bioscience Partners</v>
          </cell>
          <cell r="I586" t="str">
            <v>Primary Partnership</v>
          </cell>
          <cell r="J586">
            <v>2000000</v>
          </cell>
          <cell r="K586">
            <v>2000000</v>
          </cell>
          <cell r="R586" t="str">
            <v>Late Stage</v>
          </cell>
          <cell r="S586">
            <v>4.3936384370410808</v>
          </cell>
          <cell r="Y586">
            <v>1398645</v>
          </cell>
          <cell r="Z586">
            <v>923011.8</v>
          </cell>
          <cell r="AA586" t="str">
            <v>Venture Capital</v>
          </cell>
          <cell r="AF586">
            <v>1</v>
          </cell>
        </row>
        <row r="587">
          <cell r="A587" t="str">
            <v>The Markaz/Hamilton Lane Technology Fund L.P.</v>
          </cell>
          <cell r="G587" t="str">
            <v>Oxford Bioscience Partners</v>
          </cell>
          <cell r="I587" t="str">
            <v>Primary Partnership</v>
          </cell>
          <cell r="J587">
            <v>3000000</v>
          </cell>
          <cell r="K587">
            <v>3000000</v>
          </cell>
          <cell r="R587" t="str">
            <v>Late Stage</v>
          </cell>
          <cell r="S587">
            <v>4.3936384370410808</v>
          </cell>
          <cell r="Y587">
            <v>2097968</v>
          </cell>
          <cell r="Z587">
            <v>1384458.3243400001</v>
          </cell>
          <cell r="AA587" t="str">
            <v>Venture Capital</v>
          </cell>
          <cell r="AF587">
            <v>1</v>
          </cell>
        </row>
        <row r="588">
          <cell r="A588" t="str">
            <v>Golden State Investment Fund, LLC</v>
          </cell>
          <cell r="G588" t="str">
            <v>Pacific Community Ventures</v>
          </cell>
          <cell r="I588" t="str">
            <v>Primary Partnership</v>
          </cell>
          <cell r="J588">
            <v>10000000</v>
          </cell>
          <cell r="K588">
            <v>1660147.54</v>
          </cell>
          <cell r="R588" t="str">
            <v>Small</v>
          </cell>
          <cell r="S588">
            <v>-18.847636548567024</v>
          </cell>
          <cell r="Y588">
            <v>1377789</v>
          </cell>
          <cell r="Z588">
            <v>0</v>
          </cell>
          <cell r="AA588" t="str">
            <v>Corporate Finance/Buyout</v>
          </cell>
          <cell r="AF588">
            <v>0.16601475400000001</v>
          </cell>
        </row>
        <row r="589">
          <cell r="A589" t="str">
            <v>NJHL European Buyout Investment Fund, L.P.</v>
          </cell>
          <cell r="G589" t="str">
            <v>PAI Partners, L.P.</v>
          </cell>
          <cell r="I589" t="str">
            <v>Primary Partnership</v>
          </cell>
          <cell r="J589">
            <v>43855649.9265</v>
          </cell>
          <cell r="K589">
            <v>81829.065000000002</v>
          </cell>
          <cell r="R589" t="str">
            <v>Mid</v>
          </cell>
          <cell r="S589">
            <v>4.3855001982894937</v>
          </cell>
          <cell r="Y589">
            <v>84124.807227000012</v>
          </cell>
          <cell r="Z589">
            <v>0</v>
          </cell>
          <cell r="AA589" t="str">
            <v>Corporate Finance/Buyout</v>
          </cell>
          <cell r="AF589">
            <v>1.8658728154101389E-3</v>
          </cell>
        </row>
        <row r="590">
          <cell r="A590" t="str">
            <v>Second Stockholm Global Private Equity L.P.</v>
          </cell>
          <cell r="G590" t="str">
            <v>PAI Partners, L.P.</v>
          </cell>
          <cell r="I590" t="str">
            <v>Primary Partnership</v>
          </cell>
          <cell r="J590">
            <v>21927510.120750003</v>
          </cell>
          <cell r="K590">
            <v>40599.69</v>
          </cell>
          <cell r="R590" t="str">
            <v>Mid</v>
          </cell>
          <cell r="S590">
            <v>4.3855001982894937</v>
          </cell>
          <cell r="Y590">
            <v>43839.56925</v>
          </cell>
          <cell r="Z590">
            <v>0</v>
          </cell>
          <cell r="AA590" t="str">
            <v>Corporate Finance/Buyout</v>
          </cell>
          <cell r="AF590">
            <v>1.8515412728771479E-3</v>
          </cell>
        </row>
        <row r="591">
          <cell r="A591" t="str">
            <v>The Hudson River Fund II</v>
          </cell>
          <cell r="G591" t="str">
            <v>Palladium Equity Partners, LLC</v>
          </cell>
          <cell r="I591" t="str">
            <v>Primary Partnership</v>
          </cell>
          <cell r="J591">
            <v>35000000</v>
          </cell>
          <cell r="K591">
            <v>14114048.060000002</v>
          </cell>
          <cell r="R591" t="str">
            <v>Mid</v>
          </cell>
          <cell r="S591">
            <v>-9.9231453909145788</v>
          </cell>
          <cell r="Y591">
            <v>11617317</v>
          </cell>
          <cell r="Z591">
            <v>694440</v>
          </cell>
          <cell r="AA591" t="str">
            <v>Corporate Finance/Buyout</v>
          </cell>
          <cell r="AF591">
            <v>0.40325851600000007</v>
          </cell>
        </row>
        <row r="592">
          <cell r="A592" t="str">
            <v>Hamilton Lane Private Equity Fund Plc</v>
          </cell>
          <cell r="G592" t="str">
            <v>Dolphin Communications</v>
          </cell>
          <cell r="I592" t="str">
            <v>Co/Direct Investment</v>
          </cell>
          <cell r="J592">
            <v>2155368.4500000002</v>
          </cell>
          <cell r="K592">
            <v>2155368.4500000002</v>
          </cell>
          <cell r="R592" t="str">
            <v>Early Stage</v>
          </cell>
          <cell r="S592">
            <v>-82.910915653370949</v>
          </cell>
          <cell r="Y592">
            <v>0</v>
          </cell>
          <cell r="Z592">
            <v>176441.54</v>
          </cell>
          <cell r="AA592" t="str">
            <v>Venture Capital</v>
          </cell>
          <cell r="AF592">
            <v>1</v>
          </cell>
        </row>
        <row r="593">
          <cell r="A593" t="str">
            <v>Hamilton Lane Private Equity Partners, L.P.</v>
          </cell>
          <cell r="G593" t="str">
            <v>Dolphin Communications</v>
          </cell>
          <cell r="I593" t="str">
            <v>Co/Direct Investment</v>
          </cell>
          <cell r="J593">
            <v>995293.49</v>
          </cell>
          <cell r="K593">
            <v>995293.49</v>
          </cell>
          <cell r="R593" t="str">
            <v>Early Stage</v>
          </cell>
          <cell r="S593">
            <v>-82.910915653370949</v>
          </cell>
          <cell r="Y593">
            <v>0</v>
          </cell>
          <cell r="Z593">
            <v>81546.2</v>
          </cell>
          <cell r="AA593" t="str">
            <v>Venture Capital</v>
          </cell>
          <cell r="AF593">
            <v>1</v>
          </cell>
        </row>
        <row r="594">
          <cell r="A594" t="str">
            <v>Hamilton Lane Co-Investment Fund, L.P.</v>
          </cell>
          <cell r="G594" t="str">
            <v>DLJ Investment Partners</v>
          </cell>
          <cell r="I594" t="str">
            <v>Co/Direct Investment</v>
          </cell>
          <cell r="J594">
            <v>35000000</v>
          </cell>
          <cell r="K594">
            <v>35000000</v>
          </cell>
          <cell r="R594" t="str">
            <v>Large</v>
          </cell>
          <cell r="S594">
            <v>4.3767942972117169E-3</v>
          </cell>
          <cell r="Y594">
            <v>35000000</v>
          </cell>
          <cell r="Z594">
            <v>1699.71</v>
          </cell>
          <cell r="AA594" t="str">
            <v>Corporate Finance/Buyout</v>
          </cell>
          <cell r="AF594">
            <v>1</v>
          </cell>
        </row>
        <row r="595">
          <cell r="A595" t="str">
            <v>Hamilton Lane Private Equity Fund IV L.P.</v>
          </cell>
          <cell r="G595" t="str">
            <v>Pegasus Partners</v>
          </cell>
          <cell r="I595" t="str">
            <v>Primary Partnership</v>
          </cell>
          <cell r="J595">
            <v>5000000</v>
          </cell>
          <cell r="K595">
            <v>4143480.75</v>
          </cell>
          <cell r="R595" t="str">
            <v>Mid</v>
          </cell>
          <cell r="S595">
            <v>19.314198159472618</v>
          </cell>
          <cell r="Y595">
            <v>0</v>
          </cell>
          <cell r="Z595">
            <v>9235229.7800000012</v>
          </cell>
          <cell r="AA595" t="str">
            <v>Corporate Finance/Buyout</v>
          </cell>
          <cell r="AF595">
            <v>0.82869614999999996</v>
          </cell>
        </row>
        <row r="596">
          <cell r="A596" t="str">
            <v>Hamilton Lane-Carpenters Partnership Fund, L.P.</v>
          </cell>
          <cell r="G596" t="str">
            <v>Pegasus Partners</v>
          </cell>
          <cell r="I596" t="str">
            <v>Primary Partnership</v>
          </cell>
          <cell r="J596">
            <v>15000000</v>
          </cell>
          <cell r="K596">
            <v>13328376.960000003</v>
          </cell>
          <cell r="R596" t="str">
            <v>Mid</v>
          </cell>
          <cell r="S596">
            <v>19.314198159472618</v>
          </cell>
          <cell r="Y596">
            <v>0</v>
          </cell>
          <cell r="Z596">
            <v>28617014.349999998</v>
          </cell>
          <cell r="AA596" t="str">
            <v>Corporate Finance/Buyout</v>
          </cell>
          <cell r="AF596">
            <v>0.88855846400000016</v>
          </cell>
        </row>
        <row r="597">
          <cell r="A597" t="str">
            <v>Princess Private Equity Subholding Ltd.</v>
          </cell>
          <cell r="G597" t="str">
            <v>Pegasus Partners</v>
          </cell>
          <cell r="I597" t="str">
            <v>Primary Partnership</v>
          </cell>
          <cell r="J597">
            <v>4000000</v>
          </cell>
          <cell r="K597">
            <v>3549231.75</v>
          </cell>
          <cell r="R597" t="str">
            <v>Mid</v>
          </cell>
          <cell r="S597">
            <v>19.314198159472618</v>
          </cell>
          <cell r="Y597">
            <v>2660360</v>
          </cell>
          <cell r="Z597">
            <v>4802672.24</v>
          </cell>
          <cell r="AA597" t="str">
            <v>Corporate Finance/Buyout</v>
          </cell>
          <cell r="AF597">
            <v>0.88730793750000003</v>
          </cell>
        </row>
        <row r="598">
          <cell r="A598" t="str">
            <v>The Hudson River Fund</v>
          </cell>
          <cell r="G598" t="str">
            <v>Pegasus Partners</v>
          </cell>
          <cell r="I598" t="str">
            <v>Primary Partnership</v>
          </cell>
          <cell r="J598">
            <v>30000000</v>
          </cell>
          <cell r="K598">
            <v>26690315.660000004</v>
          </cell>
          <cell r="R598" t="str">
            <v>Mid</v>
          </cell>
          <cell r="S598">
            <v>19.314198159472618</v>
          </cell>
          <cell r="Y598">
            <v>20057070</v>
          </cell>
          <cell r="Z598">
            <v>36056169.229999997</v>
          </cell>
          <cell r="AA598" t="str">
            <v>Corporate Finance/Buyout</v>
          </cell>
          <cell r="AF598">
            <v>0.88967718866666679</v>
          </cell>
        </row>
        <row r="599">
          <cell r="A599" t="str">
            <v>Hamilton Lane Private Equity Fund IV L.P.</v>
          </cell>
          <cell r="G599" t="str">
            <v>Pegasus Partners</v>
          </cell>
          <cell r="I599" t="str">
            <v>Secondary Purchase</v>
          </cell>
          <cell r="J599">
            <v>540616</v>
          </cell>
          <cell r="K599">
            <v>540615.26</v>
          </cell>
          <cell r="R599" t="str">
            <v>Small</v>
          </cell>
          <cell r="S599">
            <v>2.5695337058575074</v>
          </cell>
          <cell r="Y599">
            <v>0</v>
          </cell>
          <cell r="Z599">
            <v>470398.94</v>
          </cell>
          <cell r="AA599" t="str">
            <v>Corporate Finance/Buyout</v>
          </cell>
          <cell r="AF599">
            <v>0.99999863119108579</v>
          </cell>
        </row>
        <row r="600">
          <cell r="A600" t="str">
            <v>Royal Mail Pensions Trustees Limited</v>
          </cell>
          <cell r="G600" t="str">
            <v>Pegasus Partners</v>
          </cell>
          <cell r="I600" t="str">
            <v>Secondary Purchase</v>
          </cell>
          <cell r="J600">
            <v>1220000</v>
          </cell>
          <cell r="K600">
            <v>855400.58</v>
          </cell>
          <cell r="R600" t="str">
            <v>Small</v>
          </cell>
          <cell r="S600">
            <v>2.5695337058575074</v>
          </cell>
          <cell r="Y600">
            <v>428228</v>
          </cell>
          <cell r="Z600">
            <v>671824.16</v>
          </cell>
          <cell r="AA600" t="str">
            <v>Corporate Finance/Buyout</v>
          </cell>
          <cell r="AF600">
            <v>0.7011480163934426</v>
          </cell>
        </row>
        <row r="601">
          <cell r="A601" t="str">
            <v>Nordea Thematic Fund-of-Funds</v>
          </cell>
          <cell r="G601" t="str">
            <v>Permira Advisers Limited</v>
          </cell>
          <cell r="I601" t="str">
            <v>Primary Partnership</v>
          </cell>
          <cell r="J601">
            <v>9606776.2523250002</v>
          </cell>
          <cell r="K601">
            <v>9154000.5670500007</v>
          </cell>
          <cell r="R601" t="str">
            <v>Large</v>
          </cell>
          <cell r="S601">
            <v>44.284623590237175</v>
          </cell>
          <cell r="Y601">
            <v>8196649.9776000008</v>
          </cell>
          <cell r="Z601">
            <v>7631998.583625</v>
          </cell>
          <cell r="AA601" t="str">
            <v>Corporate Finance/Buyout</v>
          </cell>
          <cell r="AF601">
            <v>0.95286913389229599</v>
          </cell>
        </row>
        <row r="602">
          <cell r="A602" t="str">
            <v>Royal Mail Pensions Trustees Limited</v>
          </cell>
          <cell r="G602" t="str">
            <v>Permira Advisers Limited</v>
          </cell>
          <cell r="I602" t="str">
            <v>Primary Partnership</v>
          </cell>
          <cell r="J602">
            <v>6405416.5015500002</v>
          </cell>
          <cell r="K602">
            <v>6103566.0447000004</v>
          </cell>
          <cell r="R602" t="str">
            <v>Large</v>
          </cell>
          <cell r="S602">
            <v>44.284623590237175</v>
          </cell>
          <cell r="Y602">
            <v>5464430.8816499999</v>
          </cell>
          <cell r="Z602">
            <v>5087735.0557500003</v>
          </cell>
          <cell r="AA602" t="str">
            <v>Corporate Finance/Buyout</v>
          </cell>
          <cell r="AF602">
            <v>0.95287574870783853</v>
          </cell>
        </row>
        <row r="603">
          <cell r="A603" t="str">
            <v>Los Angeles City Employees' Retirement System</v>
          </cell>
          <cell r="G603" t="str">
            <v>Permira Advisers Limited</v>
          </cell>
          <cell r="I603" t="str">
            <v>Primary Partnership</v>
          </cell>
          <cell r="J603">
            <v>15688377.65</v>
          </cell>
          <cell r="K603">
            <v>5282967.8</v>
          </cell>
          <cell r="R603" t="str">
            <v>Mega</v>
          </cell>
          <cell r="S603">
            <v>-20.584727291034387</v>
          </cell>
          <cell r="Y603">
            <v>4656282.7441500006</v>
          </cell>
          <cell r="Z603">
            <v>0</v>
          </cell>
          <cell r="AA603" t="str">
            <v>Corporate Finance/Buyout</v>
          </cell>
          <cell r="AF603">
            <v>0.33674404822859422</v>
          </cell>
        </row>
        <row r="604">
          <cell r="A604" t="str">
            <v>NJHL European Buyout Investment Fund, L.P.</v>
          </cell>
          <cell r="G604" t="str">
            <v>Permira Advisers Limited</v>
          </cell>
          <cell r="I604" t="str">
            <v>Primary Partnership</v>
          </cell>
          <cell r="J604">
            <v>17136234.600000001</v>
          </cell>
          <cell r="K604">
            <v>5784878.4000000004</v>
          </cell>
          <cell r="R604" t="str">
            <v>Mega</v>
          </cell>
          <cell r="S604">
            <v>-20.584727291034387</v>
          </cell>
          <cell r="Y604">
            <v>5079581.3083500005</v>
          </cell>
          <cell r="Z604">
            <v>0</v>
          </cell>
          <cell r="AA604" t="str">
            <v>Corporate Finance/Buyout</v>
          </cell>
          <cell r="AF604">
            <v>0.33758165285622316</v>
          </cell>
        </row>
        <row r="605">
          <cell r="A605" t="str">
            <v>Golden State Investment Fund, LLC</v>
          </cell>
          <cell r="G605" t="str">
            <v>Leonard Green &amp; Company</v>
          </cell>
          <cell r="I605" t="str">
            <v>Co/Direct Investment</v>
          </cell>
          <cell r="J605">
            <v>20000000</v>
          </cell>
          <cell r="K605">
            <v>20000000</v>
          </cell>
          <cell r="R605" t="str">
            <v>Large</v>
          </cell>
          <cell r="S605">
            <v>-4.0523140398818214E-12</v>
          </cell>
          <cell r="Y605">
            <v>20000000</v>
          </cell>
          <cell r="Z605">
            <v>0</v>
          </cell>
          <cell r="AA605" t="str">
            <v>Corporate Finance/Buyout</v>
          </cell>
          <cell r="AF605">
            <v>1</v>
          </cell>
        </row>
        <row r="606">
          <cell r="A606" t="str">
            <v>Los Angeles City Employees' Retirement System</v>
          </cell>
          <cell r="G606" t="str">
            <v>Pharos Capital Group, L.P.</v>
          </cell>
          <cell r="I606" t="str">
            <v>Primary Partnership</v>
          </cell>
          <cell r="J606">
            <v>5000000</v>
          </cell>
          <cell r="K606">
            <v>2750000</v>
          </cell>
          <cell r="R606" t="str">
            <v>Multi-Stage</v>
          </cell>
          <cell r="S606">
            <v>-4.6403303613172131</v>
          </cell>
          <cell r="Y606">
            <v>2018410</v>
          </cell>
          <cell r="Z606">
            <v>573516.37</v>
          </cell>
          <cell r="AA606" t="str">
            <v>Special Situation</v>
          </cell>
          <cell r="AF606">
            <v>0.55000000000000004</v>
          </cell>
        </row>
        <row r="607">
          <cell r="A607" t="str">
            <v>The Hudson River Fund II</v>
          </cell>
          <cell r="G607" t="str">
            <v>Phoenix Equity Partners</v>
          </cell>
          <cell r="I607" t="str">
            <v>Primary Partnership</v>
          </cell>
          <cell r="J607">
            <v>29544696.054109998</v>
          </cell>
          <cell r="K607">
            <v>10903883.592710001</v>
          </cell>
          <cell r="R607" t="str">
            <v>Mid</v>
          </cell>
          <cell r="S607">
            <v>-20.399128253730414</v>
          </cell>
          <cell r="Y607">
            <v>7954911.3627999984</v>
          </cell>
          <cell r="Z607">
            <v>793480</v>
          </cell>
          <cell r="AA607" t="str">
            <v>Corporate Finance/Buyout</v>
          </cell>
          <cell r="AF607">
            <v>0.36906399621576574</v>
          </cell>
        </row>
        <row r="608">
          <cell r="A608" t="str">
            <v>The Hudson River Fund</v>
          </cell>
          <cell r="G608" t="str">
            <v>Phoenix Equity Partners</v>
          </cell>
          <cell r="I608" t="str">
            <v>Primary Partnership</v>
          </cell>
          <cell r="J608">
            <v>4827098.0743319988</v>
          </cell>
          <cell r="K608">
            <v>4827275.2377319988</v>
          </cell>
          <cell r="R608" t="str">
            <v>Small</v>
          </cell>
          <cell r="S608">
            <v>6.0050638583317051</v>
          </cell>
          <cell r="Y608">
            <v>0</v>
          </cell>
          <cell r="Z608">
            <v>6501961.8485030001</v>
          </cell>
          <cell r="AA608" t="str">
            <v>Corporate Finance/Buyout</v>
          </cell>
          <cell r="AF608">
            <v>1.0000367018438971</v>
          </cell>
        </row>
        <row r="609">
          <cell r="A609" t="str">
            <v>The Hudson River Fund</v>
          </cell>
          <cell r="G609" t="str">
            <v>Phoenix Equity Partners</v>
          </cell>
          <cell r="I609" t="str">
            <v>Primary Partnership</v>
          </cell>
          <cell r="J609">
            <v>27445303.133526534</v>
          </cell>
          <cell r="K609">
            <v>26215438.13535</v>
          </cell>
          <cell r="R609" t="str">
            <v>Mid</v>
          </cell>
          <cell r="S609">
            <v>30.979628207153652</v>
          </cell>
          <cell r="Y609">
            <v>14822232.537799997</v>
          </cell>
          <cell r="Z609">
            <v>31301570.54587321</v>
          </cell>
          <cell r="AA609" t="str">
            <v>Corporate Finance/Buyout</v>
          </cell>
          <cell r="AF609">
            <v>0.95518850740350691</v>
          </cell>
        </row>
        <row r="610">
          <cell r="A610" t="str">
            <v>The Hudson River Fund II</v>
          </cell>
          <cell r="G610" t="str">
            <v>Pitango  Venture Capital Partners</v>
          </cell>
          <cell r="I610" t="str">
            <v>Primary Partnership</v>
          </cell>
          <cell r="J610">
            <v>15000000</v>
          </cell>
          <cell r="K610">
            <v>750000</v>
          </cell>
          <cell r="R610" t="str">
            <v>Multi-Stage</v>
          </cell>
          <cell r="S610">
            <v>-24.17039717690157</v>
          </cell>
          <cell r="Y610">
            <v>572879</v>
          </cell>
          <cell r="Z610">
            <v>0</v>
          </cell>
          <cell r="AA610" t="str">
            <v>Venture Capital</v>
          </cell>
          <cell r="AF610">
            <v>0.05</v>
          </cell>
        </row>
        <row r="611">
          <cell r="A611" t="str">
            <v>Generali Global Private Equity S.A. SICAR</v>
          </cell>
          <cell r="G611" t="str">
            <v>Platinum Equity Capital Partners</v>
          </cell>
          <cell r="I611" t="str">
            <v>Primary Partnership</v>
          </cell>
          <cell r="J611">
            <v>25000000</v>
          </cell>
          <cell r="K611">
            <v>4121380</v>
          </cell>
          <cell r="R611" t="str">
            <v>Mid</v>
          </cell>
          <cell r="S611">
            <v>-7.2436855114798027</v>
          </cell>
          <cell r="Y611">
            <v>3762643</v>
          </cell>
          <cell r="Z611">
            <v>0</v>
          </cell>
          <cell r="AA611" t="str">
            <v>Corporate Finance/Buyout</v>
          </cell>
          <cell r="AF611">
            <v>0.16485520000000001</v>
          </cell>
        </row>
        <row r="612">
          <cell r="A612" t="str">
            <v>Hamilton Lane Capital Opportunities Fund LP</v>
          </cell>
          <cell r="G612" t="str">
            <v>Platinum Equity Capital Partners</v>
          </cell>
          <cell r="I612" t="str">
            <v>Primary Partnership</v>
          </cell>
          <cell r="J612">
            <v>20000000</v>
          </cell>
          <cell r="K612">
            <v>5968805</v>
          </cell>
          <cell r="R612" t="str">
            <v>Mid</v>
          </cell>
          <cell r="S612">
            <v>-7.2436855114798027</v>
          </cell>
          <cell r="Y612">
            <v>5681813</v>
          </cell>
          <cell r="Z612">
            <v>0</v>
          </cell>
          <cell r="AA612" t="str">
            <v>Corporate Finance/Buyout</v>
          </cell>
          <cell r="AF612">
            <v>0.29844025000000002</v>
          </cell>
        </row>
        <row r="613">
          <cell r="A613" t="str">
            <v>Hamilton Lane Private Equity Fund Investments KB</v>
          </cell>
          <cell r="G613" t="str">
            <v>Platinum Equity Capital Partners</v>
          </cell>
          <cell r="I613" t="str">
            <v>Primary Partnership</v>
          </cell>
          <cell r="J613">
            <v>10000000</v>
          </cell>
          <cell r="K613">
            <v>2942998</v>
          </cell>
          <cell r="R613" t="str">
            <v>Mid</v>
          </cell>
          <cell r="S613">
            <v>-7.2436855114798027</v>
          </cell>
          <cell r="Y613">
            <v>2799502</v>
          </cell>
          <cell r="Z613">
            <v>0</v>
          </cell>
          <cell r="AA613" t="str">
            <v>Corporate Finance/Buyout</v>
          </cell>
          <cell r="AF613">
            <v>0.2942998</v>
          </cell>
        </row>
        <row r="614">
          <cell r="A614" t="str">
            <v>Hamilton Lane Private Equity Fund VI, L.P.</v>
          </cell>
          <cell r="G614" t="str">
            <v>Platinum Equity Capital Partners</v>
          </cell>
          <cell r="I614" t="str">
            <v>Primary Partnership</v>
          </cell>
          <cell r="J614">
            <v>20000000</v>
          </cell>
          <cell r="K614">
            <v>5968805</v>
          </cell>
          <cell r="R614" t="str">
            <v>Mid</v>
          </cell>
          <cell r="S614">
            <v>-7.2436855114798027</v>
          </cell>
          <cell r="Y614">
            <v>5681813</v>
          </cell>
          <cell r="Z614">
            <v>0</v>
          </cell>
          <cell r="AA614" t="str">
            <v>Corporate Finance/Buyout</v>
          </cell>
          <cell r="AF614">
            <v>0.29844025000000002</v>
          </cell>
        </row>
        <row r="615">
          <cell r="A615" t="str">
            <v>Hamilton Lane-Carpenters Partnership Fund II L.P.</v>
          </cell>
          <cell r="G615" t="str">
            <v>Platinum Equity Capital Partners</v>
          </cell>
          <cell r="I615" t="str">
            <v>Primary Partnership</v>
          </cell>
          <cell r="J615">
            <v>15000000</v>
          </cell>
          <cell r="K615">
            <v>2472829</v>
          </cell>
          <cell r="R615" t="str">
            <v>Mid</v>
          </cell>
          <cell r="S615">
            <v>-7.2436855114798027</v>
          </cell>
          <cell r="Y615">
            <v>2257588</v>
          </cell>
          <cell r="Z615">
            <v>0</v>
          </cell>
          <cell r="AA615" t="str">
            <v>Corporate Finance/Buyout</v>
          </cell>
          <cell r="AF615">
            <v>0.16485526666666667</v>
          </cell>
        </row>
        <row r="616">
          <cell r="A616" t="str">
            <v>Marsh &amp; McLennan Master Retirement Trust</v>
          </cell>
          <cell r="G616" t="str">
            <v>Platinum Equity Capital Partners</v>
          </cell>
          <cell r="I616" t="str">
            <v>Primary Partnership</v>
          </cell>
          <cell r="J616">
            <v>20000000</v>
          </cell>
          <cell r="K616">
            <v>0</v>
          </cell>
          <cell r="R616" t="str">
            <v>Mid</v>
          </cell>
          <cell r="S616">
            <v>-7.2436855114798027</v>
          </cell>
          <cell r="Y616">
            <v>0</v>
          </cell>
          <cell r="Z616">
            <v>0</v>
          </cell>
          <cell r="AA616" t="str">
            <v>Corporate Finance/Buyout</v>
          </cell>
          <cell r="AF616">
            <v>0</v>
          </cell>
        </row>
        <row r="617">
          <cell r="A617" t="str">
            <v>Royal Mail Pensions Trustees Limited</v>
          </cell>
          <cell r="G617" t="str">
            <v>Platinum Equity Capital Partners</v>
          </cell>
          <cell r="I617" t="str">
            <v>Primary Partnership</v>
          </cell>
          <cell r="J617">
            <v>10000000</v>
          </cell>
          <cell r="K617">
            <v>1648552</v>
          </cell>
          <cell r="R617" t="str">
            <v>Mid</v>
          </cell>
          <cell r="S617">
            <v>-7.2436855114798027</v>
          </cell>
          <cell r="Y617">
            <v>1505056</v>
          </cell>
          <cell r="Z617">
            <v>0</v>
          </cell>
          <cell r="AA617" t="str">
            <v>Corporate Finance/Buyout</v>
          </cell>
          <cell r="AF617">
            <v>0.16485520000000001</v>
          </cell>
        </row>
        <row r="618">
          <cell r="A618" t="str">
            <v>The 1199 Health Care Employees Pension Fund</v>
          </cell>
          <cell r="G618" t="str">
            <v>Platinum Equity Capital Partners</v>
          </cell>
          <cell r="I618" t="str">
            <v>Primary Partnership</v>
          </cell>
          <cell r="J618">
            <v>5000000</v>
          </cell>
          <cell r="K618">
            <v>824276</v>
          </cell>
          <cell r="R618" t="str">
            <v>Mid</v>
          </cell>
          <cell r="S618">
            <v>-7.2436855114798027</v>
          </cell>
          <cell r="Y618">
            <v>752529</v>
          </cell>
          <cell r="Z618">
            <v>0</v>
          </cell>
          <cell r="AA618" t="str">
            <v>Corporate Finance/Buyout</v>
          </cell>
          <cell r="AF618">
            <v>0.16485520000000001</v>
          </cell>
        </row>
        <row r="619">
          <cell r="A619" t="str">
            <v>The Hudson River Fund II</v>
          </cell>
          <cell r="G619" t="str">
            <v>Platinum Equity Capital Partners</v>
          </cell>
          <cell r="I619" t="str">
            <v>Primary Partnership</v>
          </cell>
          <cell r="J619">
            <v>20000000</v>
          </cell>
          <cell r="K619">
            <v>5968805</v>
          </cell>
          <cell r="R619" t="str">
            <v>Mid</v>
          </cell>
          <cell r="S619">
            <v>-7.2436855114798027</v>
          </cell>
          <cell r="Y619">
            <v>5681813</v>
          </cell>
          <cell r="Z619">
            <v>0</v>
          </cell>
          <cell r="AA619" t="str">
            <v>Corporate Finance/Buyout</v>
          </cell>
          <cell r="AF619">
            <v>0.29844025000000002</v>
          </cell>
        </row>
        <row r="620">
          <cell r="A620" t="str">
            <v>Winnipeg Civic - Manitoba Ltd.</v>
          </cell>
          <cell r="G620" t="str">
            <v>Platinum Equity Capital Partners</v>
          </cell>
          <cell r="I620" t="str">
            <v>Primary Partnership</v>
          </cell>
          <cell r="J620">
            <v>5600000</v>
          </cell>
          <cell r="K620">
            <v>923190</v>
          </cell>
          <cell r="R620" t="str">
            <v>Mid</v>
          </cell>
          <cell r="S620">
            <v>-7.2436855114798027</v>
          </cell>
          <cell r="Y620">
            <v>842832</v>
          </cell>
          <cell r="Z620">
            <v>0</v>
          </cell>
          <cell r="AA620" t="str">
            <v>Corporate Finance/Buyout</v>
          </cell>
          <cell r="AF620">
            <v>0.16485535714285715</v>
          </cell>
        </row>
        <row r="621">
          <cell r="A621" t="str">
            <v>Winnipeg Police - Manitoba Ltd.</v>
          </cell>
          <cell r="G621" t="str">
            <v>Platinum Equity Capital Partners</v>
          </cell>
          <cell r="I621" t="str">
            <v>Primary Partnership</v>
          </cell>
          <cell r="J621">
            <v>1400000</v>
          </cell>
          <cell r="K621">
            <v>230798</v>
          </cell>
          <cell r="R621" t="str">
            <v>Mid</v>
          </cell>
          <cell r="S621">
            <v>-7.2436855114798027</v>
          </cell>
          <cell r="Y621">
            <v>210709</v>
          </cell>
          <cell r="Z621">
            <v>0</v>
          </cell>
          <cell r="AA621" t="str">
            <v>Corporate Finance/Buyout</v>
          </cell>
          <cell r="AF621">
            <v>0.16485571428571427</v>
          </cell>
        </row>
        <row r="622">
          <cell r="A622" t="str">
            <v>Hamilton Lane Private Equity Fund Investments KB</v>
          </cell>
          <cell r="G622" t="str">
            <v>Platinum Equity Capital Partners</v>
          </cell>
          <cell r="I622" t="str">
            <v>Primary Partnership</v>
          </cell>
          <cell r="J622">
            <v>5000000</v>
          </cell>
          <cell r="K622">
            <v>3763298.79</v>
          </cell>
          <cell r="R622" t="str">
            <v>Mid</v>
          </cell>
          <cell r="S622">
            <v>71.634475216637043</v>
          </cell>
          <cell r="Y622">
            <v>3096386</v>
          </cell>
          <cell r="Z622">
            <v>5389752.4100000001</v>
          </cell>
          <cell r="AA622" t="str">
            <v>Corporate Finance/Buyout</v>
          </cell>
          <cell r="AF622">
            <v>0.75265975799999996</v>
          </cell>
        </row>
        <row r="623">
          <cell r="A623" t="str">
            <v>Hamilton Lane Private Equity Fund V, L.P.</v>
          </cell>
          <cell r="G623" t="str">
            <v>Platinum Equity Capital Partners</v>
          </cell>
          <cell r="I623" t="str">
            <v>Primary Partnership</v>
          </cell>
          <cell r="J623">
            <v>5000000</v>
          </cell>
          <cell r="K623">
            <v>3762227</v>
          </cell>
          <cell r="R623" t="str">
            <v>Mid</v>
          </cell>
          <cell r="S623">
            <v>71.634475216637043</v>
          </cell>
          <cell r="Y623">
            <v>3096384</v>
          </cell>
          <cell r="Z623">
            <v>5439461.75</v>
          </cell>
          <cell r="AA623" t="str">
            <v>Corporate Finance/Buyout</v>
          </cell>
          <cell r="AF623">
            <v>0.75244540000000004</v>
          </cell>
        </row>
        <row r="624">
          <cell r="A624" t="str">
            <v>I.A.M. National Pension Fund</v>
          </cell>
          <cell r="G624" t="str">
            <v>Platinum Equity Capital Partners</v>
          </cell>
          <cell r="I624" t="str">
            <v>Primary Partnership</v>
          </cell>
          <cell r="J624">
            <v>5000000</v>
          </cell>
          <cell r="K624">
            <v>3745613</v>
          </cell>
          <cell r="R624" t="str">
            <v>Mid</v>
          </cell>
          <cell r="S624">
            <v>71.634475216637043</v>
          </cell>
          <cell r="Y624">
            <v>3096384</v>
          </cell>
          <cell r="Z624">
            <v>5388018</v>
          </cell>
          <cell r="AA624" t="str">
            <v>Corporate Finance/Buyout</v>
          </cell>
          <cell r="AF624">
            <v>0.74912259999999997</v>
          </cell>
        </row>
        <row r="625">
          <cell r="A625" t="str">
            <v>Nordea Thematic Fund-of-Funds</v>
          </cell>
          <cell r="G625" t="str">
            <v>Platinum Equity Capital Partners</v>
          </cell>
          <cell r="I625" t="str">
            <v>Primary Partnership</v>
          </cell>
          <cell r="J625">
            <v>10000000</v>
          </cell>
          <cell r="K625">
            <v>7518873.2699999996</v>
          </cell>
          <cell r="R625" t="str">
            <v>Mid</v>
          </cell>
          <cell r="S625">
            <v>71.634475216637043</v>
          </cell>
          <cell r="Y625">
            <v>6192771</v>
          </cell>
          <cell r="Z625">
            <v>10758609.75</v>
          </cell>
          <cell r="AA625" t="str">
            <v>Corporate Finance/Buyout</v>
          </cell>
          <cell r="AF625">
            <v>0.75188732699999994</v>
          </cell>
        </row>
        <row r="626">
          <cell r="A626" t="str">
            <v>Royal Mail Pensions Trustees Limited</v>
          </cell>
          <cell r="G626" t="str">
            <v>Platinum Equity Capital Partners</v>
          </cell>
          <cell r="I626" t="str">
            <v>Primary Partnership</v>
          </cell>
          <cell r="J626">
            <v>5000000</v>
          </cell>
          <cell r="K626">
            <v>3762227</v>
          </cell>
          <cell r="R626" t="str">
            <v>Mid</v>
          </cell>
          <cell r="S626">
            <v>71.634475216637043</v>
          </cell>
          <cell r="Y626">
            <v>3096384</v>
          </cell>
          <cell r="Z626">
            <v>5388018</v>
          </cell>
          <cell r="AA626" t="str">
            <v>Corporate Finance/Buyout</v>
          </cell>
          <cell r="AF626">
            <v>0.75244540000000004</v>
          </cell>
        </row>
        <row r="627">
          <cell r="A627" t="str">
            <v>The 1199 Health Care Employees Pension Fund</v>
          </cell>
          <cell r="G627" t="str">
            <v>Platinum Equity Capital Partners</v>
          </cell>
          <cell r="I627" t="str">
            <v>Primary Partnership</v>
          </cell>
          <cell r="J627">
            <v>5000000</v>
          </cell>
          <cell r="K627">
            <v>3804636</v>
          </cell>
          <cell r="R627" t="str">
            <v>Mid</v>
          </cell>
          <cell r="S627">
            <v>71.634475216637043</v>
          </cell>
          <cell r="Y627">
            <v>3096384</v>
          </cell>
          <cell r="Z627">
            <v>5447041</v>
          </cell>
          <cell r="AA627" t="str">
            <v>Corporate Finance/Buyout</v>
          </cell>
          <cell r="AF627">
            <v>0.76092720000000003</v>
          </cell>
        </row>
        <row r="628">
          <cell r="A628" t="str">
            <v>The Markaz/Hamilton Lane Technology Fund L.P.</v>
          </cell>
          <cell r="G628" t="str">
            <v>Platinum Equity Capital Partners</v>
          </cell>
          <cell r="I628" t="str">
            <v>Primary Partnership</v>
          </cell>
          <cell r="J628">
            <v>1000000</v>
          </cell>
          <cell r="K628">
            <v>666698.31999999995</v>
          </cell>
          <cell r="R628" t="str">
            <v>Mid</v>
          </cell>
          <cell r="S628">
            <v>71.634475216637043</v>
          </cell>
          <cell r="Y628">
            <v>619272</v>
          </cell>
          <cell r="Z628">
            <v>1002511.16</v>
          </cell>
          <cell r="AA628" t="str">
            <v>Corporate Finance/Buyout</v>
          </cell>
          <cell r="AF628">
            <v>0.66669831999999996</v>
          </cell>
        </row>
        <row r="629">
          <cell r="A629" t="str">
            <v>The Hudson River Fund II</v>
          </cell>
          <cell r="G629" t="str">
            <v>Plenus Venture Lending</v>
          </cell>
          <cell r="I629" t="str">
            <v>Primary Partnership</v>
          </cell>
          <cell r="J629">
            <v>15000000</v>
          </cell>
          <cell r="K629">
            <v>2604363</v>
          </cell>
          <cell r="R629" t="str">
            <v>Multi-Stage</v>
          </cell>
          <cell r="S629">
            <v>-11.016335564549784</v>
          </cell>
          <cell r="Y629">
            <v>2423000</v>
          </cell>
          <cell r="Z629">
            <v>0</v>
          </cell>
          <cell r="AA629" t="str">
            <v>Venture Capital</v>
          </cell>
          <cell r="AF629">
            <v>0.17362420000000001</v>
          </cell>
        </row>
        <row r="630">
          <cell r="A630" t="str">
            <v>Nordea Thematic Fund-of-Funds</v>
          </cell>
          <cell r="G630" t="str">
            <v>Polaris</v>
          </cell>
          <cell r="I630" t="str">
            <v>Primary Partnership</v>
          </cell>
          <cell r="J630">
            <v>5000000</v>
          </cell>
          <cell r="K630">
            <v>4625000</v>
          </cell>
          <cell r="R630" t="str">
            <v>Multi-Stage</v>
          </cell>
          <cell r="S630">
            <v>10.501413242965851</v>
          </cell>
          <cell r="Y630">
            <v>4939682</v>
          </cell>
          <cell r="Z630">
            <v>896120.60800000001</v>
          </cell>
          <cell r="AA630" t="str">
            <v>Venture Capital</v>
          </cell>
          <cell r="AF630">
            <v>0.92500000000000004</v>
          </cell>
        </row>
        <row r="631">
          <cell r="A631" t="str">
            <v>Los Angeles City Employees' Retirement System</v>
          </cell>
          <cell r="G631" t="str">
            <v>Polaris</v>
          </cell>
          <cell r="I631" t="str">
            <v>Primary Partnership</v>
          </cell>
          <cell r="J631">
            <v>15000000</v>
          </cell>
          <cell r="K631">
            <v>3075000</v>
          </cell>
          <cell r="R631" t="str">
            <v>Multi-Stage</v>
          </cell>
          <cell r="S631">
            <v>-20.027362990465491</v>
          </cell>
          <cell r="Y631">
            <v>2681081</v>
          </cell>
          <cell r="Z631">
            <v>0</v>
          </cell>
          <cell r="AA631" t="str">
            <v>Venture Capital</v>
          </cell>
          <cell r="AF631">
            <v>0.20499999999999999</v>
          </cell>
        </row>
        <row r="632">
          <cell r="A632" t="str">
            <v>Hamilton Lane Secondary Fund L.P. (Investments)</v>
          </cell>
          <cell r="G632" t="str">
            <v>Pomona Capital</v>
          </cell>
          <cell r="I632" t="str">
            <v>Secondary Purchase</v>
          </cell>
          <cell r="J632">
            <v>4856348</v>
          </cell>
          <cell r="K632">
            <v>4346454</v>
          </cell>
          <cell r="R632" t="str">
            <v>Multi-Stage</v>
          </cell>
          <cell r="S632">
            <v>43.99349260406342</v>
          </cell>
          <cell r="Y632">
            <v>4680142</v>
          </cell>
          <cell r="Z632">
            <v>1229439</v>
          </cell>
          <cell r="AA632" t="str">
            <v>Special Situation</v>
          </cell>
          <cell r="AF632">
            <v>0.89500464134777824</v>
          </cell>
        </row>
        <row r="633">
          <cell r="A633" t="str">
            <v>Hamilton Lane Private Equity Fund Investments KB</v>
          </cell>
          <cell r="G633" t="str">
            <v>Pomona Capital</v>
          </cell>
          <cell r="I633" t="str">
            <v>Secondary Fund-of-Funds</v>
          </cell>
          <cell r="J633">
            <v>5000000</v>
          </cell>
          <cell r="K633">
            <v>3759002</v>
          </cell>
          <cell r="R633" t="str">
            <v>Multi-Stage</v>
          </cell>
          <cell r="S633">
            <v>11.020936597357721</v>
          </cell>
          <cell r="Y633">
            <v>3399654</v>
          </cell>
          <cell r="Z633">
            <v>709171</v>
          </cell>
          <cell r="AA633" t="str">
            <v>Special Situation</v>
          </cell>
          <cell r="AF633">
            <v>0.75180040000000004</v>
          </cell>
        </row>
        <row r="634">
          <cell r="A634" t="str">
            <v>Hamilton Lane Capital Opportunities Fund LP</v>
          </cell>
          <cell r="G634" t="str">
            <v>Pomona Capital</v>
          </cell>
          <cell r="I634" t="str">
            <v>Secondary Fund-of-Funds</v>
          </cell>
          <cell r="J634">
            <v>15000000</v>
          </cell>
          <cell r="K634">
            <v>0</v>
          </cell>
          <cell r="R634" t="str">
            <v>Multi-Stage</v>
          </cell>
          <cell r="Y634">
            <v>0</v>
          </cell>
          <cell r="Z634">
            <v>0</v>
          </cell>
          <cell r="AA634" t="str">
            <v>Special Situation</v>
          </cell>
          <cell r="AF634">
            <v>0</v>
          </cell>
        </row>
        <row r="635">
          <cell r="A635" t="str">
            <v>Hamilton Lane Private Equity Fund Investments KB</v>
          </cell>
          <cell r="G635" t="str">
            <v>Pomona Capital</v>
          </cell>
          <cell r="I635" t="str">
            <v>Secondary Fund-of-Funds</v>
          </cell>
          <cell r="J635">
            <v>10000000</v>
          </cell>
          <cell r="K635">
            <v>0</v>
          </cell>
          <cell r="R635" t="str">
            <v>Multi-Stage</v>
          </cell>
          <cell r="Y635">
            <v>0</v>
          </cell>
          <cell r="Z635">
            <v>0</v>
          </cell>
          <cell r="AA635" t="str">
            <v>Special Situation</v>
          </cell>
          <cell r="AF635">
            <v>0</v>
          </cell>
        </row>
        <row r="636">
          <cell r="A636" t="str">
            <v>Hamilton Lane-Carpenters Partnership Fund II L.P.</v>
          </cell>
          <cell r="G636" t="str">
            <v>Pomona Capital</v>
          </cell>
          <cell r="I636" t="str">
            <v>Secondary Fund-of-Funds</v>
          </cell>
          <cell r="J636">
            <v>25000000</v>
          </cell>
          <cell r="K636">
            <v>0</v>
          </cell>
          <cell r="R636" t="str">
            <v>Multi-Stage</v>
          </cell>
          <cell r="Y636">
            <v>0</v>
          </cell>
          <cell r="Z636">
            <v>0</v>
          </cell>
          <cell r="AA636" t="str">
            <v>Special Situation</v>
          </cell>
          <cell r="AF636">
            <v>0</v>
          </cell>
        </row>
        <row r="637">
          <cell r="A637" t="str">
            <v>Hamilton Lane Secondary Fund L.P. (Investments)</v>
          </cell>
          <cell r="G637" t="str">
            <v>W Capital Partners</v>
          </cell>
          <cell r="I637" t="str">
            <v>Secondary Purchase</v>
          </cell>
          <cell r="J637">
            <v>3116404.28</v>
          </cell>
          <cell r="K637">
            <v>3116404.28</v>
          </cell>
          <cell r="R637" t="str">
            <v>Small</v>
          </cell>
          <cell r="S637">
            <v>2.8562243382434627</v>
          </cell>
          <cell r="Y637">
            <v>3228439</v>
          </cell>
          <cell r="Z637">
            <v>0</v>
          </cell>
          <cell r="AA637" t="str">
            <v>Corporate Finance/Buyout</v>
          </cell>
          <cell r="AF637">
            <v>1</v>
          </cell>
        </row>
        <row r="638">
          <cell r="A638" t="str">
            <v>Hamilton Lane-Carpenters Partnership Fund, L.P.</v>
          </cell>
          <cell r="G638" t="str">
            <v>Prospect Venture Partners</v>
          </cell>
          <cell r="I638" t="str">
            <v>Primary Partnership</v>
          </cell>
          <cell r="J638">
            <v>5000000</v>
          </cell>
          <cell r="K638">
            <v>4175000</v>
          </cell>
          <cell r="R638" t="str">
            <v>Early Stage</v>
          </cell>
          <cell r="S638">
            <v>6.1637752068921525</v>
          </cell>
          <cell r="Y638">
            <v>3147092</v>
          </cell>
          <cell r="Z638">
            <v>1918570.0527999999</v>
          </cell>
          <cell r="AA638" t="str">
            <v>Venture Capital</v>
          </cell>
          <cell r="AF638">
            <v>0.83499999999999996</v>
          </cell>
        </row>
        <row r="639">
          <cell r="A639" t="str">
            <v>Nordea Thematic Fund-of-Funds</v>
          </cell>
          <cell r="G639" t="str">
            <v>Prospect Venture Partners</v>
          </cell>
          <cell r="I639" t="str">
            <v>Primary Partnership</v>
          </cell>
          <cell r="J639">
            <v>5000000</v>
          </cell>
          <cell r="K639">
            <v>4175000</v>
          </cell>
          <cell r="R639" t="str">
            <v>Early Stage</v>
          </cell>
          <cell r="S639">
            <v>6.1637752068921525</v>
          </cell>
          <cell r="Y639">
            <v>3146977</v>
          </cell>
          <cell r="Z639">
            <v>1915628.3228</v>
          </cell>
          <cell r="AA639" t="str">
            <v>Venture Capital</v>
          </cell>
          <cell r="AF639">
            <v>0.83499999999999996</v>
          </cell>
        </row>
        <row r="640">
          <cell r="A640" t="str">
            <v>The Markaz/Hamilton Lane Technology Fund L.P.</v>
          </cell>
          <cell r="G640" t="str">
            <v>Prospect Venture Partners</v>
          </cell>
          <cell r="I640" t="str">
            <v>Primary Partnership</v>
          </cell>
          <cell r="J640">
            <v>1000000</v>
          </cell>
          <cell r="K640">
            <v>835000</v>
          </cell>
          <cell r="R640" t="str">
            <v>Early Stage</v>
          </cell>
          <cell r="S640">
            <v>6.1637752068921525</v>
          </cell>
          <cell r="Y640">
            <v>629430</v>
          </cell>
          <cell r="Z640">
            <v>383699.74190000002</v>
          </cell>
          <cell r="AA640" t="str">
            <v>Venture Capital</v>
          </cell>
          <cell r="AF640">
            <v>0.83499999999999996</v>
          </cell>
        </row>
        <row r="641">
          <cell r="A641" t="str">
            <v>The Hudson River Fund</v>
          </cell>
          <cell r="G641" t="str">
            <v>Provender Capital Goup LLC</v>
          </cell>
          <cell r="I641" t="str">
            <v>Primary Partnership</v>
          </cell>
          <cell r="J641">
            <v>30000000</v>
          </cell>
          <cell r="K641">
            <v>29707518</v>
          </cell>
          <cell r="R641" t="str">
            <v>Small</v>
          </cell>
          <cell r="S641">
            <v>-17.451633639766683</v>
          </cell>
          <cell r="Y641">
            <v>0</v>
          </cell>
          <cell r="Z641">
            <v>16237047.68</v>
          </cell>
          <cell r="AA641" t="str">
            <v>Corporate Finance/Buyout</v>
          </cell>
          <cell r="AF641">
            <v>0.99025059999999998</v>
          </cell>
        </row>
        <row r="642">
          <cell r="A642" t="str">
            <v>Hamilton Lane Private Equity Fund Plc</v>
          </cell>
          <cell r="G642" t="str">
            <v>Providence Equity Partners, Inc.</v>
          </cell>
          <cell r="I642" t="str">
            <v>Primary Partnership</v>
          </cell>
          <cell r="J642">
            <v>3420500</v>
          </cell>
          <cell r="K642">
            <v>2979160</v>
          </cell>
          <cell r="R642" t="str">
            <v>Industry Focused</v>
          </cell>
          <cell r="S642">
            <v>14.233020249209162</v>
          </cell>
          <cell r="Y642">
            <v>107535</v>
          </cell>
          <cell r="Z642">
            <v>4552584</v>
          </cell>
          <cell r="AA642" t="str">
            <v>Special Situation</v>
          </cell>
          <cell r="AF642">
            <v>0.87097208010524774</v>
          </cell>
        </row>
        <row r="643">
          <cell r="A643" t="str">
            <v>Hamilton Lane Private Equity Partners, L.P.</v>
          </cell>
          <cell r="G643" t="str">
            <v>Providence Equity Partners, Inc.</v>
          </cell>
          <cell r="I643" t="str">
            <v>Primary Partnership</v>
          </cell>
          <cell r="J643">
            <v>1579500</v>
          </cell>
          <cell r="K643">
            <v>1375703</v>
          </cell>
          <cell r="R643" t="str">
            <v>Industry Focused</v>
          </cell>
          <cell r="S643">
            <v>14.233020249209162</v>
          </cell>
          <cell r="Y643">
            <v>49660</v>
          </cell>
          <cell r="Z643">
            <v>2102266</v>
          </cell>
          <cell r="AA643" t="str">
            <v>Special Situation</v>
          </cell>
          <cell r="AF643">
            <v>0.87097372586261479</v>
          </cell>
        </row>
        <row r="644">
          <cell r="A644" t="str">
            <v>Textron Master Trust</v>
          </cell>
          <cell r="G644" t="str">
            <v>Providence Equity Partners, Inc.</v>
          </cell>
          <cell r="I644" t="str">
            <v>Primary Partnership</v>
          </cell>
          <cell r="J644">
            <v>25000000</v>
          </cell>
          <cell r="K644">
            <v>24047118</v>
          </cell>
          <cell r="R644" t="str">
            <v>Industry Focused</v>
          </cell>
          <cell r="S644">
            <v>14.233020249209162</v>
          </cell>
          <cell r="Y644">
            <v>785995</v>
          </cell>
          <cell r="Z644">
            <v>35547011.123241</v>
          </cell>
          <cell r="AA644" t="str">
            <v>Special Situation</v>
          </cell>
          <cell r="AF644">
            <v>0.96188472000000003</v>
          </cell>
        </row>
        <row r="645">
          <cell r="A645" t="str">
            <v>Hamilton Lane Private Equity Fund IV L.P.</v>
          </cell>
          <cell r="G645" t="str">
            <v>Providence Equity Partners, Inc.</v>
          </cell>
          <cell r="I645" t="str">
            <v>Primary Partnership</v>
          </cell>
          <cell r="J645">
            <v>20760840</v>
          </cell>
          <cell r="K645">
            <v>19049962</v>
          </cell>
          <cell r="R645" t="str">
            <v>Large</v>
          </cell>
          <cell r="S645">
            <v>28.245032953734196</v>
          </cell>
          <cell r="Y645">
            <v>15473279</v>
          </cell>
          <cell r="Z645">
            <v>24294466</v>
          </cell>
          <cell r="AA645" t="str">
            <v>Corporate Finance/Buyout</v>
          </cell>
          <cell r="AF645">
            <v>0.91759109939674888</v>
          </cell>
        </row>
        <row r="646">
          <cell r="A646" t="str">
            <v>Hamilton Lane-Carpenters Partnership Fund, L.P.</v>
          </cell>
          <cell r="G646" t="str">
            <v>Providence Equity Partners, Inc.</v>
          </cell>
          <cell r="I646" t="str">
            <v>Primary Partnership</v>
          </cell>
          <cell r="J646">
            <v>15570630</v>
          </cell>
          <cell r="K646">
            <v>16669723</v>
          </cell>
          <cell r="R646" t="str">
            <v>Large</v>
          </cell>
          <cell r="S646">
            <v>28.245032953734196</v>
          </cell>
          <cell r="Y646">
            <v>11605989</v>
          </cell>
          <cell r="Z646">
            <v>20602639.859999999</v>
          </cell>
          <cell r="AA646" t="str">
            <v>Corporate Finance/Buyout</v>
          </cell>
          <cell r="AF646">
            <v>1.0705875741700881</v>
          </cell>
        </row>
        <row r="647">
          <cell r="A647" t="str">
            <v>Princess Private Equity Subholding Ltd.</v>
          </cell>
          <cell r="G647" t="str">
            <v>Providence Equity Partners, Inc.</v>
          </cell>
          <cell r="I647" t="str">
            <v>Primary Partnership</v>
          </cell>
          <cell r="J647">
            <v>10380028</v>
          </cell>
          <cell r="K647">
            <v>11066491</v>
          </cell>
          <cell r="R647" t="str">
            <v>Large</v>
          </cell>
          <cell r="S647">
            <v>28.245032953734196</v>
          </cell>
          <cell r="Y647">
            <v>7737115</v>
          </cell>
          <cell r="Z647">
            <v>13568222</v>
          </cell>
          <cell r="AA647" t="str">
            <v>Corporate Finance/Buyout</v>
          </cell>
          <cell r="AF647">
            <v>1.0661330586006126</v>
          </cell>
        </row>
        <row r="648">
          <cell r="A648" t="str">
            <v>Textron Master Trust</v>
          </cell>
          <cell r="G648" t="str">
            <v>Providence Equity Partners, Inc.</v>
          </cell>
          <cell r="I648" t="str">
            <v>Primary Partnership</v>
          </cell>
          <cell r="J648">
            <v>25950069</v>
          </cell>
          <cell r="K648">
            <v>28511920</v>
          </cell>
          <cell r="R648" t="str">
            <v>Large</v>
          </cell>
          <cell r="S648">
            <v>28.245032953734196</v>
          </cell>
          <cell r="Y648">
            <v>19343110</v>
          </cell>
          <cell r="Z648">
            <v>35066397.797227003</v>
          </cell>
          <cell r="AA648" t="str">
            <v>Corporate Finance/Buyout</v>
          </cell>
          <cell r="AF648">
            <v>1.0987223193895939</v>
          </cell>
        </row>
        <row r="649">
          <cell r="A649" t="str">
            <v>Textron Master Trust</v>
          </cell>
          <cell r="G649" t="str">
            <v>Providence Equity Partners, Inc.</v>
          </cell>
          <cell r="I649" t="str">
            <v>Primary Partnership</v>
          </cell>
          <cell r="J649">
            <v>20000000</v>
          </cell>
          <cell r="K649">
            <v>19035549</v>
          </cell>
          <cell r="R649" t="str">
            <v>Large</v>
          </cell>
          <cell r="S649">
            <v>17.281110239252829</v>
          </cell>
          <cell r="Y649">
            <v>23718432</v>
          </cell>
          <cell r="Z649">
            <v>1038289</v>
          </cell>
          <cell r="AA649" t="str">
            <v>Corporate Finance/Buyout</v>
          </cell>
          <cell r="AF649">
            <v>0.95177745000000002</v>
          </cell>
        </row>
        <row r="650">
          <cell r="A650" t="str">
            <v>The 1199 Health Care Employees Pension Fund</v>
          </cell>
          <cell r="G650" t="str">
            <v>Providence Equity Partners, Inc.</v>
          </cell>
          <cell r="I650" t="str">
            <v>Primary Partnership</v>
          </cell>
          <cell r="J650">
            <v>15000000</v>
          </cell>
          <cell r="K650">
            <v>14276124</v>
          </cell>
          <cell r="R650" t="str">
            <v>Large</v>
          </cell>
          <cell r="S650">
            <v>17.281110239252829</v>
          </cell>
          <cell r="Y650">
            <v>17788289</v>
          </cell>
          <cell r="Z650">
            <v>778717</v>
          </cell>
          <cell r="AA650" t="str">
            <v>Corporate Finance/Buyout</v>
          </cell>
          <cell r="AF650">
            <v>0.95174159999999997</v>
          </cell>
        </row>
        <row r="651">
          <cell r="A651" t="str">
            <v>Generali Global Private Equity S.A. SICAR</v>
          </cell>
          <cell r="G651" t="str">
            <v>Providence Equity Partners, Inc.</v>
          </cell>
          <cell r="I651" t="str">
            <v>Primary Partnership</v>
          </cell>
          <cell r="J651">
            <v>10000000</v>
          </cell>
          <cell r="K651">
            <v>9559583</v>
          </cell>
          <cell r="R651" t="str">
            <v>Large</v>
          </cell>
          <cell r="S651">
            <v>17.281110239252829</v>
          </cell>
          <cell r="Y651">
            <v>11956478</v>
          </cell>
          <cell r="Z651">
            <v>511262</v>
          </cell>
          <cell r="AA651" t="str">
            <v>Corporate Finance/Buyout</v>
          </cell>
          <cell r="AF651">
            <v>0.95595830000000004</v>
          </cell>
        </row>
        <row r="652">
          <cell r="A652" t="str">
            <v>Hamilton Lane Private Equity Fund Investments KB</v>
          </cell>
          <cell r="G652" t="str">
            <v>Providence Equity Partners, Inc.</v>
          </cell>
          <cell r="I652" t="str">
            <v>Primary Partnership</v>
          </cell>
          <cell r="J652">
            <v>5000000</v>
          </cell>
          <cell r="K652">
            <v>4765749</v>
          </cell>
          <cell r="R652" t="str">
            <v>Large</v>
          </cell>
          <cell r="S652">
            <v>17.281110239252829</v>
          </cell>
          <cell r="Y652">
            <v>5977501</v>
          </cell>
          <cell r="Z652">
            <v>248073</v>
          </cell>
          <cell r="AA652" t="str">
            <v>Corporate Finance/Buyout</v>
          </cell>
          <cell r="AF652">
            <v>0.95314980000000005</v>
          </cell>
        </row>
        <row r="653">
          <cell r="A653" t="str">
            <v>Hamilton Lane Private Equity Fund V, L.P.</v>
          </cell>
          <cell r="G653" t="str">
            <v>Providence Equity Partners, Inc.</v>
          </cell>
          <cell r="I653" t="str">
            <v>Primary Partnership</v>
          </cell>
          <cell r="J653">
            <v>10000000</v>
          </cell>
          <cell r="K653">
            <v>9559583</v>
          </cell>
          <cell r="R653" t="str">
            <v>Large</v>
          </cell>
          <cell r="S653">
            <v>17.281110239252829</v>
          </cell>
          <cell r="Y653">
            <v>11956478</v>
          </cell>
          <cell r="Z653">
            <v>522758</v>
          </cell>
          <cell r="AA653" t="str">
            <v>Corporate Finance/Buyout</v>
          </cell>
          <cell r="AF653">
            <v>0.95595830000000004</v>
          </cell>
        </row>
        <row r="654">
          <cell r="A654" t="str">
            <v>Royal Mail Pensions Trustees Limited</v>
          </cell>
          <cell r="G654" t="str">
            <v>Providence Equity Partners, Inc.</v>
          </cell>
          <cell r="I654" t="str">
            <v>Primary Partnership</v>
          </cell>
          <cell r="J654">
            <v>10000000</v>
          </cell>
          <cell r="K654">
            <v>9559583</v>
          </cell>
          <cell r="R654" t="str">
            <v>Large</v>
          </cell>
          <cell r="S654">
            <v>17.281110239252829</v>
          </cell>
          <cell r="Y654">
            <v>11956478</v>
          </cell>
          <cell r="Z654">
            <v>511262</v>
          </cell>
          <cell r="AA654" t="str">
            <v>Corporate Finance/Buyout</v>
          </cell>
          <cell r="AF654">
            <v>0.95595830000000004</v>
          </cell>
        </row>
        <row r="655">
          <cell r="A655" t="str">
            <v>Gad - Gmulim - Hevra Lenihul Kupot Gemel Ltd.</v>
          </cell>
          <cell r="G655" t="str">
            <v>Providence Equity Partners, Inc.</v>
          </cell>
          <cell r="I655" t="str">
            <v>Primary Partnership</v>
          </cell>
          <cell r="J655">
            <v>5898900</v>
          </cell>
          <cell r="K655">
            <v>1902082</v>
          </cell>
          <cell r="R655" t="str">
            <v>Mega</v>
          </cell>
          <cell r="S655">
            <v>-6.6241495468380984</v>
          </cell>
          <cell r="Y655">
            <v>1828077</v>
          </cell>
          <cell r="Z655">
            <v>0</v>
          </cell>
          <cell r="AA655" t="str">
            <v>Corporate Finance/Buyout</v>
          </cell>
          <cell r="AF655">
            <v>0.32244689687907913</v>
          </cell>
        </row>
        <row r="656">
          <cell r="A656" t="str">
            <v>Generali Global Private Equity S.A. SICAR</v>
          </cell>
          <cell r="G656" t="str">
            <v>Providence Equity Partners, Inc.</v>
          </cell>
          <cell r="I656" t="str">
            <v>Primary Partnership</v>
          </cell>
          <cell r="J656">
            <v>30000000</v>
          </cell>
          <cell r="K656">
            <v>9673422</v>
          </cell>
          <cell r="R656" t="str">
            <v>Mega</v>
          </cell>
          <cell r="S656">
            <v>-6.6241495468380984</v>
          </cell>
          <cell r="Y656">
            <v>9297060</v>
          </cell>
          <cell r="Z656">
            <v>0</v>
          </cell>
          <cell r="AA656" t="str">
            <v>Corporate Finance/Buyout</v>
          </cell>
          <cell r="AF656">
            <v>0.3224474</v>
          </cell>
        </row>
        <row r="657">
          <cell r="A657" t="str">
            <v>Hamilton Lane Private Equity Fund Investments KB</v>
          </cell>
          <cell r="G657" t="str">
            <v>Providence Equity Partners, Inc.</v>
          </cell>
          <cell r="I657" t="str">
            <v>Primary Partnership</v>
          </cell>
          <cell r="J657">
            <v>10000000</v>
          </cell>
          <cell r="K657">
            <v>3224472</v>
          </cell>
          <cell r="R657" t="str">
            <v>Mega</v>
          </cell>
          <cell r="S657">
            <v>-6.6241495468380984</v>
          </cell>
          <cell r="Y657">
            <v>3099017</v>
          </cell>
          <cell r="Z657">
            <v>0</v>
          </cell>
          <cell r="AA657" t="str">
            <v>Corporate Finance/Buyout</v>
          </cell>
          <cell r="AF657">
            <v>0.32244719999999999</v>
          </cell>
        </row>
        <row r="658">
          <cell r="A658" t="str">
            <v>Hamilton Lane Private Equity Fund VI, L.P.</v>
          </cell>
          <cell r="G658" t="str">
            <v>Providence Equity Partners, Inc.</v>
          </cell>
          <cell r="I658" t="str">
            <v>Primary Partnership</v>
          </cell>
          <cell r="J658">
            <v>12000000</v>
          </cell>
          <cell r="K658">
            <v>3805663</v>
          </cell>
          <cell r="R658" t="str">
            <v>Mega</v>
          </cell>
          <cell r="S658">
            <v>-6.6241495468380984</v>
          </cell>
          <cell r="Y658">
            <v>3681164</v>
          </cell>
          <cell r="Z658">
            <v>0</v>
          </cell>
          <cell r="AA658" t="str">
            <v>Corporate Finance/Buyout</v>
          </cell>
          <cell r="AF658">
            <v>0.31713858333333333</v>
          </cell>
        </row>
        <row r="659">
          <cell r="A659" t="str">
            <v>Hamilton Lane-Carpenters Partnership Fund II L.P.</v>
          </cell>
          <cell r="G659" t="str">
            <v>Providence Equity Partners, Inc.</v>
          </cell>
          <cell r="I659" t="str">
            <v>Primary Partnership</v>
          </cell>
          <cell r="J659">
            <v>15000000</v>
          </cell>
          <cell r="K659">
            <v>4757079</v>
          </cell>
          <cell r="R659" t="str">
            <v>Mega</v>
          </cell>
          <cell r="S659">
            <v>-6.6241495468380984</v>
          </cell>
          <cell r="Y659">
            <v>4601455</v>
          </cell>
          <cell r="Z659">
            <v>0</v>
          </cell>
          <cell r="AA659" t="str">
            <v>Corporate Finance/Buyout</v>
          </cell>
          <cell r="AF659">
            <v>0.31713859999999999</v>
          </cell>
        </row>
        <row r="660">
          <cell r="A660" t="str">
            <v>Harel Gemel Ltd.</v>
          </cell>
          <cell r="G660" t="str">
            <v>Providence Equity Partners, Inc.</v>
          </cell>
          <cell r="I660" t="str">
            <v>Primary Partnership</v>
          </cell>
          <cell r="J660">
            <v>5400000</v>
          </cell>
          <cell r="K660">
            <v>1741216</v>
          </cell>
          <cell r="R660" t="str">
            <v>Mega</v>
          </cell>
          <cell r="S660">
            <v>-6.6241495468380984</v>
          </cell>
          <cell r="Y660">
            <v>1673470</v>
          </cell>
          <cell r="Z660">
            <v>0</v>
          </cell>
          <cell r="AA660" t="str">
            <v>Corporate Finance/Buyout</v>
          </cell>
          <cell r="AF660">
            <v>0.3224474074074074</v>
          </cell>
        </row>
        <row r="661">
          <cell r="A661" t="str">
            <v>Kovetz Hevra Lenihul Kupot Gemel Ltd.</v>
          </cell>
          <cell r="G661" t="str">
            <v>Providence Equity Partners, Inc.</v>
          </cell>
          <cell r="I661" t="str">
            <v>Primary Partnership</v>
          </cell>
          <cell r="J661">
            <v>4101100</v>
          </cell>
          <cell r="K661">
            <v>1322388</v>
          </cell>
          <cell r="R661" t="str">
            <v>Mega</v>
          </cell>
          <cell r="S661">
            <v>-6.6241495468380984</v>
          </cell>
          <cell r="Y661">
            <v>1270942</v>
          </cell>
          <cell r="Z661">
            <v>0</v>
          </cell>
          <cell r="AA661" t="str">
            <v>Corporate Finance/Buyout</v>
          </cell>
          <cell r="AF661">
            <v>0.32244714832605886</v>
          </cell>
        </row>
        <row r="662">
          <cell r="A662" t="str">
            <v>Los Angeles City Employees' Retirement System</v>
          </cell>
          <cell r="G662" t="str">
            <v>Providence Equity Partners, Inc.</v>
          </cell>
          <cell r="I662" t="str">
            <v>Primary Partnership</v>
          </cell>
          <cell r="J662">
            <v>30000000</v>
          </cell>
          <cell r="K662">
            <v>9514159</v>
          </cell>
          <cell r="R662" t="str">
            <v>Mega</v>
          </cell>
          <cell r="S662">
            <v>-6.6241495468380984</v>
          </cell>
          <cell r="Y662">
            <v>9202903</v>
          </cell>
          <cell r="Z662">
            <v>0</v>
          </cell>
          <cell r="AA662" t="str">
            <v>Corporate Finance/Buyout</v>
          </cell>
          <cell r="AF662">
            <v>0.31713863333333331</v>
          </cell>
        </row>
        <row r="663">
          <cell r="A663" t="str">
            <v>Marsh &amp; McLennan Master Retirement Trust</v>
          </cell>
          <cell r="G663" t="str">
            <v>Providence Equity Partners, Inc.</v>
          </cell>
          <cell r="I663" t="str">
            <v>Primary Partnership</v>
          </cell>
          <cell r="J663">
            <v>15000000</v>
          </cell>
          <cell r="K663">
            <v>4757079</v>
          </cell>
          <cell r="R663" t="str">
            <v>Mega</v>
          </cell>
          <cell r="S663">
            <v>-6.6241495468380984</v>
          </cell>
          <cell r="Y663">
            <v>4601455</v>
          </cell>
          <cell r="Z663">
            <v>0</v>
          </cell>
          <cell r="AA663" t="str">
            <v>Corporate Finance/Buyout</v>
          </cell>
          <cell r="AF663">
            <v>0.31713859999999999</v>
          </cell>
        </row>
        <row r="664">
          <cell r="A664" t="str">
            <v>Mivtachim - The Workers Social Insurance Fund Ltd.</v>
          </cell>
          <cell r="G664" t="str">
            <v>Providence Equity Partners, Inc.</v>
          </cell>
          <cell r="I664" t="str">
            <v>Primary Partnership</v>
          </cell>
          <cell r="J664">
            <v>10000000</v>
          </cell>
          <cell r="K664">
            <v>3224472</v>
          </cell>
          <cell r="R664" t="str">
            <v>Mega</v>
          </cell>
          <cell r="S664">
            <v>-6.6241495468380984</v>
          </cell>
          <cell r="Y664">
            <v>3099017</v>
          </cell>
          <cell r="Z664">
            <v>0</v>
          </cell>
          <cell r="AA664" t="str">
            <v>Corporate Finance/Buyout</v>
          </cell>
          <cell r="AF664">
            <v>0.32244719999999999</v>
          </cell>
        </row>
        <row r="665">
          <cell r="A665" t="str">
            <v>Princeton Theological Seminary</v>
          </cell>
          <cell r="G665" t="str">
            <v>Providence Equity Partners, Inc.</v>
          </cell>
          <cell r="I665" t="str">
            <v>Primary Partnership</v>
          </cell>
          <cell r="J665">
            <v>10000000</v>
          </cell>
          <cell r="K665">
            <v>3171386</v>
          </cell>
          <cell r="R665" t="str">
            <v>Mega</v>
          </cell>
          <cell r="S665">
            <v>-6.6241495468380984</v>
          </cell>
          <cell r="Y665">
            <v>3067635</v>
          </cell>
          <cell r="Z665">
            <v>0</v>
          </cell>
          <cell r="AA665" t="str">
            <v>Corporate Finance/Buyout</v>
          </cell>
          <cell r="AF665">
            <v>0.31713859999999999</v>
          </cell>
        </row>
        <row r="666">
          <cell r="A666" t="str">
            <v>Prisma Provident Funds Ltd.</v>
          </cell>
          <cell r="G666" t="str">
            <v>Providence Equity Partners, Inc.</v>
          </cell>
          <cell r="I666" t="str">
            <v>Primary Partnership</v>
          </cell>
          <cell r="J666">
            <v>4600000</v>
          </cell>
          <cell r="K666">
            <v>1483258</v>
          </cell>
          <cell r="R666" t="str">
            <v>Mega</v>
          </cell>
          <cell r="S666">
            <v>-6.6241495468380984</v>
          </cell>
          <cell r="Y666">
            <v>1425551</v>
          </cell>
          <cell r="Z666">
            <v>0</v>
          </cell>
          <cell r="AA666" t="str">
            <v>Corporate Finance/Buyout</v>
          </cell>
          <cell r="AF666">
            <v>0.32244739130434785</v>
          </cell>
        </row>
        <row r="667">
          <cell r="A667" t="str">
            <v>Royal Mail Pensions Trustees Limited</v>
          </cell>
          <cell r="G667" t="str">
            <v>Providence Equity Partners, Inc.</v>
          </cell>
          <cell r="I667" t="str">
            <v>Primary Partnership</v>
          </cell>
          <cell r="J667">
            <v>25000000</v>
          </cell>
          <cell r="K667">
            <v>8061188</v>
          </cell>
          <cell r="R667" t="str">
            <v>Mega</v>
          </cell>
          <cell r="S667">
            <v>-6.6241495468380984</v>
          </cell>
          <cell r="Y667">
            <v>7747558</v>
          </cell>
          <cell r="Z667">
            <v>0</v>
          </cell>
          <cell r="AA667" t="str">
            <v>Corporate Finance/Buyout</v>
          </cell>
          <cell r="AF667">
            <v>0.32244751999999999</v>
          </cell>
        </row>
        <row r="668">
          <cell r="A668" t="str">
            <v>Santa Barbara County Employees' Retirement System</v>
          </cell>
          <cell r="G668" t="str">
            <v>Providence Equity Partners, Inc.</v>
          </cell>
          <cell r="I668" t="str">
            <v>Primary Partnership</v>
          </cell>
          <cell r="J668">
            <v>10000000</v>
          </cell>
          <cell r="K668">
            <v>3171386</v>
          </cell>
          <cell r="R668" t="str">
            <v>Mega</v>
          </cell>
          <cell r="S668">
            <v>-6.6241495468380984</v>
          </cell>
          <cell r="Y668">
            <v>3067635</v>
          </cell>
          <cell r="Z668">
            <v>0</v>
          </cell>
          <cell r="AA668" t="str">
            <v>Corporate Finance/Buyout</v>
          </cell>
          <cell r="AF668">
            <v>0.31713859999999999</v>
          </cell>
        </row>
        <row r="669">
          <cell r="A669" t="str">
            <v>Textron Master Trust</v>
          </cell>
          <cell r="G669" t="str">
            <v>Providence Equity Partners, Inc.</v>
          </cell>
          <cell r="I669" t="str">
            <v>Primary Partnership</v>
          </cell>
          <cell r="J669">
            <v>20000000</v>
          </cell>
          <cell r="K669">
            <v>6342772</v>
          </cell>
          <cell r="R669" t="str">
            <v>Mega</v>
          </cell>
          <cell r="S669">
            <v>-6.6241495468380984</v>
          </cell>
          <cell r="Y669">
            <v>6135273</v>
          </cell>
          <cell r="Z669">
            <v>0</v>
          </cell>
          <cell r="AA669" t="str">
            <v>Corporate Finance/Buyout</v>
          </cell>
          <cell r="AF669">
            <v>0.31713859999999999</v>
          </cell>
        </row>
        <row r="670">
          <cell r="A670" t="str">
            <v>The 1199 Health Care Employees Pension Fund</v>
          </cell>
          <cell r="G670" t="str">
            <v>Providence Equity Partners, Inc.</v>
          </cell>
          <cell r="I670" t="str">
            <v>Primary Partnership</v>
          </cell>
          <cell r="J670">
            <v>15000000</v>
          </cell>
          <cell r="K670">
            <v>4757079</v>
          </cell>
          <cell r="R670" t="str">
            <v>Mega</v>
          </cell>
          <cell r="S670">
            <v>-6.6241495468380984</v>
          </cell>
          <cell r="Y670">
            <v>4601455</v>
          </cell>
          <cell r="Z670">
            <v>0</v>
          </cell>
          <cell r="AA670" t="str">
            <v>Corporate Finance/Buyout</v>
          </cell>
          <cell r="AF670">
            <v>0.31713859999999999</v>
          </cell>
        </row>
        <row r="671">
          <cell r="A671" t="str">
            <v>United Food &amp; Commercial Workers Intl. Union</v>
          </cell>
          <cell r="G671" t="str">
            <v>Providence Equity Partners, Inc.</v>
          </cell>
          <cell r="I671" t="str">
            <v>Primary Partnership</v>
          </cell>
          <cell r="J671">
            <v>15000000</v>
          </cell>
          <cell r="K671">
            <v>4757079</v>
          </cell>
          <cell r="R671" t="str">
            <v>Mega</v>
          </cell>
          <cell r="S671">
            <v>-6.6241495468380984</v>
          </cell>
          <cell r="Y671">
            <v>4601455</v>
          </cell>
          <cell r="Z671">
            <v>0</v>
          </cell>
          <cell r="AA671" t="str">
            <v>Corporate Finance/Buyout</v>
          </cell>
          <cell r="AF671">
            <v>0.31713859999999999</v>
          </cell>
        </row>
        <row r="672">
          <cell r="A672" t="str">
            <v>Winnipeg Civic - Manitoba Ltd.</v>
          </cell>
          <cell r="G672" t="str">
            <v>Providence Equity Partners, Inc.</v>
          </cell>
          <cell r="I672" t="str">
            <v>Primary Partnership</v>
          </cell>
          <cell r="J672">
            <v>4000000</v>
          </cell>
          <cell r="K672">
            <v>1289786</v>
          </cell>
          <cell r="R672" t="str">
            <v>Mega</v>
          </cell>
          <cell r="S672">
            <v>-6.6241495468380984</v>
          </cell>
          <cell r="Y672">
            <v>1239609</v>
          </cell>
          <cell r="Z672">
            <v>0</v>
          </cell>
          <cell r="AA672" t="str">
            <v>Corporate Finance/Buyout</v>
          </cell>
          <cell r="AF672">
            <v>0.32244650000000002</v>
          </cell>
        </row>
        <row r="673">
          <cell r="A673" t="str">
            <v>Winnipeg Police - Manitoba Ltd.</v>
          </cell>
          <cell r="G673" t="str">
            <v>Providence Equity Partners, Inc.</v>
          </cell>
          <cell r="I673" t="str">
            <v>Primary Partnership</v>
          </cell>
          <cell r="J673">
            <v>1000000</v>
          </cell>
          <cell r="K673">
            <v>322448</v>
          </cell>
          <cell r="R673" t="str">
            <v>Mega</v>
          </cell>
          <cell r="S673">
            <v>-6.6241495468380984</v>
          </cell>
          <cell r="Y673">
            <v>309905</v>
          </cell>
          <cell r="Z673">
            <v>0</v>
          </cell>
          <cell r="AA673" t="str">
            <v>Corporate Finance/Buyout</v>
          </cell>
          <cell r="AF673">
            <v>0.32244800000000001</v>
          </cell>
        </row>
        <row r="674">
          <cell r="A674" t="str">
            <v>Hamilton Lane Private Equity Fund Plc</v>
          </cell>
          <cell r="G674" t="str">
            <v>Providence Equity Partners, Inc.</v>
          </cell>
          <cell r="I674" t="str">
            <v>Primary Partnership</v>
          </cell>
          <cell r="J674">
            <v>684100</v>
          </cell>
          <cell r="K674">
            <v>553956</v>
          </cell>
          <cell r="R674" t="str">
            <v>Late Stage</v>
          </cell>
          <cell r="S674">
            <v>7.7049267406005928</v>
          </cell>
          <cell r="Y674">
            <v>255825</v>
          </cell>
          <cell r="Z674">
            <v>483970</v>
          </cell>
          <cell r="AA674" t="str">
            <v>Venture Capital</v>
          </cell>
          <cell r="AF674">
            <v>0.80975880719193105</v>
          </cell>
        </row>
        <row r="675">
          <cell r="A675" t="str">
            <v>Hamilton Lane Private Equity Partners, L.P.</v>
          </cell>
          <cell r="G675" t="str">
            <v>Providence Equity Partners, Inc.</v>
          </cell>
          <cell r="I675" t="str">
            <v>Primary Partnership</v>
          </cell>
          <cell r="J675">
            <v>315900</v>
          </cell>
          <cell r="K675">
            <v>257797</v>
          </cell>
          <cell r="R675" t="str">
            <v>Late Stage</v>
          </cell>
          <cell r="S675">
            <v>7.7049267406005928</v>
          </cell>
          <cell r="Y675">
            <v>118128</v>
          </cell>
          <cell r="Z675">
            <v>225480</v>
          </cell>
          <cell r="AA675" t="str">
            <v>Venture Capital</v>
          </cell>
          <cell r="AF675">
            <v>0.81607154162709716</v>
          </cell>
        </row>
        <row r="676">
          <cell r="A676" t="str">
            <v>Textron Master Trust</v>
          </cell>
          <cell r="G676" t="str">
            <v>Providence Equity Partners, Inc.</v>
          </cell>
          <cell r="I676" t="str">
            <v>Primary Partnership</v>
          </cell>
          <cell r="J676">
            <v>10000000</v>
          </cell>
          <cell r="K676">
            <v>9755015</v>
          </cell>
          <cell r="R676" t="str">
            <v>Late Stage</v>
          </cell>
          <cell r="S676">
            <v>7.7049267406005928</v>
          </cell>
          <cell r="Y676">
            <v>3739611</v>
          </cell>
          <cell r="Z676">
            <v>8731936</v>
          </cell>
          <cell r="AA676" t="str">
            <v>Venture Capital</v>
          </cell>
          <cell r="AF676">
            <v>0.97550150000000002</v>
          </cell>
        </row>
        <row r="677">
          <cell r="A677" t="str">
            <v>Hamilton Lane Private Equity Fund IV L.P.</v>
          </cell>
          <cell r="G677" t="str">
            <v>Leonard Green &amp; Company</v>
          </cell>
          <cell r="I677" t="str">
            <v>Co/Direct Investment</v>
          </cell>
          <cell r="J677">
            <v>4000000</v>
          </cell>
          <cell r="K677">
            <v>4000000</v>
          </cell>
          <cell r="R677" t="str">
            <v>Mid</v>
          </cell>
          <cell r="S677">
            <v>17.894221972929625</v>
          </cell>
          <cell r="Y677">
            <v>0</v>
          </cell>
          <cell r="Z677">
            <v>6223866.4339999957</v>
          </cell>
          <cell r="AA677" t="str">
            <v>Corporate Finance/Buyout</v>
          </cell>
          <cell r="AF677">
            <v>1</v>
          </cell>
        </row>
        <row r="678">
          <cell r="A678" t="str">
            <v>Hamilton Lane Private Equity Fund Plc</v>
          </cell>
          <cell r="G678" t="str">
            <v>Quad-C Management, Inc.</v>
          </cell>
          <cell r="I678" t="str">
            <v>Primary Partnership</v>
          </cell>
          <cell r="J678">
            <v>5130750</v>
          </cell>
          <cell r="K678">
            <v>4384360.53</v>
          </cell>
          <cell r="R678" t="str">
            <v>Mid</v>
          </cell>
          <cell r="S678">
            <v>9.8212855326040849</v>
          </cell>
          <cell r="Y678">
            <v>581993</v>
          </cell>
          <cell r="Z678">
            <v>6327091</v>
          </cell>
          <cell r="AA678" t="str">
            <v>Corporate Finance/Buyout</v>
          </cell>
          <cell r="AF678">
            <v>0.85452624470106719</v>
          </cell>
        </row>
        <row r="679">
          <cell r="A679" t="str">
            <v>Hamilton Lane Private Equity Partners, L.P.</v>
          </cell>
          <cell r="G679" t="str">
            <v>Quad-C Management, Inc.</v>
          </cell>
          <cell r="I679" t="str">
            <v>Primary Partnership</v>
          </cell>
          <cell r="J679">
            <v>2369250</v>
          </cell>
          <cell r="K679">
            <v>2024585.47</v>
          </cell>
          <cell r="R679" t="str">
            <v>Mid</v>
          </cell>
          <cell r="S679">
            <v>9.8212855326040849</v>
          </cell>
          <cell r="Y679">
            <v>268958</v>
          </cell>
          <cell r="Z679">
            <v>2921689</v>
          </cell>
          <cell r="AA679" t="str">
            <v>Corporate Finance/Buyout</v>
          </cell>
          <cell r="AF679">
            <v>0.85452589215996622</v>
          </cell>
        </row>
        <row r="680">
          <cell r="A680" t="str">
            <v>The Hudson River Fund</v>
          </cell>
          <cell r="G680" t="str">
            <v>Quad-C Management, Inc.</v>
          </cell>
          <cell r="I680" t="str">
            <v>Primary Partnership</v>
          </cell>
          <cell r="J680">
            <v>30000000</v>
          </cell>
          <cell r="K680">
            <v>25656826</v>
          </cell>
          <cell r="R680" t="str">
            <v>Mid</v>
          </cell>
          <cell r="S680">
            <v>9.8212855326040849</v>
          </cell>
          <cell r="Y680">
            <v>3405635</v>
          </cell>
          <cell r="Z680">
            <v>37016192</v>
          </cell>
          <cell r="AA680" t="str">
            <v>Corporate Finance/Buyout</v>
          </cell>
          <cell r="AF680">
            <v>0.85522753333333335</v>
          </cell>
        </row>
        <row r="681">
          <cell r="A681" t="str">
            <v>Hamilton Lane Private Equity Fund Plc</v>
          </cell>
          <cell r="G681" t="str">
            <v>Questor Management Company</v>
          </cell>
          <cell r="I681" t="str">
            <v>Primary Partnership</v>
          </cell>
          <cell r="J681">
            <v>5130750</v>
          </cell>
          <cell r="K681">
            <v>4658522.49</v>
          </cell>
          <cell r="R681" t="str">
            <v>Large</v>
          </cell>
          <cell r="S681">
            <v>4.9607934832277545</v>
          </cell>
          <cell r="Y681">
            <v>1840716</v>
          </cell>
          <cell r="Z681">
            <v>4206994</v>
          </cell>
          <cell r="AA681" t="str">
            <v>Corporate Finance/Buyout</v>
          </cell>
          <cell r="AF681">
            <v>0.90796130975003664</v>
          </cell>
        </row>
        <row r="682">
          <cell r="A682" t="str">
            <v>Hamilton Lane Private Equity Partners, L.P.</v>
          </cell>
          <cell r="G682" t="str">
            <v>Questor Management Company</v>
          </cell>
          <cell r="I682" t="str">
            <v>Primary Partnership</v>
          </cell>
          <cell r="J682">
            <v>2369250</v>
          </cell>
          <cell r="K682">
            <v>2151190.15</v>
          </cell>
          <cell r="R682" t="str">
            <v>Large</v>
          </cell>
          <cell r="S682">
            <v>4.9607934832277545</v>
          </cell>
          <cell r="Y682">
            <v>850862</v>
          </cell>
          <cell r="Z682">
            <v>1942682</v>
          </cell>
          <cell r="AA682" t="str">
            <v>Corporate Finance/Buyout</v>
          </cell>
          <cell r="AF682">
            <v>0.90796249868101719</v>
          </cell>
        </row>
        <row r="683">
          <cell r="A683" t="str">
            <v>Textron Master Trust</v>
          </cell>
          <cell r="G683" t="str">
            <v>Questor Management Company</v>
          </cell>
          <cell r="I683" t="str">
            <v>Primary Partnership</v>
          </cell>
          <cell r="J683">
            <v>20000000</v>
          </cell>
          <cell r="K683">
            <v>18582304.059999999</v>
          </cell>
          <cell r="R683" t="str">
            <v>Distressed/Turnaround</v>
          </cell>
          <cell r="S683">
            <v>4.9607934832277545</v>
          </cell>
          <cell r="Y683">
            <v>5274248</v>
          </cell>
          <cell r="Z683">
            <v>16538502</v>
          </cell>
          <cell r="AA683" t="str">
            <v>Special Situation</v>
          </cell>
          <cell r="AF683">
            <v>0.92911520299999995</v>
          </cell>
        </row>
        <row r="684">
          <cell r="A684" t="str">
            <v>Hamilton Lane Secondary Fund L.P. (Investments)</v>
          </cell>
          <cell r="G684" t="str">
            <v>Apollo Management</v>
          </cell>
          <cell r="I684" t="str">
            <v>Secondary Purchase</v>
          </cell>
          <cell r="J684">
            <v>6937500</v>
          </cell>
          <cell r="K684">
            <v>6937500</v>
          </cell>
          <cell r="R684" t="str">
            <v>Multi-Stage</v>
          </cell>
          <cell r="S684">
            <v>-16.51106575770963</v>
          </cell>
          <cell r="Y684">
            <v>5815937</v>
          </cell>
          <cell r="Z684">
            <v>0</v>
          </cell>
          <cell r="AA684" t="str">
            <v>Special Situation</v>
          </cell>
          <cell r="AF684">
            <v>1</v>
          </cell>
        </row>
        <row r="685">
          <cell r="A685" t="str">
            <v>Hamilton Lane Co-Investment Fund, L.P.</v>
          </cell>
          <cell r="G685" t="str">
            <v>Apollo Management</v>
          </cell>
          <cell r="I685" t="str">
            <v>Co/Direct Investment</v>
          </cell>
          <cell r="J685">
            <v>28000000</v>
          </cell>
          <cell r="K685">
            <v>28000000</v>
          </cell>
          <cell r="R685" t="str">
            <v>Large</v>
          </cell>
          <cell r="S685">
            <v>-18.928571428571239</v>
          </cell>
          <cell r="Y685">
            <v>22700000</v>
          </cell>
          <cell r="Z685">
            <v>0</v>
          </cell>
          <cell r="AA685" t="str">
            <v>Corporate Finance/Buyout</v>
          </cell>
          <cell r="AF685">
            <v>1</v>
          </cell>
        </row>
        <row r="686">
          <cell r="A686" t="str">
            <v>Hamilton Lane-Carpenters Partnership Fund, L.P.</v>
          </cell>
          <cell r="G686" t="str">
            <v>Residential Land Management, LLC</v>
          </cell>
          <cell r="I686" t="str">
            <v>Primary Partnership</v>
          </cell>
          <cell r="J686">
            <v>15000000</v>
          </cell>
          <cell r="K686">
            <v>14996364.340000004</v>
          </cell>
          <cell r="R686" t="str">
            <v>Opportunistic - Indirect</v>
          </cell>
          <cell r="S686">
            <v>7.1691127183677983</v>
          </cell>
          <cell r="Y686">
            <v>3718703</v>
          </cell>
          <cell r="Z686">
            <v>13591892.109999999</v>
          </cell>
          <cell r="AA686" t="str">
            <v>Real Estate</v>
          </cell>
          <cell r="AF686">
            <v>0.9997576226666669</v>
          </cell>
        </row>
        <row r="687">
          <cell r="A687" t="str">
            <v>Royal Mail Pensions Trustees Limited</v>
          </cell>
          <cell r="G687" t="str">
            <v>Richardson Financial Group Limited</v>
          </cell>
          <cell r="I687" t="str">
            <v>Primary Partnership</v>
          </cell>
          <cell r="J687">
            <v>5997205.8234059466</v>
          </cell>
          <cell r="K687">
            <v>5329965.9939515144</v>
          </cell>
          <cell r="R687" t="str">
            <v>Small</v>
          </cell>
          <cell r="S687">
            <v>7.2526715672572628</v>
          </cell>
          <cell r="Y687">
            <v>2998477.2616421999</v>
          </cell>
          <cell r="Z687">
            <v>3120905.1197157423</v>
          </cell>
          <cell r="AA687" t="str">
            <v>Corporate Finance/Buyout</v>
          </cell>
          <cell r="AF687">
            <v>0.8887415491310432</v>
          </cell>
        </row>
        <row r="688">
          <cell r="A688" t="str">
            <v>Winnipeg Civic - Manitoba Ltd.</v>
          </cell>
          <cell r="G688" t="str">
            <v>Richardson Financial Group Limited</v>
          </cell>
          <cell r="I688" t="str">
            <v>Primary Partnership</v>
          </cell>
          <cell r="J688">
            <v>4007727.134405375</v>
          </cell>
          <cell r="K688">
            <v>464209.26863489521</v>
          </cell>
          <cell r="R688" t="str">
            <v>Small</v>
          </cell>
          <cell r="S688">
            <v>-41.503352237218714</v>
          </cell>
          <cell r="Y688">
            <v>342198.70836579998</v>
          </cell>
          <cell r="Z688">
            <v>239.41336612411163</v>
          </cell>
          <cell r="AA688" t="str">
            <v>Corporate Finance/Buyout</v>
          </cell>
          <cell r="AF688">
            <v>0.11582856144316067</v>
          </cell>
        </row>
        <row r="689">
          <cell r="A689" t="str">
            <v>Winnipeg Police - Manitoba Ltd.</v>
          </cell>
          <cell r="G689" t="str">
            <v>Richardson Financial Group Limited</v>
          </cell>
          <cell r="I689" t="str">
            <v>Primary Partnership</v>
          </cell>
          <cell r="J689">
            <v>1001931.9907345073</v>
          </cell>
          <cell r="K689">
            <v>116049.48462408739</v>
          </cell>
          <cell r="R689" t="str">
            <v>Small</v>
          </cell>
          <cell r="S689">
            <v>-41.503352237218714</v>
          </cell>
          <cell r="Y689">
            <v>85546.384118000002</v>
          </cell>
          <cell r="Z689">
            <v>59.853341531027908</v>
          </cell>
          <cell r="AA689" t="str">
            <v>Corporate Finance/Buyout</v>
          </cell>
          <cell r="AF689">
            <v>0.11582571042472908</v>
          </cell>
        </row>
        <row r="690">
          <cell r="A690" t="str">
            <v>Hudson River Co-Investment Fund L.P.</v>
          </cell>
          <cell r="G690" t="str">
            <v>Founder's Equity, Inc.</v>
          </cell>
          <cell r="I690" t="str">
            <v>Co/Direct Investment</v>
          </cell>
          <cell r="J690">
            <v>6000000</v>
          </cell>
          <cell r="K690">
            <v>6000000</v>
          </cell>
          <cell r="R690"/>
          <cell r="S690">
            <v>-19.945778281566938</v>
          </cell>
          <cell r="Y690">
            <v>4500000</v>
          </cell>
          <cell r="Z690">
            <v>0</v>
          </cell>
          <cell r="AA690" t="str">
            <v>Special Situation</v>
          </cell>
          <cell r="AF690">
            <v>1</v>
          </cell>
        </row>
        <row r="691">
          <cell r="A691" t="str">
            <v>Golden State Investment Fund, LLC</v>
          </cell>
          <cell r="G691" t="str">
            <v>Riordan, Lewis &amp; Haden</v>
          </cell>
          <cell r="I691" t="str">
            <v>Primary Partnership</v>
          </cell>
          <cell r="J691">
            <v>25000000</v>
          </cell>
          <cell r="K691">
            <v>9300748</v>
          </cell>
          <cell r="R691" t="str">
            <v>Small</v>
          </cell>
          <cell r="S691">
            <v>-20.544623405416218</v>
          </cell>
          <cell r="Y691">
            <v>8131722</v>
          </cell>
          <cell r="Z691">
            <v>0</v>
          </cell>
          <cell r="AA691" t="str">
            <v>Corporate Finance/Buyout</v>
          </cell>
          <cell r="AF691">
            <v>0.37202992000000001</v>
          </cell>
        </row>
        <row r="692">
          <cell r="A692" t="str">
            <v>Fire and Police Pension Association of Colorado</v>
          </cell>
          <cell r="G692" t="str">
            <v>Roark Capital Group, Inc.</v>
          </cell>
          <cell r="I692" t="str">
            <v>Primary Partnership</v>
          </cell>
          <cell r="J692">
            <v>15000000</v>
          </cell>
          <cell r="K692">
            <v>0</v>
          </cell>
          <cell r="R692" t="str">
            <v>Mid</v>
          </cell>
          <cell r="Y692">
            <v>0</v>
          </cell>
          <cell r="Z692">
            <v>0</v>
          </cell>
          <cell r="AA692" t="str">
            <v>Corporate Finance/Buyout</v>
          </cell>
          <cell r="AF692">
            <v>0</v>
          </cell>
        </row>
        <row r="693">
          <cell r="A693" t="str">
            <v>Hamilton Lane Capital Opportunities Fund LP</v>
          </cell>
          <cell r="G693" t="str">
            <v>Roark Capital Group, Inc.</v>
          </cell>
          <cell r="I693" t="str">
            <v>Primary Partnership</v>
          </cell>
          <cell r="J693">
            <v>15000000</v>
          </cell>
          <cell r="K693">
            <v>0</v>
          </cell>
          <cell r="R693" t="str">
            <v>Mid</v>
          </cell>
          <cell r="Y693">
            <v>0</v>
          </cell>
          <cell r="Z693">
            <v>0</v>
          </cell>
          <cell r="AA693" t="str">
            <v>Corporate Finance/Buyout</v>
          </cell>
          <cell r="AF693">
            <v>0</v>
          </cell>
        </row>
        <row r="694">
          <cell r="A694" t="str">
            <v>Hamilton Lane Private Equity Fund Investments KB</v>
          </cell>
          <cell r="G694" t="str">
            <v>Roark Capital Group, Inc.</v>
          </cell>
          <cell r="I694" t="str">
            <v>Primary Partnership</v>
          </cell>
          <cell r="J694">
            <v>5000000</v>
          </cell>
          <cell r="K694">
            <v>0</v>
          </cell>
          <cell r="R694" t="str">
            <v>Mid</v>
          </cell>
          <cell r="Y694">
            <v>0</v>
          </cell>
          <cell r="Z694">
            <v>0</v>
          </cell>
          <cell r="AA694" t="str">
            <v>Corporate Finance/Buyout</v>
          </cell>
          <cell r="AF694">
            <v>0</v>
          </cell>
        </row>
        <row r="695">
          <cell r="A695" t="str">
            <v>Hamilton Lane Private Equity Fund VI, L.P.</v>
          </cell>
          <cell r="G695" t="str">
            <v>Roark Capital Group, Inc.</v>
          </cell>
          <cell r="I695" t="str">
            <v>Primary Partnership</v>
          </cell>
          <cell r="J695">
            <v>15000000</v>
          </cell>
          <cell r="K695">
            <v>0</v>
          </cell>
          <cell r="R695" t="str">
            <v>Mid</v>
          </cell>
          <cell r="Y695">
            <v>0</v>
          </cell>
          <cell r="Z695">
            <v>0</v>
          </cell>
          <cell r="AA695" t="str">
            <v>Corporate Finance/Buyout</v>
          </cell>
          <cell r="AF695">
            <v>0</v>
          </cell>
        </row>
        <row r="696">
          <cell r="A696" t="str">
            <v>Princeton Theological Seminary</v>
          </cell>
          <cell r="G696" t="str">
            <v>Roark Capital Group, Inc.</v>
          </cell>
          <cell r="I696" t="str">
            <v>Primary Partnership</v>
          </cell>
          <cell r="J696">
            <v>5000000</v>
          </cell>
          <cell r="K696">
            <v>0</v>
          </cell>
          <cell r="R696" t="str">
            <v>Mid</v>
          </cell>
          <cell r="Y696">
            <v>0</v>
          </cell>
          <cell r="Z696">
            <v>0</v>
          </cell>
          <cell r="AA696" t="str">
            <v>Corporate Finance/Buyout</v>
          </cell>
          <cell r="AF696">
            <v>0</v>
          </cell>
        </row>
        <row r="697">
          <cell r="A697" t="str">
            <v>Royal Mail Pensions Trustees Limited</v>
          </cell>
          <cell r="G697" t="str">
            <v>Roark Capital Group, Inc.</v>
          </cell>
          <cell r="I697" t="str">
            <v>Primary Partnership</v>
          </cell>
          <cell r="J697">
            <v>10000000</v>
          </cell>
          <cell r="K697">
            <v>0</v>
          </cell>
          <cell r="R697" t="str">
            <v>Mid</v>
          </cell>
          <cell r="Y697">
            <v>0</v>
          </cell>
          <cell r="Z697">
            <v>0</v>
          </cell>
          <cell r="AA697" t="str">
            <v>Corporate Finance/Buyout</v>
          </cell>
          <cell r="AF697">
            <v>0</v>
          </cell>
        </row>
        <row r="698">
          <cell r="A698" t="str">
            <v>The Hudson River Fund II</v>
          </cell>
          <cell r="G698" t="str">
            <v>Roark Capital Group, Inc.</v>
          </cell>
          <cell r="I698" t="str">
            <v>Primary Partnership</v>
          </cell>
          <cell r="J698">
            <v>15000000</v>
          </cell>
          <cell r="K698">
            <v>0</v>
          </cell>
          <cell r="R698" t="str">
            <v>Mid</v>
          </cell>
          <cell r="Y698">
            <v>0</v>
          </cell>
          <cell r="Z698">
            <v>0</v>
          </cell>
          <cell r="AA698" t="str">
            <v>Corporate Finance/Buyout</v>
          </cell>
          <cell r="AF698">
            <v>0</v>
          </cell>
        </row>
        <row r="699">
          <cell r="A699" t="str">
            <v>Hamilton Lane Private Equity Fund Investments KB</v>
          </cell>
          <cell r="G699" t="str">
            <v>Roark Capital Group, Inc.</v>
          </cell>
          <cell r="I699" t="str">
            <v>Primary Partnership</v>
          </cell>
          <cell r="J699">
            <v>5000000</v>
          </cell>
          <cell r="K699">
            <v>3715306.98</v>
          </cell>
          <cell r="R699" t="str">
            <v>Small</v>
          </cell>
          <cell r="S699">
            <v>13.337975631636191</v>
          </cell>
          <cell r="Y699">
            <v>4051864</v>
          </cell>
          <cell r="Z699">
            <v>248426.61</v>
          </cell>
          <cell r="AA699" t="str">
            <v>Corporate Finance/Buyout</v>
          </cell>
          <cell r="AF699">
            <v>0.74306139599999999</v>
          </cell>
        </row>
        <row r="700">
          <cell r="A700" t="str">
            <v>Hamilton Lane Private Equity Fund V, L.P.</v>
          </cell>
          <cell r="G700" t="str">
            <v>Roark Capital Group, Inc.</v>
          </cell>
          <cell r="I700" t="str">
            <v>Primary Partnership</v>
          </cell>
          <cell r="J700">
            <v>5000000</v>
          </cell>
          <cell r="K700">
            <v>3715306.98</v>
          </cell>
          <cell r="R700" t="str">
            <v>Small</v>
          </cell>
          <cell r="S700">
            <v>13.337975631636191</v>
          </cell>
          <cell r="Y700">
            <v>4030540</v>
          </cell>
          <cell r="Z700">
            <v>248426.61</v>
          </cell>
          <cell r="AA700" t="str">
            <v>Corporate Finance/Buyout</v>
          </cell>
          <cell r="AF700">
            <v>0.74306139599999999</v>
          </cell>
        </row>
        <row r="701">
          <cell r="A701" t="str">
            <v>Royal Mail Pensions Trustees Limited</v>
          </cell>
          <cell r="G701" t="str">
            <v>Roark Capital Group, Inc.</v>
          </cell>
          <cell r="I701" t="str">
            <v>Primary Partnership</v>
          </cell>
          <cell r="J701">
            <v>10000000</v>
          </cell>
          <cell r="K701">
            <v>7430613.9399999995</v>
          </cell>
          <cell r="R701" t="str">
            <v>Small</v>
          </cell>
          <cell r="S701">
            <v>13.337975631636191</v>
          </cell>
          <cell r="Y701">
            <v>8103728</v>
          </cell>
          <cell r="Z701">
            <v>496853.21</v>
          </cell>
          <cell r="AA701" t="str">
            <v>Corporate Finance/Buyout</v>
          </cell>
          <cell r="AF701">
            <v>0.74306139399999993</v>
          </cell>
        </row>
        <row r="702">
          <cell r="A702" t="str">
            <v>The Hudson River Fund II</v>
          </cell>
          <cell r="G702" t="str">
            <v>Roark Capital Group, Inc.</v>
          </cell>
          <cell r="I702" t="str">
            <v>Primary Partnership</v>
          </cell>
          <cell r="J702">
            <v>15000000</v>
          </cell>
          <cell r="K702">
            <v>11145922.930000002</v>
          </cell>
          <cell r="R702" t="str">
            <v>Small</v>
          </cell>
          <cell r="S702">
            <v>13.337975631636191</v>
          </cell>
          <cell r="Y702">
            <v>12155592</v>
          </cell>
          <cell r="Z702">
            <v>745279.82</v>
          </cell>
          <cell r="AA702" t="str">
            <v>Corporate Finance/Buyout</v>
          </cell>
          <cell r="AF702">
            <v>0.74306152866666675</v>
          </cell>
        </row>
        <row r="703">
          <cell r="A703" t="str">
            <v>Hamilton Lane-Carpenters Partnership Fund II L.P.</v>
          </cell>
          <cell r="G703" t="str">
            <v>Saw Mill Capital</v>
          </cell>
          <cell r="I703" t="str">
            <v>Primary Partnership</v>
          </cell>
          <cell r="J703">
            <v>10000000</v>
          </cell>
          <cell r="K703">
            <v>1983280</v>
          </cell>
          <cell r="R703" t="str">
            <v>Small</v>
          </cell>
          <cell r="S703">
            <v>-16.022656843201975</v>
          </cell>
          <cell r="Y703">
            <v>1771293</v>
          </cell>
          <cell r="Z703">
            <v>21723</v>
          </cell>
          <cell r="AA703" t="str">
            <v>Corporate Finance/Buyout</v>
          </cell>
          <cell r="AF703">
            <v>0.198328</v>
          </cell>
        </row>
        <row r="704">
          <cell r="A704" t="str">
            <v>The Hudson River Fund II</v>
          </cell>
          <cell r="G704" t="str">
            <v>Saw Mill Capital</v>
          </cell>
          <cell r="I704" t="str">
            <v>Primary Partnership</v>
          </cell>
          <cell r="J704">
            <v>20000000</v>
          </cell>
          <cell r="K704">
            <v>3966561</v>
          </cell>
          <cell r="R704" t="str">
            <v>Small</v>
          </cell>
          <cell r="S704">
            <v>-16.022656843201975</v>
          </cell>
          <cell r="Y704">
            <v>3542585</v>
          </cell>
          <cell r="Z704">
            <v>43444</v>
          </cell>
          <cell r="AA704" t="str">
            <v>Corporate Finance/Buyout</v>
          </cell>
          <cell r="AF704">
            <v>0.19832805000000001</v>
          </cell>
        </row>
        <row r="705">
          <cell r="A705" t="str">
            <v>Hudson River Co-Investment Fund L.P.</v>
          </cell>
          <cell r="G705" t="str">
            <v>Kohlberg Investors</v>
          </cell>
          <cell r="I705" t="str">
            <v>Co/Direct Investment</v>
          </cell>
          <cell r="J705">
            <v>5000000</v>
          </cell>
          <cell r="K705">
            <v>5000000</v>
          </cell>
          <cell r="R705" t="str">
            <v>Mid</v>
          </cell>
          <cell r="S705">
            <v>74.088735903491724</v>
          </cell>
          <cell r="Y705">
            <v>0</v>
          </cell>
          <cell r="Z705">
            <v>11986893.300000001</v>
          </cell>
          <cell r="AA705" t="str">
            <v>Corporate Finance/Buyout</v>
          </cell>
          <cell r="AF705">
            <v>1</v>
          </cell>
        </row>
        <row r="706">
          <cell r="A706" t="str">
            <v>Hudson River Co-Investment Fund L.P.</v>
          </cell>
          <cell r="G706" t="str">
            <v>Carlyle Venture Partners</v>
          </cell>
          <cell r="I706" t="str">
            <v>Co/Direct Investment</v>
          </cell>
          <cell r="J706">
            <v>2000000.56</v>
          </cell>
          <cell r="K706">
            <v>2000000.56</v>
          </cell>
          <cell r="R706"/>
          <cell r="S706">
            <v>-4.0523140398818214E-12</v>
          </cell>
          <cell r="Y706">
            <v>2000000.56</v>
          </cell>
          <cell r="Z706">
            <v>0</v>
          </cell>
          <cell r="AA706" t="str">
            <v>Corporate Finance/Buyout</v>
          </cell>
          <cell r="AF706">
            <v>1</v>
          </cell>
        </row>
        <row r="707">
          <cell r="A707" t="str">
            <v>The Hudson River Fund II</v>
          </cell>
          <cell r="G707" t="str">
            <v>SCP Private Equity Management L.P.</v>
          </cell>
          <cell r="I707" t="str">
            <v>Primary Partnership</v>
          </cell>
          <cell r="J707">
            <v>15000000</v>
          </cell>
          <cell r="K707">
            <v>1650000</v>
          </cell>
          <cell r="R707" t="str">
            <v>Multi-Stage</v>
          </cell>
          <cell r="S707">
            <v>-28.164754314512276</v>
          </cell>
          <cell r="Y707">
            <v>1278950</v>
          </cell>
          <cell r="Z707">
            <v>0</v>
          </cell>
          <cell r="AA707" t="str">
            <v>Venture Capital</v>
          </cell>
          <cell r="AF707">
            <v>0.11</v>
          </cell>
        </row>
        <row r="708">
          <cell r="A708" t="str">
            <v>Textron Master Trust - Real Estate</v>
          </cell>
          <cell r="G708" t="str">
            <v>Sentinel Realty Advisors</v>
          </cell>
          <cell r="I708" t="str">
            <v>Primary Partnership</v>
          </cell>
          <cell r="J708">
            <v>15000000</v>
          </cell>
          <cell r="K708">
            <v>0</v>
          </cell>
          <cell r="R708" t="str">
            <v>Value-Add</v>
          </cell>
          <cell r="Y708">
            <v>0</v>
          </cell>
          <cell r="Z708">
            <v>0</v>
          </cell>
          <cell r="AA708" t="str">
            <v>Real Estate</v>
          </cell>
          <cell r="AF708">
            <v>0</v>
          </cell>
        </row>
        <row r="709">
          <cell r="A709" t="str">
            <v>Textron Master Trust - Real Estate</v>
          </cell>
          <cell r="G709" t="str">
            <v>Sentinel Realty Advisors</v>
          </cell>
          <cell r="I709" t="str">
            <v>Primary Partnership</v>
          </cell>
          <cell r="J709">
            <v>10000000</v>
          </cell>
          <cell r="K709">
            <v>10000000</v>
          </cell>
          <cell r="R709" t="str">
            <v>Value-Add - Indirect</v>
          </cell>
          <cell r="S709">
            <v>7.4876443614030341</v>
          </cell>
          <cell r="Y709">
            <v>11404587</v>
          </cell>
          <cell r="Z709">
            <v>1011965.45</v>
          </cell>
          <cell r="AA709" t="str">
            <v>Real Estate</v>
          </cell>
          <cell r="AF709">
            <v>1</v>
          </cell>
        </row>
        <row r="710">
          <cell r="A710" t="str">
            <v>Princess Private Equity Subholding Ltd.</v>
          </cell>
          <cell r="G710" t="str">
            <v>Sevin Rosen Bayless Mgmt Co Inc.</v>
          </cell>
          <cell r="I710" t="str">
            <v>Primary Partnership</v>
          </cell>
          <cell r="J710">
            <v>3430000</v>
          </cell>
          <cell r="K710">
            <v>3292800</v>
          </cell>
          <cell r="R710" t="str">
            <v>Early Stage</v>
          </cell>
          <cell r="S710">
            <v>-17.670093996107848</v>
          </cell>
          <cell r="Y710">
            <v>1465387</v>
          </cell>
          <cell r="Z710">
            <v>170361.44</v>
          </cell>
          <cell r="AA710" t="str">
            <v>Venture Capital</v>
          </cell>
          <cell r="AF710">
            <v>0.96</v>
          </cell>
        </row>
        <row r="711">
          <cell r="A711" t="str">
            <v>The Markaz/Hamilton Lane Technology Fund L.P.</v>
          </cell>
          <cell r="G711" t="str">
            <v>Sevin Rosen Bayless Mgmt Co Inc.</v>
          </cell>
          <cell r="I711" t="str">
            <v>Primary Partnership</v>
          </cell>
          <cell r="J711">
            <v>1372000</v>
          </cell>
          <cell r="K711">
            <v>1317120</v>
          </cell>
          <cell r="R711" t="str">
            <v>Early Stage</v>
          </cell>
          <cell r="S711">
            <v>-17.670093996107848</v>
          </cell>
          <cell r="Y711">
            <v>586137</v>
          </cell>
          <cell r="Z711">
            <v>68161.919999999998</v>
          </cell>
          <cell r="AA711" t="str">
            <v>Venture Capital</v>
          </cell>
          <cell r="AF711">
            <v>0.96</v>
          </cell>
        </row>
        <row r="712">
          <cell r="A712" t="str">
            <v>Unisys Master Trust</v>
          </cell>
          <cell r="G712" t="str">
            <v>Sevin Rosen Bayless Mgmt Co Inc.</v>
          </cell>
          <cell r="I712" t="str">
            <v>Primary Partnership</v>
          </cell>
          <cell r="J712">
            <v>2058000</v>
          </cell>
          <cell r="K712">
            <v>1975680</v>
          </cell>
          <cell r="R712" t="str">
            <v>Early Stage</v>
          </cell>
          <cell r="S712">
            <v>-17.670093996107848</v>
          </cell>
          <cell r="Y712">
            <v>879206</v>
          </cell>
          <cell r="Z712">
            <v>102242.88</v>
          </cell>
          <cell r="AA712" t="str">
            <v>Venture Capital</v>
          </cell>
          <cell r="AF712">
            <v>0.96</v>
          </cell>
        </row>
        <row r="713">
          <cell r="A713" t="str">
            <v>Los Angeles City Employees' Retirement System</v>
          </cell>
          <cell r="G713" t="str">
            <v>Spark Management Partners, LLC</v>
          </cell>
          <cell r="I713" t="str">
            <v>Primary Partnership</v>
          </cell>
          <cell r="J713">
            <v>9750000</v>
          </cell>
          <cell r="K713">
            <v>0</v>
          </cell>
          <cell r="R713" t="str">
            <v>Multi-Stage</v>
          </cell>
          <cell r="Y713">
            <v>0</v>
          </cell>
          <cell r="Z713">
            <v>0</v>
          </cell>
          <cell r="AA713" t="str">
            <v>Venture Capital</v>
          </cell>
          <cell r="AF713">
            <v>0</v>
          </cell>
        </row>
        <row r="714">
          <cell r="A714" t="str">
            <v>Princeton Theological Seminary</v>
          </cell>
          <cell r="G714" t="str">
            <v>Spark Management Partners, LLC</v>
          </cell>
          <cell r="I714" t="str">
            <v>Primary Partnership</v>
          </cell>
          <cell r="J714">
            <v>1500000</v>
          </cell>
          <cell r="K714">
            <v>0</v>
          </cell>
          <cell r="R714" t="str">
            <v>Multi-Stage</v>
          </cell>
          <cell r="Y714">
            <v>0</v>
          </cell>
          <cell r="Z714">
            <v>0</v>
          </cell>
          <cell r="AA714" t="str">
            <v>Venture Capital</v>
          </cell>
          <cell r="AF714">
            <v>0</v>
          </cell>
        </row>
        <row r="715">
          <cell r="A715" t="str">
            <v>Royal Mail Pensions Trustees Limited</v>
          </cell>
          <cell r="G715" t="str">
            <v>Spark Management Partners, LLC</v>
          </cell>
          <cell r="I715" t="str">
            <v>Primary Partnership</v>
          </cell>
          <cell r="J715">
            <v>6750000</v>
          </cell>
          <cell r="K715">
            <v>0</v>
          </cell>
          <cell r="R715" t="str">
            <v>Multi-Stage</v>
          </cell>
          <cell r="Y715">
            <v>0</v>
          </cell>
          <cell r="Z715">
            <v>0</v>
          </cell>
          <cell r="AA715" t="str">
            <v>Venture Capital</v>
          </cell>
          <cell r="AF715">
            <v>0</v>
          </cell>
        </row>
        <row r="716">
          <cell r="A716" t="str">
            <v>Los Angeles City Employees' Retirement System</v>
          </cell>
          <cell r="G716" t="str">
            <v>Spark Management Partners, LLC</v>
          </cell>
          <cell r="I716" t="str">
            <v>Primary Partnership</v>
          </cell>
          <cell r="J716">
            <v>9000000</v>
          </cell>
          <cell r="K716">
            <v>4927500</v>
          </cell>
          <cell r="R716" t="str">
            <v>Multi-Stage</v>
          </cell>
          <cell r="S716">
            <v>6.3840242862529095</v>
          </cell>
          <cell r="Y716">
            <v>4351720</v>
          </cell>
          <cell r="Z716">
            <v>818578</v>
          </cell>
          <cell r="AA716" t="str">
            <v>Venture Capital</v>
          </cell>
          <cell r="AF716">
            <v>0.54749999999999999</v>
          </cell>
        </row>
        <row r="717">
          <cell r="A717" t="str">
            <v>Royal Mail Pensions Trustees Limited</v>
          </cell>
          <cell r="G717" t="str">
            <v>Spark Management Partners, LLC</v>
          </cell>
          <cell r="I717" t="str">
            <v>Primary Partnership</v>
          </cell>
          <cell r="J717">
            <v>6000000</v>
          </cell>
          <cell r="K717">
            <v>3285000</v>
          </cell>
          <cell r="R717" t="str">
            <v>Multi-Stage</v>
          </cell>
          <cell r="S717">
            <v>6.3840242862529095</v>
          </cell>
          <cell r="Y717">
            <v>2901147</v>
          </cell>
          <cell r="Z717">
            <v>545718</v>
          </cell>
          <cell r="AA717" t="str">
            <v>Venture Capital</v>
          </cell>
          <cell r="AF717">
            <v>0.54749999999999999</v>
          </cell>
        </row>
        <row r="718">
          <cell r="A718" t="str">
            <v>Hamilton Lane Coinvest L.P.</v>
          </cell>
          <cell r="G718" t="str">
            <v>Bridgepoint Capital Ltd.</v>
          </cell>
          <cell r="I718" t="str">
            <v>Secondary Purchase</v>
          </cell>
          <cell r="J718">
            <v>54388734</v>
          </cell>
          <cell r="K718">
            <v>50321766.099999994</v>
          </cell>
          <cell r="R718" t="str">
            <v>Secondary Fund-of-Funds</v>
          </cell>
          <cell r="S718">
            <v>58.010719952687936</v>
          </cell>
          <cell r="Y718">
            <v>2849892</v>
          </cell>
          <cell r="Z718">
            <v>81251774.309999987</v>
          </cell>
          <cell r="AA718" t="str">
            <v>Special Situation</v>
          </cell>
          <cell r="AF718">
            <v>0.92522407489756964</v>
          </cell>
        </row>
        <row r="719">
          <cell r="A719" t="str">
            <v>Hamilton Lane Private Equity Fund V, L.P.</v>
          </cell>
          <cell r="G719" t="str">
            <v>Kohlberg Investors</v>
          </cell>
          <cell r="I719" t="str">
            <v>Co/Direct Investment</v>
          </cell>
          <cell r="J719">
            <v>5000000</v>
          </cell>
          <cell r="K719">
            <v>5000000</v>
          </cell>
          <cell r="R719" t="str">
            <v>Mid</v>
          </cell>
          <cell r="S719">
            <v>35.293711448115637</v>
          </cell>
          <cell r="Y719">
            <v>7350000</v>
          </cell>
          <cell r="Z719">
            <v>2661904.7400000002</v>
          </cell>
          <cell r="AA719" t="str">
            <v>Corporate Finance/Buyout</v>
          </cell>
          <cell r="AF719">
            <v>1</v>
          </cell>
        </row>
        <row r="720">
          <cell r="A720" t="str">
            <v>Marsh &amp; McLennan Master Retirement Trust</v>
          </cell>
          <cell r="G720" t="str">
            <v>Sterling American Property, Inc.</v>
          </cell>
          <cell r="I720" t="str">
            <v>Primary Partnership</v>
          </cell>
          <cell r="J720">
            <v>10000000</v>
          </cell>
          <cell r="K720">
            <v>4461879</v>
          </cell>
          <cell r="R720" t="str">
            <v>Opportunistic</v>
          </cell>
          <cell r="S720">
            <v>-31.136455359322301</v>
          </cell>
          <cell r="Y720">
            <v>3593252</v>
          </cell>
          <cell r="Z720">
            <v>0</v>
          </cell>
          <cell r="AA720" t="str">
            <v>Real Estate</v>
          </cell>
          <cell r="AF720">
            <v>0.44618790000000003</v>
          </cell>
        </row>
        <row r="721">
          <cell r="A721" t="str">
            <v>Hudson River Co-Investment Fund L.P.</v>
          </cell>
          <cell r="G721" t="str">
            <v>Founder's Equity, Inc.</v>
          </cell>
          <cell r="I721" t="str">
            <v>Co/Direct Investment</v>
          </cell>
          <cell r="J721">
            <v>4800000</v>
          </cell>
          <cell r="K721">
            <v>4800000</v>
          </cell>
          <cell r="R721" t="str">
            <v>Small</v>
          </cell>
          <cell r="S721">
            <v>7.9970841130289072</v>
          </cell>
          <cell r="Y721">
            <v>4800000</v>
          </cell>
          <cell r="Z721">
            <v>557961</v>
          </cell>
          <cell r="AA721" t="str">
            <v>Corporate Finance/Buyout</v>
          </cell>
          <cell r="AF721">
            <v>1</v>
          </cell>
        </row>
        <row r="722">
          <cell r="A722" t="str">
            <v>The Hudson River Fund II</v>
          </cell>
          <cell r="G722" t="str">
            <v>Summer Street</v>
          </cell>
          <cell r="I722" t="str">
            <v>Primary Partnership</v>
          </cell>
          <cell r="J722">
            <v>5000000</v>
          </cell>
          <cell r="K722">
            <v>875000</v>
          </cell>
          <cell r="R722" t="str">
            <v>Small</v>
          </cell>
          <cell r="S722">
            <v>-19.648555971845127</v>
          </cell>
          <cell r="Y722">
            <v>771085</v>
          </cell>
          <cell r="Z722">
            <v>0</v>
          </cell>
          <cell r="AA722" t="str">
            <v>Corporate Finance/Buyout</v>
          </cell>
          <cell r="AF722">
            <v>0.17499999999999999</v>
          </cell>
        </row>
        <row r="723">
          <cell r="A723" t="str">
            <v>Princess Private Equity Subholding Ltd.</v>
          </cell>
          <cell r="G723" t="str">
            <v>Summit Partners</v>
          </cell>
          <cell r="I723" t="str">
            <v>Primary Partnership</v>
          </cell>
          <cell r="J723">
            <v>5000000</v>
          </cell>
          <cell r="K723">
            <v>5000000</v>
          </cell>
          <cell r="R723" t="str">
            <v>Late Stage</v>
          </cell>
          <cell r="S723">
            <v>18.512992610098333</v>
          </cell>
          <cell r="Y723">
            <v>4266824</v>
          </cell>
          <cell r="Z723">
            <v>3521815.4920000001</v>
          </cell>
          <cell r="AA723" t="str">
            <v>Venture Capital</v>
          </cell>
          <cell r="AF723">
            <v>1</v>
          </cell>
        </row>
        <row r="724">
          <cell r="A724" t="str">
            <v>Hamilton Lane-Carpenters Partnership Fund, L.P.</v>
          </cell>
          <cell r="G724" t="str">
            <v>Texas Pacific Group</v>
          </cell>
          <cell r="I724" t="str">
            <v>Primary Partnership</v>
          </cell>
          <cell r="J724">
            <v>15000000</v>
          </cell>
          <cell r="K724">
            <v>13621678</v>
          </cell>
          <cell r="R724" t="str">
            <v>Small</v>
          </cell>
          <cell r="S724">
            <v>101.35622449661588</v>
          </cell>
          <cell r="Y724">
            <v>8105658</v>
          </cell>
          <cell r="Z724">
            <v>35719497</v>
          </cell>
          <cell r="AA724" t="str">
            <v>Corporate Finance/Buyout</v>
          </cell>
          <cell r="AF724">
            <v>0.90811186666666666</v>
          </cell>
        </row>
        <row r="725">
          <cell r="A725" t="str">
            <v>United Food &amp; Commercial Workers Intl. Union</v>
          </cell>
          <cell r="G725" t="str">
            <v>Texas Pacific Group</v>
          </cell>
          <cell r="I725" t="str">
            <v>Primary Partnership</v>
          </cell>
          <cell r="J725">
            <v>5000000</v>
          </cell>
          <cell r="K725">
            <v>4540562</v>
          </cell>
          <cell r="R725" t="str">
            <v>Small</v>
          </cell>
          <cell r="S725">
            <v>101.35622449661588</v>
          </cell>
          <cell r="Y725">
            <v>2701958</v>
          </cell>
          <cell r="Z725">
            <v>11906413</v>
          </cell>
          <cell r="AA725" t="str">
            <v>Corporate Finance/Buyout</v>
          </cell>
          <cell r="AF725">
            <v>0.90811240000000004</v>
          </cell>
        </row>
        <row r="726">
          <cell r="A726" t="str">
            <v>Hamilton Lane Private Equity Fund IV L.P.</v>
          </cell>
          <cell r="G726" t="str">
            <v>Texas Pacific Group</v>
          </cell>
          <cell r="I726" t="str">
            <v>Primary Partnership</v>
          </cell>
          <cell r="J726">
            <v>5000000</v>
          </cell>
          <cell r="K726">
            <v>3763663</v>
          </cell>
          <cell r="R726" t="str">
            <v>Small</v>
          </cell>
          <cell r="S726">
            <v>29.524291455486029</v>
          </cell>
          <cell r="Y726">
            <v>691436</v>
          </cell>
          <cell r="Z726">
            <v>13607826</v>
          </cell>
          <cell r="AA726" t="str">
            <v>Corporate Finance/Buyout</v>
          </cell>
          <cell r="AF726">
            <v>0.75273259999999997</v>
          </cell>
        </row>
        <row r="727">
          <cell r="A727" t="str">
            <v>Princess Private Equity Subholding Ltd.</v>
          </cell>
          <cell r="G727" t="str">
            <v>Texas Pacific Group</v>
          </cell>
          <cell r="I727" t="str">
            <v>Primary Partnership</v>
          </cell>
          <cell r="J727">
            <v>7000000</v>
          </cell>
          <cell r="K727">
            <v>5414267</v>
          </cell>
          <cell r="R727" t="str">
            <v>Small</v>
          </cell>
          <cell r="S727">
            <v>29.524291455486029</v>
          </cell>
          <cell r="Y727">
            <v>965647</v>
          </cell>
          <cell r="Z727">
            <v>19195962</v>
          </cell>
          <cell r="AA727" t="str">
            <v>Corporate Finance/Buyout</v>
          </cell>
          <cell r="AF727">
            <v>0.77346671428571434</v>
          </cell>
        </row>
        <row r="728">
          <cell r="A728" t="str">
            <v>Hamilton Lane Private Equity Fund IV L.P.</v>
          </cell>
          <cell r="G728" t="str">
            <v>TA Associates</v>
          </cell>
          <cell r="I728" t="str">
            <v>Primary Partnership</v>
          </cell>
          <cell r="J728">
            <v>5000000</v>
          </cell>
          <cell r="K728">
            <v>4850000</v>
          </cell>
          <cell r="R728" t="str">
            <v>Mid</v>
          </cell>
          <cell r="S728">
            <v>22.686379885986586</v>
          </cell>
          <cell r="Y728">
            <v>4234427</v>
          </cell>
          <cell r="Z728">
            <v>5110936</v>
          </cell>
          <cell r="AA728" t="str">
            <v>Corporate Finance/Buyout</v>
          </cell>
          <cell r="AF728">
            <v>0.97</v>
          </cell>
        </row>
        <row r="729">
          <cell r="A729" t="str">
            <v>Princess Private Equity Subholding Ltd.</v>
          </cell>
          <cell r="G729" t="str">
            <v>TA Associates</v>
          </cell>
          <cell r="I729" t="str">
            <v>Primary Partnership</v>
          </cell>
          <cell r="J729">
            <v>10000000</v>
          </cell>
          <cell r="K729">
            <v>9700000</v>
          </cell>
          <cell r="R729" t="str">
            <v>Mid</v>
          </cell>
          <cell r="S729">
            <v>22.686379885986586</v>
          </cell>
          <cell r="Y729">
            <v>8468874</v>
          </cell>
          <cell r="Z729">
            <v>10204331.59</v>
          </cell>
          <cell r="AA729" t="str">
            <v>Corporate Finance/Buyout</v>
          </cell>
          <cell r="AF729">
            <v>0.97</v>
          </cell>
        </row>
        <row r="730">
          <cell r="A730" t="str">
            <v>Los Angeles City Employees' Retirement System</v>
          </cell>
          <cell r="G730" t="str">
            <v>TA Associates</v>
          </cell>
          <cell r="I730" t="str">
            <v>Primary Partnership</v>
          </cell>
          <cell r="J730">
            <v>6000000</v>
          </cell>
          <cell r="K730">
            <v>3270000</v>
          </cell>
          <cell r="R730" t="str">
            <v>Large</v>
          </cell>
          <cell r="S730">
            <v>10.491210456710975</v>
          </cell>
          <cell r="Y730">
            <v>3057343</v>
          </cell>
          <cell r="Z730">
            <v>480000</v>
          </cell>
          <cell r="AA730" t="str">
            <v>Corporate Finance/Buyout</v>
          </cell>
          <cell r="AF730">
            <v>0.54500000000000004</v>
          </cell>
        </row>
        <row r="731">
          <cell r="A731" t="str">
            <v>Hamilton Lane Private Equity Fund IV L.P.</v>
          </cell>
          <cell r="G731" t="str">
            <v>Pegasus Partners</v>
          </cell>
          <cell r="I731" t="str">
            <v>Co/Direct Investment</v>
          </cell>
          <cell r="J731">
            <v>2369725.4900000002</v>
          </cell>
          <cell r="K731">
            <v>2369725.4900000002</v>
          </cell>
          <cell r="R731" t="str">
            <v>Small</v>
          </cell>
          <cell r="S731">
            <v>18.381713017324163</v>
          </cell>
          <cell r="Y731">
            <v>982387.8</v>
          </cell>
          <cell r="Z731">
            <v>3749236.87</v>
          </cell>
          <cell r="AA731" t="str">
            <v>Corporate Finance/Buyout</v>
          </cell>
          <cell r="AF731">
            <v>1</v>
          </cell>
        </row>
        <row r="732">
          <cell r="A732" t="str">
            <v>Hamilton Lane Private Equity Fund Plc</v>
          </cell>
          <cell r="G732" t="str">
            <v>Pegasus Partners</v>
          </cell>
          <cell r="I732" t="str">
            <v>Co/Direct Investment</v>
          </cell>
          <cell r="J732">
            <v>1080752.8</v>
          </cell>
          <cell r="K732">
            <v>1080752.8</v>
          </cell>
          <cell r="R732" t="str">
            <v>Mid</v>
          </cell>
          <cell r="S732">
            <v>18.381713017324163</v>
          </cell>
          <cell r="Y732">
            <v>450578</v>
          </cell>
          <cell r="Z732">
            <v>1709935.01</v>
          </cell>
          <cell r="AA732" t="str">
            <v>Corporate Finance/Buyout</v>
          </cell>
          <cell r="AF732">
            <v>1</v>
          </cell>
        </row>
        <row r="733">
          <cell r="A733" t="str">
            <v>Hamilton Lane Private Equity Partners, L.P.</v>
          </cell>
          <cell r="G733" t="str">
            <v>Pegasus Partners</v>
          </cell>
          <cell r="I733" t="str">
            <v>Co/Direct Investment</v>
          </cell>
          <cell r="J733">
            <v>499064.19</v>
          </cell>
          <cell r="K733">
            <v>499064.19</v>
          </cell>
          <cell r="R733" t="str">
            <v>Mid</v>
          </cell>
          <cell r="S733">
            <v>18.381713017324163</v>
          </cell>
          <cell r="Y733">
            <v>208094</v>
          </cell>
          <cell r="Z733">
            <v>789715.59</v>
          </cell>
          <cell r="AA733" t="str">
            <v>Corporate Finance/Buyout</v>
          </cell>
          <cell r="AF733">
            <v>1</v>
          </cell>
        </row>
        <row r="734">
          <cell r="A734" t="str">
            <v>Hamilton Lane Private Equity Fund IV L.P.</v>
          </cell>
          <cell r="G734" t="str">
            <v>Oaktree Capital Mgmt</v>
          </cell>
          <cell r="I734" t="str">
            <v>Co/Direct Investment</v>
          </cell>
          <cell r="J734">
            <v>5000000</v>
          </cell>
          <cell r="K734">
            <v>5000000</v>
          </cell>
          <cell r="R734" t="str">
            <v>Mid</v>
          </cell>
          <cell r="S734">
            <v>0.12133077540141812</v>
          </cell>
          <cell r="Y734">
            <v>3921569</v>
          </cell>
          <cell r="Z734">
            <v>1119747.72</v>
          </cell>
          <cell r="AA734" t="str">
            <v>Corporate Finance/Buyout</v>
          </cell>
          <cell r="AF734">
            <v>1</v>
          </cell>
        </row>
        <row r="735">
          <cell r="A735" t="str">
            <v>Fire and Police Pension Association of Colorado</v>
          </cell>
          <cell r="G735" t="str">
            <v>Technology Crossover Ventures</v>
          </cell>
          <cell r="I735" t="str">
            <v>Primary Partnership</v>
          </cell>
          <cell r="J735">
            <v>10000000</v>
          </cell>
          <cell r="K735">
            <v>0</v>
          </cell>
          <cell r="R735" t="str">
            <v>Late Stage</v>
          </cell>
          <cell r="Y735">
            <v>0</v>
          </cell>
          <cell r="Z735">
            <v>0</v>
          </cell>
          <cell r="AA735" t="str">
            <v>Venture Capital</v>
          </cell>
          <cell r="AF735">
            <v>0</v>
          </cell>
        </row>
        <row r="736">
          <cell r="A736" t="str">
            <v>Hamilton Lane Capital Opportunities Fund LP</v>
          </cell>
          <cell r="G736" t="str">
            <v>Technology Crossover Ventures</v>
          </cell>
          <cell r="I736" t="str">
            <v>Primary Partnership</v>
          </cell>
          <cell r="J736">
            <v>5000000</v>
          </cell>
          <cell r="K736">
            <v>0</v>
          </cell>
          <cell r="R736" t="str">
            <v>Late Stage</v>
          </cell>
          <cell r="Y736">
            <v>0</v>
          </cell>
          <cell r="Z736">
            <v>0</v>
          </cell>
          <cell r="AA736" t="str">
            <v>Venture Capital</v>
          </cell>
          <cell r="AF736">
            <v>0</v>
          </cell>
        </row>
        <row r="737">
          <cell r="A737" t="str">
            <v>Hamilton Lane Private Equity Fund Investments KB</v>
          </cell>
          <cell r="G737" t="str">
            <v>Technology Crossover Ventures</v>
          </cell>
          <cell r="I737" t="str">
            <v>Primary Partnership</v>
          </cell>
          <cell r="J737">
            <v>5000000</v>
          </cell>
          <cell r="K737">
            <v>0</v>
          </cell>
          <cell r="R737" t="str">
            <v>Late Stage</v>
          </cell>
          <cell r="Y737">
            <v>0</v>
          </cell>
          <cell r="Z737">
            <v>0</v>
          </cell>
          <cell r="AA737" t="str">
            <v>Venture Capital</v>
          </cell>
          <cell r="AF737">
            <v>0</v>
          </cell>
        </row>
        <row r="738">
          <cell r="A738" t="str">
            <v>Hamilton Lane Private Equity Fund VI, L.P.</v>
          </cell>
          <cell r="G738" t="str">
            <v>Technology Crossover Ventures</v>
          </cell>
          <cell r="I738" t="str">
            <v>Primary Partnership</v>
          </cell>
          <cell r="J738">
            <v>10000000</v>
          </cell>
          <cell r="K738">
            <v>0</v>
          </cell>
          <cell r="R738" t="str">
            <v>Late Stage</v>
          </cell>
          <cell r="Y738">
            <v>0</v>
          </cell>
          <cell r="Z738">
            <v>0</v>
          </cell>
          <cell r="AA738" t="str">
            <v>Venture Capital</v>
          </cell>
          <cell r="AF738">
            <v>0</v>
          </cell>
        </row>
        <row r="739">
          <cell r="A739" t="str">
            <v>Los Angeles City Employees' Retirement System</v>
          </cell>
          <cell r="G739" t="str">
            <v>Technology Crossover Ventures</v>
          </cell>
          <cell r="I739" t="str">
            <v>Primary Partnership</v>
          </cell>
          <cell r="J739">
            <v>20000000</v>
          </cell>
          <cell r="K739">
            <v>0</v>
          </cell>
          <cell r="R739" t="str">
            <v>Late Stage</v>
          </cell>
          <cell r="Y739">
            <v>0</v>
          </cell>
          <cell r="Z739">
            <v>0</v>
          </cell>
          <cell r="AA739" t="str">
            <v>Venture Capital</v>
          </cell>
          <cell r="AF739">
            <v>0</v>
          </cell>
        </row>
        <row r="740">
          <cell r="A740" t="str">
            <v>Santa Barbara County Employees' Retirement System</v>
          </cell>
          <cell r="G740" t="str">
            <v>Technology Crossover Ventures</v>
          </cell>
          <cell r="I740" t="str">
            <v>Primary Partnership</v>
          </cell>
          <cell r="J740">
            <v>5000000</v>
          </cell>
          <cell r="K740">
            <v>0</v>
          </cell>
          <cell r="R740" t="str">
            <v>Late Stage</v>
          </cell>
          <cell r="Y740">
            <v>0</v>
          </cell>
          <cell r="Z740">
            <v>0</v>
          </cell>
          <cell r="AA740" t="str">
            <v>Venture Capital</v>
          </cell>
          <cell r="AF740">
            <v>0</v>
          </cell>
        </row>
        <row r="741">
          <cell r="A741" t="str">
            <v>Textron Master Trust</v>
          </cell>
          <cell r="G741" t="str">
            <v>Trust Company of the West</v>
          </cell>
          <cell r="I741" t="str">
            <v>Primary Partnership</v>
          </cell>
          <cell r="J741">
            <v>20000000</v>
          </cell>
          <cell r="K741">
            <v>17768856.649999999</v>
          </cell>
          <cell r="R741"/>
          <cell r="S741">
            <v>13.440143076758538</v>
          </cell>
          <cell r="Y741">
            <v>437282.95</v>
          </cell>
          <cell r="Z741">
            <v>26128439.649999999</v>
          </cell>
          <cell r="AA741" t="str">
            <v>Mezzanine</v>
          </cell>
          <cell r="AF741">
            <v>0.88844283249999989</v>
          </cell>
        </row>
        <row r="742">
          <cell r="A742" t="str">
            <v>Hamilton Lane-Carpenters Partnership Fund, L.P.</v>
          </cell>
          <cell r="G742" t="str">
            <v>Trust Company of the West</v>
          </cell>
          <cell r="I742" t="str">
            <v>Primary Partnership</v>
          </cell>
          <cell r="J742">
            <v>10000000</v>
          </cell>
          <cell r="K742">
            <v>7984760.2000000002</v>
          </cell>
          <cell r="R742"/>
          <cell r="S742">
            <v>38.410959529519118</v>
          </cell>
          <cell r="Y742">
            <v>3029645</v>
          </cell>
          <cell r="Z742">
            <v>16320023.199999999</v>
          </cell>
          <cell r="AA742" t="str">
            <v>Mezzanine</v>
          </cell>
          <cell r="AF742">
            <v>0.79847602000000006</v>
          </cell>
        </row>
        <row r="743">
          <cell r="A743" t="str">
            <v>Princess Private Equity Subholding Ltd.</v>
          </cell>
          <cell r="G743" t="str">
            <v>Trust Company of the West</v>
          </cell>
          <cell r="I743" t="str">
            <v>Primary Partnership</v>
          </cell>
          <cell r="J743">
            <v>10000000</v>
          </cell>
          <cell r="K743">
            <v>7984760.2000000002</v>
          </cell>
          <cell r="R743"/>
          <cell r="S743">
            <v>38.410959529519118</v>
          </cell>
          <cell r="Y743">
            <v>1965703.28</v>
          </cell>
          <cell r="Z743">
            <v>16221275.199999999</v>
          </cell>
          <cell r="AA743" t="str">
            <v>Mezzanine</v>
          </cell>
          <cell r="AF743">
            <v>0.79847602000000006</v>
          </cell>
        </row>
        <row r="744">
          <cell r="A744" t="str">
            <v>Textron Master Trust</v>
          </cell>
          <cell r="G744" t="str">
            <v>Trust Company of the West</v>
          </cell>
          <cell r="I744" t="str">
            <v>Primary Partnership</v>
          </cell>
          <cell r="J744">
            <v>20000000</v>
          </cell>
          <cell r="K744">
            <v>15969519.4</v>
          </cell>
          <cell r="R744"/>
          <cell r="S744">
            <v>38.410959529519118</v>
          </cell>
          <cell r="Y744">
            <v>3931399.89</v>
          </cell>
          <cell r="Z744">
            <v>32640062.399999999</v>
          </cell>
          <cell r="AA744" t="str">
            <v>Mezzanine</v>
          </cell>
          <cell r="AF744">
            <v>0.79847597000000003</v>
          </cell>
        </row>
        <row r="745">
          <cell r="A745" t="str">
            <v>United Food &amp; Commercial Workers Intl. Union</v>
          </cell>
          <cell r="G745" t="str">
            <v>Trust Company of the West</v>
          </cell>
          <cell r="I745" t="str">
            <v>Primary Partnership</v>
          </cell>
          <cell r="J745">
            <v>5000000</v>
          </cell>
          <cell r="K745">
            <v>3992382.8</v>
          </cell>
          <cell r="R745"/>
          <cell r="S745">
            <v>38.410959529519118</v>
          </cell>
          <cell r="Y745">
            <v>982848.74</v>
          </cell>
          <cell r="Z745">
            <v>8158719.7999999998</v>
          </cell>
          <cell r="AA745" t="str">
            <v>Mezzanine</v>
          </cell>
          <cell r="AF745">
            <v>0.79847656</v>
          </cell>
        </row>
        <row r="746">
          <cell r="A746" t="str">
            <v>Hamilton Lane Secondary Fund L.P. (Investments)</v>
          </cell>
          <cell r="G746" t="str">
            <v>Trust Company of the West</v>
          </cell>
          <cell r="I746" t="str">
            <v>Secondary Purchase</v>
          </cell>
          <cell r="J746">
            <v>8989756</v>
          </cell>
          <cell r="K746">
            <v>3067625</v>
          </cell>
          <cell r="R746"/>
          <cell r="S746">
            <v>38.410959529519118</v>
          </cell>
          <cell r="Y746">
            <v>4544459</v>
          </cell>
          <cell r="Z746">
            <v>0</v>
          </cell>
          <cell r="AA746" t="str">
            <v>Mezzanine</v>
          </cell>
          <cell r="AF746">
            <v>0.34123562419269221</v>
          </cell>
        </row>
        <row r="747">
          <cell r="A747" t="str">
            <v>Los Angeles City Employees' Retirement System</v>
          </cell>
          <cell r="G747" t="str">
            <v>Trust Company of the West</v>
          </cell>
          <cell r="I747" t="str">
            <v>Primary Partnership</v>
          </cell>
          <cell r="J747">
            <v>10000000</v>
          </cell>
          <cell r="K747">
            <v>8639320</v>
          </cell>
          <cell r="R747"/>
          <cell r="S747">
            <v>9.8145150209529852</v>
          </cell>
          <cell r="Y747">
            <v>7697169.7400000002</v>
          </cell>
          <cell r="Z747">
            <v>1713628</v>
          </cell>
          <cell r="AA747" t="str">
            <v>Mezzanine</v>
          </cell>
          <cell r="AF747">
            <v>0.86393200000000003</v>
          </cell>
        </row>
        <row r="748">
          <cell r="A748" t="str">
            <v>Textron Master Trust</v>
          </cell>
          <cell r="G748" t="str">
            <v>Trust Company of the West</v>
          </cell>
          <cell r="I748" t="str">
            <v>Primary Partnership</v>
          </cell>
          <cell r="J748">
            <v>10000000</v>
          </cell>
          <cell r="K748">
            <v>8619486</v>
          </cell>
          <cell r="R748"/>
          <cell r="S748">
            <v>9.8145150209529852</v>
          </cell>
          <cell r="Y748">
            <v>7693933.1399999997</v>
          </cell>
          <cell r="Z748">
            <v>1720026</v>
          </cell>
          <cell r="AA748" t="str">
            <v>Mezzanine</v>
          </cell>
          <cell r="AF748">
            <v>0.86194859999999995</v>
          </cell>
        </row>
        <row r="749">
          <cell r="A749" t="str">
            <v>Hamilton Lane Secondary Fund L.P. (Investments)</v>
          </cell>
          <cell r="G749" t="str">
            <v>Trust Company of the West</v>
          </cell>
          <cell r="I749" t="str">
            <v>Secondary Purchase</v>
          </cell>
          <cell r="J749">
            <v>15612234</v>
          </cell>
          <cell r="K749">
            <v>11454448</v>
          </cell>
          <cell r="R749"/>
          <cell r="S749">
            <v>9.8145150209529852</v>
          </cell>
          <cell r="Y749">
            <v>11545756</v>
          </cell>
          <cell r="Z749">
            <v>0</v>
          </cell>
          <cell r="AA749" t="str">
            <v>Mezzanine</v>
          </cell>
          <cell r="AF749">
            <v>0.73368410952590124</v>
          </cell>
        </row>
        <row r="750">
          <cell r="A750" t="str">
            <v>Hamilton Lane Co-Investment Fund, L.P.</v>
          </cell>
          <cell r="G750" t="str">
            <v>Providence Equity Partners, Inc.</v>
          </cell>
          <cell r="I750" t="str">
            <v>Co/Direct Investment</v>
          </cell>
          <cell r="J750">
            <v>10132175.4654675</v>
          </cell>
          <cell r="K750">
            <v>9530870.3399999999</v>
          </cell>
          <cell r="R750" t="str">
            <v>Large</v>
          </cell>
          <cell r="S750">
            <v>29.632696716429628</v>
          </cell>
          <cell r="Y750">
            <v>15535318.650000002</v>
          </cell>
          <cell r="Z750">
            <v>209193.47099999999</v>
          </cell>
          <cell r="AA750" t="str">
            <v>Corporate Finance/Buyout</v>
          </cell>
          <cell r="AF750">
            <v>0.94065389732768945</v>
          </cell>
        </row>
        <row r="751">
          <cell r="A751" t="str">
            <v>NJHL European Buyout Investment Fund, L.P.</v>
          </cell>
          <cell r="G751" t="str">
            <v>TDR Capital L.L.P.</v>
          </cell>
          <cell r="I751" t="str">
            <v>Primary Partnership</v>
          </cell>
          <cell r="J751">
            <v>29221794</v>
          </cell>
          <cell r="K751">
            <v>156240</v>
          </cell>
          <cell r="R751" t="str">
            <v>Large</v>
          </cell>
          <cell r="S751">
            <v>-100</v>
          </cell>
          <cell r="Y751">
            <v>0</v>
          </cell>
          <cell r="Z751">
            <v>0</v>
          </cell>
          <cell r="AA751" t="str">
            <v>Corporate Finance/Buyout</v>
          </cell>
          <cell r="AF751">
            <v>5.3466943199996552E-3</v>
          </cell>
        </row>
        <row r="752">
          <cell r="A752" t="str">
            <v>The Hudson River Fund II</v>
          </cell>
          <cell r="G752" t="str">
            <v>TDR Capital L.L.P.</v>
          </cell>
          <cell r="I752" t="str">
            <v>Primary Partnership</v>
          </cell>
          <cell r="J752">
            <v>21917317.5</v>
          </cell>
          <cell r="K752">
            <v>118152</v>
          </cell>
          <cell r="R752" t="str">
            <v>Large</v>
          </cell>
          <cell r="S752">
            <v>-100</v>
          </cell>
          <cell r="Y752">
            <v>0</v>
          </cell>
          <cell r="Z752">
            <v>0</v>
          </cell>
          <cell r="AA752" t="str">
            <v>Corporate Finance/Buyout</v>
          </cell>
          <cell r="AF752">
            <v>5.3908056950856325E-3</v>
          </cell>
        </row>
        <row r="753">
          <cell r="A753" t="str">
            <v>Hamilton Lane Private Equity Fund VI, L.P.</v>
          </cell>
          <cell r="G753" t="str">
            <v>Tennenbaum Capital Partners, LLC</v>
          </cell>
          <cell r="I753" t="str">
            <v>Primary Partnership</v>
          </cell>
          <cell r="J753">
            <v>7500000</v>
          </cell>
          <cell r="K753">
            <v>3750000</v>
          </cell>
          <cell r="R753" t="str">
            <v>Distressed/Turnaround</v>
          </cell>
          <cell r="S753">
            <v>-19.890372920182209</v>
          </cell>
          <cell r="Y753">
            <v>3191886.95</v>
          </cell>
          <cell r="Z753">
            <v>60041.09</v>
          </cell>
          <cell r="AA753" t="str">
            <v>Special Situation</v>
          </cell>
          <cell r="AF753">
            <v>0.5</v>
          </cell>
        </row>
        <row r="754">
          <cell r="A754" t="str">
            <v>Hamilton Lane-Carpenters Partnership Fund II L.P.</v>
          </cell>
          <cell r="G754" t="str">
            <v>Tennenbaum Capital Partners, LLC</v>
          </cell>
          <cell r="I754" t="str">
            <v>Primary Partnership</v>
          </cell>
          <cell r="J754">
            <v>15000000</v>
          </cell>
          <cell r="K754">
            <v>7500000</v>
          </cell>
          <cell r="R754" t="str">
            <v>Distressed/Turnaround</v>
          </cell>
          <cell r="S754">
            <v>-19.890372920182209</v>
          </cell>
          <cell r="Y754">
            <v>6383774</v>
          </cell>
          <cell r="Z754">
            <v>120082.16</v>
          </cell>
          <cell r="AA754" t="str">
            <v>Special Situation</v>
          </cell>
          <cell r="AF754">
            <v>0.5</v>
          </cell>
        </row>
        <row r="755">
          <cell r="A755" t="str">
            <v>Santa Barbara County Employees' Retirement System</v>
          </cell>
          <cell r="G755" t="str">
            <v>Tennenbaum Capital Partners, LLC</v>
          </cell>
          <cell r="I755" t="str">
            <v>Primary Partnership</v>
          </cell>
          <cell r="J755">
            <v>5000000</v>
          </cell>
          <cell r="K755">
            <v>2500000</v>
          </cell>
          <cell r="R755" t="str">
            <v>Distressed/Turnaround</v>
          </cell>
          <cell r="S755">
            <v>-19.890372920182209</v>
          </cell>
          <cell r="Y755">
            <v>2127924.63</v>
          </cell>
          <cell r="Z755">
            <v>40027.39</v>
          </cell>
          <cell r="AA755" t="str">
            <v>Special Situation</v>
          </cell>
          <cell r="AF755">
            <v>0.5</v>
          </cell>
        </row>
        <row r="756">
          <cell r="A756" t="str">
            <v>Winnipeg Civic - Manitoba Ltd.</v>
          </cell>
          <cell r="G756" t="str">
            <v>Tennenbaum Capital Partners, LLC</v>
          </cell>
          <cell r="I756" t="str">
            <v>Primary Partnership</v>
          </cell>
          <cell r="J756">
            <v>4000000</v>
          </cell>
          <cell r="K756">
            <v>2000000</v>
          </cell>
          <cell r="R756" t="str">
            <v>Distressed/Turnaround</v>
          </cell>
          <cell r="S756">
            <v>-19.890372920182209</v>
          </cell>
          <cell r="Y756">
            <v>1702339.7</v>
          </cell>
          <cell r="Z756">
            <v>32021.919999999998</v>
          </cell>
          <cell r="AA756" t="str">
            <v>Special Situation</v>
          </cell>
          <cell r="AF756">
            <v>0.5</v>
          </cell>
        </row>
        <row r="757">
          <cell r="A757" t="str">
            <v>Winnipeg Police - Manitoba Ltd.</v>
          </cell>
          <cell r="G757" t="str">
            <v>Tennenbaum Capital Partners, LLC</v>
          </cell>
          <cell r="I757" t="str">
            <v>Primary Partnership</v>
          </cell>
          <cell r="J757">
            <v>1000000</v>
          </cell>
          <cell r="K757">
            <v>500000</v>
          </cell>
          <cell r="R757" t="str">
            <v>Distressed/Turnaround</v>
          </cell>
          <cell r="S757">
            <v>-19.890372920182209</v>
          </cell>
          <cell r="Y757">
            <v>425584.93</v>
          </cell>
          <cell r="Z757">
            <v>8005.48</v>
          </cell>
          <cell r="AA757" t="str">
            <v>Special Situation</v>
          </cell>
          <cell r="AF757">
            <v>0.5</v>
          </cell>
        </row>
        <row r="758">
          <cell r="A758" t="str">
            <v>Hamilton Lane Private Equity Fund IV L.P.</v>
          </cell>
          <cell r="G758" t="str">
            <v>Thomas H. Lee Putnam</v>
          </cell>
          <cell r="I758" t="str">
            <v>Primary Partnership</v>
          </cell>
          <cell r="J758">
            <v>5000000</v>
          </cell>
          <cell r="K758">
            <v>4755714</v>
          </cell>
          <cell r="R758" t="str">
            <v>Late Stage</v>
          </cell>
          <cell r="S758">
            <v>9.0138576013736547</v>
          </cell>
          <cell r="Y758">
            <v>2318799</v>
          </cell>
          <cell r="Z758">
            <v>5032891</v>
          </cell>
          <cell r="AA758" t="str">
            <v>Venture Capital</v>
          </cell>
          <cell r="AF758">
            <v>0.95114279999999995</v>
          </cell>
        </row>
        <row r="759">
          <cell r="A759" t="str">
            <v>Hamilton Lane-Carpenters Partnership Fund, L.P.</v>
          </cell>
          <cell r="G759" t="str">
            <v>Thomas H. Lee Putnam</v>
          </cell>
          <cell r="I759" t="str">
            <v>Primary Partnership</v>
          </cell>
          <cell r="J759">
            <v>5000000</v>
          </cell>
          <cell r="K759">
            <v>4171798</v>
          </cell>
          <cell r="R759" t="str">
            <v>Late Stage</v>
          </cell>
          <cell r="S759">
            <v>9.0138576013736547</v>
          </cell>
          <cell r="Y759">
            <v>2318799</v>
          </cell>
          <cell r="Z759">
            <v>5032891</v>
          </cell>
          <cell r="AA759" t="str">
            <v>Venture Capital</v>
          </cell>
          <cell r="AF759">
            <v>0.83435959999999998</v>
          </cell>
        </row>
        <row r="760">
          <cell r="A760" t="str">
            <v>Princess Private Equity Subholding Ltd.</v>
          </cell>
          <cell r="G760" t="str">
            <v>Thomas H. Lee Putnam (parallel fund)</v>
          </cell>
          <cell r="I760" t="str">
            <v>Primary Partnership</v>
          </cell>
          <cell r="J760">
            <v>10000000</v>
          </cell>
          <cell r="K760">
            <v>8670700</v>
          </cell>
          <cell r="R760" t="str">
            <v>Late Stage</v>
          </cell>
          <cell r="S760">
            <v>8.93503887682472</v>
          </cell>
          <cell r="Y760">
            <v>4638187</v>
          </cell>
          <cell r="Z760">
            <v>10031046</v>
          </cell>
          <cell r="AA760" t="str">
            <v>Venture Capital</v>
          </cell>
          <cell r="AF760">
            <v>0.86707000000000001</v>
          </cell>
        </row>
        <row r="761">
          <cell r="A761" t="str">
            <v>Textron Master Trust</v>
          </cell>
          <cell r="G761" t="str">
            <v>Thomas H. Lee Putnam (parallel fund)</v>
          </cell>
          <cell r="I761" t="str">
            <v>Primary Partnership</v>
          </cell>
          <cell r="J761">
            <v>5000000</v>
          </cell>
          <cell r="K761">
            <v>4171339</v>
          </cell>
          <cell r="R761" t="str">
            <v>Late Stage</v>
          </cell>
          <cell r="S761">
            <v>8.93503887682472</v>
          </cell>
          <cell r="Y761">
            <v>2319092</v>
          </cell>
          <cell r="Z761">
            <v>5019186</v>
          </cell>
          <cell r="AA761" t="str">
            <v>Venture Capital</v>
          </cell>
          <cell r="AF761">
            <v>0.8342678</v>
          </cell>
        </row>
        <row r="762">
          <cell r="A762" t="str">
            <v>Textron Master Trust</v>
          </cell>
          <cell r="G762" t="str">
            <v>Thayer Capital Partners</v>
          </cell>
          <cell r="I762" t="str">
            <v>Primary Partnership</v>
          </cell>
          <cell r="J762">
            <v>10000000</v>
          </cell>
          <cell r="K762">
            <v>9877265</v>
          </cell>
          <cell r="R762" t="str">
            <v>Mid</v>
          </cell>
          <cell r="S762">
            <v>-5.149305972168694</v>
          </cell>
          <cell r="Y762">
            <v>3736960</v>
          </cell>
          <cell r="Z762">
            <v>3536793</v>
          </cell>
          <cell r="AA762" t="str">
            <v>Corporate Finance/Buyout</v>
          </cell>
          <cell r="AF762">
            <v>0.98772649999999995</v>
          </cell>
        </row>
        <row r="763">
          <cell r="A763" t="str">
            <v>Hamilton Lane-Carpenters Partnership Fund, L.P.</v>
          </cell>
          <cell r="G763" t="str">
            <v>The John Buck Company</v>
          </cell>
          <cell r="I763" t="str">
            <v>Primary Partnership</v>
          </cell>
          <cell r="J763">
            <v>15000000</v>
          </cell>
          <cell r="K763">
            <v>14287692.07</v>
          </cell>
          <cell r="R763" t="str">
            <v>Opportunistic - Indirect</v>
          </cell>
          <cell r="S763">
            <v>26.869458758258325</v>
          </cell>
          <cell r="Y763">
            <v>407471</v>
          </cell>
          <cell r="Z763">
            <v>31278779.57</v>
          </cell>
          <cell r="AA763" t="str">
            <v>Real Estate</v>
          </cell>
          <cell r="AF763">
            <v>0.95251280466666666</v>
          </cell>
        </row>
        <row r="764">
          <cell r="A764" t="str">
            <v>Hamilton Lane Co-Investment Fund, L.P.</v>
          </cell>
          <cell r="G764" t="str">
            <v>Leonard Green &amp; Company</v>
          </cell>
          <cell r="I764" t="str">
            <v>Co/Direct Investment</v>
          </cell>
          <cell r="J764">
            <v>18100000</v>
          </cell>
          <cell r="K764">
            <v>18100000</v>
          </cell>
          <cell r="R764" t="str">
            <v>Large</v>
          </cell>
          <cell r="S764">
            <v>-4.0523140398818214E-12</v>
          </cell>
          <cell r="Y764">
            <v>18100000</v>
          </cell>
          <cell r="Z764">
            <v>0</v>
          </cell>
          <cell r="AA764" t="str">
            <v>Corporate Finance/Buyout</v>
          </cell>
          <cell r="AF764">
            <v>1</v>
          </cell>
        </row>
        <row r="765">
          <cell r="A765" t="str">
            <v>Nordea Thematic Fund-of-Funds</v>
          </cell>
          <cell r="G765" t="str">
            <v>Cinven Limited</v>
          </cell>
          <cell r="I765" t="str">
            <v>Primary Partnership</v>
          </cell>
          <cell r="J765">
            <v>23263253.802319389</v>
          </cell>
          <cell r="K765">
            <v>23805888.736434996</v>
          </cell>
          <cell r="R765" t="str">
            <v>Large</v>
          </cell>
          <cell r="S765">
            <v>43.043124782415191</v>
          </cell>
          <cell r="Y765">
            <v>19385992.001709003</v>
          </cell>
          <cell r="Z765">
            <v>33278456.601882994</v>
          </cell>
          <cell r="AA765" t="str">
            <v>Corporate Finance/Buyout</v>
          </cell>
          <cell r="AF765">
            <v>1.0233258399158893</v>
          </cell>
        </row>
        <row r="766">
          <cell r="A766" t="str">
            <v>Hamilton Lane Private Equity Fund IV L.P.</v>
          </cell>
          <cell r="G766" t="str">
            <v>Thomas H. Lee Company</v>
          </cell>
          <cell r="I766" t="str">
            <v>Secondary Purchase</v>
          </cell>
          <cell r="J766">
            <v>17185912</v>
          </cell>
          <cell r="K766">
            <v>15925210.999999998</v>
          </cell>
          <cell r="R766" t="str">
            <v>Large</v>
          </cell>
          <cell r="S766">
            <v>-4.7053767844755123</v>
          </cell>
          <cell r="Y766">
            <v>544606</v>
          </cell>
          <cell r="Z766">
            <v>13022953.134160101</v>
          </cell>
          <cell r="AA766" t="str">
            <v>Corporate Finance/Buyout</v>
          </cell>
          <cell r="AF766">
            <v>0.92664334601503828</v>
          </cell>
        </row>
        <row r="767">
          <cell r="A767" t="str">
            <v>Hamilton Lane-Carpenters Partnership Fund, L.P.</v>
          </cell>
          <cell r="G767" t="str">
            <v>Thomas H. Lee Company</v>
          </cell>
          <cell r="I767" t="str">
            <v>Secondary Purchase</v>
          </cell>
          <cell r="J767">
            <v>11428253</v>
          </cell>
          <cell r="K767">
            <v>10911808</v>
          </cell>
          <cell r="R767" t="str">
            <v>Large</v>
          </cell>
          <cell r="S767">
            <v>-4.7053767844755123</v>
          </cell>
          <cell r="Y767">
            <v>377649</v>
          </cell>
          <cell r="Z767">
            <v>9041369.5940000005</v>
          </cell>
          <cell r="AA767" t="str">
            <v>Corporate Finance/Buyout</v>
          </cell>
          <cell r="AF767">
            <v>0.95480980338814692</v>
          </cell>
        </row>
        <row r="768">
          <cell r="A768" t="str">
            <v>Textron Master Trust</v>
          </cell>
          <cell r="G768" t="str">
            <v>Thomas H. Lee Company</v>
          </cell>
          <cell r="I768" t="str">
            <v>Secondary Purchase</v>
          </cell>
          <cell r="J768">
            <v>12521275</v>
          </cell>
          <cell r="K768">
            <v>10910857</v>
          </cell>
          <cell r="R768" t="str">
            <v>Large</v>
          </cell>
          <cell r="S768">
            <v>-4.7053767844755123</v>
          </cell>
          <cell r="Y768">
            <v>377650</v>
          </cell>
          <cell r="Z768">
            <v>9040143.324000001</v>
          </cell>
          <cell r="AA768" t="str">
            <v>Corporate Finance/Buyout</v>
          </cell>
          <cell r="AF768">
            <v>0.87138546194377176</v>
          </cell>
        </row>
        <row r="769">
          <cell r="A769" t="str">
            <v>United Food &amp; Commercial Workers Intl. Union</v>
          </cell>
          <cell r="G769" t="str">
            <v>Thomas H. Lee Company</v>
          </cell>
          <cell r="I769" t="str">
            <v>Secondary Purchase</v>
          </cell>
          <cell r="J769">
            <v>6260638</v>
          </cell>
          <cell r="K769">
            <v>5455444</v>
          </cell>
          <cell r="R769" t="str">
            <v>Large</v>
          </cell>
          <cell r="S769">
            <v>-4.7053767844755123</v>
          </cell>
          <cell r="Y769">
            <v>188838</v>
          </cell>
          <cell r="Z769">
            <v>4519637.8610000005</v>
          </cell>
          <cell r="AA769" t="str">
            <v>Corporate Finance/Buyout</v>
          </cell>
          <cell r="AF769">
            <v>0.87138786813740066</v>
          </cell>
        </row>
        <row r="770">
          <cell r="A770" t="str">
            <v>Hamilton Lane Private Equity Fund IV L.P.</v>
          </cell>
          <cell r="G770" t="str">
            <v>Thomas H. Lee Company (Parallel Fund)</v>
          </cell>
          <cell r="I770" t="str">
            <v>Primary Partnership</v>
          </cell>
          <cell r="J770">
            <v>10000000</v>
          </cell>
          <cell r="K770">
            <v>9666259</v>
          </cell>
          <cell r="R770" t="str">
            <v>Large</v>
          </cell>
          <cell r="S770">
            <v>20.217930868938062</v>
          </cell>
          <cell r="Y770">
            <v>7558189</v>
          </cell>
          <cell r="Z770">
            <v>8528660</v>
          </cell>
          <cell r="AA770" t="str">
            <v>Corporate Finance/Buyout</v>
          </cell>
          <cell r="AF770">
            <v>0.96662590000000004</v>
          </cell>
        </row>
        <row r="771">
          <cell r="A771" t="str">
            <v>Hamilton Lane-Carpenters Partnership Fund, L.P.</v>
          </cell>
          <cell r="G771" t="str">
            <v>Thomas H. Lee Company</v>
          </cell>
          <cell r="I771" t="str">
            <v>Primary Partnership</v>
          </cell>
          <cell r="J771">
            <v>10000000</v>
          </cell>
          <cell r="K771">
            <v>9244320</v>
          </cell>
          <cell r="R771" t="str">
            <v>Large</v>
          </cell>
          <cell r="S771">
            <v>20.419827120211686</v>
          </cell>
          <cell r="Y771">
            <v>7557691</v>
          </cell>
          <cell r="Z771">
            <v>8528604</v>
          </cell>
          <cell r="AA771" t="str">
            <v>Corporate Finance/Buyout</v>
          </cell>
          <cell r="AF771">
            <v>0.92443200000000003</v>
          </cell>
        </row>
        <row r="772">
          <cell r="A772" t="str">
            <v>Princess Private Equity Subholding Ltd.</v>
          </cell>
          <cell r="G772" t="str">
            <v>Thomas H. Lee Company (Parallel Fund)</v>
          </cell>
          <cell r="I772" t="str">
            <v>Primary Partnership</v>
          </cell>
          <cell r="J772">
            <v>10000000</v>
          </cell>
          <cell r="K772">
            <v>9241528</v>
          </cell>
          <cell r="R772" t="str">
            <v>Mega</v>
          </cell>
          <cell r="S772">
            <v>20.217930868938062</v>
          </cell>
          <cell r="Y772">
            <v>7558189</v>
          </cell>
          <cell r="Z772">
            <v>8528660</v>
          </cell>
          <cell r="AA772" t="str">
            <v>Corporate Finance/Buyout</v>
          </cell>
          <cell r="AF772">
            <v>0.9241528</v>
          </cell>
        </row>
        <row r="773">
          <cell r="A773" t="str">
            <v>Textron Master Trust</v>
          </cell>
          <cell r="G773" t="str">
            <v>Thomas H. Lee Company</v>
          </cell>
          <cell r="I773" t="str">
            <v>Primary Partnership</v>
          </cell>
          <cell r="J773">
            <v>25000000</v>
          </cell>
          <cell r="K773">
            <v>23110797</v>
          </cell>
          <cell r="R773" t="str">
            <v>Mega</v>
          </cell>
          <cell r="S773">
            <v>20.419827120211686</v>
          </cell>
          <cell r="Y773">
            <v>18894227</v>
          </cell>
          <cell r="Z773">
            <v>21321509</v>
          </cell>
          <cell r="AA773" t="str">
            <v>Corporate Finance/Buyout</v>
          </cell>
          <cell r="AF773">
            <v>0.92443187999999998</v>
          </cell>
        </row>
        <row r="774">
          <cell r="A774" t="str">
            <v>Marsh &amp; McLennan Master Retirement Trust</v>
          </cell>
          <cell r="G774" t="str">
            <v>Thomas H. Lee Company</v>
          </cell>
          <cell r="I774" t="str">
            <v>Primary Partnership</v>
          </cell>
          <cell r="J774">
            <v>20000000</v>
          </cell>
          <cell r="K774">
            <v>6995658</v>
          </cell>
          <cell r="R774" t="str">
            <v>Mega</v>
          </cell>
          <cell r="S774">
            <v>25.671058480946218</v>
          </cell>
          <cell r="Y774">
            <v>8706179</v>
          </cell>
          <cell r="Z774">
            <v>138269</v>
          </cell>
          <cell r="AA774" t="str">
            <v>Corporate Finance/Buyout</v>
          </cell>
          <cell r="AF774">
            <v>0.34978290000000001</v>
          </cell>
        </row>
        <row r="775">
          <cell r="A775" t="str">
            <v>Hamilton Lane Private Equity Fund Plc</v>
          </cell>
          <cell r="G775" t="str">
            <v>Thomas H. Lee Company</v>
          </cell>
          <cell r="I775" t="str">
            <v>Primary Partnership</v>
          </cell>
          <cell r="J775">
            <v>6841000</v>
          </cell>
          <cell r="K775">
            <v>6162272.2899999991</v>
          </cell>
          <cell r="R775" t="str">
            <v>Large</v>
          </cell>
          <cell r="S775">
            <v>-2.179461631947488</v>
          </cell>
          <cell r="Y775">
            <v>217729</v>
          </cell>
          <cell r="Z775">
            <v>5254154.3360000001</v>
          </cell>
          <cell r="AA775" t="str">
            <v>Corporate Finance/Buyout</v>
          </cell>
          <cell r="AF775">
            <v>0.90078530770355203</v>
          </cell>
        </row>
        <row r="776">
          <cell r="A776" t="str">
            <v>Hamilton Lane Private Equity Partners, L.P.</v>
          </cell>
          <cell r="G776" t="str">
            <v>Thomas H. Lee Company</v>
          </cell>
          <cell r="I776" t="str">
            <v>Primary Partnership</v>
          </cell>
          <cell r="J776">
            <v>3159000</v>
          </cell>
          <cell r="K776">
            <v>2845551.92</v>
          </cell>
          <cell r="R776" t="str">
            <v>Large</v>
          </cell>
          <cell r="S776">
            <v>-2.179461631947488</v>
          </cell>
          <cell r="Y776">
            <v>100546</v>
          </cell>
          <cell r="Z776">
            <v>2426223.6039999998</v>
          </cell>
          <cell r="AA776" t="str">
            <v>Corporate Finance/Buyout</v>
          </cell>
          <cell r="AF776">
            <v>0.90077616967394747</v>
          </cell>
        </row>
        <row r="777">
          <cell r="A777" t="str">
            <v>Princess Private Equity Subholding Ltd.</v>
          </cell>
          <cell r="G777" t="str">
            <v>TL Ventures</v>
          </cell>
          <cell r="I777" t="str">
            <v>Primary Partnership</v>
          </cell>
          <cell r="J777">
            <v>10000000</v>
          </cell>
          <cell r="K777">
            <v>8200000</v>
          </cell>
          <cell r="R777" t="str">
            <v>Early Stage</v>
          </cell>
          <cell r="S777">
            <v>-99.927542652484419</v>
          </cell>
          <cell r="Y777">
            <v>0</v>
          </cell>
          <cell r="Z777">
            <v>1639681.51</v>
          </cell>
          <cell r="AA777" t="str">
            <v>Venture Capital</v>
          </cell>
          <cell r="AF777">
            <v>0.82</v>
          </cell>
        </row>
        <row r="778">
          <cell r="A778" t="str">
            <v>Hamilton Lane Private Equity Fund Investments KB</v>
          </cell>
          <cell r="G778" t="str">
            <v>Texas Pacific Group</v>
          </cell>
          <cell r="I778" t="str">
            <v>Secondary Purchase</v>
          </cell>
          <cell r="J778">
            <v>4208913</v>
          </cell>
          <cell r="K778">
            <v>3791196</v>
          </cell>
          <cell r="R778" t="str">
            <v>Large</v>
          </cell>
          <cell r="S778">
            <v>41.273215697125785</v>
          </cell>
          <cell r="Y778">
            <v>2069401</v>
          </cell>
          <cell r="Z778">
            <v>6342412</v>
          </cell>
          <cell r="AA778" t="str">
            <v>Corporate Finance/Buyout</v>
          </cell>
          <cell r="AF778">
            <v>0.90075418522549644</v>
          </cell>
        </row>
        <row r="779">
          <cell r="A779" t="str">
            <v>Hamilton Lane Private Equity Fund V, L.P.</v>
          </cell>
          <cell r="G779" t="str">
            <v>Texas Pacific Group</v>
          </cell>
          <cell r="I779" t="str">
            <v>Secondary Purchase</v>
          </cell>
          <cell r="J779">
            <v>8417801</v>
          </cell>
          <cell r="K779">
            <v>7553847</v>
          </cell>
          <cell r="R779" t="str">
            <v>Large</v>
          </cell>
          <cell r="S779">
            <v>41.273215697125785</v>
          </cell>
          <cell r="Y779">
            <v>4141454</v>
          </cell>
          <cell r="Z779">
            <v>12362218</v>
          </cell>
          <cell r="AA779" t="str">
            <v>Corporate Finance/Buyout</v>
          </cell>
          <cell r="AF779">
            <v>0.89736583224051036</v>
          </cell>
        </row>
        <row r="780">
          <cell r="A780" t="str">
            <v>Royal Mail Pensions Trustees Limited</v>
          </cell>
          <cell r="G780" t="str">
            <v>Texas Pacific Group</v>
          </cell>
          <cell r="I780" t="str">
            <v>Secondary Purchase</v>
          </cell>
          <cell r="J780">
            <v>10000000</v>
          </cell>
          <cell r="K780">
            <v>9450244</v>
          </cell>
          <cell r="R780" t="str">
            <v>Large</v>
          </cell>
          <cell r="S780">
            <v>41.273215697125785</v>
          </cell>
          <cell r="Y780">
            <v>5174894</v>
          </cell>
          <cell r="Z780">
            <v>15457485</v>
          </cell>
          <cell r="AA780" t="str">
            <v>Corporate Finance/Buyout</v>
          </cell>
          <cell r="AF780">
            <v>0.94502439999999999</v>
          </cell>
        </row>
        <row r="781">
          <cell r="A781" t="str">
            <v>Hamilton Lane Private Equity Fund IV L.P.</v>
          </cell>
          <cell r="G781" t="str">
            <v>Texas Pacific Group</v>
          </cell>
          <cell r="I781" t="str">
            <v>Primary Partnership</v>
          </cell>
          <cell r="J781">
            <v>10000000</v>
          </cell>
          <cell r="K781">
            <v>8560334</v>
          </cell>
          <cell r="R781" t="str">
            <v>Large</v>
          </cell>
          <cell r="S781">
            <v>25.240134299479976</v>
          </cell>
          <cell r="Y781">
            <v>0</v>
          </cell>
          <cell r="Z781">
            <v>19363200.5</v>
          </cell>
          <cell r="AA781" t="str">
            <v>Corporate Finance/Buyout</v>
          </cell>
          <cell r="AF781">
            <v>0.85603340000000006</v>
          </cell>
        </row>
        <row r="782">
          <cell r="A782" t="str">
            <v>Hamilton Lane-Carpenters Partnership Fund, L.P.</v>
          </cell>
          <cell r="G782" t="str">
            <v>Texas Pacific Group</v>
          </cell>
          <cell r="I782" t="str">
            <v>Primary Partnership</v>
          </cell>
          <cell r="J782">
            <v>20000000</v>
          </cell>
          <cell r="K782">
            <v>17839808</v>
          </cell>
          <cell r="R782" t="str">
            <v>Large</v>
          </cell>
          <cell r="S782">
            <v>25.240134299479976</v>
          </cell>
          <cell r="Y782">
            <v>0</v>
          </cell>
          <cell r="Z782">
            <v>38732102.850000001</v>
          </cell>
          <cell r="AA782" t="str">
            <v>Corporate Finance/Buyout</v>
          </cell>
          <cell r="AF782">
            <v>0.89199039999999996</v>
          </cell>
        </row>
        <row r="783">
          <cell r="A783" t="str">
            <v>Princess Private Equity Subholding Ltd.</v>
          </cell>
          <cell r="G783" t="str">
            <v>Texas Pacific Group</v>
          </cell>
          <cell r="I783" t="str">
            <v>Primary Partnership</v>
          </cell>
          <cell r="J783">
            <v>4000000</v>
          </cell>
          <cell r="K783">
            <v>3568737</v>
          </cell>
          <cell r="R783" t="str">
            <v>Large</v>
          </cell>
          <cell r="S783">
            <v>25.240134299479976</v>
          </cell>
          <cell r="Y783">
            <v>2071152</v>
          </cell>
          <cell r="Z783">
            <v>6816089</v>
          </cell>
          <cell r="AA783" t="str">
            <v>Corporate Finance/Buyout</v>
          </cell>
          <cell r="AF783">
            <v>0.89218425000000001</v>
          </cell>
        </row>
        <row r="784">
          <cell r="A784" t="str">
            <v>Textron Master Trust</v>
          </cell>
          <cell r="G784" t="str">
            <v>Texas Pacific Group</v>
          </cell>
          <cell r="I784" t="str">
            <v>Primary Partnership</v>
          </cell>
          <cell r="J784">
            <v>25000000</v>
          </cell>
          <cell r="K784">
            <v>22298400</v>
          </cell>
          <cell r="R784" t="str">
            <v>Large</v>
          </cell>
          <cell r="S784">
            <v>25.240134299479976</v>
          </cell>
          <cell r="Y784">
            <v>12940471</v>
          </cell>
          <cell r="Z784">
            <v>41689726</v>
          </cell>
          <cell r="AA784" t="str">
            <v>Corporate Finance/Buyout</v>
          </cell>
          <cell r="AF784">
            <v>0.89193599999999995</v>
          </cell>
        </row>
        <row r="785">
          <cell r="A785" t="str">
            <v>Generali Global Private Equity S.A. SICAR</v>
          </cell>
          <cell r="G785" t="str">
            <v>Texas Pacific Group</v>
          </cell>
          <cell r="I785" t="str">
            <v>Primary Partnership</v>
          </cell>
          <cell r="J785">
            <v>15000000</v>
          </cell>
          <cell r="K785">
            <v>15755378</v>
          </cell>
          <cell r="R785" t="str">
            <v>Large</v>
          </cell>
          <cell r="S785">
            <v>31.018520579606346</v>
          </cell>
          <cell r="Y785">
            <v>16542839</v>
          </cell>
          <cell r="Z785">
            <v>8448124</v>
          </cell>
          <cell r="AA785" t="str">
            <v>Corporate Finance/Buyout</v>
          </cell>
          <cell r="AF785">
            <v>1.0503585333333334</v>
          </cell>
        </row>
        <row r="786">
          <cell r="A786" t="str">
            <v>Hamilton Lane Private Equity Fund Investments KB</v>
          </cell>
          <cell r="G786" t="str">
            <v>Texas Pacific Group</v>
          </cell>
          <cell r="I786" t="str">
            <v>Primary Partnership</v>
          </cell>
          <cell r="J786">
            <v>3000000</v>
          </cell>
          <cell r="K786">
            <v>3162597</v>
          </cell>
          <cell r="R786" t="str">
            <v>Large</v>
          </cell>
          <cell r="S786">
            <v>31.018520579606346</v>
          </cell>
          <cell r="Y786">
            <v>3308834</v>
          </cell>
          <cell r="Z786">
            <v>1821127</v>
          </cell>
          <cell r="AA786" t="str">
            <v>Corporate Finance/Buyout</v>
          </cell>
          <cell r="AF786">
            <v>1.0541990000000001</v>
          </cell>
        </row>
        <row r="787">
          <cell r="A787" t="str">
            <v>Hamilton Lane Private Equity Fund V, L.P.</v>
          </cell>
          <cell r="G787" t="str">
            <v>Texas Pacific Group</v>
          </cell>
          <cell r="I787" t="str">
            <v>Primary Partnership</v>
          </cell>
          <cell r="J787">
            <v>10000000</v>
          </cell>
          <cell r="K787">
            <v>10290612</v>
          </cell>
          <cell r="R787" t="str">
            <v>Large</v>
          </cell>
          <cell r="S787">
            <v>31.018520579606346</v>
          </cell>
          <cell r="Y787">
            <v>11030421</v>
          </cell>
          <cell r="Z787">
            <v>5814855</v>
          </cell>
          <cell r="AA787" t="str">
            <v>Corporate Finance/Buyout</v>
          </cell>
          <cell r="AF787">
            <v>1.0290611999999999</v>
          </cell>
        </row>
        <row r="788">
          <cell r="A788" t="str">
            <v>I.A.M. National Pension Fund</v>
          </cell>
          <cell r="G788" t="str">
            <v>Texas Pacific Group</v>
          </cell>
          <cell r="I788" t="str">
            <v>Primary Partnership</v>
          </cell>
          <cell r="J788">
            <v>10000000</v>
          </cell>
          <cell r="K788">
            <v>10521294</v>
          </cell>
          <cell r="R788" t="str">
            <v>Large</v>
          </cell>
          <cell r="S788">
            <v>31.018520579606346</v>
          </cell>
          <cell r="Y788">
            <v>11030475</v>
          </cell>
          <cell r="Z788">
            <v>5656328</v>
          </cell>
          <cell r="AA788" t="str">
            <v>Corporate Finance/Buyout</v>
          </cell>
          <cell r="AF788">
            <v>1.0521294000000001</v>
          </cell>
        </row>
        <row r="789">
          <cell r="A789" t="str">
            <v>Royal Mail Pensions Trustees Limited</v>
          </cell>
          <cell r="G789" t="str">
            <v>Texas Pacific Group</v>
          </cell>
          <cell r="I789" t="str">
            <v>Primary Partnership</v>
          </cell>
          <cell r="J789">
            <v>20000000</v>
          </cell>
          <cell r="K789">
            <v>21012094</v>
          </cell>
          <cell r="R789" t="str">
            <v>Large</v>
          </cell>
          <cell r="S789">
            <v>31.018520579606346</v>
          </cell>
          <cell r="Y789">
            <v>22061160</v>
          </cell>
          <cell r="Z789">
            <v>11297350</v>
          </cell>
          <cell r="AA789" t="str">
            <v>Corporate Finance/Buyout</v>
          </cell>
          <cell r="AF789">
            <v>1.0506047000000001</v>
          </cell>
        </row>
        <row r="790">
          <cell r="A790" t="str">
            <v>Textron Master Trust</v>
          </cell>
          <cell r="G790" t="str">
            <v>Texas Pacific Group</v>
          </cell>
          <cell r="I790" t="str">
            <v>Primary Partnership</v>
          </cell>
          <cell r="J790">
            <v>15000000</v>
          </cell>
          <cell r="K790">
            <v>15758351</v>
          </cell>
          <cell r="R790" t="str">
            <v>Large</v>
          </cell>
          <cell r="S790">
            <v>31.018520579606346</v>
          </cell>
          <cell r="Y790">
            <v>16545844</v>
          </cell>
          <cell r="Z790">
            <v>8469466</v>
          </cell>
          <cell r="AA790" t="str">
            <v>Corporate Finance/Buyout</v>
          </cell>
          <cell r="AF790">
            <v>1.0505567333333334</v>
          </cell>
        </row>
        <row r="791">
          <cell r="A791" t="str">
            <v>The 1199 Health Care Employees Pension Fund</v>
          </cell>
          <cell r="G791" t="str">
            <v>Texas Pacific Group</v>
          </cell>
          <cell r="I791" t="str">
            <v>Primary Partnership</v>
          </cell>
          <cell r="J791">
            <v>10000000</v>
          </cell>
          <cell r="K791">
            <v>10290611</v>
          </cell>
          <cell r="R791" t="str">
            <v>Large</v>
          </cell>
          <cell r="S791">
            <v>31.018520579606346</v>
          </cell>
          <cell r="Y791">
            <v>11030475</v>
          </cell>
          <cell r="Z791">
            <v>5433423</v>
          </cell>
          <cell r="AA791" t="str">
            <v>Corporate Finance/Buyout</v>
          </cell>
          <cell r="AF791">
            <v>1.0290611000000001</v>
          </cell>
        </row>
        <row r="792">
          <cell r="A792" t="str">
            <v>Generali Global Private Equity S.A. SICAR</v>
          </cell>
          <cell r="G792" t="str">
            <v>Texas Pacific Group</v>
          </cell>
          <cell r="I792" t="str">
            <v>Primary Partnership</v>
          </cell>
          <cell r="J792">
            <v>25000000</v>
          </cell>
          <cell r="K792">
            <v>14870624</v>
          </cell>
          <cell r="R792" t="str">
            <v>Mega</v>
          </cell>
          <cell r="S792">
            <v>-1.6106110915213967</v>
          </cell>
          <cell r="Y792">
            <v>14368257</v>
          </cell>
          <cell r="Z792">
            <v>361185</v>
          </cell>
          <cell r="AA792" t="str">
            <v>Corporate Finance/Buyout</v>
          </cell>
          <cell r="AF792">
            <v>0.59482495999999996</v>
          </cell>
        </row>
        <row r="793">
          <cell r="A793" t="str">
            <v>Hamilton Lane Private Equity Fund Investments KB</v>
          </cell>
          <cell r="G793" t="str">
            <v>Texas Pacific Group</v>
          </cell>
          <cell r="I793" t="str">
            <v>Primary Partnership</v>
          </cell>
          <cell r="J793">
            <v>10000000</v>
          </cell>
          <cell r="K793">
            <v>5948250</v>
          </cell>
          <cell r="R793" t="str">
            <v>Mega</v>
          </cell>
          <cell r="S793">
            <v>-1.6106110915213967</v>
          </cell>
          <cell r="Y793">
            <v>5747317</v>
          </cell>
          <cell r="Z793">
            <v>144476</v>
          </cell>
          <cell r="AA793" t="str">
            <v>Corporate Finance/Buyout</v>
          </cell>
          <cell r="AF793">
            <v>0.59482500000000005</v>
          </cell>
        </row>
        <row r="794">
          <cell r="A794" t="str">
            <v>Hamilton Lane-Carpenters Partnership Fund II L.P.</v>
          </cell>
          <cell r="G794" t="str">
            <v>Texas Pacific Group</v>
          </cell>
          <cell r="I794" t="str">
            <v>Primary Partnership</v>
          </cell>
          <cell r="J794">
            <v>15000000</v>
          </cell>
          <cell r="K794">
            <v>8922376</v>
          </cell>
          <cell r="R794" t="str">
            <v>Mega</v>
          </cell>
          <cell r="S794">
            <v>-1.6106110915213967</v>
          </cell>
          <cell r="Y794">
            <v>8621235</v>
          </cell>
          <cell r="Z794">
            <v>216472</v>
          </cell>
          <cell r="AA794" t="str">
            <v>Corporate Finance/Buyout</v>
          </cell>
          <cell r="AF794">
            <v>0.59482506666666668</v>
          </cell>
        </row>
        <row r="795">
          <cell r="A795" t="str">
            <v>Harel Gemel Ltd.</v>
          </cell>
          <cell r="G795" t="str">
            <v>Texas Pacific Group</v>
          </cell>
          <cell r="I795" t="str">
            <v>Primary Partnership</v>
          </cell>
          <cell r="J795">
            <v>1620000</v>
          </cell>
          <cell r="K795">
            <v>963619</v>
          </cell>
          <cell r="R795" t="str">
            <v>Mega</v>
          </cell>
          <cell r="S795">
            <v>-1.6106110915213967</v>
          </cell>
          <cell r="Y795">
            <v>931085</v>
          </cell>
          <cell r="Z795">
            <v>23404</v>
          </cell>
          <cell r="AA795" t="str">
            <v>Corporate Finance/Buyout</v>
          </cell>
          <cell r="AF795">
            <v>0.59482654320987649</v>
          </cell>
        </row>
        <row r="796">
          <cell r="A796" t="str">
            <v>Los Angeles City Employees' Retirement System</v>
          </cell>
          <cell r="G796" t="str">
            <v>Texas Pacific Group</v>
          </cell>
          <cell r="I796" t="str">
            <v>Primary Partnership</v>
          </cell>
          <cell r="J796">
            <v>30000000</v>
          </cell>
          <cell r="K796">
            <v>17844746</v>
          </cell>
          <cell r="R796" t="str">
            <v>Mega</v>
          </cell>
          <cell r="S796">
            <v>-1.6106110915213967</v>
          </cell>
          <cell r="Y796">
            <v>17242802</v>
          </cell>
          <cell r="Z796">
            <v>433423</v>
          </cell>
          <cell r="AA796" t="str">
            <v>Corporate Finance/Buyout</v>
          </cell>
          <cell r="AF796">
            <v>0.59482486666666667</v>
          </cell>
        </row>
        <row r="797">
          <cell r="A797" t="str">
            <v>Marsh &amp; McLennan Master Retirement Trust</v>
          </cell>
          <cell r="G797" t="str">
            <v>Texas Pacific Group</v>
          </cell>
          <cell r="I797" t="str">
            <v>Primary Partnership</v>
          </cell>
          <cell r="J797">
            <v>25000000</v>
          </cell>
          <cell r="K797">
            <v>14870624</v>
          </cell>
          <cell r="R797" t="str">
            <v>Mega</v>
          </cell>
          <cell r="S797">
            <v>-1.6106110915213967</v>
          </cell>
          <cell r="Y797">
            <v>14368677</v>
          </cell>
          <cell r="Z797">
            <v>361185</v>
          </cell>
          <cell r="AA797" t="str">
            <v>Corporate Finance/Buyout</v>
          </cell>
          <cell r="AF797">
            <v>0.59482495999999996</v>
          </cell>
        </row>
        <row r="798">
          <cell r="A798" t="str">
            <v>Mivtachim - The Workers Social Insurance Fund Ltd.</v>
          </cell>
          <cell r="G798" t="str">
            <v>Texas Pacific Group</v>
          </cell>
          <cell r="I798" t="str">
            <v>Primary Partnership</v>
          </cell>
          <cell r="J798">
            <v>5000000</v>
          </cell>
          <cell r="K798">
            <v>2974125</v>
          </cell>
          <cell r="R798" t="str">
            <v>Mega</v>
          </cell>
          <cell r="S798">
            <v>-1.6106110915213967</v>
          </cell>
          <cell r="Y798">
            <v>2873673</v>
          </cell>
          <cell r="Z798">
            <v>72236</v>
          </cell>
          <cell r="AA798" t="str">
            <v>Corporate Finance/Buyout</v>
          </cell>
          <cell r="AF798">
            <v>0.59482500000000005</v>
          </cell>
        </row>
        <row r="799">
          <cell r="A799" t="str">
            <v>Princeton Theological Seminary</v>
          </cell>
          <cell r="G799" t="str">
            <v>Texas Pacific Group</v>
          </cell>
          <cell r="I799" t="str">
            <v>Primary Partnership</v>
          </cell>
          <cell r="J799">
            <v>10000000</v>
          </cell>
          <cell r="K799">
            <v>5948249</v>
          </cell>
          <cell r="R799" t="str">
            <v>Mega</v>
          </cell>
          <cell r="S799">
            <v>-1.6106110915213967</v>
          </cell>
          <cell r="Y799">
            <v>5747609</v>
          </cell>
          <cell r="Z799">
            <v>144475</v>
          </cell>
          <cell r="AA799" t="str">
            <v>Corporate Finance/Buyout</v>
          </cell>
          <cell r="AF799">
            <v>0.59482489999999999</v>
          </cell>
        </row>
        <row r="800">
          <cell r="A800" t="str">
            <v>Prisma Provident Funds Ltd.</v>
          </cell>
          <cell r="G800" t="str">
            <v>Texas Pacific Group</v>
          </cell>
          <cell r="I800" t="str">
            <v>Primary Partnership</v>
          </cell>
          <cell r="J800">
            <v>1380000</v>
          </cell>
          <cell r="K800">
            <v>820857</v>
          </cell>
          <cell r="R800" t="str">
            <v>Mega</v>
          </cell>
          <cell r="S800">
            <v>-1.6106110915213967</v>
          </cell>
          <cell r="Y800">
            <v>793138</v>
          </cell>
          <cell r="Z800">
            <v>19937</v>
          </cell>
          <cell r="AA800" t="str">
            <v>Corporate Finance/Buyout</v>
          </cell>
          <cell r="AF800">
            <v>0.59482391304347826</v>
          </cell>
        </row>
        <row r="801">
          <cell r="A801" t="str">
            <v>Royal Mail Pensions Trustees Limited</v>
          </cell>
          <cell r="G801" t="str">
            <v>Texas Pacific Group</v>
          </cell>
          <cell r="I801" t="str">
            <v>Primary Partnership</v>
          </cell>
          <cell r="J801">
            <v>20000000</v>
          </cell>
          <cell r="K801">
            <v>11896497</v>
          </cell>
          <cell r="R801" t="str">
            <v>Mega</v>
          </cell>
          <cell r="S801">
            <v>-1.6106110915213967</v>
          </cell>
          <cell r="Y801">
            <v>11494616</v>
          </cell>
          <cell r="Z801">
            <v>289620</v>
          </cell>
          <cell r="AA801" t="str">
            <v>Corporate Finance/Buyout</v>
          </cell>
          <cell r="AF801">
            <v>0.59482484999999996</v>
          </cell>
        </row>
        <row r="802">
          <cell r="A802" t="str">
            <v>The 1199 Health Care Employees Pension Fund</v>
          </cell>
          <cell r="G802" t="str">
            <v>Texas Pacific Group</v>
          </cell>
          <cell r="I802" t="str">
            <v>Primary Partnership</v>
          </cell>
          <cell r="J802">
            <v>20000000</v>
          </cell>
          <cell r="K802">
            <v>11896497</v>
          </cell>
          <cell r="R802" t="str">
            <v>Mega</v>
          </cell>
          <cell r="S802">
            <v>-1.6106110915213967</v>
          </cell>
          <cell r="Y802">
            <v>11494954</v>
          </cell>
          <cell r="Z802">
            <v>288947</v>
          </cell>
          <cell r="AA802" t="str">
            <v>Corporate Finance/Buyout</v>
          </cell>
          <cell r="AF802">
            <v>0.59482484999999996</v>
          </cell>
        </row>
        <row r="803">
          <cell r="A803" t="str">
            <v>The Essex County Council</v>
          </cell>
          <cell r="G803" t="str">
            <v>Texas Pacific Group</v>
          </cell>
          <cell r="I803" t="str">
            <v>Primary Partnership</v>
          </cell>
          <cell r="J803">
            <v>17000000</v>
          </cell>
          <cell r="K803">
            <v>10112022</v>
          </cell>
          <cell r="R803" t="str">
            <v>Mega</v>
          </cell>
          <cell r="S803">
            <v>-1.6106110915213967</v>
          </cell>
          <cell r="Y803">
            <v>9770434</v>
          </cell>
          <cell r="Z803">
            <v>245606</v>
          </cell>
          <cell r="AA803" t="str">
            <v>Corporate Finance/Buyout</v>
          </cell>
          <cell r="AF803">
            <v>0.59482482352941179</v>
          </cell>
        </row>
        <row r="804">
          <cell r="A804" t="str">
            <v>Hamilton Lane-Carpenters Partnership Fund II L.P.</v>
          </cell>
          <cell r="G804" t="str">
            <v>Texas Pacific Group</v>
          </cell>
          <cell r="I804" t="str">
            <v>Primary Partnership</v>
          </cell>
          <cell r="J804">
            <v>10000000</v>
          </cell>
          <cell r="K804">
            <v>1817228</v>
          </cell>
          <cell r="R804" t="str">
            <v>Multi-Stage</v>
          </cell>
          <cell r="S804">
            <v>-17.148996575375751</v>
          </cell>
          <cell r="Y804">
            <v>1642201</v>
          </cell>
          <cell r="Z804">
            <v>5612</v>
          </cell>
          <cell r="AA804" t="str">
            <v>Special Situation</v>
          </cell>
          <cell r="AF804">
            <v>0.18172279999999999</v>
          </cell>
        </row>
        <row r="805">
          <cell r="A805" t="str">
            <v>Los Angeles City Employees' Retirement System</v>
          </cell>
          <cell r="G805" t="str">
            <v>Texas Pacific Group</v>
          </cell>
          <cell r="I805" t="str">
            <v>Primary Partnership</v>
          </cell>
          <cell r="J805">
            <v>20000000</v>
          </cell>
          <cell r="K805">
            <v>3634451</v>
          </cell>
          <cell r="R805" t="str">
            <v>Multi-Stage</v>
          </cell>
          <cell r="S805">
            <v>-17.148996575375751</v>
          </cell>
          <cell r="Y805">
            <v>3284404</v>
          </cell>
          <cell r="Z805">
            <v>11223</v>
          </cell>
          <cell r="AA805" t="str">
            <v>Special Situation</v>
          </cell>
          <cell r="AF805">
            <v>0.18172255000000001</v>
          </cell>
        </row>
        <row r="806">
          <cell r="A806" t="str">
            <v>Royal Mail Pensions Trustees Limited</v>
          </cell>
          <cell r="G806" t="str">
            <v>Texas Pacific Group</v>
          </cell>
          <cell r="I806" t="str">
            <v>Primary Partnership</v>
          </cell>
          <cell r="J806">
            <v>15000000</v>
          </cell>
          <cell r="K806">
            <v>2725841</v>
          </cell>
          <cell r="R806" t="str">
            <v>Multi-Stage</v>
          </cell>
          <cell r="S806">
            <v>-17.148996575375751</v>
          </cell>
          <cell r="Y806">
            <v>2463312</v>
          </cell>
          <cell r="Z806">
            <v>8418</v>
          </cell>
          <cell r="AA806" t="str">
            <v>Special Situation</v>
          </cell>
          <cell r="AF806">
            <v>0.18172273333333333</v>
          </cell>
        </row>
        <row r="807">
          <cell r="A807" t="str">
            <v>Textron Master Trust</v>
          </cell>
          <cell r="G807" t="str">
            <v>Texas Pacific Group</v>
          </cell>
          <cell r="I807" t="str">
            <v>Primary Partnership</v>
          </cell>
          <cell r="J807">
            <v>10000000</v>
          </cell>
          <cell r="K807">
            <v>1817228</v>
          </cell>
          <cell r="R807" t="str">
            <v>Multi-Stage</v>
          </cell>
          <cell r="S807">
            <v>-17.148996575375751</v>
          </cell>
          <cell r="Y807">
            <v>1642201</v>
          </cell>
          <cell r="Z807">
            <v>7472</v>
          </cell>
          <cell r="AA807" t="str">
            <v>Special Situation</v>
          </cell>
          <cell r="AF807">
            <v>0.18172279999999999</v>
          </cell>
        </row>
        <row r="808">
          <cell r="A808" t="str">
            <v>The Hudson River Fund II</v>
          </cell>
          <cell r="G808" t="str">
            <v>Texas Pacific Group</v>
          </cell>
          <cell r="I808" t="str">
            <v>Primary Partnership</v>
          </cell>
          <cell r="J808">
            <v>25000000</v>
          </cell>
          <cell r="K808">
            <v>4543064</v>
          </cell>
          <cell r="R808" t="str">
            <v>Multi-Stage</v>
          </cell>
          <cell r="S808">
            <v>-17.148996575375751</v>
          </cell>
          <cell r="Y808">
            <v>4105511</v>
          </cell>
          <cell r="Z808">
            <v>18680</v>
          </cell>
          <cell r="AA808" t="str">
            <v>Special Situation</v>
          </cell>
          <cell r="AF808">
            <v>0.18172256000000001</v>
          </cell>
        </row>
        <row r="809">
          <cell r="A809" t="str">
            <v>Hamilton Lane-Carpenters Partnership Fund, L.P.</v>
          </cell>
          <cell r="G809" t="str">
            <v>Texas Pacific Group</v>
          </cell>
          <cell r="I809" t="str">
            <v>Primary Partnership</v>
          </cell>
          <cell r="J809">
            <v>3769231</v>
          </cell>
          <cell r="K809">
            <v>3604441</v>
          </cell>
          <cell r="R809" t="str">
            <v>Early Stage</v>
          </cell>
          <cell r="S809">
            <v>5.3626622325004814</v>
          </cell>
          <cell r="Y809">
            <v>2980421</v>
          </cell>
          <cell r="Z809">
            <v>1318509</v>
          </cell>
          <cell r="AA809" t="str">
            <v>Venture Capital</v>
          </cell>
          <cell r="AF809">
            <v>0.95628020675835468</v>
          </cell>
        </row>
        <row r="810">
          <cell r="A810" t="str">
            <v>The Markaz/Hamilton Lane Technology Fund L.P.</v>
          </cell>
          <cell r="G810" t="str">
            <v>Texas Pacific Group</v>
          </cell>
          <cell r="I810" t="str">
            <v>Primary Partnership</v>
          </cell>
          <cell r="J810">
            <v>1507692</v>
          </cell>
          <cell r="K810">
            <v>1441775</v>
          </cell>
          <cell r="R810" t="str">
            <v>Multi-Stage</v>
          </cell>
          <cell r="S810">
            <v>5.3626622325004814</v>
          </cell>
          <cell r="Y810">
            <v>1192186</v>
          </cell>
          <cell r="Z810">
            <v>527389</v>
          </cell>
          <cell r="AA810" t="str">
            <v>Venture Capital</v>
          </cell>
          <cell r="AF810">
            <v>0.95627953189378201</v>
          </cell>
        </row>
        <row r="811">
          <cell r="A811" t="str">
            <v>Hamilton Lane Private Equity Fund IV L.P.</v>
          </cell>
          <cell r="G811" t="str">
            <v>Thomas H. Lee Company</v>
          </cell>
          <cell r="I811" t="str">
            <v>Co/Direct Investment</v>
          </cell>
          <cell r="J811">
            <v>2007703.33</v>
          </cell>
          <cell r="K811">
            <v>2007703.33</v>
          </cell>
          <cell r="R811" t="str">
            <v>Large</v>
          </cell>
          <cell r="S811">
            <v>34.185929081840371</v>
          </cell>
          <cell r="Y811">
            <v>0</v>
          </cell>
          <cell r="Z811">
            <v>5751236.0899999999</v>
          </cell>
          <cell r="AA811" t="str">
            <v>Corporate Finance/Buyout</v>
          </cell>
          <cell r="AF811">
            <v>1</v>
          </cell>
        </row>
        <row r="812">
          <cell r="A812" t="str">
            <v>United Food &amp; Commercial Workers Intl. Union</v>
          </cell>
          <cell r="G812" t="str">
            <v>Trinity Ventures</v>
          </cell>
          <cell r="I812" t="str">
            <v>Primary Partnership</v>
          </cell>
          <cell r="J812">
            <v>3000000</v>
          </cell>
          <cell r="K812">
            <v>2650000</v>
          </cell>
          <cell r="R812" t="str">
            <v>Early Stage</v>
          </cell>
          <cell r="S812">
            <v>4.9003586644075003</v>
          </cell>
          <cell r="Y812">
            <v>1931241</v>
          </cell>
          <cell r="Z812">
            <v>1209279.27</v>
          </cell>
          <cell r="AA812" t="str">
            <v>Venture Capital</v>
          </cell>
          <cell r="AF812">
            <v>0.8833333333333333</v>
          </cell>
        </row>
        <row r="813">
          <cell r="A813" t="str">
            <v>Hamilton Lane Secondary Fund L.P. (Investments)</v>
          </cell>
          <cell r="G813" t="str">
            <v>Clarion Capital Partners LLC</v>
          </cell>
          <cell r="I813" t="str">
            <v>Secondary Purchase</v>
          </cell>
          <cell r="J813">
            <v>10156128</v>
          </cell>
          <cell r="K813">
            <v>4670851.72</v>
          </cell>
          <cell r="R813" t="str">
            <v>Mid</v>
          </cell>
          <cell r="S813">
            <v>33.436006429322852</v>
          </cell>
          <cell r="Y813">
            <v>7303048</v>
          </cell>
          <cell r="Z813">
            <v>516017.27</v>
          </cell>
          <cell r="AA813" t="str">
            <v>Corporate Finance/Buyout</v>
          </cell>
          <cell r="AF813">
            <v>0.45990477079453901</v>
          </cell>
        </row>
        <row r="814">
          <cell r="A814" t="str">
            <v>Hamilton Lane Private Equity Fund IV L.P.</v>
          </cell>
          <cell r="G814" t="str">
            <v>Thomas Weisel</v>
          </cell>
          <cell r="I814" t="str">
            <v>Primary Partnership</v>
          </cell>
          <cell r="J814">
            <v>5000000</v>
          </cell>
          <cell r="K814">
            <v>4832535.04</v>
          </cell>
          <cell r="R814" t="str">
            <v>Multi-Stage</v>
          </cell>
          <cell r="S814">
            <v>-6.9918817956598156</v>
          </cell>
          <cell r="Y814">
            <v>1666566</v>
          </cell>
          <cell r="Z814">
            <v>1643927</v>
          </cell>
          <cell r="AA814" t="str">
            <v>Special Situation</v>
          </cell>
          <cell r="AF814">
            <v>0.966507008</v>
          </cell>
        </row>
        <row r="815">
          <cell r="A815" t="str">
            <v>Hamilton Lane-Carpenters Partnership Fund, L.P.</v>
          </cell>
          <cell r="G815" t="str">
            <v>Thomas Weisel</v>
          </cell>
          <cell r="I815" t="str">
            <v>Primary Partnership</v>
          </cell>
          <cell r="J815">
            <v>10000000</v>
          </cell>
          <cell r="K815">
            <v>10129369.09</v>
          </cell>
          <cell r="R815" t="str">
            <v>Multi-Stage</v>
          </cell>
          <cell r="S815">
            <v>-6.9918817956598156</v>
          </cell>
          <cell r="Y815">
            <v>3333126</v>
          </cell>
          <cell r="Z815">
            <v>3746538</v>
          </cell>
          <cell r="AA815" t="str">
            <v>Special Situation</v>
          </cell>
          <cell r="AF815">
            <v>1.012936909</v>
          </cell>
        </row>
        <row r="816">
          <cell r="A816" t="str">
            <v>Princess Private Equity Subholding Ltd.</v>
          </cell>
          <cell r="G816" t="str">
            <v>Thomas Weisel</v>
          </cell>
          <cell r="I816" t="str">
            <v>Primary Partnership</v>
          </cell>
          <cell r="J816">
            <v>10000000</v>
          </cell>
          <cell r="K816">
            <v>10129366.08</v>
          </cell>
          <cell r="R816" t="str">
            <v>Multi-Stage</v>
          </cell>
          <cell r="S816">
            <v>-6.9918817956598156</v>
          </cell>
          <cell r="Y816">
            <v>3333126</v>
          </cell>
          <cell r="Z816">
            <v>3752156</v>
          </cell>
          <cell r="AA816" t="str">
            <v>Special Situation</v>
          </cell>
          <cell r="AF816">
            <v>1.012936608</v>
          </cell>
        </row>
        <row r="817">
          <cell r="A817" t="str">
            <v>Textron Master Trust</v>
          </cell>
          <cell r="G817" t="str">
            <v>Thomas Weisel</v>
          </cell>
          <cell r="I817" t="str">
            <v>Primary Partnership</v>
          </cell>
          <cell r="J817">
            <v>15000000</v>
          </cell>
          <cell r="K817">
            <v>15194051.120000001</v>
          </cell>
          <cell r="R817" t="str">
            <v>Multi-Stage</v>
          </cell>
          <cell r="S817">
            <v>-6.9918817956598156</v>
          </cell>
          <cell r="Y817">
            <v>4999679</v>
          </cell>
          <cell r="Z817">
            <v>5628237</v>
          </cell>
          <cell r="AA817" t="str">
            <v>Special Situation</v>
          </cell>
          <cell r="AF817">
            <v>1.0129367413333334</v>
          </cell>
        </row>
        <row r="818">
          <cell r="A818" t="str">
            <v>Hudson River Co-Investment Fund L.P.</v>
          </cell>
          <cell r="G818" t="str">
            <v>American Securities Capital Partners, LLC</v>
          </cell>
          <cell r="I818" t="str">
            <v>Co/Direct Investment</v>
          </cell>
          <cell r="J818">
            <v>10000000</v>
          </cell>
          <cell r="K818">
            <v>10000000</v>
          </cell>
          <cell r="R818" t="str">
            <v>Large</v>
          </cell>
          <cell r="S818">
            <v>79.437244769359211</v>
          </cell>
          <cell r="Y818">
            <v>0</v>
          </cell>
          <cell r="Z818">
            <v>33970378.009999998</v>
          </cell>
          <cell r="AA818" t="str">
            <v>Corporate Finance/Buyout</v>
          </cell>
          <cell r="AF818">
            <v>1</v>
          </cell>
        </row>
        <row r="819">
          <cell r="A819" t="str">
            <v>Hamilton Lane Co-Investment Fund, L.P.</v>
          </cell>
          <cell r="G819" t="str">
            <v>DLJ Investment Partners</v>
          </cell>
          <cell r="I819" t="str">
            <v>Co/Direct Investment</v>
          </cell>
          <cell r="J819">
            <v>12500000</v>
          </cell>
          <cell r="K819">
            <v>12500000</v>
          </cell>
          <cell r="R819" t="str">
            <v>Large</v>
          </cell>
          <cell r="S819">
            <v>-4.0523140398818214E-12</v>
          </cell>
          <cell r="Y819">
            <v>12500000</v>
          </cell>
          <cell r="Z819">
            <v>0</v>
          </cell>
          <cell r="AA819" t="str">
            <v>Corporate Finance/Buyout</v>
          </cell>
          <cell r="AF819">
            <v>1</v>
          </cell>
        </row>
        <row r="820">
          <cell r="A820" t="str">
            <v>Golden State Investment Fund, LLC</v>
          </cell>
          <cell r="G820" t="str">
            <v>Thomas H. Lee Company</v>
          </cell>
          <cell r="I820" t="str">
            <v>Co/Direct Investment</v>
          </cell>
          <cell r="J820">
            <v>25000000</v>
          </cell>
          <cell r="K820">
            <v>25000000</v>
          </cell>
          <cell r="R820" t="str">
            <v>Large</v>
          </cell>
          <cell r="S820">
            <v>0</v>
          </cell>
          <cell r="Y820">
            <v>25000000</v>
          </cell>
          <cell r="Z820">
            <v>0</v>
          </cell>
          <cell r="AA820" t="str">
            <v>Corporate Finance/Buyout</v>
          </cell>
          <cell r="AF820">
            <v>1</v>
          </cell>
        </row>
        <row r="821">
          <cell r="A821" t="str">
            <v>Hamilton Lane Co-Investment Fund, L.P.</v>
          </cell>
          <cell r="G821" t="str">
            <v>Providence Equity Partners, Inc.</v>
          </cell>
          <cell r="I821" t="str">
            <v>Co/Direct Investment</v>
          </cell>
          <cell r="J821">
            <v>42262500</v>
          </cell>
          <cell r="K821">
            <v>40250000</v>
          </cell>
          <cell r="R821" t="str">
            <v>Mega</v>
          </cell>
          <cell r="S821">
            <v>0</v>
          </cell>
          <cell r="Y821">
            <v>40250000</v>
          </cell>
          <cell r="Z821">
            <v>0</v>
          </cell>
          <cell r="AA821" t="str">
            <v>Corporate Finance/Buyout</v>
          </cell>
          <cell r="AF821">
            <v>0.95238095238095233</v>
          </cell>
        </row>
        <row r="822">
          <cell r="A822" t="str">
            <v>Hamilton Lane Private Equity Fund IV L.P.</v>
          </cell>
          <cell r="G822" t="str">
            <v>Leonard Green &amp; Company</v>
          </cell>
          <cell r="I822" t="str">
            <v>Co/Direct Investment</v>
          </cell>
          <cell r="J822">
            <v>5000000</v>
          </cell>
          <cell r="K822">
            <v>5000000</v>
          </cell>
          <cell r="R822" t="str">
            <v>Mid</v>
          </cell>
          <cell r="S822">
            <v>70.253645131811737</v>
          </cell>
          <cell r="Y822">
            <v>0</v>
          </cell>
          <cell r="Z822">
            <v>12088606</v>
          </cell>
          <cell r="AA822" t="str">
            <v>Corporate Finance/Buyout</v>
          </cell>
          <cell r="AF822">
            <v>1</v>
          </cell>
        </row>
        <row r="823">
          <cell r="A823" t="str">
            <v>Hamilton Lane-Carpenters Partnership Fund, L.P.</v>
          </cell>
          <cell r="G823" t="str">
            <v>Vestar Equity Partners</v>
          </cell>
          <cell r="I823" t="str">
            <v>Primary Partnership</v>
          </cell>
          <cell r="J823">
            <v>5000000</v>
          </cell>
          <cell r="K823">
            <v>4743119.8099999996</v>
          </cell>
          <cell r="R823" t="str">
            <v>Large</v>
          </cell>
          <cell r="S823">
            <v>15.724344639392651</v>
          </cell>
          <cell r="Y823">
            <v>2695309</v>
          </cell>
          <cell r="Z823">
            <v>4952296.76</v>
          </cell>
          <cell r="AA823" t="str">
            <v>Corporate Finance/Buyout</v>
          </cell>
          <cell r="AF823">
            <v>0.94862396199999988</v>
          </cell>
        </row>
        <row r="824">
          <cell r="A824" t="str">
            <v>Princess Private Equity Subholding Ltd.</v>
          </cell>
          <cell r="G824" t="str">
            <v>Vestar Equity Partners</v>
          </cell>
          <cell r="I824" t="str">
            <v>Primary Partnership</v>
          </cell>
          <cell r="J824">
            <v>5000000</v>
          </cell>
          <cell r="K824">
            <v>4743121.8099999996</v>
          </cell>
          <cell r="R824" t="str">
            <v>Large</v>
          </cell>
          <cell r="S824">
            <v>15.724344639392651</v>
          </cell>
          <cell r="Y824">
            <v>2671046</v>
          </cell>
          <cell r="Z824">
            <v>4952296.76</v>
          </cell>
          <cell r="AA824" t="str">
            <v>Corporate Finance/Buyout</v>
          </cell>
          <cell r="AF824">
            <v>0.94862436199999989</v>
          </cell>
        </row>
        <row r="825">
          <cell r="A825" t="str">
            <v>Textron Master Trust</v>
          </cell>
          <cell r="G825" t="str">
            <v>Vestar Equity Partners</v>
          </cell>
          <cell r="I825" t="str">
            <v>Primary Partnership</v>
          </cell>
          <cell r="J825">
            <v>8566772.8300000001</v>
          </cell>
          <cell r="K825">
            <v>8566772.8300000001</v>
          </cell>
          <cell r="R825" t="str">
            <v>Large</v>
          </cell>
          <cell r="S825">
            <v>11.516041477100746</v>
          </cell>
          <cell r="Y825">
            <v>0</v>
          </cell>
          <cell r="Z825">
            <v>11000521.08</v>
          </cell>
          <cell r="AA825" t="str">
            <v>Corporate Finance/Buyout</v>
          </cell>
          <cell r="AF825">
            <v>1</v>
          </cell>
        </row>
        <row r="826">
          <cell r="A826" t="str">
            <v>Los Angeles City Employees' Retirement System</v>
          </cell>
          <cell r="G826" t="str">
            <v>Vista Equity Partners</v>
          </cell>
          <cell r="I826" t="str">
            <v>Primary Partnership</v>
          </cell>
          <cell r="J826">
            <v>25000000</v>
          </cell>
          <cell r="K826">
            <v>6322850</v>
          </cell>
          <cell r="R826" t="str">
            <v>Mid</v>
          </cell>
          <cell r="S826">
            <v>-5.7260728755569978</v>
          </cell>
          <cell r="Y826">
            <v>6030277</v>
          </cell>
          <cell r="Z826">
            <v>0</v>
          </cell>
          <cell r="AA826" t="str">
            <v>Corporate Finance/Buyout</v>
          </cell>
          <cell r="AF826">
            <v>0.25291400000000003</v>
          </cell>
        </row>
        <row r="827">
          <cell r="A827" t="str">
            <v>Hamilton Lane Private Equity Fund Investments KB</v>
          </cell>
          <cell r="G827" t="str">
            <v>W Capital Partners</v>
          </cell>
          <cell r="I827" t="str">
            <v>Secondary Fund-of-Funds</v>
          </cell>
          <cell r="J827">
            <v>5000000</v>
          </cell>
          <cell r="K827">
            <v>4144000</v>
          </cell>
          <cell r="R827" t="str">
            <v>Multi-Stage</v>
          </cell>
          <cell r="S827">
            <v>2.537848960065392</v>
          </cell>
          <cell r="Y827">
            <v>2885416.26</v>
          </cell>
          <cell r="Z827">
            <v>1422962.13</v>
          </cell>
          <cell r="AA827" t="str">
            <v>Venture Capital</v>
          </cell>
          <cell r="AF827">
            <v>0.82879999999999998</v>
          </cell>
        </row>
        <row r="828">
          <cell r="A828" t="str">
            <v>Hamilton Lane Private Equity Fund V, L.P.</v>
          </cell>
          <cell r="G828" t="str">
            <v>W Capital Partners</v>
          </cell>
          <cell r="I828" t="str">
            <v>Secondary Fund-of-Funds</v>
          </cell>
          <cell r="J828">
            <v>5000000</v>
          </cell>
          <cell r="K828">
            <v>4144000</v>
          </cell>
          <cell r="R828" t="str">
            <v>Multi-Stage</v>
          </cell>
          <cell r="S828">
            <v>2.537848960065392</v>
          </cell>
          <cell r="Y828">
            <v>2885321</v>
          </cell>
          <cell r="Z828">
            <v>1428577.29</v>
          </cell>
          <cell r="AA828" t="str">
            <v>Venture Capital</v>
          </cell>
          <cell r="AF828">
            <v>0.82879999999999998</v>
          </cell>
        </row>
        <row r="829">
          <cell r="A829" t="str">
            <v>Nordea Thematic Fund-of-Funds</v>
          </cell>
          <cell r="G829" t="str">
            <v>W Capital Partners</v>
          </cell>
          <cell r="I829" t="str">
            <v>Secondary Fund-of-Funds</v>
          </cell>
          <cell r="J829">
            <v>7850000</v>
          </cell>
          <cell r="K829">
            <v>6506130</v>
          </cell>
          <cell r="R829" t="str">
            <v>Multi-Stage</v>
          </cell>
          <cell r="S829">
            <v>2.537848960065392</v>
          </cell>
          <cell r="Y829">
            <v>4530108.96</v>
          </cell>
          <cell r="Z829">
            <v>2218584.54</v>
          </cell>
          <cell r="AA829" t="str">
            <v>Venture Capital</v>
          </cell>
          <cell r="AF829">
            <v>0.82880636942675157</v>
          </cell>
        </row>
        <row r="830">
          <cell r="A830" t="str">
            <v>Royal Mail Pensions Trustees Limited</v>
          </cell>
          <cell r="G830" t="str">
            <v>W Capital Partners</v>
          </cell>
          <cell r="I830" t="str">
            <v>Secondary Fund-of-Funds</v>
          </cell>
          <cell r="J830">
            <v>5000000</v>
          </cell>
          <cell r="K830">
            <v>4144000</v>
          </cell>
          <cell r="R830" t="str">
            <v>Multi-Stage</v>
          </cell>
          <cell r="S830">
            <v>2.537848960065392</v>
          </cell>
          <cell r="Y830">
            <v>2885281.26</v>
          </cell>
          <cell r="Z830">
            <v>1419152.99</v>
          </cell>
          <cell r="AA830" t="str">
            <v>Venture Capital</v>
          </cell>
          <cell r="AF830">
            <v>0.82879999999999998</v>
          </cell>
        </row>
        <row r="831">
          <cell r="A831" t="str">
            <v>Textron Master Trust</v>
          </cell>
          <cell r="G831" t="str">
            <v>Warburg Pincus &amp; Co.</v>
          </cell>
          <cell r="I831" t="str">
            <v>Primary Partnership</v>
          </cell>
          <cell r="J831">
            <v>30000000</v>
          </cell>
          <cell r="K831">
            <v>30000000</v>
          </cell>
          <cell r="R831" t="str">
            <v>Multi-Stage</v>
          </cell>
          <cell r="S831">
            <v>9.5779337117003482</v>
          </cell>
          <cell r="Y831">
            <v>0</v>
          </cell>
          <cell r="Z831">
            <v>43734904.204999998</v>
          </cell>
          <cell r="AA831" t="str">
            <v>Special Situation</v>
          </cell>
          <cell r="AF831">
            <v>1</v>
          </cell>
        </row>
        <row r="832">
          <cell r="A832" t="str">
            <v>Nordea Thematic Fund-of-Funds</v>
          </cell>
          <cell r="G832" t="str">
            <v>Warburg Pincus &amp; Co.</v>
          </cell>
          <cell r="I832" t="str">
            <v>Primary Partnership</v>
          </cell>
          <cell r="J832">
            <v>15000000</v>
          </cell>
          <cell r="K832">
            <v>15000000</v>
          </cell>
          <cell r="R832" t="str">
            <v>Multi-Stage</v>
          </cell>
          <cell r="S832">
            <v>30.326107272008596</v>
          </cell>
          <cell r="Y832">
            <v>18040654</v>
          </cell>
          <cell r="Z832">
            <v>10695607.99</v>
          </cell>
          <cell r="AA832" t="str">
            <v>Special Situation</v>
          </cell>
          <cell r="AF832">
            <v>1</v>
          </cell>
        </row>
        <row r="833">
          <cell r="A833" t="str">
            <v>Textron Master Trust</v>
          </cell>
          <cell r="G833" t="str">
            <v>Warburg Pincus &amp; Co.</v>
          </cell>
          <cell r="I833" t="str">
            <v>Primary Partnership</v>
          </cell>
          <cell r="J833">
            <v>27600000</v>
          </cell>
          <cell r="K833">
            <v>27600000</v>
          </cell>
          <cell r="R833" t="str">
            <v>Multi-Stage</v>
          </cell>
          <cell r="S833">
            <v>15.58009047440796</v>
          </cell>
          <cell r="Y833">
            <v>0</v>
          </cell>
          <cell r="Z833">
            <v>36742095</v>
          </cell>
          <cell r="AA833" t="str">
            <v>Special Situation</v>
          </cell>
          <cell r="AF833">
            <v>1</v>
          </cell>
        </row>
        <row r="834">
          <cell r="A834" t="str">
            <v>Gad - Gmulim - Hevra Lenihul Kupot Gemel Ltd.</v>
          </cell>
          <cell r="G834" t="str">
            <v>Warburg Pincus &amp; Co.</v>
          </cell>
          <cell r="I834" t="str">
            <v>Secondary Purchase</v>
          </cell>
          <cell r="J834">
            <v>1426431.65</v>
          </cell>
          <cell r="K834">
            <v>1426431.65</v>
          </cell>
          <cell r="R834" t="str">
            <v>Multi-Stage</v>
          </cell>
          <cell r="S834">
            <v>30.326107272008596</v>
          </cell>
          <cell r="Y834">
            <v>1924335</v>
          </cell>
          <cell r="Z834">
            <v>662523.30599999998</v>
          </cell>
          <cell r="AA834" t="str">
            <v>Special Situation</v>
          </cell>
          <cell r="AF834">
            <v>1</v>
          </cell>
        </row>
        <row r="835">
          <cell r="A835" t="str">
            <v>Hamilton Lane Secondary Fund L.P. (Investments)</v>
          </cell>
          <cell r="G835" t="str">
            <v>Warburg Pincus &amp; Co.</v>
          </cell>
          <cell r="I835" t="str">
            <v>Secondary Purchase</v>
          </cell>
          <cell r="J835">
            <v>10567609</v>
          </cell>
          <cell r="K835">
            <v>10564509.41</v>
          </cell>
          <cell r="R835" t="str">
            <v>Multi-Stage</v>
          </cell>
          <cell r="S835">
            <v>30.326107272008596</v>
          </cell>
          <cell r="Y835">
            <v>14252094</v>
          </cell>
          <cell r="Z835">
            <v>5019499.3459999999</v>
          </cell>
          <cell r="AA835" t="str">
            <v>Special Situation</v>
          </cell>
          <cell r="AF835">
            <v>0.99970668956430919</v>
          </cell>
        </row>
        <row r="836">
          <cell r="A836" t="str">
            <v>Hamilton Lane-Carpenters Partnership Fund II L.P.</v>
          </cell>
          <cell r="G836" t="str">
            <v>Warburg Pincus &amp; Co.</v>
          </cell>
          <cell r="I836" t="str">
            <v>Secondary Purchase</v>
          </cell>
          <cell r="J836">
            <v>3032056.72</v>
          </cell>
          <cell r="K836">
            <v>3031167.25</v>
          </cell>
          <cell r="R836" t="str">
            <v>Multi-Stage</v>
          </cell>
          <cell r="S836">
            <v>30.326107272008596</v>
          </cell>
          <cell r="Y836">
            <v>4089214</v>
          </cell>
          <cell r="Z836">
            <v>1440193.9039999999</v>
          </cell>
          <cell r="AA836" t="str">
            <v>Special Situation</v>
          </cell>
          <cell r="AF836">
            <v>0.99970664466989256</v>
          </cell>
        </row>
        <row r="837">
          <cell r="A837" t="str">
            <v>Harel Gemel Ltd.</v>
          </cell>
          <cell r="G837" t="str">
            <v>Warburg Pincus &amp; Co.</v>
          </cell>
          <cell r="I837" t="str">
            <v>Secondary Purchase</v>
          </cell>
          <cell r="J837">
            <v>802367.8</v>
          </cell>
          <cell r="K837">
            <v>802367.8</v>
          </cell>
          <cell r="R837" t="str">
            <v>Multi-Stage</v>
          </cell>
          <cell r="S837">
            <v>30.326107272008596</v>
          </cell>
          <cell r="Y837">
            <v>1082439</v>
          </cell>
          <cell r="Z837">
            <v>372668.804</v>
          </cell>
          <cell r="AA837" t="str">
            <v>Special Situation</v>
          </cell>
          <cell r="AF837">
            <v>1</v>
          </cell>
        </row>
        <row r="838">
          <cell r="A838" t="str">
            <v>Kovetz Hevra Lenihul Kupot Gemel Ltd.</v>
          </cell>
          <cell r="G838" t="str">
            <v>Warburg Pincus &amp; Co.</v>
          </cell>
          <cell r="I838" t="str">
            <v>Secondary Purchase</v>
          </cell>
          <cell r="J838">
            <v>980671.76</v>
          </cell>
          <cell r="K838">
            <v>980671.76</v>
          </cell>
          <cell r="R838" t="str">
            <v>Multi-Stage</v>
          </cell>
          <cell r="S838">
            <v>30.326107272008596</v>
          </cell>
          <cell r="Y838">
            <v>1322982</v>
          </cell>
          <cell r="Z838">
            <v>455484.08600000001</v>
          </cell>
          <cell r="AA838" t="str">
            <v>Special Situation</v>
          </cell>
          <cell r="AF838">
            <v>1</v>
          </cell>
        </row>
        <row r="839">
          <cell r="A839" t="str">
            <v>Mivtachim - The Workers Social Insurance Fund Ltd.</v>
          </cell>
          <cell r="G839" t="str">
            <v>Warburg Pincus &amp; Co.</v>
          </cell>
          <cell r="I839" t="str">
            <v>Secondary Purchase</v>
          </cell>
          <cell r="J839">
            <v>1515583.63</v>
          </cell>
          <cell r="K839">
            <v>1515583.63</v>
          </cell>
          <cell r="R839" t="str">
            <v>Multi-Stage</v>
          </cell>
          <cell r="S839">
            <v>30.326107272008596</v>
          </cell>
          <cell r="Y839">
            <v>2044608</v>
          </cell>
          <cell r="Z839">
            <v>703930.95199999993</v>
          </cell>
          <cell r="AA839" t="str">
            <v>Special Situation</v>
          </cell>
          <cell r="AF839">
            <v>1</v>
          </cell>
        </row>
        <row r="840">
          <cell r="A840" t="str">
            <v>Prisma Provident Funds Ltd.</v>
          </cell>
          <cell r="G840" t="str">
            <v>Warburg Pincus &amp; Co.</v>
          </cell>
          <cell r="I840" t="str">
            <v>Secondary Purchase</v>
          </cell>
          <cell r="J840">
            <v>713215.83</v>
          </cell>
          <cell r="K840">
            <v>713215.83</v>
          </cell>
          <cell r="R840" t="str">
            <v>Multi-Stage</v>
          </cell>
          <cell r="S840">
            <v>30.326107272008596</v>
          </cell>
          <cell r="Y840">
            <v>962168</v>
          </cell>
          <cell r="Z840">
            <v>331261.158</v>
          </cell>
          <cell r="AA840" t="str">
            <v>Special Situation</v>
          </cell>
          <cell r="AF840">
            <v>1</v>
          </cell>
        </row>
        <row r="841">
          <cell r="A841" t="str">
            <v>The Essex County Council</v>
          </cell>
          <cell r="G841" t="str">
            <v>Warburg Pincus &amp; Co.</v>
          </cell>
          <cell r="I841" t="str">
            <v>Secondary Purchase</v>
          </cell>
          <cell r="J841">
            <v>2407103.41</v>
          </cell>
          <cell r="K841">
            <v>2407103.41</v>
          </cell>
          <cell r="R841" t="str">
            <v>Multi-Stage</v>
          </cell>
          <cell r="S841">
            <v>30.326107272008596</v>
          </cell>
          <cell r="Y841">
            <v>3247318</v>
          </cell>
          <cell r="Z841">
            <v>1128456.0319999999</v>
          </cell>
          <cell r="AA841" t="str">
            <v>Special Situation</v>
          </cell>
          <cell r="AF841">
            <v>1</v>
          </cell>
        </row>
        <row r="842">
          <cell r="A842" t="str">
            <v>United Food &amp; Commercial Workers Intl. Union</v>
          </cell>
          <cell r="G842" t="str">
            <v>Warburg Pincus &amp; Co.</v>
          </cell>
          <cell r="I842" t="str">
            <v>Secondary Purchase</v>
          </cell>
          <cell r="J842">
            <v>1515583.63</v>
          </cell>
          <cell r="K842">
            <v>1515583.63</v>
          </cell>
          <cell r="R842" t="str">
            <v>Multi-Stage</v>
          </cell>
          <cell r="S842">
            <v>30.326107272008596</v>
          </cell>
          <cell r="Y842">
            <v>2044608</v>
          </cell>
          <cell r="Z842">
            <v>720096.95199999993</v>
          </cell>
          <cell r="AA842" t="str">
            <v>Special Situation</v>
          </cell>
          <cell r="AF842">
            <v>1</v>
          </cell>
        </row>
        <row r="843">
          <cell r="A843" t="str">
            <v>The Essex County Council</v>
          </cell>
          <cell r="G843" t="str">
            <v>Warburg Pincus &amp; Co.</v>
          </cell>
          <cell r="I843" t="str">
            <v>Primary Partnership</v>
          </cell>
          <cell r="J843">
            <v>10000000</v>
          </cell>
          <cell r="K843">
            <v>1200000</v>
          </cell>
          <cell r="R843" t="str">
            <v>Multi-Stage</v>
          </cell>
          <cell r="S843">
            <v>-3.4410269361172086</v>
          </cell>
          <cell r="Y843">
            <v>1166982</v>
          </cell>
          <cell r="Z843">
            <v>0</v>
          </cell>
          <cell r="AA843" t="str">
            <v>Special Situation</v>
          </cell>
          <cell r="AF843">
            <v>0.12</v>
          </cell>
        </row>
        <row r="844">
          <cell r="A844" t="str">
            <v>Hamilton Lane Private Equity Fund Plc</v>
          </cell>
          <cell r="G844" t="str">
            <v>Welsh, Carson, Anderson &amp; Stowe</v>
          </cell>
          <cell r="I844" t="str">
            <v>Primary Partnership</v>
          </cell>
          <cell r="J844">
            <v>6841000</v>
          </cell>
          <cell r="K844">
            <v>6841000</v>
          </cell>
          <cell r="R844" t="str">
            <v>Large</v>
          </cell>
          <cell r="S844">
            <v>3.8028238921562929</v>
          </cell>
          <cell r="Y844">
            <v>3463475</v>
          </cell>
          <cell r="Z844">
            <v>5481411.640116903</v>
          </cell>
          <cell r="AA844" t="str">
            <v>Corporate Finance/Buyout</v>
          </cell>
          <cell r="AF844">
            <v>1</v>
          </cell>
        </row>
        <row r="845">
          <cell r="A845" t="str">
            <v>Hamilton Lane Private Equity Partners, L.P.</v>
          </cell>
          <cell r="G845" t="str">
            <v>Welsh, Carson, Anderson &amp; Stowe</v>
          </cell>
          <cell r="I845" t="str">
            <v>Primary Partnership</v>
          </cell>
          <cell r="J845">
            <v>3159000</v>
          </cell>
          <cell r="K845">
            <v>3159000</v>
          </cell>
          <cell r="R845" t="str">
            <v>Large</v>
          </cell>
          <cell r="S845">
            <v>3.8028238921562929</v>
          </cell>
          <cell r="Y845">
            <v>1599259</v>
          </cell>
          <cell r="Z845">
            <v>2531262.504174673</v>
          </cell>
          <cell r="AA845" t="str">
            <v>Corporate Finance/Buyout</v>
          </cell>
          <cell r="AF845">
            <v>1</v>
          </cell>
        </row>
        <row r="846">
          <cell r="A846" t="str">
            <v>Textron Master Trust</v>
          </cell>
          <cell r="G846" t="str">
            <v>Welsh, Carson, Anderson &amp; Stowe</v>
          </cell>
          <cell r="I846" t="str">
            <v>Primary Partnership</v>
          </cell>
          <cell r="J846">
            <v>20000000</v>
          </cell>
          <cell r="K846">
            <v>20000000</v>
          </cell>
          <cell r="R846" t="str">
            <v>Large</v>
          </cell>
          <cell r="S846">
            <v>3.8028238921562929</v>
          </cell>
          <cell r="Y846">
            <v>10125407</v>
          </cell>
          <cell r="Z846">
            <v>16025404.059892081</v>
          </cell>
          <cell r="AA846" t="str">
            <v>Corporate Finance/Buyout</v>
          </cell>
          <cell r="AF846">
            <v>1</v>
          </cell>
        </row>
        <row r="847">
          <cell r="A847" t="str">
            <v>Hamilton Lane Co-Investment Fund, L.P.</v>
          </cell>
          <cell r="G847" t="str">
            <v>Thomas H. Lee Company</v>
          </cell>
          <cell r="I847" t="str">
            <v>Co/Direct Investment</v>
          </cell>
          <cell r="J847">
            <v>20000000</v>
          </cell>
          <cell r="K847">
            <v>20000000</v>
          </cell>
          <cell r="R847" t="str">
            <v>Large</v>
          </cell>
          <cell r="S847">
            <v>25.342410409601946</v>
          </cell>
          <cell r="Y847">
            <v>26000000</v>
          </cell>
          <cell r="Z847">
            <v>0</v>
          </cell>
          <cell r="AA847" t="str">
            <v>Corporate Finance/Buyout</v>
          </cell>
          <cell r="AF847">
            <v>1</v>
          </cell>
        </row>
        <row r="848">
          <cell r="A848" t="str">
            <v>Hamilton Lane Private Equity Fund VI, L.P.</v>
          </cell>
          <cell r="G848" t="str">
            <v>Westbury</v>
          </cell>
          <cell r="I848" t="str">
            <v>Primary Partnership</v>
          </cell>
          <cell r="J848">
            <v>7000000</v>
          </cell>
          <cell r="K848">
            <v>700000</v>
          </cell>
          <cell r="R848" t="str">
            <v>Multi-Stage</v>
          </cell>
          <cell r="S848">
            <v>-35.451583333333566</v>
          </cell>
          <cell r="Y848">
            <v>451839</v>
          </cell>
          <cell r="Z848">
            <v>0</v>
          </cell>
          <cell r="AA848" t="str">
            <v>Venture Capital</v>
          </cell>
          <cell r="AF848">
            <v>0.1</v>
          </cell>
        </row>
        <row r="849">
          <cell r="A849" t="str">
            <v>Royal Mail Pensions Trustees Limited</v>
          </cell>
          <cell r="G849" t="str">
            <v>Westbury</v>
          </cell>
          <cell r="I849" t="str">
            <v>Primary Partnership</v>
          </cell>
          <cell r="J849">
            <v>5000000</v>
          </cell>
          <cell r="K849">
            <v>500000</v>
          </cell>
          <cell r="R849" t="str">
            <v>Multi-Stage</v>
          </cell>
          <cell r="S849">
            <v>-35.451583333333566</v>
          </cell>
          <cell r="Y849">
            <v>322742</v>
          </cell>
          <cell r="Z849">
            <v>0</v>
          </cell>
          <cell r="AA849" t="str">
            <v>Venture Capital</v>
          </cell>
          <cell r="AF849">
            <v>0.1</v>
          </cell>
        </row>
        <row r="850">
          <cell r="A850" t="str">
            <v>Hamilton Lane Private Equity Fund IV L.P.</v>
          </cell>
          <cell r="G850" t="str">
            <v>Weston Presidio</v>
          </cell>
          <cell r="I850" t="str">
            <v>Primary Partnership</v>
          </cell>
          <cell r="J850">
            <v>5000000</v>
          </cell>
          <cell r="K850">
            <v>4816691.13</v>
          </cell>
          <cell r="R850" t="str">
            <v>Mid</v>
          </cell>
          <cell r="S850">
            <v>4.3655497303041857</v>
          </cell>
          <cell r="Y850">
            <v>3382577.99</v>
          </cell>
          <cell r="Z850">
            <v>2117099.98728</v>
          </cell>
          <cell r="AA850" t="str">
            <v>Corporate Finance/Buyout</v>
          </cell>
          <cell r="AF850">
            <v>0.96333822599999996</v>
          </cell>
        </row>
        <row r="851">
          <cell r="A851" t="str">
            <v>The 1199 Health Care Employees Pension Fund</v>
          </cell>
          <cell r="G851" t="str">
            <v>Weston Presidio</v>
          </cell>
          <cell r="I851" t="str">
            <v>Primary Partnership</v>
          </cell>
          <cell r="J851">
            <v>10000000</v>
          </cell>
          <cell r="K851">
            <v>5120000</v>
          </cell>
          <cell r="R851" t="str">
            <v>Mid</v>
          </cell>
          <cell r="S851">
            <v>-1.5021413838997133</v>
          </cell>
          <cell r="Y851">
            <v>5034734.97</v>
          </cell>
          <cell r="Z851">
            <v>0</v>
          </cell>
          <cell r="AA851" t="str">
            <v>Corporate Finance/Buyout</v>
          </cell>
          <cell r="AF851">
            <v>0.51200000000000001</v>
          </cell>
        </row>
        <row r="852">
          <cell r="A852" t="str">
            <v>Hamilton Lane Secondary Fund L.P. (Investments)</v>
          </cell>
          <cell r="G852" t="str">
            <v>LBO France</v>
          </cell>
          <cell r="I852" t="str">
            <v>Secondary Purchase</v>
          </cell>
          <cell r="J852">
            <v>2383812.35005</v>
          </cell>
          <cell r="K852">
            <v>2357069.9934999999</v>
          </cell>
          <cell r="R852" t="str">
            <v>Small</v>
          </cell>
          <cell r="S852">
            <v>63.167512446990479</v>
          </cell>
          <cell r="Y852">
            <v>2316179.61</v>
          </cell>
          <cell r="Z852">
            <v>2048962.09750704</v>
          </cell>
          <cell r="AA852" t="str">
            <v>Corporate Finance/Buyout</v>
          </cell>
          <cell r="AF852">
            <v>0.9887816855427235</v>
          </cell>
        </row>
        <row r="853">
          <cell r="A853" t="str">
            <v>Hamilton Lane Secondary Fund L.P. (Investments)</v>
          </cell>
          <cell r="G853" t="str">
            <v>William Blair &amp; Co., LLC</v>
          </cell>
          <cell r="I853" t="str">
            <v>Secondary Purchase</v>
          </cell>
          <cell r="J853">
            <v>1809160.42</v>
          </cell>
          <cell r="K853">
            <v>1142160.42</v>
          </cell>
          <cell r="R853"/>
          <cell r="S853">
            <v>85.591530128491186</v>
          </cell>
          <cell r="Y853">
            <v>2119753</v>
          </cell>
          <cell r="Z853">
            <v>0</v>
          </cell>
          <cell r="AA853" t="str">
            <v>Mezzanine</v>
          </cell>
          <cell r="AF853">
            <v>0.63132069847073036</v>
          </cell>
        </row>
        <row r="854">
          <cell r="A854" t="str">
            <v>Hamilton Lane-Carpenters Partnership Fund, L.P.</v>
          </cell>
          <cell r="G854" t="str">
            <v>Willis Stein &amp; Partners</v>
          </cell>
          <cell r="I854" t="str">
            <v>Secondary Purchase</v>
          </cell>
          <cell r="J854">
            <v>4181449</v>
          </cell>
          <cell r="K854">
            <v>3866088</v>
          </cell>
          <cell r="R854" t="str">
            <v>Large</v>
          </cell>
          <cell r="S854">
            <v>18.91621915751125</v>
          </cell>
          <cell r="Y854">
            <v>4215719</v>
          </cell>
          <cell r="Z854">
            <v>2374772</v>
          </cell>
          <cell r="AA854" t="str">
            <v>Corporate Finance/Buyout</v>
          </cell>
          <cell r="AF854">
            <v>0.92458092876416764</v>
          </cell>
        </row>
        <row r="855">
          <cell r="A855" t="str">
            <v>Royal Mail Pensions Trustees Limited</v>
          </cell>
          <cell r="G855" t="str">
            <v>Willis Stein &amp; Partners</v>
          </cell>
          <cell r="I855" t="str">
            <v>Secondary Purchase</v>
          </cell>
          <cell r="J855">
            <v>5762500</v>
          </cell>
          <cell r="K855">
            <v>3824088</v>
          </cell>
          <cell r="R855" t="str">
            <v>Large</v>
          </cell>
          <cell r="S855">
            <v>18.91621915751125</v>
          </cell>
          <cell r="Y855">
            <v>4215719</v>
          </cell>
          <cell r="Z855">
            <v>2332771</v>
          </cell>
          <cell r="AA855" t="str">
            <v>Corporate Finance/Buyout</v>
          </cell>
          <cell r="AF855">
            <v>0.66361613882863335</v>
          </cell>
        </row>
        <row r="856">
          <cell r="A856" t="str">
            <v>Princess Private Equity Subholding Ltd.</v>
          </cell>
          <cell r="G856" t="str">
            <v>Worldview Technology Partners</v>
          </cell>
          <cell r="I856" t="str">
            <v>Primary Partnership</v>
          </cell>
          <cell r="J856">
            <v>5000000</v>
          </cell>
          <cell r="K856">
            <v>5000000</v>
          </cell>
          <cell r="R856" t="str">
            <v>Multi-Stage</v>
          </cell>
          <cell r="S856">
            <v>-23.198461290360484</v>
          </cell>
          <cell r="Y856">
            <v>370685</v>
          </cell>
          <cell r="Z856">
            <v>644500.54</v>
          </cell>
          <cell r="AA856" t="str">
            <v>Venture Capital</v>
          </cell>
          <cell r="AF856">
            <v>1</v>
          </cell>
        </row>
        <row r="857">
          <cell r="A857" t="str">
            <v>Princess Private Equity Subholding Ltd.</v>
          </cell>
          <cell r="G857" t="str">
            <v>Worldview Technology Partners</v>
          </cell>
          <cell r="I857" t="str">
            <v>Primary Partnership</v>
          </cell>
          <cell r="J857">
            <v>3021670.57</v>
          </cell>
          <cell r="K857">
            <v>2704329.03</v>
          </cell>
          <cell r="R857" t="str">
            <v>Multi-Stage</v>
          </cell>
          <cell r="S857">
            <v>-5.7239053402644906</v>
          </cell>
          <cell r="Y857">
            <v>1607681</v>
          </cell>
          <cell r="Z857">
            <v>556266.61</v>
          </cell>
          <cell r="AA857" t="str">
            <v>Venture Capital</v>
          </cell>
          <cell r="AF857">
            <v>0.8949781147056014</v>
          </cell>
        </row>
        <row r="858">
          <cell r="A858" t="str">
            <v>International Union of Operating Engineers</v>
          </cell>
          <cell r="G858" t="str">
            <v>Yucaipa Corporate</v>
          </cell>
          <cell r="I858" t="str">
            <v>Primary Partnership</v>
          </cell>
          <cell r="J858">
            <v>15000000</v>
          </cell>
          <cell r="K858">
            <v>12418882</v>
          </cell>
          <cell r="R858" t="str">
            <v>Mid</v>
          </cell>
          <cell r="S858">
            <v>24.150927074783123</v>
          </cell>
          <cell r="Y858">
            <v>7719244</v>
          </cell>
          <cell r="Z858">
            <v>10042834</v>
          </cell>
          <cell r="AA858" t="str">
            <v>Corporate Finance/Buyout</v>
          </cell>
          <cell r="AF858">
            <v>0.82792546666666667</v>
          </cell>
        </row>
        <row r="859">
          <cell r="A859" t="str">
            <v>Hamilton Lane Secondary Fund L.P. (Investments)</v>
          </cell>
          <cell r="G859" t="str">
            <v>DB Zwirn &amp; Co.</v>
          </cell>
          <cell r="I859" t="str">
            <v>Secondary Purchase</v>
          </cell>
          <cell r="J859">
            <v>9363415</v>
          </cell>
          <cell r="K859">
            <v>6556967.2700000005</v>
          </cell>
          <cell r="R859" t="str">
            <v>Multi-Stage</v>
          </cell>
          <cell r="S859">
            <v>18.072134541708774</v>
          </cell>
          <cell r="Y859">
            <v>6781990</v>
          </cell>
          <cell r="Z859">
            <v>991527.63</v>
          </cell>
          <cell r="AA859" t="str">
            <v>Special Situation</v>
          </cell>
          <cell r="AF859">
            <v>0.70027519553496242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 HERE"/>
      <sheetName val="Source Data--&gt;"/>
      <sheetName val="Deal Level"/>
      <sheetName val="LP Net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PME Analysis"/>
      <sheetName val="Summary - Gross"/>
      <sheetName val="Gray Box"/>
      <sheetName val="Investments Table Template"/>
      <sheetName val="Value Attribution Template"/>
      <sheetName val="Valuation Sensitivity Template"/>
      <sheetName val="Slices - Category Template"/>
      <sheetName val="Slices - Range Template"/>
      <sheetName val="Investments - Custom"/>
      <sheetName val="DIR Analysis"/>
      <sheetName val="Upload Control"/>
      <sheetName val="Matching Process Tabs--&gt;"/>
      <sheetName val="CIQ GP Lookup"/>
      <sheetName val="Company Identifier Tool"/>
      <sheetName val="Company Matching Report"/>
      <sheetName val="Investment Matching"/>
      <sheetName val="Upload Tabs--&gt;"/>
      <sheetName val="Companies Upload"/>
      <sheetName val="Investments Upload"/>
      <sheetName val="Performance Import Upload"/>
      <sheetName val="Performance Upload"/>
      <sheetName val="Attribute Formulas"/>
      <sheetName val="Attribute Upload"/>
      <sheetName val="Investment Strategy Upload"/>
      <sheetName val="Cash Flow Formulas"/>
      <sheetName val="_CIQHiddenCacheSheet"/>
      <sheetName val="Cash Flow Upload"/>
      <sheetName val="Net Cash Flow Upload"/>
      <sheetName val="Operating Formulas"/>
      <sheetName val="Operating Upload"/>
      <sheetName val="Investment Attribute Upload"/>
      <sheetName val="SPI Data--&gt;"/>
      <sheetName val="spi_generalpartners"/>
      <sheetName val="spi_funds"/>
      <sheetName val="spi_companies"/>
      <sheetName val="spi_investments"/>
      <sheetName val="spi_gics"/>
      <sheetName val="spi_net_benchmarking"/>
      <sheetName val="spi_net_cashflow_type"/>
      <sheetName val="spi_marketdata"/>
      <sheetName val="spi_marketdata_type"/>
      <sheetName val="spi_users"/>
      <sheetName val="spi_attributes"/>
      <sheetName val="spi_attribute_lists"/>
      <sheetName val="spi_doc_types"/>
      <sheetName val="spi_asset_classes"/>
      <sheetName val="Lists &amp; Categories"/>
      <sheetName val="S&amp;P Market Multiples"/>
      <sheetName val="SSG Market Coverage"/>
      <sheetName val="Old Value Creation"/>
      <sheetName val="Torchlight_Track_Record_Dec201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14">
          <cell r="B14" t="str">
            <v>TDO I</v>
          </cell>
        </row>
        <row r="15">
          <cell r="B15" t="str">
            <v>TDO II</v>
          </cell>
        </row>
        <row r="16">
          <cell r="B16" t="str">
            <v>TDO III</v>
          </cell>
        </row>
        <row r="17">
          <cell r="B17" t="str">
            <v>TDO IV</v>
          </cell>
        </row>
        <row r="18">
          <cell r="B18" t="str">
            <v>TDO V</v>
          </cell>
        </row>
        <row r="19">
          <cell r="B19" t="str">
            <v>TDO VI</v>
          </cell>
        </row>
      </sheetData>
      <sheetData sheetId="6" refreshError="1"/>
      <sheetData sheetId="7">
        <row r="6">
          <cell r="A6" t="str">
            <v>Company Name Display</v>
          </cell>
          <cell r="B6" t="str">
            <v>Company Name Source</v>
          </cell>
          <cell r="C6" t="str">
            <v>Fund Name</v>
          </cell>
          <cell r="D6" t="str">
            <v>GICS Sector</v>
          </cell>
          <cell r="E6" t="str">
            <v>GICS Sub-Sector</v>
          </cell>
          <cell r="F6" t="str">
            <v>Country</v>
          </cell>
          <cell r="G6" t="str">
            <v>Asset Class</v>
          </cell>
          <cell r="H6" t="str">
            <v>Sector</v>
          </cell>
          <cell r="I6" t="str">
            <v>Sub-Sector</v>
          </cell>
          <cell r="J6" t="str">
            <v>Deal Type</v>
          </cell>
          <cell r="K6" t="str">
            <v>Exit Type</v>
          </cell>
          <cell r="L6" t="str">
            <v>Venture Capital Stage</v>
          </cell>
          <cell r="M6" t="str">
            <v>Co-Invest Offered to LPs</v>
          </cell>
          <cell r="N6" t="str">
            <v>Co-Invest Amount Offered to LPs (US$ millions)</v>
          </cell>
          <cell r="O6" t="str">
            <v>Loan Type</v>
          </cell>
          <cell r="P6" t="str">
            <v>City</v>
          </cell>
          <cell r="Q6" t="str">
            <v>Property Type</v>
          </cell>
          <cell r="R6" t="str">
            <v>Default</v>
          </cell>
          <cell r="S6" t="str">
            <v>Type of Default</v>
          </cell>
          <cell r="T6" t="str">
            <v>Fixed / Floating</v>
          </cell>
          <cell r="U6" t="str">
            <v>Current / PIK</v>
          </cell>
          <cell r="V6" t="str">
            <v>Custom Field 8</v>
          </cell>
          <cell r="W6" t="str">
            <v>Custom Field 9</v>
          </cell>
          <cell r="X6" t="str">
            <v>Custom Field 10</v>
          </cell>
          <cell r="Y6" t="str">
            <v>Custom Field 11</v>
          </cell>
          <cell r="Z6" t="str">
            <v>Custom Field 12</v>
          </cell>
          <cell r="AA6" t="str">
            <v>Custom Field 13</v>
          </cell>
          <cell r="AB6" t="str">
            <v>Custom Field 14</v>
          </cell>
          <cell r="AC6" t="str">
            <v>Custom Field 15</v>
          </cell>
          <cell r="AD6" t="str">
            <v>Custom Field 16</v>
          </cell>
          <cell r="AE6" t="str">
            <v>Custom Field 17</v>
          </cell>
          <cell r="AF6" t="str">
            <v>Custom Field 18</v>
          </cell>
          <cell r="AG6" t="str">
            <v>Custom Field 19</v>
          </cell>
          <cell r="AH6" t="str">
            <v>Custom Field 20</v>
          </cell>
          <cell r="AI6" t="str">
            <v>Entry Date</v>
          </cell>
          <cell r="AJ6" t="str">
            <v>Entry Year</v>
          </cell>
          <cell r="AK6" t="str">
            <v>Exit/Current Date</v>
          </cell>
          <cell r="AL6" t="str">
            <v>Exit/Current Year</v>
          </cell>
          <cell r="AM6" t="str">
            <v>Holding Period</v>
          </cell>
          <cell r="AN6" t="str">
            <v>Invested Capital</v>
          </cell>
          <cell r="AO6" t="str">
            <v>Realized Value</v>
          </cell>
          <cell r="AP6" t="str">
            <v>Unrealized Value</v>
          </cell>
          <cell r="AQ6" t="str">
            <v>Total Value</v>
          </cell>
          <cell r="AR6" t="str">
            <v>Gross TVM</v>
          </cell>
          <cell r="AS6" t="str">
            <v>Gross IRR</v>
          </cell>
          <cell r="AT6" t="str">
            <v>Losses</v>
          </cell>
          <cell r="AU6" t="str">
            <v>Gains</v>
          </cell>
          <cell r="AV6" t="str">
            <v>Status</v>
          </cell>
          <cell r="AW6" t="str">
            <v>Operating Data Local Currency</v>
          </cell>
          <cell r="AX6" t="str">
            <v>Revenue Entry</v>
          </cell>
          <cell r="AY6" t="str">
            <v>Revenue Exit/Current</v>
          </cell>
          <cell r="AZ6" t="str">
            <v>EBITDA Entry</v>
          </cell>
          <cell r="BA6" t="str">
            <v>EBITDA Exit/Current</v>
          </cell>
          <cell r="BB6" t="str">
            <v>TEV Entry</v>
          </cell>
          <cell r="BC6" t="str">
            <v>TEV Exit/Current</v>
          </cell>
          <cell r="BD6" t="str">
            <v>Net Debt Entry</v>
          </cell>
          <cell r="BE6" t="str">
            <v>Net Debt Exit/Current</v>
          </cell>
          <cell r="BF6" t="str">
            <v>Ownership Entry</v>
          </cell>
          <cell r="BG6" t="str">
            <v>Ownership Exit/Current</v>
          </cell>
          <cell r="BH6" t="str">
            <v>Metric Entry Date (Optional)</v>
          </cell>
          <cell r="BI6" t="str">
            <v>Metric Exit/Current Date (Optional)</v>
          </cell>
          <cell r="BJ6" t="str">
            <v>Revenue CAGR</v>
          </cell>
          <cell r="BK6" t="str">
            <v>EBITDA CAGR</v>
          </cell>
          <cell r="BL6" t="str">
            <v>EBITDA Margin Entry</v>
          </cell>
          <cell r="BM6" t="str">
            <v>EBITDA Margin Exit/Current</v>
          </cell>
          <cell r="BN6" t="str">
            <v>EBITDA Margin Change</v>
          </cell>
          <cell r="BO6" t="str">
            <v>TEV/Revenue Entry</v>
          </cell>
          <cell r="BP6" t="str">
            <v>TEV/Revenue Exit/Current</v>
          </cell>
          <cell r="BQ6" t="str">
            <v>TEV/Revenue Change</v>
          </cell>
          <cell r="BR6" t="str">
            <v>TEV/EBITDA Entry</v>
          </cell>
          <cell r="BS6" t="str">
            <v>TEV/EBITDA Exit/Current</v>
          </cell>
          <cell r="BT6" t="str">
            <v>TEV/EBITDA Change</v>
          </cell>
          <cell r="BU6" t="str">
            <v>Net Debt/EBITDA Entry</v>
          </cell>
          <cell r="BV6" t="str">
            <v>Net Debt/EBITDA Exit/Current</v>
          </cell>
          <cell r="BW6" t="str">
            <v>Net Debt/EBITDA Change</v>
          </cell>
          <cell r="BX6" t="str">
            <v>Reporting Entry FX</v>
          </cell>
          <cell r="BY6" t="str">
            <v>Reporting Exit FX</v>
          </cell>
          <cell r="BZ6" t="str">
            <v>Revenue Entry (USD)</v>
          </cell>
          <cell r="CA6" t="str">
            <v>Revenue Exit/Current (USD)</v>
          </cell>
          <cell r="CB6" t="str">
            <v>EBITDA Entry (USD)</v>
          </cell>
          <cell r="CC6" t="str">
            <v>EBITDA Exit/Current (USD)</v>
          </cell>
          <cell r="CD6" t="str">
            <v>TEV Entry (USD)</v>
          </cell>
          <cell r="CE6" t="str">
            <v>TEV Exit/Current (USD)</v>
          </cell>
          <cell r="CF6" t="str">
            <v>Net Debt Entry (USD)</v>
          </cell>
          <cell r="CG6" t="str">
            <v>Net Debt Exit/Current (USD)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3">
          <cell r="F3" t="str">
            <v>Simple Average</v>
          </cell>
          <cell r="I3" t="str">
            <v>Communication Services</v>
          </cell>
          <cell r="O3" t="str">
            <v>United States</v>
          </cell>
          <cell r="R3" t="str">
            <v>USD</v>
          </cell>
          <cell r="AF3" t="str">
            <v>tjohnson</v>
          </cell>
        </row>
        <row r="4">
          <cell r="F4" t="str">
            <v>Median</v>
          </cell>
          <cell r="I4" t="str">
            <v>Consumer Discretionary</v>
          </cell>
          <cell r="O4" t="str">
            <v>Canada</v>
          </cell>
          <cell r="R4" t="str">
            <v>EUR</v>
          </cell>
          <cell r="AF4" t="str">
            <v>xyang</v>
          </cell>
        </row>
        <row r="5">
          <cell r="F5" t="str">
            <v>Average Weighted on Invested</v>
          </cell>
          <cell r="I5" t="str">
            <v>Consumer Staples</v>
          </cell>
          <cell r="O5" t="str">
            <v>China</v>
          </cell>
          <cell r="R5" t="str">
            <v>GBP</v>
          </cell>
          <cell r="AF5" t="str">
            <v>sscherf</v>
          </cell>
        </row>
        <row r="6">
          <cell r="I6" t="str">
            <v>Energy</v>
          </cell>
          <cell r="O6" t="str">
            <v>United Kingdom</v>
          </cell>
          <cell r="R6" t="str">
            <v>AUD</v>
          </cell>
          <cell r="AF6" t="str">
            <v>mchen</v>
          </cell>
        </row>
        <row r="7">
          <cell r="I7" t="str">
            <v>Financials</v>
          </cell>
          <cell r="O7" t="str">
            <v>Åland Islands</v>
          </cell>
          <cell r="R7" t="str">
            <v>BRL</v>
          </cell>
          <cell r="AF7" t="str">
            <v>jouyang</v>
          </cell>
        </row>
        <row r="8">
          <cell r="I8" t="str">
            <v>Health Care</v>
          </cell>
          <cell r="O8" t="str">
            <v>Afghanistan</v>
          </cell>
          <cell r="R8" t="str">
            <v>CAD</v>
          </cell>
        </row>
        <row r="9">
          <cell r="I9" t="str">
            <v>Industrials</v>
          </cell>
          <cell r="O9" t="str">
            <v>Albania</v>
          </cell>
          <cell r="R9" t="str">
            <v>CHF</v>
          </cell>
        </row>
        <row r="10">
          <cell r="I10" t="str">
            <v>Information Technology</v>
          </cell>
          <cell r="O10" t="str">
            <v>Algeria</v>
          </cell>
          <cell r="R10" t="str">
            <v>CLP</v>
          </cell>
        </row>
        <row r="11">
          <cell r="I11" t="str">
            <v>Materials</v>
          </cell>
          <cell r="O11" t="str">
            <v>American Samoa</v>
          </cell>
          <cell r="R11" t="str">
            <v>CNY</v>
          </cell>
        </row>
        <row r="12">
          <cell r="I12" t="str">
            <v>Real Estate</v>
          </cell>
          <cell r="O12" t="str">
            <v>Andorra</v>
          </cell>
          <cell r="R12" t="str">
            <v>COP</v>
          </cell>
        </row>
        <row r="13">
          <cell r="I13" t="str">
            <v>Utilities</v>
          </cell>
          <cell r="O13" t="str">
            <v>Angola</v>
          </cell>
          <cell r="R13" t="str">
            <v>DKK</v>
          </cell>
        </row>
        <row r="14">
          <cell r="I14" t="str">
            <v>None Specified</v>
          </cell>
          <cell r="O14" t="str">
            <v>Anguilla</v>
          </cell>
          <cell r="R14" t="str">
            <v>HKD</v>
          </cell>
        </row>
        <row r="15">
          <cell r="O15" t="str">
            <v>Antarctica</v>
          </cell>
          <cell r="R15" t="str">
            <v>ILS</v>
          </cell>
        </row>
        <row r="16">
          <cell r="O16" t="str">
            <v>Antigua and Barbuda</v>
          </cell>
          <cell r="R16" t="str">
            <v>INR</v>
          </cell>
        </row>
        <row r="17">
          <cell r="O17" t="str">
            <v>Argentina</v>
          </cell>
          <cell r="R17" t="str">
            <v>JPY</v>
          </cell>
        </row>
        <row r="18">
          <cell r="O18" t="str">
            <v>Armenia</v>
          </cell>
          <cell r="R18" t="str">
            <v>KRW</v>
          </cell>
        </row>
        <row r="19">
          <cell r="O19" t="str">
            <v>Aruba</v>
          </cell>
          <cell r="R19" t="str">
            <v>MXN</v>
          </cell>
        </row>
        <row r="20">
          <cell r="O20" t="str">
            <v>Australia</v>
          </cell>
          <cell r="R20" t="str">
            <v>NOK</v>
          </cell>
        </row>
        <row r="21">
          <cell r="O21" t="str">
            <v>Austria</v>
          </cell>
          <cell r="R21" t="str">
            <v>NZD</v>
          </cell>
        </row>
        <row r="22">
          <cell r="O22" t="str">
            <v>Azerbaijan</v>
          </cell>
          <cell r="R22" t="str">
            <v>PEN</v>
          </cell>
        </row>
        <row r="23">
          <cell r="O23" t="str">
            <v>Bahamas</v>
          </cell>
          <cell r="R23" t="str">
            <v>RUB</v>
          </cell>
        </row>
        <row r="24">
          <cell r="O24" t="str">
            <v>Bahrain</v>
          </cell>
          <cell r="R24" t="str">
            <v>SEK</v>
          </cell>
        </row>
        <row r="25">
          <cell r="O25" t="str">
            <v>Bangladesh</v>
          </cell>
        </row>
        <row r="26">
          <cell r="O26" t="str">
            <v>Barbados</v>
          </cell>
        </row>
        <row r="27">
          <cell r="O27" t="str">
            <v>Belarus</v>
          </cell>
        </row>
        <row r="28">
          <cell r="O28" t="str">
            <v>Belgium</v>
          </cell>
        </row>
        <row r="29">
          <cell r="O29" t="str">
            <v>Belize</v>
          </cell>
        </row>
        <row r="30">
          <cell r="O30" t="str">
            <v>Benin</v>
          </cell>
        </row>
        <row r="31">
          <cell r="O31" t="str">
            <v>Bermuda</v>
          </cell>
        </row>
        <row r="32">
          <cell r="O32" t="str">
            <v>Bhutan</v>
          </cell>
        </row>
        <row r="33">
          <cell r="O33" t="str">
            <v>Bolivia</v>
          </cell>
        </row>
        <row r="34">
          <cell r="O34" t="str">
            <v>Bosnia and Herzegovina</v>
          </cell>
        </row>
        <row r="35">
          <cell r="O35" t="str">
            <v>Botswana</v>
          </cell>
        </row>
        <row r="36">
          <cell r="O36" t="str">
            <v>Bouvet Island (Bouvetoya)</v>
          </cell>
        </row>
        <row r="37">
          <cell r="O37" t="str">
            <v>Brazil</v>
          </cell>
        </row>
        <row r="38">
          <cell r="O38" t="str">
            <v>British Indian Ocean Territory (Chagos Archipelago)</v>
          </cell>
        </row>
        <row r="39">
          <cell r="O39" t="str">
            <v>British Virgin Islands</v>
          </cell>
        </row>
        <row r="40">
          <cell r="O40" t="str">
            <v>Brunei Darussalam</v>
          </cell>
        </row>
        <row r="41">
          <cell r="O41" t="str">
            <v>Bulgaria</v>
          </cell>
        </row>
        <row r="42">
          <cell r="O42" t="str">
            <v>Burkina Faso</v>
          </cell>
        </row>
        <row r="43">
          <cell r="O43" t="str">
            <v>Burundi</v>
          </cell>
        </row>
        <row r="44">
          <cell r="O44" t="str">
            <v>Cambodia</v>
          </cell>
        </row>
        <row r="45">
          <cell r="O45" t="str">
            <v>Cameroon</v>
          </cell>
        </row>
        <row r="46">
          <cell r="O46" t="str">
            <v>Cape Verde</v>
          </cell>
        </row>
        <row r="47">
          <cell r="O47" t="str">
            <v>Cayman Islands</v>
          </cell>
        </row>
        <row r="48">
          <cell r="O48" t="str">
            <v>Central African Republic</v>
          </cell>
        </row>
        <row r="49">
          <cell r="O49" t="str">
            <v>Chad</v>
          </cell>
        </row>
        <row r="50">
          <cell r="O50" t="str">
            <v>Chile</v>
          </cell>
        </row>
        <row r="51">
          <cell r="O51" t="str">
            <v>Christmas Island</v>
          </cell>
        </row>
        <row r="52">
          <cell r="O52" t="str">
            <v>Cocos (Keeling) Islands</v>
          </cell>
        </row>
        <row r="53">
          <cell r="O53" t="str">
            <v>Colombia</v>
          </cell>
        </row>
        <row r="54">
          <cell r="O54" t="str">
            <v>Comoros</v>
          </cell>
        </row>
        <row r="55">
          <cell r="O55" t="str">
            <v>Congo</v>
          </cell>
        </row>
        <row r="56">
          <cell r="O56" t="str">
            <v>Congo, The Democratic Republic of</v>
          </cell>
        </row>
        <row r="57">
          <cell r="O57" t="str">
            <v>Cook Islands</v>
          </cell>
        </row>
        <row r="58">
          <cell r="O58" t="str">
            <v>Costa Rica</v>
          </cell>
        </row>
        <row r="59">
          <cell r="O59" t="str">
            <v>Cote d'Ivoire</v>
          </cell>
        </row>
        <row r="60">
          <cell r="O60" t="str">
            <v>Croatia</v>
          </cell>
        </row>
        <row r="61">
          <cell r="O61" t="str">
            <v>Cuba</v>
          </cell>
        </row>
        <row r="62">
          <cell r="O62" t="str">
            <v>Cyprus</v>
          </cell>
        </row>
        <row r="63">
          <cell r="O63" t="str">
            <v>Czech Republic</v>
          </cell>
        </row>
        <row r="64">
          <cell r="O64" t="str">
            <v>Denmark</v>
          </cell>
        </row>
        <row r="65">
          <cell r="O65" t="str">
            <v>Djibouti</v>
          </cell>
        </row>
        <row r="66">
          <cell r="O66" t="str">
            <v>Dominica</v>
          </cell>
        </row>
        <row r="67">
          <cell r="O67" t="str">
            <v>Dominican Republic</v>
          </cell>
        </row>
        <row r="68">
          <cell r="O68" t="str">
            <v>Ecuador</v>
          </cell>
        </row>
        <row r="69">
          <cell r="O69" t="str">
            <v>Egypt</v>
          </cell>
        </row>
        <row r="70">
          <cell r="O70" t="str">
            <v>El Salvador</v>
          </cell>
        </row>
        <row r="71">
          <cell r="O71" t="str">
            <v>Equatorial Guinea</v>
          </cell>
        </row>
        <row r="72">
          <cell r="O72" t="str">
            <v>Eritrea</v>
          </cell>
        </row>
        <row r="73">
          <cell r="O73" t="str">
            <v>Estonia</v>
          </cell>
        </row>
        <row r="74">
          <cell r="O74" t="str">
            <v>Ethiopia</v>
          </cell>
        </row>
        <row r="75">
          <cell r="O75" t="str">
            <v>Falkland Islands (Malvinas)</v>
          </cell>
        </row>
        <row r="76">
          <cell r="O76" t="str">
            <v>Faroe Islands</v>
          </cell>
        </row>
        <row r="77">
          <cell r="O77" t="str">
            <v>Fiji</v>
          </cell>
        </row>
        <row r="78">
          <cell r="O78" t="str">
            <v>Finland</v>
          </cell>
        </row>
        <row r="79">
          <cell r="O79" t="str">
            <v>France</v>
          </cell>
        </row>
        <row r="80">
          <cell r="O80" t="str">
            <v>French Guiana</v>
          </cell>
        </row>
        <row r="81">
          <cell r="O81" t="str">
            <v>French Polynesia</v>
          </cell>
        </row>
        <row r="82">
          <cell r="O82" t="str">
            <v>French Southern Territories</v>
          </cell>
        </row>
        <row r="83">
          <cell r="O83" t="str">
            <v>Gabon</v>
          </cell>
        </row>
        <row r="84">
          <cell r="O84" t="str">
            <v>Gambia</v>
          </cell>
        </row>
        <row r="85">
          <cell r="O85" t="str">
            <v>Georgia</v>
          </cell>
        </row>
        <row r="86">
          <cell r="O86" t="str">
            <v>Germany</v>
          </cell>
        </row>
        <row r="87">
          <cell r="O87" t="str">
            <v>Ghana</v>
          </cell>
        </row>
        <row r="88">
          <cell r="O88" t="str">
            <v>Gibraltar</v>
          </cell>
        </row>
        <row r="89">
          <cell r="O89" t="str">
            <v>Greece</v>
          </cell>
        </row>
        <row r="90">
          <cell r="O90" t="str">
            <v>Greenland</v>
          </cell>
        </row>
        <row r="91">
          <cell r="O91" t="str">
            <v>Grenada</v>
          </cell>
        </row>
        <row r="92">
          <cell r="O92" t="str">
            <v>Guadeloupe</v>
          </cell>
        </row>
        <row r="93">
          <cell r="O93" t="str">
            <v>Guam</v>
          </cell>
        </row>
        <row r="94">
          <cell r="O94" t="str">
            <v>Guatemala</v>
          </cell>
        </row>
        <row r="95">
          <cell r="O95" t="str">
            <v>Guernsey</v>
          </cell>
        </row>
        <row r="96">
          <cell r="O96" t="str">
            <v>Guinea</v>
          </cell>
        </row>
        <row r="97">
          <cell r="O97" t="str">
            <v>Guinea-Bissau</v>
          </cell>
        </row>
        <row r="98">
          <cell r="O98" t="str">
            <v>Guyana</v>
          </cell>
        </row>
        <row r="99">
          <cell r="O99" t="str">
            <v>Haiti</v>
          </cell>
        </row>
        <row r="100">
          <cell r="O100" t="str">
            <v>Heard Island and McDonald Islands</v>
          </cell>
        </row>
        <row r="101">
          <cell r="O101" t="str">
            <v>Honduras</v>
          </cell>
        </row>
        <row r="102">
          <cell r="O102" t="str">
            <v>Hong Kong</v>
          </cell>
        </row>
        <row r="103">
          <cell r="O103" t="str">
            <v>Hungary</v>
          </cell>
        </row>
        <row r="104">
          <cell r="O104" t="str">
            <v>Iceland</v>
          </cell>
        </row>
        <row r="105">
          <cell r="O105" t="str">
            <v>India</v>
          </cell>
        </row>
        <row r="106">
          <cell r="O106" t="str">
            <v>Indonesia</v>
          </cell>
        </row>
        <row r="107">
          <cell r="O107" t="str">
            <v>Iran</v>
          </cell>
        </row>
        <row r="108">
          <cell r="O108" t="str">
            <v>Iraq</v>
          </cell>
        </row>
        <row r="109">
          <cell r="O109" t="str">
            <v>Ireland</v>
          </cell>
        </row>
        <row r="110">
          <cell r="O110" t="str">
            <v>Isle of Man</v>
          </cell>
        </row>
        <row r="111">
          <cell r="O111" t="str">
            <v>Israel</v>
          </cell>
        </row>
        <row r="112">
          <cell r="O112" t="str">
            <v>Italy</v>
          </cell>
        </row>
        <row r="113">
          <cell r="O113" t="str">
            <v>Jamaica</v>
          </cell>
        </row>
        <row r="114">
          <cell r="O114" t="str">
            <v>Japan</v>
          </cell>
        </row>
        <row r="115">
          <cell r="O115" t="str">
            <v>Jersey</v>
          </cell>
        </row>
        <row r="116">
          <cell r="O116" t="str">
            <v>Jordan</v>
          </cell>
        </row>
        <row r="117">
          <cell r="O117" t="str">
            <v>Kazakhstan</v>
          </cell>
        </row>
        <row r="118">
          <cell r="O118" t="str">
            <v>Kenya</v>
          </cell>
        </row>
        <row r="119">
          <cell r="O119" t="str">
            <v>Kiribati</v>
          </cell>
        </row>
        <row r="120">
          <cell r="O120" t="str">
            <v>Kuwait</v>
          </cell>
        </row>
        <row r="121">
          <cell r="O121" t="str">
            <v>Kyrgyz Republic</v>
          </cell>
        </row>
        <row r="122">
          <cell r="O122" t="str">
            <v>Lao People's Democratic Republic</v>
          </cell>
        </row>
        <row r="123">
          <cell r="O123" t="str">
            <v>Latvia</v>
          </cell>
        </row>
        <row r="124">
          <cell r="O124" t="str">
            <v>Lebanon</v>
          </cell>
        </row>
        <row r="125">
          <cell r="O125" t="str">
            <v>Lesotho</v>
          </cell>
        </row>
        <row r="126">
          <cell r="O126" t="str">
            <v>Liberia</v>
          </cell>
        </row>
        <row r="127">
          <cell r="O127" t="str">
            <v>Libya</v>
          </cell>
        </row>
        <row r="128">
          <cell r="O128" t="str">
            <v>Liechtenstein</v>
          </cell>
        </row>
        <row r="129">
          <cell r="O129" t="str">
            <v>Lithuania</v>
          </cell>
        </row>
        <row r="130">
          <cell r="O130" t="str">
            <v>Luxembourg</v>
          </cell>
        </row>
        <row r="131">
          <cell r="O131" t="str">
            <v>Macao SAR</v>
          </cell>
        </row>
        <row r="132">
          <cell r="O132" t="str">
            <v>Macedonia</v>
          </cell>
        </row>
        <row r="133">
          <cell r="O133" t="str">
            <v>Madagascar</v>
          </cell>
        </row>
        <row r="134">
          <cell r="O134" t="str">
            <v>Malawi</v>
          </cell>
        </row>
        <row r="135">
          <cell r="O135" t="str">
            <v>Malaysia</v>
          </cell>
        </row>
        <row r="136">
          <cell r="O136" t="str">
            <v>Maldives</v>
          </cell>
        </row>
        <row r="137">
          <cell r="O137" t="str">
            <v>Mali</v>
          </cell>
        </row>
        <row r="138">
          <cell r="O138" t="str">
            <v>Malta</v>
          </cell>
        </row>
        <row r="139">
          <cell r="O139" t="str">
            <v>Marshall Islands</v>
          </cell>
        </row>
        <row r="140">
          <cell r="O140" t="str">
            <v>Martinique</v>
          </cell>
        </row>
        <row r="141">
          <cell r="O141" t="str">
            <v>Mauritania</v>
          </cell>
        </row>
        <row r="142">
          <cell r="O142" t="str">
            <v>Mauritius</v>
          </cell>
        </row>
        <row r="143">
          <cell r="O143" t="str">
            <v>Mayotte</v>
          </cell>
        </row>
        <row r="144">
          <cell r="O144" t="str">
            <v>Mexico</v>
          </cell>
        </row>
        <row r="145">
          <cell r="O145" t="str">
            <v>Micronesia</v>
          </cell>
        </row>
        <row r="146">
          <cell r="O146" t="str">
            <v>Moldova</v>
          </cell>
        </row>
        <row r="147">
          <cell r="O147" t="str">
            <v>Monaco</v>
          </cell>
        </row>
        <row r="148">
          <cell r="O148" t="str">
            <v>Mongolia</v>
          </cell>
        </row>
        <row r="149">
          <cell r="O149" t="str">
            <v>Montenegro</v>
          </cell>
        </row>
        <row r="150">
          <cell r="O150" t="str">
            <v>Montserrat</v>
          </cell>
        </row>
        <row r="151">
          <cell r="O151" t="str">
            <v>Morocco</v>
          </cell>
        </row>
        <row r="152">
          <cell r="O152" t="str">
            <v>Mozambique</v>
          </cell>
        </row>
        <row r="153">
          <cell r="O153" t="str">
            <v>Myanmar</v>
          </cell>
        </row>
        <row r="154">
          <cell r="O154" t="str">
            <v>Namibia</v>
          </cell>
        </row>
        <row r="155">
          <cell r="O155" t="str">
            <v>Nauru</v>
          </cell>
        </row>
        <row r="156">
          <cell r="O156" t="str">
            <v>Nepal</v>
          </cell>
        </row>
        <row r="157">
          <cell r="O157" t="str">
            <v>Netherlands</v>
          </cell>
        </row>
        <row r="158">
          <cell r="O158" t="str">
            <v>Netherlands Antilles</v>
          </cell>
        </row>
        <row r="159">
          <cell r="O159" t="str">
            <v>New Caledonia</v>
          </cell>
        </row>
        <row r="160">
          <cell r="O160" t="str">
            <v>New Zealand</v>
          </cell>
        </row>
        <row r="161">
          <cell r="O161" t="str">
            <v>Nicaragua</v>
          </cell>
        </row>
        <row r="162">
          <cell r="O162" t="str">
            <v>Niger</v>
          </cell>
        </row>
        <row r="163">
          <cell r="O163" t="str">
            <v>Nigeria</v>
          </cell>
        </row>
        <row r="164">
          <cell r="O164" t="str">
            <v>Niue</v>
          </cell>
        </row>
        <row r="165">
          <cell r="O165" t="str">
            <v>Norfolk Island</v>
          </cell>
        </row>
        <row r="166">
          <cell r="O166" t="str">
            <v>North Korea</v>
          </cell>
        </row>
        <row r="167">
          <cell r="O167" t="str">
            <v>Northern Mariana Islands</v>
          </cell>
        </row>
        <row r="168">
          <cell r="O168" t="str">
            <v>Norway</v>
          </cell>
        </row>
        <row r="169">
          <cell r="O169" t="str">
            <v>Oman</v>
          </cell>
        </row>
        <row r="170">
          <cell r="O170" t="str">
            <v>Pakistan</v>
          </cell>
        </row>
        <row r="171">
          <cell r="O171" t="str">
            <v>Palau</v>
          </cell>
        </row>
        <row r="172">
          <cell r="O172" t="str">
            <v>Palestinian Territory</v>
          </cell>
        </row>
        <row r="173">
          <cell r="O173" t="str">
            <v>Panama</v>
          </cell>
        </row>
        <row r="174">
          <cell r="O174" t="str">
            <v>Papua New Guinea</v>
          </cell>
        </row>
        <row r="175">
          <cell r="O175" t="str">
            <v>Paraguay</v>
          </cell>
        </row>
        <row r="176">
          <cell r="O176" t="str">
            <v>Peru</v>
          </cell>
        </row>
        <row r="177">
          <cell r="O177" t="str">
            <v>Philippines</v>
          </cell>
        </row>
        <row r="178">
          <cell r="O178" t="str">
            <v>Pitcairn Islands</v>
          </cell>
        </row>
        <row r="179">
          <cell r="O179" t="str">
            <v>Poland</v>
          </cell>
        </row>
        <row r="180">
          <cell r="O180" t="str">
            <v>Portugal</v>
          </cell>
        </row>
        <row r="181">
          <cell r="O181" t="str">
            <v>Puerto Rico</v>
          </cell>
        </row>
        <row r="182">
          <cell r="O182" t="str">
            <v>Qatar</v>
          </cell>
        </row>
        <row r="183">
          <cell r="O183" t="str">
            <v>Reunion</v>
          </cell>
        </row>
        <row r="184">
          <cell r="O184" t="str">
            <v>Romania</v>
          </cell>
        </row>
        <row r="185">
          <cell r="O185" t="str">
            <v>Russia</v>
          </cell>
        </row>
        <row r="186">
          <cell r="O186" t="str">
            <v>Rwanda</v>
          </cell>
        </row>
        <row r="187">
          <cell r="O187" t="str">
            <v>Saint Barthelemy</v>
          </cell>
        </row>
        <row r="188">
          <cell r="O188" t="str">
            <v>Saint Helena</v>
          </cell>
        </row>
        <row r="189">
          <cell r="O189" t="str">
            <v>Saint Kitts and Nevis</v>
          </cell>
        </row>
        <row r="190">
          <cell r="O190" t="str">
            <v>Saint Lucia</v>
          </cell>
        </row>
        <row r="191">
          <cell r="O191" t="str">
            <v>Saint Martin</v>
          </cell>
        </row>
        <row r="192">
          <cell r="O192" t="str">
            <v>Saint Pierre and Miquelon</v>
          </cell>
        </row>
        <row r="193">
          <cell r="O193" t="str">
            <v>Saint Vincent and the Grenadines</v>
          </cell>
        </row>
        <row r="194">
          <cell r="O194" t="str">
            <v>Samoa</v>
          </cell>
        </row>
        <row r="195">
          <cell r="O195" t="str">
            <v>San Marino</v>
          </cell>
        </row>
        <row r="196">
          <cell r="O196" t="str">
            <v>Sao Tome and Principe</v>
          </cell>
        </row>
        <row r="197">
          <cell r="O197" t="str">
            <v>Saudi Arabia</v>
          </cell>
        </row>
        <row r="198">
          <cell r="O198" t="str">
            <v>Senegal</v>
          </cell>
        </row>
        <row r="199">
          <cell r="O199" t="str">
            <v>Serbia</v>
          </cell>
        </row>
        <row r="200">
          <cell r="O200" t="str">
            <v>Seychelles</v>
          </cell>
        </row>
        <row r="201">
          <cell r="O201" t="str">
            <v>Sierra Leone</v>
          </cell>
        </row>
        <row r="202">
          <cell r="O202" t="str">
            <v>Singapore</v>
          </cell>
        </row>
        <row r="203">
          <cell r="O203" t="str">
            <v>Slovakia (Slovak Republic)</v>
          </cell>
        </row>
        <row r="204">
          <cell r="O204" t="str">
            <v>Slovenia</v>
          </cell>
        </row>
        <row r="205">
          <cell r="O205" t="str">
            <v>Solomon Islands</v>
          </cell>
        </row>
        <row r="206">
          <cell r="O206" t="str">
            <v>Somalia</v>
          </cell>
        </row>
        <row r="207">
          <cell r="O207" t="str">
            <v>South Africa</v>
          </cell>
        </row>
        <row r="208">
          <cell r="O208" t="str">
            <v>South Georgia and the South Sandwich Islands</v>
          </cell>
        </row>
        <row r="209">
          <cell r="O209" t="str">
            <v>South Korea</v>
          </cell>
        </row>
        <row r="210">
          <cell r="O210" t="str">
            <v>South Sudan</v>
          </cell>
        </row>
        <row r="211">
          <cell r="O211" t="str">
            <v>Spain</v>
          </cell>
        </row>
        <row r="212">
          <cell r="O212" t="str">
            <v>Sri Lanka</v>
          </cell>
        </row>
        <row r="213">
          <cell r="O213" t="str">
            <v>Sudan</v>
          </cell>
        </row>
        <row r="214">
          <cell r="O214" t="str">
            <v>Suriname</v>
          </cell>
        </row>
        <row r="215">
          <cell r="O215" t="str">
            <v>Svalbard &amp; Jan Mayen Islands</v>
          </cell>
        </row>
        <row r="216">
          <cell r="O216" t="str">
            <v>Swaziland</v>
          </cell>
        </row>
        <row r="217">
          <cell r="O217" t="str">
            <v>Sweden</v>
          </cell>
        </row>
        <row r="218">
          <cell r="O218" t="str">
            <v>Switzerland</v>
          </cell>
        </row>
        <row r="219">
          <cell r="O219" t="str">
            <v>Syrian Arab Republic</v>
          </cell>
        </row>
        <row r="220">
          <cell r="O220" t="str">
            <v>Taiwan</v>
          </cell>
        </row>
        <row r="221">
          <cell r="O221" t="str">
            <v>Tajikistan</v>
          </cell>
        </row>
        <row r="222">
          <cell r="O222" t="str">
            <v>Tanzania</v>
          </cell>
        </row>
        <row r="223">
          <cell r="O223" t="str">
            <v>Thailand</v>
          </cell>
        </row>
        <row r="224">
          <cell r="O224" t="str">
            <v>Timor-Leste</v>
          </cell>
        </row>
        <row r="225">
          <cell r="O225" t="str">
            <v>Togo</v>
          </cell>
        </row>
        <row r="226">
          <cell r="O226" t="str">
            <v>Tokelau</v>
          </cell>
        </row>
        <row r="227">
          <cell r="O227" t="str">
            <v>Tonga</v>
          </cell>
        </row>
        <row r="228">
          <cell r="O228" t="str">
            <v>Trinidad and Tobago</v>
          </cell>
        </row>
        <row r="229">
          <cell r="O229" t="str">
            <v>Tunisia</v>
          </cell>
        </row>
        <row r="230">
          <cell r="O230" t="str">
            <v>Turkey</v>
          </cell>
        </row>
        <row r="231">
          <cell r="O231" t="str">
            <v>Turkmenistan</v>
          </cell>
        </row>
        <row r="232">
          <cell r="O232" t="str">
            <v>Turks and Caicos Islands</v>
          </cell>
        </row>
        <row r="233">
          <cell r="O233" t="str">
            <v>Tuvalu</v>
          </cell>
        </row>
        <row r="234">
          <cell r="O234" t="str">
            <v>Uganda</v>
          </cell>
        </row>
        <row r="235">
          <cell r="O235" t="str">
            <v>Ukraine</v>
          </cell>
        </row>
        <row r="236">
          <cell r="O236" t="str">
            <v>United Arab Emirates</v>
          </cell>
        </row>
        <row r="237">
          <cell r="O237" t="str">
            <v>United States Minor Outlying Islands</v>
          </cell>
        </row>
        <row r="238">
          <cell r="O238" t="str">
            <v>United States Virgin Islands</v>
          </cell>
        </row>
        <row r="239">
          <cell r="O239" t="str">
            <v>Uruguay</v>
          </cell>
        </row>
        <row r="240">
          <cell r="O240" t="str">
            <v>Uzbekistan</v>
          </cell>
        </row>
        <row r="241">
          <cell r="O241" t="str">
            <v>Vanuatu</v>
          </cell>
        </row>
        <row r="242">
          <cell r="O242" t="str">
            <v>Vatican City State</v>
          </cell>
        </row>
        <row r="243">
          <cell r="O243" t="str">
            <v>Venezuela</v>
          </cell>
        </row>
        <row r="244">
          <cell r="O244" t="str">
            <v>Vietnam</v>
          </cell>
        </row>
        <row r="245">
          <cell r="O245" t="str">
            <v>Wallis and Futuna</v>
          </cell>
        </row>
        <row r="246">
          <cell r="O246" t="str">
            <v>Western Sahara</v>
          </cell>
        </row>
        <row r="247">
          <cell r="O247" t="str">
            <v>Yemen</v>
          </cell>
        </row>
        <row r="248">
          <cell r="O248" t="str">
            <v>Zambia</v>
          </cell>
        </row>
        <row r="249">
          <cell r="O249" t="str">
            <v>Zimbabwe</v>
          </cell>
        </row>
      </sheetData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2">
          <cell r="A2" t="str">
            <v>Product RFPs</v>
          </cell>
        </row>
      </sheetData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CAF Ltd"/>
      <sheetName val="OHCAF LP"/>
      <sheetName val="OHCOF"/>
      <sheetName val="Sheet1"/>
      <sheetName val="DATA"/>
      <sheetName val="Pivot1"/>
      <sheetName val="Pivo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LE</v>
          </cell>
          <cell r="D2" t="str">
            <v>Long</v>
          </cell>
          <cell r="K2" t="str">
            <v>C2: High Yield</v>
          </cell>
        </row>
        <row r="3">
          <cell r="D3" t="str">
            <v>Long</v>
          </cell>
          <cell r="K3" t="str">
            <v>C2: High Yield</v>
          </cell>
        </row>
        <row r="4">
          <cell r="D4" t="str">
            <v>Long</v>
          </cell>
          <cell r="K4" t="str">
            <v>C2: High Yield</v>
          </cell>
        </row>
        <row r="5">
          <cell r="D5" t="str">
            <v>Long</v>
          </cell>
          <cell r="K5" t="str">
            <v>C2: High Yield</v>
          </cell>
        </row>
        <row r="6">
          <cell r="D6" t="str">
            <v>Long</v>
          </cell>
          <cell r="K6" t="str">
            <v>C2: High Yield</v>
          </cell>
        </row>
        <row r="7">
          <cell r="D7" t="str">
            <v>Long</v>
          </cell>
          <cell r="K7" t="str">
            <v>C2: High Yield</v>
          </cell>
        </row>
        <row r="8">
          <cell r="D8" t="str">
            <v>Long</v>
          </cell>
          <cell r="K8" t="str">
            <v>C2: High Yield</v>
          </cell>
        </row>
        <row r="9">
          <cell r="D9" t="str">
            <v>Short</v>
          </cell>
          <cell r="K9" t="str">
            <v>C3a: Outright Shorts</v>
          </cell>
        </row>
        <row r="10">
          <cell r="D10" t="str">
            <v>Short</v>
          </cell>
          <cell r="K10" t="str">
            <v>C3a: Outright Shorts</v>
          </cell>
        </row>
        <row r="11">
          <cell r="D11" t="str">
            <v>Short</v>
          </cell>
          <cell r="K11" t="str">
            <v>C3a: Outright Shorts</v>
          </cell>
        </row>
        <row r="12">
          <cell r="D12" t="str">
            <v>Short</v>
          </cell>
          <cell r="K12" t="str">
            <v>C3a: Outright Shorts</v>
          </cell>
        </row>
        <row r="13">
          <cell r="D13" t="str">
            <v>Short</v>
          </cell>
          <cell r="K13" t="str">
            <v>C3a: Outright Shorts</v>
          </cell>
        </row>
        <row r="14">
          <cell r="D14" t="str">
            <v>Long</v>
          </cell>
          <cell r="K14" t="str">
            <v>C1: Bank Debt</v>
          </cell>
        </row>
        <row r="15">
          <cell r="D15" t="str">
            <v>Long</v>
          </cell>
          <cell r="K15" t="str">
            <v>C1: Bank Debt</v>
          </cell>
        </row>
        <row r="16">
          <cell r="D16" t="str">
            <v>Long</v>
          </cell>
          <cell r="K16" t="str">
            <v>C2: High Yield</v>
          </cell>
        </row>
        <row r="17">
          <cell r="D17" t="str">
            <v>Long</v>
          </cell>
          <cell r="K17" t="str">
            <v>C2: High Yield</v>
          </cell>
        </row>
        <row r="18">
          <cell r="D18" t="str">
            <v>Long</v>
          </cell>
          <cell r="K18" t="str">
            <v>C2: High Yield</v>
          </cell>
        </row>
        <row r="19">
          <cell r="D19" t="str">
            <v>Long</v>
          </cell>
          <cell r="K19" t="str">
            <v>C2: High Yield</v>
          </cell>
        </row>
        <row r="20">
          <cell r="D20" t="str">
            <v>Long</v>
          </cell>
          <cell r="K20" t="str">
            <v>C2: High Yield</v>
          </cell>
        </row>
        <row r="21">
          <cell r="D21" t="str">
            <v>Long</v>
          </cell>
          <cell r="K21" t="str">
            <v>C2: High Yield</v>
          </cell>
        </row>
        <row r="22">
          <cell r="D22" t="str">
            <v>Long</v>
          </cell>
          <cell r="K22" t="str">
            <v>C2: High Yield</v>
          </cell>
        </row>
        <row r="23">
          <cell r="D23" t="str">
            <v>Long</v>
          </cell>
          <cell r="K23" t="str">
            <v>C1: Bank Debt</v>
          </cell>
        </row>
        <row r="24">
          <cell r="D24" t="str">
            <v>Long</v>
          </cell>
          <cell r="K24" t="str">
            <v>C2: High Yield</v>
          </cell>
        </row>
        <row r="25">
          <cell r="D25" t="str">
            <v>Long</v>
          </cell>
          <cell r="K25" t="str">
            <v>C2: High Yield</v>
          </cell>
        </row>
        <row r="26">
          <cell r="D26" t="str">
            <v>Long</v>
          </cell>
          <cell r="K26" t="str">
            <v>C2: High Yield</v>
          </cell>
        </row>
        <row r="27">
          <cell r="D27" t="str">
            <v>Long</v>
          </cell>
          <cell r="K27" t="str">
            <v>C2: High Yield</v>
          </cell>
        </row>
        <row r="28">
          <cell r="D28" t="str">
            <v>Long</v>
          </cell>
          <cell r="K28" t="str">
            <v>C2: High Yield</v>
          </cell>
        </row>
        <row r="29">
          <cell r="D29" t="str">
            <v>Long</v>
          </cell>
          <cell r="K29" t="str">
            <v>C2: High Yield</v>
          </cell>
        </row>
        <row r="30">
          <cell r="D30" t="str">
            <v>Long</v>
          </cell>
          <cell r="K30" t="str">
            <v>C2: High Yield</v>
          </cell>
        </row>
        <row r="31">
          <cell r="D31" t="str">
            <v>Long</v>
          </cell>
          <cell r="K31" t="str">
            <v>C2: High Yield</v>
          </cell>
        </row>
        <row r="32">
          <cell r="D32" t="str">
            <v>Long</v>
          </cell>
          <cell r="K32" t="str">
            <v>C2: High Yield</v>
          </cell>
        </row>
        <row r="33">
          <cell r="D33" t="str">
            <v>Long</v>
          </cell>
          <cell r="K33" t="str">
            <v>C2: High Yield</v>
          </cell>
        </row>
        <row r="34">
          <cell r="D34" t="str">
            <v>Long</v>
          </cell>
          <cell r="K34" t="str">
            <v>C2: High Yield</v>
          </cell>
        </row>
        <row r="35">
          <cell r="D35" t="str">
            <v>Long</v>
          </cell>
          <cell r="K35" t="str">
            <v>C2: High Yield</v>
          </cell>
        </row>
        <row r="36">
          <cell r="D36" t="str">
            <v>Long</v>
          </cell>
          <cell r="K36" t="str">
            <v>C2: High Yield</v>
          </cell>
        </row>
        <row r="37">
          <cell r="D37" t="str">
            <v>Long</v>
          </cell>
          <cell r="K37" t="str">
            <v>C2: High Yield</v>
          </cell>
        </row>
        <row r="38">
          <cell r="D38" t="str">
            <v>Long</v>
          </cell>
          <cell r="K38" t="str">
            <v>C3: Capital Structure</v>
          </cell>
        </row>
        <row r="39">
          <cell r="D39" t="str">
            <v>Long</v>
          </cell>
          <cell r="K39" t="str">
            <v>C3: Capital Structure</v>
          </cell>
        </row>
        <row r="40">
          <cell r="D40" t="str">
            <v>Long</v>
          </cell>
          <cell r="K40" t="str">
            <v>C3: Capital Structure</v>
          </cell>
        </row>
        <row r="41">
          <cell r="D41" t="str">
            <v>Long</v>
          </cell>
          <cell r="K41" t="str">
            <v>C3: Capital Structure</v>
          </cell>
        </row>
        <row r="42">
          <cell r="D42" t="str">
            <v>Long</v>
          </cell>
          <cell r="K42" t="str">
            <v>C3: Capital Structure</v>
          </cell>
        </row>
        <row r="43">
          <cell r="D43" t="str">
            <v>Long</v>
          </cell>
          <cell r="K43" t="str">
            <v>C3: Capital Structure</v>
          </cell>
        </row>
        <row r="44">
          <cell r="D44" t="str">
            <v>Long</v>
          </cell>
          <cell r="K44" t="str">
            <v>C2: High Yield</v>
          </cell>
        </row>
        <row r="45">
          <cell r="D45" t="str">
            <v>Short</v>
          </cell>
          <cell r="K45" t="str">
            <v>C2: High Yield</v>
          </cell>
        </row>
        <row r="46">
          <cell r="D46" t="str">
            <v>Long</v>
          </cell>
          <cell r="K46" t="str">
            <v>C2: High Yield</v>
          </cell>
        </row>
        <row r="47">
          <cell r="D47" t="str">
            <v>Long</v>
          </cell>
          <cell r="K47" t="str">
            <v>C2: High Yield</v>
          </cell>
        </row>
        <row r="48">
          <cell r="D48" t="str">
            <v>Long</v>
          </cell>
          <cell r="K48" t="str">
            <v>C2: High Yield</v>
          </cell>
        </row>
        <row r="49">
          <cell r="D49" t="str">
            <v>Long</v>
          </cell>
          <cell r="K49" t="str">
            <v>C2: High Yield</v>
          </cell>
        </row>
        <row r="50">
          <cell r="D50" t="str">
            <v>Long</v>
          </cell>
          <cell r="K50" t="str">
            <v>C2: High Yield</v>
          </cell>
        </row>
        <row r="51">
          <cell r="D51" t="str">
            <v>Long</v>
          </cell>
          <cell r="K51" t="str">
            <v>C2: High Yield</v>
          </cell>
        </row>
        <row r="52">
          <cell r="D52" t="str">
            <v>Long</v>
          </cell>
          <cell r="K52" t="str">
            <v>C2: High Yield</v>
          </cell>
        </row>
        <row r="53">
          <cell r="D53" t="str">
            <v>Short</v>
          </cell>
          <cell r="K53" t="str">
            <v>C4: Other</v>
          </cell>
        </row>
        <row r="54">
          <cell r="D54" t="str">
            <v>Short</v>
          </cell>
          <cell r="K54" t="str">
            <v>C4: Other</v>
          </cell>
        </row>
        <row r="55">
          <cell r="D55" t="str">
            <v>Short</v>
          </cell>
          <cell r="K55" t="str">
            <v>C4: Other</v>
          </cell>
        </row>
        <row r="56">
          <cell r="D56" t="str">
            <v>Short</v>
          </cell>
          <cell r="K56" t="str">
            <v>C4: Other</v>
          </cell>
        </row>
        <row r="57">
          <cell r="D57" t="str">
            <v>Short</v>
          </cell>
          <cell r="K57" t="str">
            <v>C4: Other</v>
          </cell>
        </row>
        <row r="58">
          <cell r="D58" t="str">
            <v>Long</v>
          </cell>
          <cell r="K58" t="str">
            <v>C2: High Yield</v>
          </cell>
        </row>
        <row r="59">
          <cell r="D59" t="str">
            <v>Long</v>
          </cell>
          <cell r="K59" t="str">
            <v>C2: High Yield</v>
          </cell>
        </row>
        <row r="60">
          <cell r="D60" t="str">
            <v>Long</v>
          </cell>
          <cell r="K60" t="str">
            <v>C2: High Yield</v>
          </cell>
        </row>
        <row r="61">
          <cell r="D61" t="str">
            <v>Long</v>
          </cell>
          <cell r="K61" t="str">
            <v>C2: High Yield</v>
          </cell>
        </row>
        <row r="62">
          <cell r="D62" t="str">
            <v>Long</v>
          </cell>
          <cell r="K62" t="str">
            <v>C2: High Yield</v>
          </cell>
        </row>
        <row r="63">
          <cell r="D63" t="str">
            <v>Long</v>
          </cell>
          <cell r="K63" t="str">
            <v>C2: High Yield</v>
          </cell>
        </row>
        <row r="64">
          <cell r="D64" t="str">
            <v>Long</v>
          </cell>
          <cell r="K64" t="str">
            <v>C2: High Yield</v>
          </cell>
        </row>
        <row r="65">
          <cell r="D65" t="str">
            <v>Long</v>
          </cell>
          <cell r="K65" t="str">
            <v>C2: High Yield</v>
          </cell>
        </row>
        <row r="66">
          <cell r="D66" t="str">
            <v>Long</v>
          </cell>
          <cell r="K66" t="str">
            <v>C2: High Yield</v>
          </cell>
        </row>
        <row r="67">
          <cell r="D67" t="str">
            <v>Long</v>
          </cell>
          <cell r="K67" t="str">
            <v>C2: High Yield</v>
          </cell>
        </row>
        <row r="68">
          <cell r="D68" t="str">
            <v>Long</v>
          </cell>
          <cell r="K68" t="str">
            <v>C2: High Yield</v>
          </cell>
        </row>
        <row r="69">
          <cell r="D69" t="str">
            <v>Long</v>
          </cell>
          <cell r="K69" t="str">
            <v>C2: High Yield</v>
          </cell>
        </row>
        <row r="70">
          <cell r="D70" t="str">
            <v>Long</v>
          </cell>
          <cell r="K70" t="str">
            <v>C4: Other</v>
          </cell>
        </row>
        <row r="71">
          <cell r="D71" t="str">
            <v>Long</v>
          </cell>
          <cell r="K71" t="str">
            <v>C4: Other</v>
          </cell>
        </row>
        <row r="72">
          <cell r="D72" t="str">
            <v>Long</v>
          </cell>
          <cell r="K72" t="str">
            <v>C2: High Yield</v>
          </cell>
        </row>
        <row r="73">
          <cell r="D73" t="str">
            <v>Long</v>
          </cell>
          <cell r="K73" t="str">
            <v>C2: High Yield</v>
          </cell>
        </row>
        <row r="74">
          <cell r="D74" t="str">
            <v>Long</v>
          </cell>
          <cell r="K74" t="str">
            <v>C4: Other</v>
          </cell>
        </row>
        <row r="75">
          <cell r="D75" t="str">
            <v>Long</v>
          </cell>
          <cell r="K75" t="str">
            <v>C4: Other</v>
          </cell>
        </row>
        <row r="76">
          <cell r="D76" t="str">
            <v>Long</v>
          </cell>
          <cell r="K76" t="str">
            <v>C1: Bank Debt</v>
          </cell>
        </row>
        <row r="77">
          <cell r="D77" t="str">
            <v>Long</v>
          </cell>
          <cell r="K77" t="str">
            <v>C1: Bank Debt</v>
          </cell>
        </row>
        <row r="78">
          <cell r="D78" t="str">
            <v>Long</v>
          </cell>
          <cell r="K78" t="str">
            <v>C4: Other</v>
          </cell>
        </row>
        <row r="79">
          <cell r="D79" t="str">
            <v>Long</v>
          </cell>
          <cell r="K79" t="str">
            <v>C4: Other</v>
          </cell>
        </row>
        <row r="80">
          <cell r="D80" t="str">
            <v>Long</v>
          </cell>
          <cell r="K80" t="str">
            <v>C4: Other</v>
          </cell>
        </row>
        <row r="81">
          <cell r="D81" t="str">
            <v>Long</v>
          </cell>
          <cell r="K81" t="str">
            <v>C4: Other</v>
          </cell>
        </row>
        <row r="82">
          <cell r="D82" t="str">
            <v>Long</v>
          </cell>
          <cell r="K82" t="str">
            <v>C2: High Yield</v>
          </cell>
        </row>
        <row r="83">
          <cell r="D83" t="str">
            <v>Long</v>
          </cell>
          <cell r="K83" t="str">
            <v>C2: High Yield</v>
          </cell>
        </row>
        <row r="84">
          <cell r="D84" t="str">
            <v>Long</v>
          </cell>
          <cell r="K84" t="str">
            <v>C2: High Yield</v>
          </cell>
        </row>
        <row r="85">
          <cell r="D85" t="str">
            <v>Long</v>
          </cell>
          <cell r="K85" t="str">
            <v>C2: High Yield</v>
          </cell>
        </row>
        <row r="86">
          <cell r="D86" t="str">
            <v>Long</v>
          </cell>
          <cell r="K86" t="str">
            <v>C2: High Yield</v>
          </cell>
        </row>
        <row r="87">
          <cell r="D87" t="str">
            <v>Short</v>
          </cell>
          <cell r="K87" t="str">
            <v>C3a: Outright Shorts</v>
          </cell>
        </row>
        <row r="88">
          <cell r="D88" t="str">
            <v>Short</v>
          </cell>
          <cell r="K88" t="str">
            <v>C3a: Outright Shorts</v>
          </cell>
        </row>
        <row r="89">
          <cell r="D89" t="str">
            <v>Short</v>
          </cell>
          <cell r="K89" t="str">
            <v>C3a: Outright Shorts</v>
          </cell>
        </row>
        <row r="90">
          <cell r="D90" t="str">
            <v>Short</v>
          </cell>
          <cell r="K90" t="str">
            <v>C3a: Outright Shorts</v>
          </cell>
        </row>
        <row r="91">
          <cell r="D91" t="str">
            <v>Short</v>
          </cell>
          <cell r="K91" t="str">
            <v>C3a: Outright Shorts</v>
          </cell>
        </row>
        <row r="92">
          <cell r="D92" t="str">
            <v>Short</v>
          </cell>
          <cell r="K92" t="str">
            <v>C3a: Outright Shorts</v>
          </cell>
        </row>
        <row r="93">
          <cell r="D93" t="str">
            <v>Short</v>
          </cell>
          <cell r="K93" t="str">
            <v>C4: Other</v>
          </cell>
        </row>
        <row r="94">
          <cell r="D94" t="str">
            <v>Short</v>
          </cell>
          <cell r="K94" t="str">
            <v>C4: Other</v>
          </cell>
        </row>
        <row r="95">
          <cell r="D95" t="str">
            <v>Short</v>
          </cell>
          <cell r="K95" t="str">
            <v>C4: Other</v>
          </cell>
        </row>
        <row r="96">
          <cell r="D96" t="str">
            <v>Short</v>
          </cell>
          <cell r="K96" t="str">
            <v>C4: Other</v>
          </cell>
        </row>
        <row r="97">
          <cell r="D97" t="str">
            <v>Long</v>
          </cell>
          <cell r="K97" t="str">
            <v>C1: Bank Debt</v>
          </cell>
        </row>
        <row r="98">
          <cell r="D98" t="str">
            <v>Long</v>
          </cell>
          <cell r="K98" t="str">
            <v>C1: Bank Debt</v>
          </cell>
        </row>
        <row r="99">
          <cell r="D99" t="str">
            <v>Long</v>
          </cell>
          <cell r="K99" t="str">
            <v>C1: Bank Debt</v>
          </cell>
        </row>
        <row r="100">
          <cell r="D100" t="str">
            <v>Long</v>
          </cell>
          <cell r="K100" t="str">
            <v>C1: Bank Debt</v>
          </cell>
        </row>
        <row r="101">
          <cell r="D101" t="str">
            <v>Long</v>
          </cell>
          <cell r="K101" t="str">
            <v>C1: Bank Debt</v>
          </cell>
        </row>
        <row r="102">
          <cell r="D102" t="str">
            <v>Long</v>
          </cell>
          <cell r="K102" t="str">
            <v>C1: Bank Debt</v>
          </cell>
        </row>
        <row r="103">
          <cell r="D103" t="str">
            <v>Long</v>
          </cell>
          <cell r="K103" t="str">
            <v>C1: Bank Debt</v>
          </cell>
        </row>
        <row r="104">
          <cell r="D104" t="str">
            <v>Long</v>
          </cell>
          <cell r="K104" t="str">
            <v>C1: Bank Debt</v>
          </cell>
        </row>
        <row r="105">
          <cell r="D105" t="str">
            <v>Long</v>
          </cell>
          <cell r="K105" t="str">
            <v>C1: Bank Debt</v>
          </cell>
        </row>
        <row r="106">
          <cell r="D106" t="str">
            <v>Long</v>
          </cell>
          <cell r="K106" t="str">
            <v>C1: Bank Debt</v>
          </cell>
        </row>
        <row r="107">
          <cell r="D107" t="str">
            <v>Long</v>
          </cell>
          <cell r="K107" t="str">
            <v>C1: Bank Debt</v>
          </cell>
        </row>
        <row r="108">
          <cell r="D108" t="str">
            <v>Long</v>
          </cell>
          <cell r="K108" t="str">
            <v>C1: Bank Debt</v>
          </cell>
        </row>
        <row r="109">
          <cell r="D109" t="str">
            <v>Long</v>
          </cell>
          <cell r="K109" t="str">
            <v>C1: Bank Debt</v>
          </cell>
        </row>
        <row r="110">
          <cell r="D110" t="str">
            <v>Long</v>
          </cell>
          <cell r="K110" t="str">
            <v>C1: Bank Debt</v>
          </cell>
        </row>
        <row r="111">
          <cell r="D111" t="str">
            <v>Long</v>
          </cell>
          <cell r="K111" t="str">
            <v>C1: Bank Debt</v>
          </cell>
        </row>
        <row r="112">
          <cell r="D112" t="str">
            <v>Long</v>
          </cell>
          <cell r="K112" t="str">
            <v>C1: Bank Debt</v>
          </cell>
        </row>
        <row r="113">
          <cell r="D113" t="str">
            <v>Long</v>
          </cell>
          <cell r="K113" t="str">
            <v>C2: High Yield</v>
          </cell>
        </row>
        <row r="114">
          <cell r="D114" t="str">
            <v>Long</v>
          </cell>
          <cell r="K114" t="str">
            <v>C2: High Yield</v>
          </cell>
        </row>
        <row r="115">
          <cell r="D115" t="str">
            <v>Long</v>
          </cell>
          <cell r="K115" t="str">
            <v>C2: High Yield</v>
          </cell>
        </row>
        <row r="116">
          <cell r="D116" t="str">
            <v>Long</v>
          </cell>
          <cell r="K116" t="str">
            <v>C2: High Yield</v>
          </cell>
        </row>
        <row r="117">
          <cell r="D117" t="str">
            <v>Long</v>
          </cell>
          <cell r="K117" t="str">
            <v>C2: High Yield</v>
          </cell>
        </row>
        <row r="118">
          <cell r="D118" t="str">
            <v>Long</v>
          </cell>
          <cell r="K118" t="str">
            <v>C2: High Yield</v>
          </cell>
        </row>
        <row r="119">
          <cell r="D119" t="str">
            <v>Long</v>
          </cell>
          <cell r="K119" t="str">
            <v>C2: High Yield</v>
          </cell>
        </row>
        <row r="120">
          <cell r="D120" t="str">
            <v>Long</v>
          </cell>
          <cell r="K120" t="str">
            <v>C2: High Yield</v>
          </cell>
        </row>
        <row r="121">
          <cell r="D121" t="str">
            <v>Long</v>
          </cell>
          <cell r="K121" t="str">
            <v>C2: High Yield</v>
          </cell>
        </row>
        <row r="122">
          <cell r="D122" t="str">
            <v>Long</v>
          </cell>
          <cell r="K122" t="str">
            <v>C2: High Yield</v>
          </cell>
        </row>
        <row r="123">
          <cell r="D123" t="str">
            <v>Long</v>
          </cell>
          <cell r="K123" t="str">
            <v>C2: High Yield</v>
          </cell>
        </row>
        <row r="124">
          <cell r="D124" t="str">
            <v>Long</v>
          </cell>
          <cell r="K124" t="str">
            <v>C2: High Yield</v>
          </cell>
        </row>
        <row r="125">
          <cell r="D125" t="str">
            <v>Long</v>
          </cell>
          <cell r="K125" t="str">
            <v>C2: High Yield</v>
          </cell>
        </row>
        <row r="126">
          <cell r="D126" t="str">
            <v>Long</v>
          </cell>
          <cell r="K126" t="str">
            <v>C2: High Yield</v>
          </cell>
        </row>
        <row r="127">
          <cell r="D127" t="str">
            <v>Long</v>
          </cell>
          <cell r="K127" t="str">
            <v>C1: Bank Debt</v>
          </cell>
        </row>
        <row r="128">
          <cell r="D128" t="str">
            <v>Long</v>
          </cell>
          <cell r="K128" t="str">
            <v>C1: Bank Debt</v>
          </cell>
        </row>
        <row r="129">
          <cell r="D129" t="str">
            <v>Long</v>
          </cell>
          <cell r="K129" t="str">
            <v>C1: Bank Debt</v>
          </cell>
        </row>
        <row r="130">
          <cell r="D130" t="str">
            <v>Long</v>
          </cell>
          <cell r="K130" t="str">
            <v>C1: Bank Debt</v>
          </cell>
        </row>
        <row r="131">
          <cell r="D131" t="str">
            <v>Long</v>
          </cell>
          <cell r="K131" t="str">
            <v>C1: Bank Debt</v>
          </cell>
        </row>
        <row r="132">
          <cell r="D132" t="str">
            <v>Long</v>
          </cell>
          <cell r="K132" t="str">
            <v>C2a: BD-HY Equivalent</v>
          </cell>
        </row>
        <row r="133">
          <cell r="D133" t="str">
            <v>Long</v>
          </cell>
          <cell r="K133" t="str">
            <v>C2a: BD-HY Equivalent</v>
          </cell>
        </row>
        <row r="134">
          <cell r="D134" t="str">
            <v>Short</v>
          </cell>
          <cell r="K134" t="str">
            <v>C3a: Outright Shorts</v>
          </cell>
        </row>
        <row r="135">
          <cell r="D135" t="str">
            <v>Short</v>
          </cell>
          <cell r="K135" t="str">
            <v>C3a: Outright Shorts</v>
          </cell>
        </row>
        <row r="136">
          <cell r="D136" t="str">
            <v>Short</v>
          </cell>
          <cell r="K136" t="str">
            <v>C3a: Outright Shorts</v>
          </cell>
        </row>
        <row r="137">
          <cell r="D137" t="str">
            <v>Short</v>
          </cell>
          <cell r="K137" t="str">
            <v>C3a: Outright Shorts</v>
          </cell>
        </row>
        <row r="138">
          <cell r="D138" t="str">
            <v>Short</v>
          </cell>
          <cell r="K138" t="str">
            <v>C3a: Outright Shorts</v>
          </cell>
        </row>
        <row r="139">
          <cell r="D139" t="str">
            <v>Long</v>
          </cell>
          <cell r="K139" t="str">
            <v>C2a: BD-HY Equivalent</v>
          </cell>
        </row>
        <row r="140">
          <cell r="D140" t="str">
            <v>Long</v>
          </cell>
          <cell r="K140" t="str">
            <v>C2a: BD-HY Equivalent</v>
          </cell>
        </row>
        <row r="141">
          <cell r="D141" t="str">
            <v>Long</v>
          </cell>
          <cell r="K141" t="str">
            <v>C2a: BD-HY Equivalent</v>
          </cell>
        </row>
        <row r="142">
          <cell r="D142" t="str">
            <v>Long</v>
          </cell>
          <cell r="K142" t="str">
            <v>C2a: BD-HY Equivalent</v>
          </cell>
        </row>
        <row r="143">
          <cell r="D143" t="str">
            <v>Long</v>
          </cell>
          <cell r="K143" t="str">
            <v>C2a: BD-HY Equivalent</v>
          </cell>
        </row>
        <row r="144">
          <cell r="D144" t="str">
            <v>Long</v>
          </cell>
          <cell r="K144" t="str">
            <v>C4: Other</v>
          </cell>
        </row>
        <row r="145">
          <cell r="D145" t="str">
            <v>Long</v>
          </cell>
          <cell r="K145" t="str">
            <v>C4: Other</v>
          </cell>
        </row>
        <row r="146">
          <cell r="D146" t="str">
            <v>Long</v>
          </cell>
          <cell r="K146" t="str">
            <v>C4: Other</v>
          </cell>
        </row>
        <row r="147">
          <cell r="D147" t="str">
            <v>Long</v>
          </cell>
          <cell r="K147" t="str">
            <v>C4: Other</v>
          </cell>
        </row>
        <row r="148">
          <cell r="D148" t="str">
            <v>Long</v>
          </cell>
          <cell r="K148" t="str">
            <v>C4: Other</v>
          </cell>
        </row>
        <row r="149">
          <cell r="D149" t="str">
            <v>Long</v>
          </cell>
          <cell r="K149" t="str">
            <v>C4: Other</v>
          </cell>
        </row>
        <row r="150">
          <cell r="D150" t="str">
            <v>Long</v>
          </cell>
          <cell r="K150" t="str">
            <v>C2a: BD-HY Equivalent</v>
          </cell>
        </row>
        <row r="151">
          <cell r="D151" t="str">
            <v>Long</v>
          </cell>
          <cell r="K151" t="str">
            <v>C2a: BD-HY Equivalent</v>
          </cell>
        </row>
        <row r="152">
          <cell r="D152" t="str">
            <v>Long</v>
          </cell>
          <cell r="K152" t="str">
            <v>C2a: BD-HY Equivalent</v>
          </cell>
        </row>
        <row r="153">
          <cell r="D153" t="str">
            <v>Long</v>
          </cell>
          <cell r="K153" t="str">
            <v>C2a: BD-HY Equivalent</v>
          </cell>
        </row>
        <row r="154">
          <cell r="D154" t="str">
            <v>Long</v>
          </cell>
          <cell r="K154" t="str">
            <v>C2a: BD-HY Equivalent</v>
          </cell>
        </row>
        <row r="155">
          <cell r="D155" t="str">
            <v>Long</v>
          </cell>
          <cell r="K155" t="str">
            <v>C2a: BD-HY Equivalent</v>
          </cell>
        </row>
        <row r="156">
          <cell r="D156" t="str">
            <v>Short</v>
          </cell>
          <cell r="K156" t="str">
            <v>C3a: Outright Shorts</v>
          </cell>
        </row>
        <row r="157">
          <cell r="D157" t="str">
            <v>Short</v>
          </cell>
          <cell r="K157" t="str">
            <v>C3a: Outright Shorts</v>
          </cell>
        </row>
        <row r="158">
          <cell r="D158" t="str">
            <v>Short</v>
          </cell>
          <cell r="K158" t="str">
            <v>C3a: Outright Shorts</v>
          </cell>
        </row>
        <row r="159">
          <cell r="D159" t="str">
            <v>Short</v>
          </cell>
          <cell r="K159" t="str">
            <v>C3a: Outright Shorts</v>
          </cell>
        </row>
        <row r="160">
          <cell r="D160" t="str">
            <v>Short</v>
          </cell>
          <cell r="K160" t="str">
            <v>C3a: Outright Shorts</v>
          </cell>
        </row>
        <row r="161">
          <cell r="D161" t="str">
            <v>Long</v>
          </cell>
          <cell r="K161" t="str">
            <v>C2: High Yield</v>
          </cell>
        </row>
        <row r="162">
          <cell r="D162" t="str">
            <v>Long</v>
          </cell>
          <cell r="K162" t="str">
            <v>C2: High Yield</v>
          </cell>
        </row>
        <row r="163">
          <cell r="D163" t="str">
            <v>Long</v>
          </cell>
          <cell r="K163" t="str">
            <v>C2: High Yield</v>
          </cell>
        </row>
        <row r="164">
          <cell r="D164" t="str">
            <v>Long</v>
          </cell>
          <cell r="K164" t="str">
            <v>C2: High Yield</v>
          </cell>
        </row>
        <row r="165">
          <cell r="D165" t="str">
            <v>Long</v>
          </cell>
          <cell r="K165" t="str">
            <v>C2: High Yield</v>
          </cell>
        </row>
        <row r="166">
          <cell r="D166" t="str">
            <v>Long</v>
          </cell>
          <cell r="K166" t="str">
            <v>C2: High Yield</v>
          </cell>
        </row>
        <row r="167">
          <cell r="D167" t="str">
            <v>Long</v>
          </cell>
          <cell r="K167" t="str">
            <v>C2: High Yield</v>
          </cell>
        </row>
        <row r="168">
          <cell r="D168" t="str">
            <v>Long</v>
          </cell>
          <cell r="K168" t="str">
            <v>C2: High Yield</v>
          </cell>
        </row>
        <row r="169">
          <cell r="D169" t="str">
            <v>Long</v>
          </cell>
          <cell r="K169" t="str">
            <v>C2: High Yield</v>
          </cell>
        </row>
        <row r="170">
          <cell r="D170" t="str">
            <v>Long</v>
          </cell>
          <cell r="K170" t="str">
            <v>C2: High Yield</v>
          </cell>
        </row>
        <row r="171">
          <cell r="D171" t="str">
            <v>Long</v>
          </cell>
          <cell r="K171" t="str">
            <v>C2: High Yield</v>
          </cell>
        </row>
        <row r="172">
          <cell r="D172" t="str">
            <v>Long</v>
          </cell>
          <cell r="K172" t="str">
            <v>C2: High Yield</v>
          </cell>
        </row>
        <row r="173">
          <cell r="D173" t="str">
            <v>Long</v>
          </cell>
          <cell r="K173" t="str">
            <v>C2: High Yield</v>
          </cell>
        </row>
        <row r="174">
          <cell r="D174" t="str">
            <v>Long</v>
          </cell>
          <cell r="K174" t="str">
            <v>C2: High Yield</v>
          </cell>
        </row>
        <row r="175">
          <cell r="D175" t="str">
            <v>Long</v>
          </cell>
          <cell r="K175" t="str">
            <v>C2a: BD-HY Equivalent</v>
          </cell>
        </row>
        <row r="176">
          <cell r="D176" t="str">
            <v>Long</v>
          </cell>
          <cell r="K176" t="str">
            <v>C2a: BD-HY Equivalent</v>
          </cell>
        </row>
        <row r="177">
          <cell r="D177" t="str">
            <v>Long</v>
          </cell>
          <cell r="K177" t="str">
            <v>C1: Bank Debt</v>
          </cell>
        </row>
        <row r="178">
          <cell r="D178" t="str">
            <v>Long</v>
          </cell>
          <cell r="K178" t="str">
            <v>C1: Bank Debt</v>
          </cell>
        </row>
        <row r="179">
          <cell r="D179" t="str">
            <v>Long</v>
          </cell>
          <cell r="K179" t="str">
            <v>C1: Bank Debt</v>
          </cell>
        </row>
        <row r="180">
          <cell r="D180" t="str">
            <v>Long</v>
          </cell>
          <cell r="K180" t="str">
            <v>C1: Bank Debt</v>
          </cell>
        </row>
        <row r="181">
          <cell r="D181" t="str">
            <v>Long</v>
          </cell>
          <cell r="K181" t="str">
            <v>C1: Bank Debt</v>
          </cell>
        </row>
        <row r="182">
          <cell r="D182" t="str">
            <v>Long</v>
          </cell>
          <cell r="K182" t="str">
            <v>C1: Bank Debt</v>
          </cell>
        </row>
        <row r="183">
          <cell r="D183" t="str">
            <v>Long</v>
          </cell>
          <cell r="K183" t="str">
            <v>C1: Bank Debt</v>
          </cell>
        </row>
        <row r="184">
          <cell r="D184" t="str">
            <v>Long</v>
          </cell>
          <cell r="K184" t="str">
            <v>C1: Bank Debt</v>
          </cell>
        </row>
        <row r="185">
          <cell r="D185" t="str">
            <v>Long</v>
          </cell>
          <cell r="K185" t="str">
            <v>C1: Bank Debt</v>
          </cell>
        </row>
        <row r="186">
          <cell r="D186" t="str">
            <v>Long</v>
          </cell>
          <cell r="K186" t="str">
            <v>C1: Bank Debt</v>
          </cell>
        </row>
        <row r="187">
          <cell r="D187" t="str">
            <v>Long</v>
          </cell>
          <cell r="K187" t="str">
            <v>C2: High Yield</v>
          </cell>
        </row>
        <row r="188">
          <cell r="D188" t="str">
            <v>Long</v>
          </cell>
          <cell r="K188" t="str">
            <v>C2: High Yield</v>
          </cell>
        </row>
        <row r="189">
          <cell r="D189" t="str">
            <v>Long</v>
          </cell>
          <cell r="K189" t="str">
            <v>C2: High Yield</v>
          </cell>
        </row>
        <row r="190">
          <cell r="D190" t="str">
            <v>Long</v>
          </cell>
          <cell r="K190" t="str">
            <v>C2: High Yield</v>
          </cell>
        </row>
        <row r="191">
          <cell r="D191" t="str">
            <v>Long</v>
          </cell>
          <cell r="K191" t="str">
            <v>C2: High Yield</v>
          </cell>
        </row>
        <row r="192">
          <cell r="D192" t="str">
            <v>Long</v>
          </cell>
          <cell r="K192" t="str">
            <v>C2: High Yield</v>
          </cell>
        </row>
        <row r="193">
          <cell r="D193" t="str">
            <v>Long</v>
          </cell>
          <cell r="K193" t="str">
            <v>C2: High Yield</v>
          </cell>
        </row>
        <row r="194">
          <cell r="D194" t="str">
            <v>Long</v>
          </cell>
          <cell r="K194" t="str">
            <v>C4: Other</v>
          </cell>
        </row>
        <row r="195">
          <cell r="D195" t="str">
            <v>Long</v>
          </cell>
          <cell r="K195" t="str">
            <v>C4: Other</v>
          </cell>
        </row>
        <row r="196">
          <cell r="D196" t="str">
            <v>Long</v>
          </cell>
          <cell r="K196" t="str">
            <v>C4: Other</v>
          </cell>
        </row>
        <row r="197">
          <cell r="D197" t="str">
            <v>Long</v>
          </cell>
          <cell r="K197" t="str">
            <v>C4: Other</v>
          </cell>
        </row>
        <row r="198">
          <cell r="D198" t="str">
            <v>Long</v>
          </cell>
          <cell r="K198" t="str">
            <v>C4: Other</v>
          </cell>
        </row>
        <row r="199">
          <cell r="D199" t="str">
            <v>Long</v>
          </cell>
          <cell r="K199" t="str">
            <v>C4: Other</v>
          </cell>
        </row>
        <row r="200">
          <cell r="D200" t="str">
            <v>Long</v>
          </cell>
          <cell r="K200" t="str">
            <v>C1: Bank Debt</v>
          </cell>
        </row>
        <row r="201">
          <cell r="D201" t="str">
            <v>Long</v>
          </cell>
          <cell r="K201" t="str">
            <v>C1: Bank Debt</v>
          </cell>
        </row>
        <row r="202">
          <cell r="D202" t="str">
            <v>Long</v>
          </cell>
          <cell r="K202" t="str">
            <v>C1: Bank Debt</v>
          </cell>
        </row>
        <row r="203">
          <cell r="D203" t="str">
            <v>Long</v>
          </cell>
          <cell r="K203" t="str">
            <v>C1: Bank Debt</v>
          </cell>
        </row>
        <row r="204">
          <cell r="D204" t="str">
            <v>Long</v>
          </cell>
          <cell r="K204" t="str">
            <v>C1: Bank Debt</v>
          </cell>
        </row>
        <row r="205">
          <cell r="D205" t="str">
            <v>Long</v>
          </cell>
          <cell r="K205" t="str">
            <v>C1: Bank Debt</v>
          </cell>
        </row>
        <row r="206">
          <cell r="D206" t="str">
            <v>Long</v>
          </cell>
          <cell r="K206" t="str">
            <v>C1: Bank Debt</v>
          </cell>
        </row>
        <row r="207">
          <cell r="D207" t="str">
            <v>Long</v>
          </cell>
          <cell r="K207" t="str">
            <v>C2: High Yield</v>
          </cell>
        </row>
        <row r="208">
          <cell r="D208" t="str">
            <v>Long</v>
          </cell>
          <cell r="K208" t="str">
            <v>C2: High Yield</v>
          </cell>
        </row>
        <row r="209">
          <cell r="D209" t="str">
            <v>Long</v>
          </cell>
          <cell r="K209" t="str">
            <v>C2: High Yield</v>
          </cell>
        </row>
        <row r="210">
          <cell r="D210" t="str">
            <v>Long</v>
          </cell>
          <cell r="K210" t="str">
            <v>C2: High Yield</v>
          </cell>
        </row>
        <row r="211">
          <cell r="D211" t="str">
            <v>Long</v>
          </cell>
          <cell r="K211" t="str">
            <v>C2: High Yield</v>
          </cell>
        </row>
        <row r="212">
          <cell r="D212" t="str">
            <v>Long</v>
          </cell>
          <cell r="K212" t="str">
            <v>C2: High Yield</v>
          </cell>
        </row>
        <row r="213">
          <cell r="D213" t="str">
            <v>Long</v>
          </cell>
          <cell r="K213" t="str">
            <v>C2: High Yield</v>
          </cell>
        </row>
        <row r="214">
          <cell r="D214" t="str">
            <v>Long</v>
          </cell>
          <cell r="K214" t="str">
            <v>C2: High Yield</v>
          </cell>
        </row>
        <row r="215">
          <cell r="D215" t="str">
            <v>Long</v>
          </cell>
          <cell r="K215" t="str">
            <v>C2: High Yield</v>
          </cell>
        </row>
        <row r="216">
          <cell r="D216" t="str">
            <v>Long</v>
          </cell>
          <cell r="K216" t="str">
            <v>C2: High Yield</v>
          </cell>
        </row>
        <row r="217">
          <cell r="D217" t="str">
            <v>Long</v>
          </cell>
          <cell r="K217" t="str">
            <v>C2: High Yield</v>
          </cell>
        </row>
        <row r="218">
          <cell r="D218" t="str">
            <v>Long</v>
          </cell>
          <cell r="K218" t="str">
            <v>C2: High Yield</v>
          </cell>
        </row>
        <row r="219">
          <cell r="D219" t="str">
            <v>Long</v>
          </cell>
          <cell r="K219" t="str">
            <v>C2: High Yield</v>
          </cell>
        </row>
        <row r="220">
          <cell r="D220" t="str">
            <v>Long</v>
          </cell>
          <cell r="K220" t="str">
            <v>C2: High Yield</v>
          </cell>
        </row>
        <row r="221">
          <cell r="D221" t="str">
            <v>Long</v>
          </cell>
          <cell r="K221" t="str">
            <v>C2: High Yield</v>
          </cell>
        </row>
        <row r="222">
          <cell r="D222" t="str">
            <v>Long</v>
          </cell>
          <cell r="K222" t="str">
            <v>C2: High Yield</v>
          </cell>
        </row>
        <row r="223">
          <cell r="D223" t="str">
            <v>Long</v>
          </cell>
          <cell r="K223" t="str">
            <v>C2: High Yield</v>
          </cell>
        </row>
        <row r="224">
          <cell r="D224" t="str">
            <v>Long</v>
          </cell>
          <cell r="K224" t="str">
            <v>C2: High Yield</v>
          </cell>
        </row>
        <row r="225">
          <cell r="D225" t="str">
            <v>Long</v>
          </cell>
          <cell r="K225" t="str">
            <v>C2: High Yield</v>
          </cell>
        </row>
        <row r="226">
          <cell r="D226" t="str">
            <v>Long</v>
          </cell>
          <cell r="K226" t="str">
            <v>C2: High Yield</v>
          </cell>
        </row>
        <row r="227">
          <cell r="D227" t="str">
            <v>Long</v>
          </cell>
          <cell r="K227" t="str">
            <v>C2: High Yield</v>
          </cell>
        </row>
        <row r="228">
          <cell r="D228" t="str">
            <v>Long</v>
          </cell>
          <cell r="K228" t="str">
            <v>C1a: HY-Bank Debt Equivalent</v>
          </cell>
        </row>
        <row r="229">
          <cell r="D229" t="str">
            <v>Long</v>
          </cell>
          <cell r="K229" t="str">
            <v>C1a: HY-Bank Debt Equivalent</v>
          </cell>
        </row>
        <row r="230">
          <cell r="D230" t="str">
            <v>Long</v>
          </cell>
          <cell r="K230" t="str">
            <v>C1a: HY-Bank Debt Equivalent</v>
          </cell>
        </row>
        <row r="231">
          <cell r="D231" t="str">
            <v>Long</v>
          </cell>
          <cell r="K231" t="str">
            <v>C2: High Yield</v>
          </cell>
        </row>
        <row r="232">
          <cell r="D232" t="str">
            <v>Long</v>
          </cell>
          <cell r="K232" t="str">
            <v>C2: High Yield</v>
          </cell>
        </row>
        <row r="233">
          <cell r="D233" t="str">
            <v>Long</v>
          </cell>
          <cell r="K233" t="str">
            <v>C2: High Yield</v>
          </cell>
        </row>
        <row r="234">
          <cell r="D234" t="str">
            <v>Long</v>
          </cell>
          <cell r="K234" t="str">
            <v>C2: High Yield</v>
          </cell>
        </row>
        <row r="235">
          <cell r="D235" t="str">
            <v>Long</v>
          </cell>
          <cell r="K235" t="str">
            <v>C2: High Yield</v>
          </cell>
        </row>
        <row r="236">
          <cell r="D236" t="str">
            <v>Long</v>
          </cell>
          <cell r="K236" t="str">
            <v>C2: High Yield</v>
          </cell>
        </row>
        <row r="237">
          <cell r="D237" t="str">
            <v>Long</v>
          </cell>
          <cell r="K237" t="str">
            <v>C2: High Yield</v>
          </cell>
        </row>
        <row r="238">
          <cell r="D238" t="str">
            <v>Long</v>
          </cell>
          <cell r="K238" t="str">
            <v>C1a: HY-Bank Debt Equivalent</v>
          </cell>
        </row>
        <row r="239">
          <cell r="D239" t="str">
            <v>Long</v>
          </cell>
          <cell r="K239" t="str">
            <v>C1a: HY-Bank Debt Equivalent</v>
          </cell>
        </row>
        <row r="240">
          <cell r="D240" t="str">
            <v>Long</v>
          </cell>
          <cell r="K240" t="str">
            <v>C1a: HY-Bank Debt Equivalent</v>
          </cell>
        </row>
        <row r="241">
          <cell r="D241" t="str">
            <v>Long</v>
          </cell>
          <cell r="K241" t="str">
            <v>C1a: HY-Bank Debt Equivalent</v>
          </cell>
        </row>
        <row r="242">
          <cell r="D242" t="str">
            <v>Long</v>
          </cell>
          <cell r="K242" t="str">
            <v>C1a: HY-Bank Debt Equivalent</v>
          </cell>
        </row>
        <row r="243">
          <cell r="D243" t="str">
            <v>Long</v>
          </cell>
          <cell r="K243" t="str">
            <v>C1a: HY-Bank Debt Equivalent</v>
          </cell>
        </row>
        <row r="244">
          <cell r="D244" t="str">
            <v>Long</v>
          </cell>
          <cell r="K244" t="str">
            <v>C1a: HY-Bank Debt Equivalent</v>
          </cell>
        </row>
        <row r="245">
          <cell r="D245" t="str">
            <v>Long</v>
          </cell>
          <cell r="K245" t="str">
            <v>C1: Bank Debt</v>
          </cell>
        </row>
        <row r="246">
          <cell r="D246" t="str">
            <v>Long</v>
          </cell>
          <cell r="K246" t="str">
            <v>C1: Bank Debt</v>
          </cell>
        </row>
        <row r="247">
          <cell r="D247" t="str">
            <v>Short</v>
          </cell>
          <cell r="K247" t="str">
            <v>C3a: Outright Shorts</v>
          </cell>
        </row>
        <row r="248">
          <cell r="D248" t="str">
            <v>Short</v>
          </cell>
          <cell r="K248" t="str">
            <v>C3a: Outright Shorts</v>
          </cell>
        </row>
        <row r="249">
          <cell r="D249" t="str">
            <v>Short</v>
          </cell>
          <cell r="K249" t="str">
            <v>C3a: Outright Shorts</v>
          </cell>
        </row>
        <row r="250">
          <cell r="D250" t="str">
            <v>Short</v>
          </cell>
          <cell r="K250" t="str">
            <v>C3a: Outright Shorts</v>
          </cell>
        </row>
        <row r="251">
          <cell r="D251" t="str">
            <v>Short</v>
          </cell>
          <cell r="K251" t="str">
            <v>C3a: Outright Shorts</v>
          </cell>
        </row>
        <row r="252">
          <cell r="D252" t="str">
            <v>Short</v>
          </cell>
          <cell r="K252" t="str">
            <v>C3a: Outright Shorts</v>
          </cell>
        </row>
        <row r="253">
          <cell r="D253" t="str">
            <v>Long</v>
          </cell>
          <cell r="K253" t="str">
            <v>C1: Bank Debt</v>
          </cell>
        </row>
        <row r="254">
          <cell r="D254" t="str">
            <v>Long</v>
          </cell>
          <cell r="K254" t="str">
            <v>C1: Bank Debt</v>
          </cell>
        </row>
        <row r="255">
          <cell r="D255" t="str">
            <v>Long</v>
          </cell>
          <cell r="K255" t="str">
            <v>C1: Bank Debt</v>
          </cell>
        </row>
        <row r="256">
          <cell r="D256" t="str">
            <v>Long</v>
          </cell>
          <cell r="K256" t="str">
            <v>C1: Bank Debt</v>
          </cell>
        </row>
        <row r="257">
          <cell r="D257" t="str">
            <v>Long</v>
          </cell>
          <cell r="K257" t="str">
            <v>C1: Bank Debt</v>
          </cell>
        </row>
        <row r="258">
          <cell r="D258" t="str">
            <v>Long</v>
          </cell>
          <cell r="K258" t="str">
            <v>C1: Bank Debt</v>
          </cell>
        </row>
        <row r="259">
          <cell r="D259" t="str">
            <v>Long</v>
          </cell>
          <cell r="K259" t="str">
            <v>C1: Bank Debt</v>
          </cell>
        </row>
        <row r="260">
          <cell r="D260" t="str">
            <v>Long</v>
          </cell>
          <cell r="K260" t="str">
            <v>C1: Bank Debt</v>
          </cell>
        </row>
        <row r="261">
          <cell r="D261" t="str">
            <v>Long</v>
          </cell>
          <cell r="K261" t="str">
            <v>C1: Bank Debt</v>
          </cell>
        </row>
        <row r="262">
          <cell r="D262" t="str">
            <v>Long</v>
          </cell>
          <cell r="K262" t="str">
            <v>C1: Bank Debt</v>
          </cell>
        </row>
        <row r="263">
          <cell r="D263" t="str">
            <v>Long</v>
          </cell>
          <cell r="K263" t="str">
            <v>C1: Bank Debt</v>
          </cell>
        </row>
        <row r="264">
          <cell r="D264" t="str">
            <v>Long</v>
          </cell>
          <cell r="K264" t="str">
            <v>C1: Bank Debt</v>
          </cell>
        </row>
        <row r="265">
          <cell r="D265" t="str">
            <v>Long</v>
          </cell>
          <cell r="K265" t="str">
            <v>C1: Bank Debt</v>
          </cell>
        </row>
        <row r="266">
          <cell r="D266" t="str">
            <v>Long</v>
          </cell>
          <cell r="K266" t="str">
            <v>C2a: BD-HY Equivalent</v>
          </cell>
        </row>
        <row r="267">
          <cell r="D267" t="str">
            <v>Long</v>
          </cell>
          <cell r="K267" t="str">
            <v>C2a: BD-HY Equivalent</v>
          </cell>
        </row>
        <row r="268">
          <cell r="D268" t="str">
            <v>Long</v>
          </cell>
          <cell r="K268" t="str">
            <v>C2a: BD-HY Equivalent</v>
          </cell>
        </row>
        <row r="269">
          <cell r="D269" t="str">
            <v>Long</v>
          </cell>
          <cell r="K269" t="str">
            <v>C2a: BD-HY Equivalent</v>
          </cell>
        </row>
        <row r="270">
          <cell r="D270" t="str">
            <v>Long</v>
          </cell>
          <cell r="K270" t="str">
            <v>C2a: BD-HY Equivalent</v>
          </cell>
        </row>
        <row r="271">
          <cell r="D271" t="str">
            <v>Long</v>
          </cell>
          <cell r="K271" t="str">
            <v>C3a: Outright Shorts</v>
          </cell>
        </row>
        <row r="272">
          <cell r="D272" t="str">
            <v>Long</v>
          </cell>
          <cell r="K272" t="str">
            <v>C3a: Outright Shorts</v>
          </cell>
        </row>
        <row r="273">
          <cell r="D273" t="str">
            <v>Long</v>
          </cell>
          <cell r="K273" t="str">
            <v>C3a: Outright Shorts</v>
          </cell>
        </row>
        <row r="274">
          <cell r="D274" t="str">
            <v>Long</v>
          </cell>
          <cell r="K274" t="str">
            <v>C3a: Outright Shorts</v>
          </cell>
        </row>
        <row r="275">
          <cell r="D275" t="str">
            <v>Long</v>
          </cell>
          <cell r="K275" t="str">
            <v>C3a: Outright Shorts</v>
          </cell>
        </row>
        <row r="276">
          <cell r="D276" t="str">
            <v>Long</v>
          </cell>
          <cell r="K276" t="str">
            <v>C1: Bank Debt</v>
          </cell>
        </row>
        <row r="277">
          <cell r="D277" t="str">
            <v>Long</v>
          </cell>
          <cell r="K277" t="str">
            <v>C1: Bank Debt</v>
          </cell>
        </row>
        <row r="278">
          <cell r="D278" t="str">
            <v>Long</v>
          </cell>
          <cell r="K278" t="str">
            <v>C1: Bank Debt</v>
          </cell>
        </row>
        <row r="279">
          <cell r="D279" t="str">
            <v>Long</v>
          </cell>
          <cell r="K279" t="str">
            <v>C2a: BD-HY Equivalent</v>
          </cell>
        </row>
        <row r="280">
          <cell r="D280" t="str">
            <v>Long</v>
          </cell>
          <cell r="K280" t="str">
            <v>C2a: BD-HY Equivalent</v>
          </cell>
        </row>
        <row r="281">
          <cell r="D281" t="str">
            <v>Long</v>
          </cell>
          <cell r="K281" t="str">
            <v>C2a: BD-HY Equivalent</v>
          </cell>
        </row>
        <row r="282">
          <cell r="D282" t="str">
            <v>Long</v>
          </cell>
          <cell r="K282" t="str">
            <v>C2a: BD-HY Equivalent</v>
          </cell>
        </row>
        <row r="283">
          <cell r="D283" t="str">
            <v>Long</v>
          </cell>
          <cell r="K283" t="str">
            <v>C2a: BD-HY Equivalent</v>
          </cell>
        </row>
        <row r="284">
          <cell r="D284" t="str">
            <v>Long</v>
          </cell>
          <cell r="K284" t="str">
            <v>C2a: BD-HY Equivalent</v>
          </cell>
        </row>
        <row r="285">
          <cell r="D285" t="str">
            <v>Long</v>
          </cell>
          <cell r="K285" t="str">
            <v>C1: Bank Debt</v>
          </cell>
        </row>
        <row r="286">
          <cell r="D286" t="str">
            <v>Long</v>
          </cell>
          <cell r="K286" t="str">
            <v>C2a: BD-HY Equivalent</v>
          </cell>
        </row>
        <row r="287">
          <cell r="D287" t="str">
            <v>Long</v>
          </cell>
          <cell r="K287" t="str">
            <v>C1: Bank Debt</v>
          </cell>
        </row>
        <row r="288">
          <cell r="D288" t="str">
            <v>Long</v>
          </cell>
          <cell r="K288" t="str">
            <v>C1: Bank Debt</v>
          </cell>
        </row>
        <row r="289">
          <cell r="D289" t="str">
            <v>Long</v>
          </cell>
          <cell r="K289" t="str">
            <v>C1: Bank Debt</v>
          </cell>
        </row>
        <row r="290">
          <cell r="D290" t="str">
            <v>Long</v>
          </cell>
          <cell r="K290" t="str">
            <v>C1: Bank Debt</v>
          </cell>
        </row>
        <row r="291">
          <cell r="D291" t="str">
            <v>Long</v>
          </cell>
          <cell r="K291" t="str">
            <v>C1: Bank Debt</v>
          </cell>
        </row>
        <row r="292">
          <cell r="D292" t="str">
            <v>Long</v>
          </cell>
          <cell r="K292" t="str">
            <v>C1: Bank Debt</v>
          </cell>
        </row>
        <row r="293">
          <cell r="D293" t="str">
            <v>Long</v>
          </cell>
          <cell r="K293" t="str">
            <v>C1: Bank Debt</v>
          </cell>
        </row>
        <row r="294">
          <cell r="D294" t="str">
            <v>Long</v>
          </cell>
          <cell r="K294" t="str">
            <v>C1: Bank Debt</v>
          </cell>
        </row>
        <row r="295">
          <cell r="D295" t="str">
            <v>Long</v>
          </cell>
          <cell r="K295" t="str">
            <v>C1: Bank Debt</v>
          </cell>
        </row>
        <row r="296">
          <cell r="D296" t="str">
            <v>Long</v>
          </cell>
          <cell r="K296" t="str">
            <v>C1: Bank Debt</v>
          </cell>
        </row>
        <row r="297">
          <cell r="D297" t="str">
            <v>Long</v>
          </cell>
          <cell r="K297" t="str">
            <v>C1: Bank Debt</v>
          </cell>
        </row>
        <row r="298">
          <cell r="D298" t="str">
            <v>Long</v>
          </cell>
          <cell r="K298" t="str">
            <v>C1: Bank Debt</v>
          </cell>
        </row>
        <row r="299">
          <cell r="D299" t="str">
            <v>Long</v>
          </cell>
          <cell r="K299" t="str">
            <v>C1: Bank Debt</v>
          </cell>
        </row>
        <row r="300">
          <cell r="D300" t="str">
            <v>Long</v>
          </cell>
          <cell r="K300" t="str">
            <v>C1: Bank Debt</v>
          </cell>
        </row>
        <row r="301">
          <cell r="D301" t="str">
            <v>Long</v>
          </cell>
          <cell r="K301" t="str">
            <v>C1: Bank Debt</v>
          </cell>
        </row>
        <row r="302">
          <cell r="D302" t="str">
            <v>Long</v>
          </cell>
          <cell r="K302" t="str">
            <v>C1a: HY-Bank Debt Equivalent</v>
          </cell>
        </row>
        <row r="303">
          <cell r="D303" t="str">
            <v>Long</v>
          </cell>
          <cell r="K303" t="str">
            <v>C1a: HY-Bank Debt Equivalent</v>
          </cell>
        </row>
        <row r="304">
          <cell r="D304" t="str">
            <v>Long</v>
          </cell>
          <cell r="K304" t="str">
            <v>C1a: HY-Bank Debt Equivalent</v>
          </cell>
        </row>
        <row r="305">
          <cell r="D305" t="str">
            <v>Long</v>
          </cell>
          <cell r="K305" t="str">
            <v>C1a: HY-Bank Debt Equivalent</v>
          </cell>
        </row>
        <row r="306">
          <cell r="D306" t="str">
            <v>Long</v>
          </cell>
          <cell r="K306" t="str">
            <v>C1a: HY-Bank Debt Equivalent</v>
          </cell>
        </row>
        <row r="307">
          <cell r="D307" t="str">
            <v>Long</v>
          </cell>
          <cell r="K307" t="str">
            <v>C1a: HY-Bank Debt Equivalent</v>
          </cell>
        </row>
        <row r="308">
          <cell r="D308" t="str">
            <v>Long</v>
          </cell>
          <cell r="K308" t="str">
            <v>C1a: HY-Bank Debt Equivalent</v>
          </cell>
        </row>
        <row r="309">
          <cell r="D309" t="str">
            <v>Long</v>
          </cell>
          <cell r="K309" t="str">
            <v>C1: Bank Debt</v>
          </cell>
        </row>
        <row r="310">
          <cell r="D310" t="str">
            <v>Long</v>
          </cell>
          <cell r="K310" t="str">
            <v>C1: Bank Debt</v>
          </cell>
        </row>
        <row r="311">
          <cell r="D311" t="str">
            <v>Long</v>
          </cell>
          <cell r="K311" t="str">
            <v>C1: Bank Debt</v>
          </cell>
        </row>
        <row r="312">
          <cell r="D312" t="str">
            <v>Long</v>
          </cell>
          <cell r="K312" t="str">
            <v>C1: Bank Debt</v>
          </cell>
        </row>
        <row r="313">
          <cell r="D313" t="str">
            <v>Long</v>
          </cell>
          <cell r="K313" t="str">
            <v>C1: Bank Debt</v>
          </cell>
        </row>
        <row r="314">
          <cell r="D314" t="str">
            <v>Long</v>
          </cell>
          <cell r="K314" t="str">
            <v>C1: Bank Debt</v>
          </cell>
        </row>
        <row r="315">
          <cell r="D315" t="str">
            <v>Long</v>
          </cell>
          <cell r="K315" t="str">
            <v>C1: Bank Debt</v>
          </cell>
        </row>
        <row r="316">
          <cell r="D316" t="str">
            <v>Long</v>
          </cell>
          <cell r="K316" t="str">
            <v>C1: Bank Debt</v>
          </cell>
        </row>
        <row r="317">
          <cell r="D317" t="str">
            <v>Long</v>
          </cell>
          <cell r="K317" t="str">
            <v>C1: Bank Debt</v>
          </cell>
        </row>
        <row r="318">
          <cell r="D318" t="str">
            <v>Long</v>
          </cell>
          <cell r="K318" t="str">
            <v>C1: Bank Debt</v>
          </cell>
        </row>
        <row r="319">
          <cell r="D319" t="str">
            <v>Long</v>
          </cell>
          <cell r="K319" t="str">
            <v>C2a: BD-HY Equivalent</v>
          </cell>
        </row>
        <row r="320">
          <cell r="D320" t="str">
            <v>Long</v>
          </cell>
          <cell r="K320" t="str">
            <v>C2a: BD-HY Equivalent</v>
          </cell>
        </row>
        <row r="321">
          <cell r="D321" t="str">
            <v>Long</v>
          </cell>
          <cell r="K321" t="str">
            <v>C2a: BD-HY Equivalent</v>
          </cell>
        </row>
        <row r="322">
          <cell r="D322" t="str">
            <v>Long</v>
          </cell>
          <cell r="K322" t="str">
            <v>C2a: BD-HY Equivalent</v>
          </cell>
        </row>
        <row r="323">
          <cell r="D323" t="str">
            <v>Long</v>
          </cell>
          <cell r="K323" t="str">
            <v>C2a: BD-HY Equivalent</v>
          </cell>
        </row>
        <row r="324">
          <cell r="D324" t="str">
            <v>Long</v>
          </cell>
          <cell r="K324" t="str">
            <v>C2a: BD-HY Equivalent</v>
          </cell>
        </row>
        <row r="325">
          <cell r="D325" t="str">
            <v>Long</v>
          </cell>
          <cell r="K325" t="str">
            <v>C2a: BD-HY Equivalent</v>
          </cell>
        </row>
        <row r="326">
          <cell r="D326" t="str">
            <v>Long</v>
          </cell>
          <cell r="K326" t="str">
            <v>C2a: BD-HY Equivalent</v>
          </cell>
        </row>
        <row r="327">
          <cell r="D327" t="str">
            <v>Long</v>
          </cell>
          <cell r="K327" t="str">
            <v>C2a: BD-HY Equivalent</v>
          </cell>
        </row>
        <row r="328">
          <cell r="D328" t="str">
            <v>Long</v>
          </cell>
          <cell r="K328" t="str">
            <v>C2a: BD-HY Equivalent</v>
          </cell>
        </row>
        <row r="329">
          <cell r="D329" t="str">
            <v>Long</v>
          </cell>
          <cell r="K329" t="str">
            <v>C4: Other</v>
          </cell>
        </row>
        <row r="330">
          <cell r="D330" t="str">
            <v>Long</v>
          </cell>
          <cell r="K330" t="str">
            <v>C4: Other</v>
          </cell>
        </row>
        <row r="331">
          <cell r="D331" t="str">
            <v>Long</v>
          </cell>
          <cell r="K331" t="str">
            <v>C4: Other</v>
          </cell>
        </row>
        <row r="332">
          <cell r="D332" t="str">
            <v>Long</v>
          </cell>
          <cell r="K332" t="str">
            <v>C4: Other</v>
          </cell>
        </row>
        <row r="333">
          <cell r="D333" t="str">
            <v>Long</v>
          </cell>
          <cell r="K333" t="str">
            <v>C4: Other</v>
          </cell>
        </row>
        <row r="334">
          <cell r="D334" t="str">
            <v>Long</v>
          </cell>
          <cell r="K334" t="str">
            <v>C4: Other</v>
          </cell>
        </row>
        <row r="335">
          <cell r="D335" t="str">
            <v>Short</v>
          </cell>
          <cell r="K335" t="str">
            <v>C3a: Outright Shorts</v>
          </cell>
        </row>
        <row r="336">
          <cell r="D336" t="str">
            <v>Short</v>
          </cell>
          <cell r="K336" t="str">
            <v>C3a: Outright Shorts</v>
          </cell>
        </row>
        <row r="337">
          <cell r="D337" t="str">
            <v>Short</v>
          </cell>
          <cell r="K337" t="str">
            <v>C3a: Outright Shorts</v>
          </cell>
        </row>
        <row r="338">
          <cell r="D338" t="str">
            <v>Short</v>
          </cell>
          <cell r="K338" t="str">
            <v>C3a: Outright Shorts</v>
          </cell>
        </row>
        <row r="339">
          <cell r="D339" t="str">
            <v>Short</v>
          </cell>
          <cell r="K339" t="str">
            <v>C3a: Outright Shorts</v>
          </cell>
        </row>
        <row r="340">
          <cell r="D340" t="str">
            <v>Long</v>
          </cell>
          <cell r="K340" t="str">
            <v>C3: Capital Structure</v>
          </cell>
        </row>
        <row r="341">
          <cell r="D341" t="str">
            <v>Long</v>
          </cell>
          <cell r="K341" t="str">
            <v>C3: Capital Structure</v>
          </cell>
        </row>
        <row r="342">
          <cell r="D342" t="str">
            <v>Long</v>
          </cell>
          <cell r="K342" t="str">
            <v>C3: Capital Structure</v>
          </cell>
        </row>
        <row r="343">
          <cell r="D343" t="str">
            <v>Long</v>
          </cell>
          <cell r="K343" t="str">
            <v>C3: Capital Structure</v>
          </cell>
        </row>
        <row r="344">
          <cell r="D344" t="str">
            <v>Short</v>
          </cell>
          <cell r="K344" t="str">
            <v>C3a: Outright Shorts</v>
          </cell>
        </row>
        <row r="345">
          <cell r="D345" t="str">
            <v>Short</v>
          </cell>
          <cell r="K345" t="str">
            <v>C3a: Outright Shorts</v>
          </cell>
        </row>
        <row r="346">
          <cell r="D346" t="str">
            <v>Short</v>
          </cell>
          <cell r="K346" t="str">
            <v>C3a: Outright Shorts</v>
          </cell>
        </row>
        <row r="347">
          <cell r="D347" t="str">
            <v>Short</v>
          </cell>
          <cell r="K347" t="str">
            <v>C3a: Outright Shorts</v>
          </cell>
        </row>
        <row r="348">
          <cell r="D348" t="str">
            <v>Short</v>
          </cell>
          <cell r="K348" t="str">
            <v>C3a: Outright Shorts</v>
          </cell>
        </row>
        <row r="349">
          <cell r="D349" t="str">
            <v>Short</v>
          </cell>
          <cell r="K349" t="str">
            <v>C3a: Outright Shorts</v>
          </cell>
        </row>
        <row r="350">
          <cell r="D350" t="str">
            <v>Short</v>
          </cell>
          <cell r="K350" t="str">
            <v>C3a: Outright Shorts</v>
          </cell>
        </row>
        <row r="351">
          <cell r="D351" t="str">
            <v>Short</v>
          </cell>
          <cell r="K351" t="str">
            <v>C3a: Outright Shorts</v>
          </cell>
        </row>
        <row r="352">
          <cell r="D352" t="str">
            <v>Short</v>
          </cell>
          <cell r="K352" t="str">
            <v>C3a: Outright Shorts</v>
          </cell>
        </row>
        <row r="353">
          <cell r="D353" t="str">
            <v>Short</v>
          </cell>
          <cell r="K353" t="str">
            <v>C3a: Outright Shorts</v>
          </cell>
        </row>
        <row r="354">
          <cell r="D354" t="str">
            <v>Short</v>
          </cell>
          <cell r="K354" t="str">
            <v>C3a: Outright Shorts</v>
          </cell>
        </row>
        <row r="355">
          <cell r="D355" t="str">
            <v>Short</v>
          </cell>
          <cell r="K355" t="str">
            <v>C3a: Outright Shorts</v>
          </cell>
        </row>
        <row r="356">
          <cell r="D356" t="str">
            <v>Short</v>
          </cell>
          <cell r="K356" t="str">
            <v>C3a: Outright Shorts</v>
          </cell>
        </row>
        <row r="357">
          <cell r="D357" t="str">
            <v>Short</v>
          </cell>
          <cell r="K357" t="str">
            <v>C3a: Outright Shorts</v>
          </cell>
        </row>
        <row r="358">
          <cell r="D358" t="str">
            <v>Short</v>
          </cell>
          <cell r="K358" t="str">
            <v>C3a: Outright Shorts</v>
          </cell>
        </row>
        <row r="359">
          <cell r="D359" t="str">
            <v>Short</v>
          </cell>
          <cell r="K359" t="str">
            <v>C3a: Outright Shorts</v>
          </cell>
        </row>
        <row r="360">
          <cell r="D360" t="str">
            <v>Long</v>
          </cell>
          <cell r="K360" t="str">
            <v>C1: Bank Debt</v>
          </cell>
        </row>
        <row r="361">
          <cell r="D361" t="str">
            <v>Long</v>
          </cell>
          <cell r="K361" t="str">
            <v>C1: Bank Debt</v>
          </cell>
        </row>
        <row r="362">
          <cell r="D362" t="str">
            <v>Long</v>
          </cell>
          <cell r="K362" t="str">
            <v>C1: Bank Debt</v>
          </cell>
        </row>
        <row r="363">
          <cell r="D363" t="str">
            <v>Long</v>
          </cell>
          <cell r="K363" t="str">
            <v>C1: Bank Debt</v>
          </cell>
        </row>
        <row r="364">
          <cell r="D364" t="str">
            <v>Long</v>
          </cell>
          <cell r="K364" t="str">
            <v>C2: High Yield</v>
          </cell>
        </row>
        <row r="365">
          <cell r="D365" t="str">
            <v>Long</v>
          </cell>
          <cell r="K365" t="str">
            <v>C4: Other</v>
          </cell>
        </row>
        <row r="366">
          <cell r="D366" t="str">
            <v>Long</v>
          </cell>
          <cell r="K366" t="str">
            <v>C4: Other</v>
          </cell>
        </row>
        <row r="367">
          <cell r="D367" t="str">
            <v>Long</v>
          </cell>
          <cell r="K367" t="str">
            <v>C4: Other</v>
          </cell>
        </row>
        <row r="368">
          <cell r="D368" t="str">
            <v>Long</v>
          </cell>
          <cell r="K368" t="str">
            <v>C4: Other</v>
          </cell>
        </row>
        <row r="369">
          <cell r="D369" t="str">
            <v>Long</v>
          </cell>
          <cell r="K369" t="str">
            <v>C4: Other</v>
          </cell>
        </row>
        <row r="370">
          <cell r="D370" t="str">
            <v>Long</v>
          </cell>
          <cell r="K370" t="str">
            <v>C4: Other</v>
          </cell>
        </row>
        <row r="371">
          <cell r="D371" t="str">
            <v>Short</v>
          </cell>
          <cell r="K371" t="str">
            <v>C3a: Outright Shorts</v>
          </cell>
        </row>
        <row r="372">
          <cell r="D372" t="str">
            <v>Short</v>
          </cell>
          <cell r="K372" t="str">
            <v>C3a: Outright Shorts</v>
          </cell>
        </row>
        <row r="373">
          <cell r="D373" t="str">
            <v>Short</v>
          </cell>
          <cell r="K373" t="str">
            <v>C3a: Outright Shorts</v>
          </cell>
        </row>
        <row r="374">
          <cell r="D374" t="str">
            <v>Short</v>
          </cell>
          <cell r="K374" t="str">
            <v>C3a: Outright Shorts</v>
          </cell>
        </row>
        <row r="375">
          <cell r="D375" t="str">
            <v>Short</v>
          </cell>
          <cell r="K375" t="str">
            <v>C3a: Outright Shorts</v>
          </cell>
        </row>
        <row r="376">
          <cell r="D376" t="str">
            <v>Short</v>
          </cell>
          <cell r="K376" t="str">
            <v>C3a: Outright Shorts</v>
          </cell>
        </row>
        <row r="377">
          <cell r="D377" t="str">
            <v>Short</v>
          </cell>
          <cell r="K377" t="str">
            <v>C3a: Outright Shorts</v>
          </cell>
        </row>
        <row r="378">
          <cell r="D378" t="str">
            <v>Short</v>
          </cell>
          <cell r="K378" t="str">
            <v>C3a: Outright Shorts</v>
          </cell>
        </row>
        <row r="379">
          <cell r="D379" t="str">
            <v>Short</v>
          </cell>
          <cell r="K379" t="str">
            <v>C3a: Outright Shorts</v>
          </cell>
        </row>
        <row r="380">
          <cell r="D380" t="str">
            <v>Short</v>
          </cell>
          <cell r="K380" t="str">
            <v>C3a: Outright Shorts</v>
          </cell>
        </row>
        <row r="381">
          <cell r="D381" t="str">
            <v>Long</v>
          </cell>
          <cell r="K381" t="str">
            <v>C2a: BD-HY Equivalent</v>
          </cell>
        </row>
        <row r="382">
          <cell r="D382" t="str">
            <v>Long</v>
          </cell>
          <cell r="K382" t="str">
            <v>C2a: BD-HY Equivalent</v>
          </cell>
        </row>
        <row r="383">
          <cell r="D383" t="str">
            <v>Long</v>
          </cell>
          <cell r="K383" t="str">
            <v>C2a: BD-HY Equivalent</v>
          </cell>
        </row>
        <row r="384">
          <cell r="D384" t="str">
            <v>Long</v>
          </cell>
          <cell r="K384" t="str">
            <v>C2a: BD-HY Equivalent</v>
          </cell>
        </row>
        <row r="385">
          <cell r="D385" t="str">
            <v>Long</v>
          </cell>
          <cell r="K385" t="str">
            <v>C2a: BD-HY Equivalent</v>
          </cell>
        </row>
        <row r="386">
          <cell r="D386" t="str">
            <v>Long</v>
          </cell>
          <cell r="K386" t="str">
            <v>C2a: BD-HY Equivalent</v>
          </cell>
        </row>
        <row r="387">
          <cell r="D387" t="str">
            <v>Short</v>
          </cell>
          <cell r="K387" t="str">
            <v>C3a: Outright Shorts</v>
          </cell>
        </row>
        <row r="388">
          <cell r="D388" t="str">
            <v>Short</v>
          </cell>
          <cell r="K388" t="str">
            <v>C3a: Outright Shorts</v>
          </cell>
        </row>
        <row r="389">
          <cell r="D389" t="str">
            <v>Short</v>
          </cell>
          <cell r="K389" t="str">
            <v>C3a: Outright Shorts</v>
          </cell>
        </row>
        <row r="390">
          <cell r="D390" t="str">
            <v>Short</v>
          </cell>
          <cell r="K390" t="str">
            <v>C3a: Outright Shorts</v>
          </cell>
        </row>
        <row r="391">
          <cell r="D391" t="str">
            <v>Short</v>
          </cell>
          <cell r="K391" t="str">
            <v>C3a: Outright Shorts</v>
          </cell>
        </row>
        <row r="392">
          <cell r="D392" t="str">
            <v>Long</v>
          </cell>
          <cell r="K392" t="str">
            <v>C1: Bank Debt</v>
          </cell>
        </row>
        <row r="393">
          <cell r="D393" t="str">
            <v>Short</v>
          </cell>
          <cell r="K393" t="str">
            <v>C3a: Outright Shorts</v>
          </cell>
        </row>
        <row r="394">
          <cell r="D394" t="str">
            <v>Short</v>
          </cell>
          <cell r="K394" t="str">
            <v>C3a: Outright Shorts</v>
          </cell>
        </row>
        <row r="395">
          <cell r="D395" t="str">
            <v>Short</v>
          </cell>
          <cell r="K395" t="str">
            <v>C3a: Outright Shorts</v>
          </cell>
        </row>
        <row r="396">
          <cell r="D396" t="str">
            <v>Short</v>
          </cell>
          <cell r="K396" t="str">
            <v>C3a: Outright Shorts</v>
          </cell>
        </row>
        <row r="397">
          <cell r="D397" t="str">
            <v>Short</v>
          </cell>
          <cell r="K397" t="str">
            <v>C3a: Outright Shorts</v>
          </cell>
        </row>
        <row r="398">
          <cell r="D398" t="str">
            <v>Short</v>
          </cell>
          <cell r="K398" t="str">
            <v>C3a: Outright Shorts</v>
          </cell>
        </row>
        <row r="399">
          <cell r="D399" t="str">
            <v>Long</v>
          </cell>
          <cell r="K399" t="str">
            <v>C2: High Yield</v>
          </cell>
        </row>
        <row r="400">
          <cell r="D400" t="str">
            <v>Long</v>
          </cell>
          <cell r="K400" t="str">
            <v>C2: High Yield</v>
          </cell>
        </row>
        <row r="401">
          <cell r="D401" t="str">
            <v>Long</v>
          </cell>
          <cell r="K401" t="str">
            <v>C2: High Yield</v>
          </cell>
        </row>
        <row r="402">
          <cell r="D402" t="str">
            <v>Long</v>
          </cell>
          <cell r="K402" t="str">
            <v>C2: High Yield</v>
          </cell>
        </row>
        <row r="403">
          <cell r="D403" t="str">
            <v>Long</v>
          </cell>
          <cell r="K403" t="str">
            <v>C2: High Yield</v>
          </cell>
        </row>
        <row r="404">
          <cell r="D404" t="str">
            <v>Long</v>
          </cell>
          <cell r="K404" t="str">
            <v>C2: High Yield</v>
          </cell>
        </row>
        <row r="405">
          <cell r="D405" t="str">
            <v>Long</v>
          </cell>
          <cell r="K405" t="str">
            <v>C2: High Yield</v>
          </cell>
        </row>
        <row r="406">
          <cell r="D406" t="str">
            <v>Long</v>
          </cell>
          <cell r="K406" t="str">
            <v>C2: High Yield</v>
          </cell>
        </row>
        <row r="407">
          <cell r="D407" t="str">
            <v>Long</v>
          </cell>
          <cell r="K407" t="str">
            <v>C2: High Yield</v>
          </cell>
        </row>
        <row r="408">
          <cell r="D408" t="str">
            <v>Long</v>
          </cell>
          <cell r="K408" t="str">
            <v>C2: High Yield</v>
          </cell>
        </row>
        <row r="409">
          <cell r="D409" t="str">
            <v>Long</v>
          </cell>
          <cell r="K409" t="str">
            <v>C2: High Yield</v>
          </cell>
        </row>
        <row r="410">
          <cell r="D410" t="str">
            <v>Long</v>
          </cell>
          <cell r="K410" t="str">
            <v>C2: High Yield</v>
          </cell>
        </row>
        <row r="411">
          <cell r="D411" t="str">
            <v>Long</v>
          </cell>
          <cell r="K411" t="str">
            <v>C2: High Yield</v>
          </cell>
        </row>
        <row r="412">
          <cell r="D412" t="str">
            <v>Long</v>
          </cell>
          <cell r="K412" t="str">
            <v>C2: High Yield</v>
          </cell>
        </row>
        <row r="413">
          <cell r="D413" t="str">
            <v>Long</v>
          </cell>
          <cell r="K413" t="str">
            <v>C2: High Yield</v>
          </cell>
        </row>
        <row r="414">
          <cell r="D414" t="str">
            <v>Long</v>
          </cell>
          <cell r="K414" t="str">
            <v>C2: High Yield</v>
          </cell>
        </row>
        <row r="415">
          <cell r="D415" t="str">
            <v>Long</v>
          </cell>
          <cell r="K415" t="str">
            <v>C2: High Yield</v>
          </cell>
        </row>
        <row r="416">
          <cell r="D416" t="str">
            <v>Long</v>
          </cell>
          <cell r="K416" t="str">
            <v>C2: High Yield</v>
          </cell>
        </row>
        <row r="417">
          <cell r="D417" t="str">
            <v>Long</v>
          </cell>
          <cell r="K417" t="str">
            <v>C2: High Yield</v>
          </cell>
        </row>
        <row r="418">
          <cell r="D418" t="str">
            <v>Long</v>
          </cell>
          <cell r="K418" t="str">
            <v>C2: High Yield</v>
          </cell>
        </row>
        <row r="419">
          <cell r="D419" t="str">
            <v>Long</v>
          </cell>
          <cell r="K419" t="str">
            <v>C2: High Yield</v>
          </cell>
        </row>
        <row r="420">
          <cell r="D420" t="str">
            <v>Long</v>
          </cell>
          <cell r="K420" t="str">
            <v>C2: High Yield</v>
          </cell>
        </row>
        <row r="421">
          <cell r="D421" t="str">
            <v>Long</v>
          </cell>
          <cell r="K421" t="str">
            <v>C2: High Yield</v>
          </cell>
        </row>
        <row r="422">
          <cell r="D422" t="str">
            <v>Long</v>
          </cell>
          <cell r="K422" t="str">
            <v>C2: High Yield</v>
          </cell>
        </row>
        <row r="423">
          <cell r="D423" t="str">
            <v>Long</v>
          </cell>
          <cell r="K423" t="str">
            <v>C2: High Yield</v>
          </cell>
        </row>
        <row r="424">
          <cell r="D424" t="str">
            <v>Long</v>
          </cell>
          <cell r="K424" t="str">
            <v>C2: High Yield</v>
          </cell>
        </row>
        <row r="425">
          <cell r="D425" t="str">
            <v>Long</v>
          </cell>
          <cell r="K425" t="str">
            <v>C2: High Yield</v>
          </cell>
        </row>
        <row r="426">
          <cell r="D426" t="str">
            <v>Long</v>
          </cell>
          <cell r="K426" t="str">
            <v>C2: High Yield</v>
          </cell>
        </row>
        <row r="427">
          <cell r="D427" t="str">
            <v>Long</v>
          </cell>
          <cell r="K427" t="str">
            <v>C1: Bank Debt</v>
          </cell>
        </row>
        <row r="428">
          <cell r="D428" t="str">
            <v>Long</v>
          </cell>
          <cell r="K428" t="str">
            <v>C1: Bank Debt</v>
          </cell>
        </row>
        <row r="429">
          <cell r="D429" t="str">
            <v>Long</v>
          </cell>
          <cell r="K429" t="str">
            <v>C1: Bank Debt</v>
          </cell>
        </row>
        <row r="430">
          <cell r="D430" t="str">
            <v>Long</v>
          </cell>
          <cell r="K430" t="str">
            <v>C1: Bank Debt</v>
          </cell>
        </row>
        <row r="431">
          <cell r="D431" t="str">
            <v>Long</v>
          </cell>
          <cell r="K431" t="str">
            <v>C1: Bank Debt</v>
          </cell>
        </row>
        <row r="432">
          <cell r="D432" t="str">
            <v>Long</v>
          </cell>
          <cell r="K432" t="str">
            <v>C3: Capital Structure</v>
          </cell>
        </row>
        <row r="433">
          <cell r="D433" t="str">
            <v>Long</v>
          </cell>
          <cell r="K433" t="str">
            <v>C3: Capital Structure</v>
          </cell>
        </row>
        <row r="434">
          <cell r="D434" t="str">
            <v>Long</v>
          </cell>
          <cell r="K434" t="str">
            <v>C3: Capital Structure</v>
          </cell>
        </row>
        <row r="435">
          <cell r="D435" t="str">
            <v>Long</v>
          </cell>
          <cell r="K435" t="str">
            <v>C3: Capital Structure</v>
          </cell>
        </row>
        <row r="436">
          <cell r="D436" t="str">
            <v>Long</v>
          </cell>
          <cell r="K436" t="str">
            <v>C3: Capital Structure</v>
          </cell>
        </row>
        <row r="437">
          <cell r="D437" t="str">
            <v>Long</v>
          </cell>
          <cell r="K437" t="str">
            <v>C3: Capital Structure</v>
          </cell>
        </row>
        <row r="438">
          <cell r="D438" t="str">
            <v>Short</v>
          </cell>
          <cell r="K438" t="str">
            <v>C3a: Outright Shorts</v>
          </cell>
        </row>
        <row r="439">
          <cell r="D439" t="str">
            <v>Short</v>
          </cell>
          <cell r="K439" t="str">
            <v>C3a: Outright Shorts</v>
          </cell>
        </row>
        <row r="440">
          <cell r="D440" t="str">
            <v>Short</v>
          </cell>
          <cell r="K440" t="str">
            <v>C3a: Outright Shorts</v>
          </cell>
        </row>
        <row r="441">
          <cell r="D441" t="str">
            <v>Short</v>
          </cell>
          <cell r="K441" t="str">
            <v>C3a: Outright Shorts</v>
          </cell>
        </row>
        <row r="442">
          <cell r="D442" t="str">
            <v>Short</v>
          </cell>
          <cell r="K442" t="str">
            <v>C3: Capital Structure</v>
          </cell>
        </row>
        <row r="443">
          <cell r="D443" t="str">
            <v>Short</v>
          </cell>
          <cell r="K443" t="str">
            <v>C3: Capital Structure</v>
          </cell>
        </row>
        <row r="444">
          <cell r="D444" t="str">
            <v>Short</v>
          </cell>
          <cell r="K444" t="str">
            <v>C3: Capital Structure</v>
          </cell>
        </row>
        <row r="445">
          <cell r="D445" t="str">
            <v>Long</v>
          </cell>
          <cell r="K445" t="str">
            <v>C3: Capital Structure</v>
          </cell>
        </row>
        <row r="446">
          <cell r="D446" t="str">
            <v>Long</v>
          </cell>
          <cell r="K446" t="str">
            <v>C3: Capital Structure</v>
          </cell>
        </row>
        <row r="447">
          <cell r="D447" t="str">
            <v>Long</v>
          </cell>
          <cell r="K447" t="str">
            <v>C3: Capital Structure</v>
          </cell>
        </row>
        <row r="448">
          <cell r="D448" t="str">
            <v>Long</v>
          </cell>
          <cell r="K448" t="str">
            <v>C3: Capital Structure</v>
          </cell>
        </row>
        <row r="449">
          <cell r="D449" t="str">
            <v>Long</v>
          </cell>
          <cell r="K449" t="str">
            <v>C3: Capital Structure</v>
          </cell>
        </row>
        <row r="450">
          <cell r="D450" t="str">
            <v>Long</v>
          </cell>
          <cell r="K450" t="str">
            <v>C1: Bank Debt</v>
          </cell>
        </row>
        <row r="451">
          <cell r="D451" t="str">
            <v>Long</v>
          </cell>
          <cell r="K451" t="str">
            <v>C1: Bank Debt</v>
          </cell>
        </row>
        <row r="452">
          <cell r="D452" t="str">
            <v>Long</v>
          </cell>
          <cell r="K452" t="str">
            <v>C1: Bank Debt</v>
          </cell>
        </row>
        <row r="453">
          <cell r="D453" t="str">
            <v>Long</v>
          </cell>
          <cell r="K453" t="str">
            <v>C1: Bank Debt</v>
          </cell>
        </row>
        <row r="454">
          <cell r="D454" t="str">
            <v>Long</v>
          </cell>
          <cell r="K454" t="str">
            <v>C1: Bank Debt</v>
          </cell>
        </row>
        <row r="455">
          <cell r="D455" t="str">
            <v>Long</v>
          </cell>
          <cell r="K455" t="str">
            <v>C1: Bank Debt</v>
          </cell>
        </row>
        <row r="456">
          <cell r="D456" t="str">
            <v>Long</v>
          </cell>
          <cell r="K456" t="str">
            <v>C1: Bank Debt</v>
          </cell>
        </row>
        <row r="457">
          <cell r="D457" t="str">
            <v>Long</v>
          </cell>
          <cell r="K457" t="str">
            <v>C1: Bank Debt</v>
          </cell>
        </row>
        <row r="458">
          <cell r="D458" t="str">
            <v>Long</v>
          </cell>
          <cell r="K458" t="str">
            <v>C1: Bank Debt</v>
          </cell>
        </row>
        <row r="459">
          <cell r="D459" t="str">
            <v>Long</v>
          </cell>
          <cell r="K459" t="str">
            <v>C1: Bank Debt</v>
          </cell>
        </row>
        <row r="460">
          <cell r="D460" t="str">
            <v>Long</v>
          </cell>
          <cell r="K460" t="str">
            <v>C1: Bank Debt</v>
          </cell>
        </row>
        <row r="461">
          <cell r="D461" t="str">
            <v>Long</v>
          </cell>
          <cell r="K461" t="str">
            <v>C1: Bank Debt</v>
          </cell>
        </row>
        <row r="462">
          <cell r="D462" t="str">
            <v>Long</v>
          </cell>
          <cell r="K462" t="str">
            <v>C1: Bank Debt</v>
          </cell>
        </row>
        <row r="463">
          <cell r="D463" t="str">
            <v>Long</v>
          </cell>
          <cell r="K463" t="str">
            <v>C4: Other</v>
          </cell>
        </row>
        <row r="464">
          <cell r="D464" t="str">
            <v>Long</v>
          </cell>
          <cell r="K464" t="str">
            <v>C4: Other</v>
          </cell>
        </row>
        <row r="465">
          <cell r="D465" t="str">
            <v>Long</v>
          </cell>
          <cell r="K465" t="str">
            <v>C4: Other</v>
          </cell>
        </row>
        <row r="466">
          <cell r="D466" t="str">
            <v>Long</v>
          </cell>
          <cell r="K466" t="str">
            <v>C4: Other</v>
          </cell>
        </row>
        <row r="467">
          <cell r="D467" t="str">
            <v>Long</v>
          </cell>
          <cell r="K467" t="str">
            <v>C4: Other</v>
          </cell>
        </row>
        <row r="468">
          <cell r="D468" t="str">
            <v>Short</v>
          </cell>
          <cell r="K468" t="str">
            <v>C3: Capital Structure</v>
          </cell>
        </row>
        <row r="469">
          <cell r="D469" t="str">
            <v>Short</v>
          </cell>
          <cell r="K469" t="str">
            <v>C3: Capital Structure</v>
          </cell>
        </row>
        <row r="470">
          <cell r="D470" t="str">
            <v>Long</v>
          </cell>
          <cell r="K470" t="str">
            <v>C3: Capital Structure</v>
          </cell>
        </row>
        <row r="471">
          <cell r="D471" t="str">
            <v>Long</v>
          </cell>
          <cell r="K471" t="str">
            <v>C3: Capital Structure</v>
          </cell>
        </row>
        <row r="472">
          <cell r="D472" t="str">
            <v>Short</v>
          </cell>
          <cell r="K472" t="str">
            <v>C3a: Outright Shorts</v>
          </cell>
        </row>
        <row r="473">
          <cell r="D473" t="str">
            <v>Short</v>
          </cell>
          <cell r="K473" t="str">
            <v>C3a: Outright Shorts</v>
          </cell>
        </row>
        <row r="474">
          <cell r="D474" t="str">
            <v>Short</v>
          </cell>
          <cell r="K474" t="str">
            <v>C3a: Outright Shorts</v>
          </cell>
        </row>
        <row r="475">
          <cell r="D475" t="str">
            <v>Short</v>
          </cell>
          <cell r="K475" t="str">
            <v>C3a: Outright Shorts</v>
          </cell>
        </row>
        <row r="476">
          <cell r="D476" t="str">
            <v>Short</v>
          </cell>
          <cell r="K476" t="str">
            <v>C3a: Outright Shorts</v>
          </cell>
        </row>
        <row r="477">
          <cell r="D477" t="str">
            <v>Long</v>
          </cell>
          <cell r="K477" t="str">
            <v>C2: High Yield</v>
          </cell>
        </row>
        <row r="478">
          <cell r="D478" t="str">
            <v>Long</v>
          </cell>
          <cell r="K478" t="str">
            <v>C2: High Yield</v>
          </cell>
        </row>
        <row r="479">
          <cell r="D479" t="str">
            <v>Long</v>
          </cell>
          <cell r="K479" t="str">
            <v>C2: High Yield</v>
          </cell>
        </row>
        <row r="480">
          <cell r="D480" t="str">
            <v>Long</v>
          </cell>
          <cell r="K480" t="str">
            <v>C2: High Yield</v>
          </cell>
        </row>
        <row r="481">
          <cell r="D481" t="str">
            <v>Long</v>
          </cell>
          <cell r="K481" t="str">
            <v>C2: High Yield</v>
          </cell>
        </row>
        <row r="482">
          <cell r="D482" t="str">
            <v>Long</v>
          </cell>
          <cell r="K482" t="str">
            <v>C2: High Yield</v>
          </cell>
        </row>
        <row r="483">
          <cell r="D483" t="str">
            <v>Long</v>
          </cell>
          <cell r="K483" t="str">
            <v>C2: High Yield</v>
          </cell>
        </row>
        <row r="484">
          <cell r="D484" t="str">
            <v>Long</v>
          </cell>
          <cell r="K484" t="str">
            <v>C2: High Yield</v>
          </cell>
        </row>
        <row r="485">
          <cell r="D485" t="str">
            <v>Long</v>
          </cell>
          <cell r="K485" t="str">
            <v>C2: High Yield</v>
          </cell>
        </row>
        <row r="486">
          <cell r="D486" t="str">
            <v>Long</v>
          </cell>
          <cell r="K486" t="str">
            <v>C2: High Yield</v>
          </cell>
        </row>
        <row r="487">
          <cell r="D487" t="str">
            <v>Long</v>
          </cell>
          <cell r="K487" t="str">
            <v>C2: High Yield</v>
          </cell>
        </row>
        <row r="488">
          <cell r="D488" t="str">
            <v>Long</v>
          </cell>
          <cell r="K488" t="str">
            <v>C2: High Yield</v>
          </cell>
        </row>
        <row r="489">
          <cell r="D489" t="str">
            <v>Short</v>
          </cell>
          <cell r="K489" t="str">
            <v>C3a: Outright Shorts</v>
          </cell>
        </row>
        <row r="490">
          <cell r="D490" t="str">
            <v>Short</v>
          </cell>
          <cell r="K490" t="str">
            <v>C3a: Outright Shorts</v>
          </cell>
        </row>
        <row r="491">
          <cell r="D491" t="str">
            <v>Short</v>
          </cell>
          <cell r="K491" t="str">
            <v>C3a: Outright Shorts</v>
          </cell>
        </row>
        <row r="492">
          <cell r="D492" t="str">
            <v>Short</v>
          </cell>
          <cell r="K492" t="str">
            <v>C3a: Outright Shorts</v>
          </cell>
        </row>
        <row r="493">
          <cell r="D493" t="str">
            <v>Short</v>
          </cell>
          <cell r="K493" t="str">
            <v>C3a: Outright Shorts</v>
          </cell>
        </row>
        <row r="494">
          <cell r="D494" t="str">
            <v>Short</v>
          </cell>
          <cell r="K494" t="str">
            <v>C3a: Outright Shorts</v>
          </cell>
        </row>
        <row r="495">
          <cell r="D495" t="str">
            <v>Short</v>
          </cell>
          <cell r="K495" t="str">
            <v>C3a: Outright Shorts</v>
          </cell>
        </row>
        <row r="496">
          <cell r="D496" t="str">
            <v>Short</v>
          </cell>
          <cell r="K496" t="str">
            <v>C3a: Outright Shorts</v>
          </cell>
        </row>
        <row r="497">
          <cell r="D497" t="str">
            <v>Short</v>
          </cell>
          <cell r="K497" t="str">
            <v>C3a: Outright Shorts</v>
          </cell>
        </row>
        <row r="498">
          <cell r="D498" t="str">
            <v>Short</v>
          </cell>
          <cell r="K498" t="str">
            <v>C3a: Outright Shorts</v>
          </cell>
        </row>
        <row r="499">
          <cell r="D499" t="str">
            <v>Long</v>
          </cell>
          <cell r="K499" t="str">
            <v>C1: Bank Debt</v>
          </cell>
        </row>
        <row r="500">
          <cell r="D500" t="str">
            <v>Long</v>
          </cell>
          <cell r="K500" t="str">
            <v>C1: Bank Debt</v>
          </cell>
        </row>
        <row r="501">
          <cell r="D501" t="str">
            <v>Long</v>
          </cell>
          <cell r="K501" t="str">
            <v>C1: Bank Debt</v>
          </cell>
        </row>
        <row r="502">
          <cell r="D502" t="str">
            <v>Long</v>
          </cell>
          <cell r="K502" t="str">
            <v>C1: Bank Debt</v>
          </cell>
        </row>
        <row r="503">
          <cell r="D503" t="str">
            <v>Long</v>
          </cell>
          <cell r="K503" t="str">
            <v>C1: Bank Debt</v>
          </cell>
        </row>
        <row r="504">
          <cell r="D504" t="str">
            <v>Long</v>
          </cell>
          <cell r="K504" t="str">
            <v>C2: High Yield</v>
          </cell>
        </row>
        <row r="505">
          <cell r="D505" t="str">
            <v>Long</v>
          </cell>
          <cell r="K505" t="str">
            <v>C2: High Yield</v>
          </cell>
        </row>
        <row r="506">
          <cell r="D506" t="str">
            <v>Long</v>
          </cell>
          <cell r="K506" t="str">
            <v>C2: High Yield</v>
          </cell>
        </row>
        <row r="507">
          <cell r="D507" t="str">
            <v>Long</v>
          </cell>
          <cell r="K507" t="str">
            <v>C2: High Yield</v>
          </cell>
        </row>
        <row r="508">
          <cell r="D508" t="str">
            <v>Long</v>
          </cell>
          <cell r="K508" t="str">
            <v>C2: High Yield</v>
          </cell>
        </row>
        <row r="509">
          <cell r="D509" t="str">
            <v>Long</v>
          </cell>
          <cell r="K509" t="str">
            <v>C2: High Yield</v>
          </cell>
        </row>
        <row r="510">
          <cell r="D510" t="str">
            <v>Long</v>
          </cell>
          <cell r="K510" t="str">
            <v>C2: High Yield</v>
          </cell>
        </row>
        <row r="511">
          <cell r="D511" t="str">
            <v>Long</v>
          </cell>
          <cell r="K511" t="str">
            <v>C1: Bank Debt</v>
          </cell>
        </row>
        <row r="512">
          <cell r="D512" t="str">
            <v>Long</v>
          </cell>
          <cell r="K512" t="str">
            <v>C4: Other</v>
          </cell>
        </row>
        <row r="513">
          <cell r="D513" t="str">
            <v>Long</v>
          </cell>
          <cell r="K513" t="str">
            <v>C4: Other</v>
          </cell>
        </row>
        <row r="514">
          <cell r="D514" t="str">
            <v>Long</v>
          </cell>
          <cell r="K514" t="str">
            <v>C4: Other</v>
          </cell>
        </row>
        <row r="515">
          <cell r="D515" t="str">
            <v>Long</v>
          </cell>
          <cell r="K515" t="str">
            <v>C4: Other</v>
          </cell>
        </row>
        <row r="516">
          <cell r="D516" t="str">
            <v>Long</v>
          </cell>
          <cell r="K516" t="str">
            <v>C4: Other</v>
          </cell>
        </row>
        <row r="517">
          <cell r="D517" t="str">
            <v>Long</v>
          </cell>
          <cell r="K517" t="str">
            <v>C4: Other</v>
          </cell>
        </row>
        <row r="518">
          <cell r="D518" t="str">
            <v>Long</v>
          </cell>
          <cell r="K518" t="str">
            <v>C2a: BD-HY Equivalent</v>
          </cell>
        </row>
        <row r="519">
          <cell r="D519" t="str">
            <v>Long</v>
          </cell>
          <cell r="K519" t="str">
            <v>C2a: BD-HY Equivalent</v>
          </cell>
        </row>
        <row r="520">
          <cell r="D520" t="str">
            <v>Long</v>
          </cell>
          <cell r="K520" t="str">
            <v>C2a: BD-HY Equivalent</v>
          </cell>
        </row>
        <row r="521">
          <cell r="D521" t="str">
            <v>Short</v>
          </cell>
          <cell r="K521" t="str">
            <v>C3a: Outright Shorts</v>
          </cell>
        </row>
        <row r="522">
          <cell r="D522" t="str">
            <v>Short</v>
          </cell>
          <cell r="K522" t="str">
            <v>C3a: Outright Shorts</v>
          </cell>
        </row>
        <row r="523">
          <cell r="D523" t="str">
            <v>Short</v>
          </cell>
          <cell r="K523" t="str">
            <v>C3a: Outright Shorts</v>
          </cell>
        </row>
        <row r="524">
          <cell r="D524" t="str">
            <v>Short</v>
          </cell>
          <cell r="K524" t="str">
            <v>C3a: Outright Shorts</v>
          </cell>
        </row>
        <row r="525">
          <cell r="D525" t="str">
            <v>Short</v>
          </cell>
          <cell r="K525" t="str">
            <v>C3a: Outright Shorts</v>
          </cell>
        </row>
        <row r="526">
          <cell r="D526" t="str">
            <v>Short</v>
          </cell>
          <cell r="K526" t="str">
            <v>C3a: Outright Shorts</v>
          </cell>
        </row>
        <row r="527">
          <cell r="D527" t="str">
            <v>Short</v>
          </cell>
          <cell r="K527" t="str">
            <v>C3a: Outright Shorts</v>
          </cell>
        </row>
        <row r="528">
          <cell r="D528" t="str">
            <v>Short</v>
          </cell>
          <cell r="K528" t="str">
            <v>C3a: Outright Shorts</v>
          </cell>
        </row>
        <row r="529">
          <cell r="D529" t="str">
            <v>Short</v>
          </cell>
          <cell r="K529" t="str">
            <v>C3a: Outright Shorts</v>
          </cell>
        </row>
        <row r="530">
          <cell r="D530" t="str">
            <v>Short</v>
          </cell>
          <cell r="K530" t="str">
            <v>C3a: Outright Shorts</v>
          </cell>
        </row>
        <row r="531">
          <cell r="D531" t="str">
            <v>Long</v>
          </cell>
          <cell r="K531" t="str">
            <v>C1: Bank Debt</v>
          </cell>
        </row>
        <row r="532">
          <cell r="D532" t="str">
            <v>Long</v>
          </cell>
          <cell r="K532" t="str">
            <v>C4: Other</v>
          </cell>
        </row>
        <row r="533">
          <cell r="D533" t="str">
            <v>Long</v>
          </cell>
          <cell r="K533" t="str">
            <v>C4: Other</v>
          </cell>
        </row>
        <row r="534">
          <cell r="D534" t="str">
            <v>Long</v>
          </cell>
          <cell r="K534" t="str">
            <v>C4: Other</v>
          </cell>
        </row>
        <row r="535">
          <cell r="D535" t="str">
            <v>Long</v>
          </cell>
          <cell r="K535" t="str">
            <v>C4: Other</v>
          </cell>
        </row>
        <row r="536">
          <cell r="D536" t="str">
            <v>Long</v>
          </cell>
          <cell r="K536" t="str">
            <v>C4: Other</v>
          </cell>
        </row>
        <row r="537">
          <cell r="D537" t="str">
            <v>Long</v>
          </cell>
          <cell r="K537" t="str">
            <v>C4: Other</v>
          </cell>
        </row>
        <row r="538">
          <cell r="D538" t="str">
            <v>Long</v>
          </cell>
          <cell r="K538" t="str">
            <v>C2a: BD-HY Equivalent</v>
          </cell>
        </row>
        <row r="539">
          <cell r="D539" t="str">
            <v>Long</v>
          </cell>
          <cell r="K539" t="str">
            <v>C1: Bank Debt</v>
          </cell>
        </row>
        <row r="540">
          <cell r="D540" t="str">
            <v>Long</v>
          </cell>
          <cell r="K540" t="str">
            <v>C1: Bank Debt</v>
          </cell>
        </row>
        <row r="541">
          <cell r="D541" t="str">
            <v>Long</v>
          </cell>
          <cell r="K541" t="str">
            <v>C1: Bank Debt</v>
          </cell>
        </row>
        <row r="542">
          <cell r="D542" t="str">
            <v>Long</v>
          </cell>
          <cell r="K542" t="str">
            <v>C1: Bank Debt</v>
          </cell>
        </row>
        <row r="543">
          <cell r="D543" t="str">
            <v>Long</v>
          </cell>
          <cell r="K543" t="str">
            <v>C1: Bank Debt</v>
          </cell>
        </row>
        <row r="544">
          <cell r="D544" t="str">
            <v>Long</v>
          </cell>
          <cell r="K544" t="str">
            <v>C1: Bank Debt</v>
          </cell>
        </row>
        <row r="545">
          <cell r="D545" t="str">
            <v>Long</v>
          </cell>
          <cell r="K545" t="str">
            <v>C1: Bank Debt</v>
          </cell>
        </row>
        <row r="546">
          <cell r="D546" t="str">
            <v>Long</v>
          </cell>
          <cell r="K546" t="str">
            <v>C1: Bank Debt</v>
          </cell>
        </row>
        <row r="547">
          <cell r="D547" t="str">
            <v>Long</v>
          </cell>
          <cell r="K547" t="str">
            <v>C1: Bank Debt</v>
          </cell>
        </row>
        <row r="548">
          <cell r="D548" t="str">
            <v>Long</v>
          </cell>
          <cell r="K548" t="str">
            <v>C1: Bank Debt</v>
          </cell>
        </row>
        <row r="549">
          <cell r="D549" t="str">
            <v>Long</v>
          </cell>
          <cell r="K549" t="str">
            <v>C2a: BD-HY Equivalent</v>
          </cell>
        </row>
        <row r="550">
          <cell r="D550" t="str">
            <v>Long</v>
          </cell>
          <cell r="K550" t="str">
            <v>C2a: BD-HY Equivalent</v>
          </cell>
        </row>
        <row r="551">
          <cell r="D551" t="str">
            <v>Long</v>
          </cell>
          <cell r="K551" t="str">
            <v>C2a: BD-HY Equivalent</v>
          </cell>
        </row>
        <row r="552">
          <cell r="D552" t="str">
            <v>Long</v>
          </cell>
          <cell r="K552" t="str">
            <v>C2a: BD-HY Equivalent</v>
          </cell>
        </row>
        <row r="553">
          <cell r="D553" t="str">
            <v>Long</v>
          </cell>
          <cell r="K553" t="str">
            <v>C2a: BD-HY Equivalent</v>
          </cell>
        </row>
        <row r="554">
          <cell r="D554" t="str">
            <v>Long</v>
          </cell>
          <cell r="K554" t="str">
            <v>C4: Other</v>
          </cell>
        </row>
        <row r="555">
          <cell r="D555" t="str">
            <v>Long</v>
          </cell>
          <cell r="K555" t="str">
            <v>C4: Other</v>
          </cell>
        </row>
        <row r="556">
          <cell r="D556" t="str">
            <v>Long</v>
          </cell>
          <cell r="K556" t="str">
            <v>C4: Other</v>
          </cell>
        </row>
        <row r="557">
          <cell r="D557" t="str">
            <v>Long</v>
          </cell>
          <cell r="K557" t="str">
            <v>C4: Other</v>
          </cell>
        </row>
        <row r="558">
          <cell r="D558" t="str">
            <v>Long</v>
          </cell>
          <cell r="K558" t="str">
            <v>C4: Other</v>
          </cell>
        </row>
        <row r="559">
          <cell r="D559" t="str">
            <v>Long</v>
          </cell>
          <cell r="K559" t="str">
            <v>C4: Other</v>
          </cell>
        </row>
        <row r="560">
          <cell r="D560" t="str">
            <v>Long</v>
          </cell>
          <cell r="K560" t="str">
            <v>C2: High Yield</v>
          </cell>
        </row>
        <row r="561">
          <cell r="D561" t="str">
            <v>Long</v>
          </cell>
          <cell r="K561" t="str">
            <v>C2: High Yield</v>
          </cell>
        </row>
        <row r="562">
          <cell r="D562" t="str">
            <v>Long</v>
          </cell>
          <cell r="K562" t="str">
            <v>C2: High Yield</v>
          </cell>
        </row>
        <row r="563">
          <cell r="D563" t="str">
            <v>Long</v>
          </cell>
          <cell r="K563" t="str">
            <v>C2: High Yield</v>
          </cell>
        </row>
        <row r="564">
          <cell r="D564" t="str">
            <v>Long</v>
          </cell>
          <cell r="K564" t="str">
            <v>C2: High Yield</v>
          </cell>
        </row>
        <row r="565">
          <cell r="D565" t="str">
            <v>Long</v>
          </cell>
          <cell r="K565" t="str">
            <v>C2: High Yield</v>
          </cell>
        </row>
        <row r="566">
          <cell r="D566" t="str">
            <v>Long</v>
          </cell>
          <cell r="K566" t="str">
            <v>C2: High Yield</v>
          </cell>
        </row>
        <row r="567">
          <cell r="D567" t="str">
            <v>Long</v>
          </cell>
          <cell r="K567" t="str">
            <v>C2: High Yield</v>
          </cell>
        </row>
        <row r="568">
          <cell r="D568" t="str">
            <v>Long</v>
          </cell>
          <cell r="K568" t="str">
            <v>C2: High Yield</v>
          </cell>
        </row>
        <row r="569">
          <cell r="D569" t="str">
            <v>Long</v>
          </cell>
          <cell r="K569" t="str">
            <v>C2: High Yield</v>
          </cell>
        </row>
        <row r="570">
          <cell r="D570" t="str">
            <v>Long</v>
          </cell>
          <cell r="K570" t="str">
            <v>C2: High Yield</v>
          </cell>
        </row>
        <row r="571">
          <cell r="D571" t="str">
            <v>Long</v>
          </cell>
          <cell r="K571" t="str">
            <v>C2: High Yield</v>
          </cell>
        </row>
        <row r="572">
          <cell r="D572" t="str">
            <v>Long</v>
          </cell>
          <cell r="K572" t="str">
            <v>C2: High Yield</v>
          </cell>
        </row>
        <row r="573">
          <cell r="D573" t="str">
            <v>Long</v>
          </cell>
          <cell r="K573" t="str">
            <v>C2: High Yield</v>
          </cell>
        </row>
        <row r="574">
          <cell r="D574" t="str">
            <v>Long</v>
          </cell>
          <cell r="K574" t="str">
            <v>C1a: HY-Bank Debt Equivalent</v>
          </cell>
        </row>
        <row r="575">
          <cell r="D575" t="str">
            <v>Long</v>
          </cell>
          <cell r="K575" t="str">
            <v>C1a: HY-Bank Debt Equivalent</v>
          </cell>
        </row>
        <row r="576">
          <cell r="D576" t="str">
            <v>Long</v>
          </cell>
          <cell r="K576" t="str">
            <v>C1a: HY-Bank Debt Equivalent</v>
          </cell>
        </row>
        <row r="577">
          <cell r="D577" t="str">
            <v>Long</v>
          </cell>
          <cell r="K577" t="str">
            <v>C1a: HY-Bank Debt Equivalent</v>
          </cell>
        </row>
        <row r="578">
          <cell r="D578" t="str">
            <v>Long</v>
          </cell>
          <cell r="K578" t="str">
            <v>C1a: HY-Bank Debt Equivalent</v>
          </cell>
        </row>
        <row r="579">
          <cell r="D579" t="str">
            <v>Long</v>
          </cell>
          <cell r="K579" t="str">
            <v>C1a: HY-Bank Debt Equivalent</v>
          </cell>
        </row>
        <row r="580">
          <cell r="D580" t="str">
            <v>Long</v>
          </cell>
          <cell r="K580" t="str">
            <v>C1a: HY-Bank Debt Equivalent</v>
          </cell>
        </row>
        <row r="581">
          <cell r="D581" t="str">
            <v>Long</v>
          </cell>
          <cell r="K581" t="str">
            <v>C2: High Yield</v>
          </cell>
        </row>
        <row r="582">
          <cell r="D582" t="str">
            <v>Long</v>
          </cell>
          <cell r="K582" t="str">
            <v>C2: High Yield</v>
          </cell>
        </row>
        <row r="583">
          <cell r="D583" t="str">
            <v>Long</v>
          </cell>
          <cell r="K583" t="str">
            <v>C2: High Yield</v>
          </cell>
        </row>
        <row r="584">
          <cell r="D584" t="str">
            <v>Long</v>
          </cell>
          <cell r="K584" t="str">
            <v>C2: High Yield</v>
          </cell>
        </row>
        <row r="585">
          <cell r="D585" t="str">
            <v>Long</v>
          </cell>
          <cell r="K585" t="str">
            <v>C2: High Yield</v>
          </cell>
        </row>
        <row r="586">
          <cell r="D586" t="str">
            <v>Long</v>
          </cell>
          <cell r="K586" t="str">
            <v>C2: High Yield</v>
          </cell>
        </row>
        <row r="587">
          <cell r="D587" t="str">
            <v>Long</v>
          </cell>
          <cell r="K587" t="str">
            <v>C2: High Yield</v>
          </cell>
        </row>
        <row r="588">
          <cell r="D588" t="str">
            <v>Long</v>
          </cell>
          <cell r="K588" t="str">
            <v>C1: Bank Debt</v>
          </cell>
        </row>
        <row r="589">
          <cell r="D589" t="str">
            <v>Long</v>
          </cell>
          <cell r="K589" t="str">
            <v>C1: Bank Debt</v>
          </cell>
        </row>
        <row r="590">
          <cell r="D590" t="str">
            <v>Long</v>
          </cell>
          <cell r="K590" t="str">
            <v>C1: Bank Debt</v>
          </cell>
        </row>
        <row r="591">
          <cell r="D591" t="str">
            <v>Long</v>
          </cell>
          <cell r="K591" t="str">
            <v>C1: Bank Debt</v>
          </cell>
        </row>
        <row r="592">
          <cell r="D592" t="str">
            <v>Long</v>
          </cell>
          <cell r="K592" t="str">
            <v>C1: Bank Debt</v>
          </cell>
        </row>
        <row r="593">
          <cell r="D593" t="str">
            <v>Long</v>
          </cell>
          <cell r="K593" t="str">
            <v>C1: Bank Debt</v>
          </cell>
        </row>
        <row r="594">
          <cell r="D594" t="str">
            <v>Long</v>
          </cell>
          <cell r="K594" t="str">
            <v>C2a: BD-HY Equivalent</v>
          </cell>
        </row>
        <row r="595">
          <cell r="D595" t="str">
            <v>Long</v>
          </cell>
          <cell r="K595" t="str">
            <v>C2a: BD-HY Equivalent</v>
          </cell>
        </row>
        <row r="596">
          <cell r="D596" t="str">
            <v>Long</v>
          </cell>
          <cell r="K596" t="str">
            <v>C2a: BD-HY Equivalent</v>
          </cell>
        </row>
        <row r="597">
          <cell r="D597" t="str">
            <v>Long</v>
          </cell>
          <cell r="K597" t="str">
            <v>C2a: BD-HY Equivalent</v>
          </cell>
        </row>
        <row r="598">
          <cell r="D598" t="str">
            <v>Long</v>
          </cell>
          <cell r="K598" t="str">
            <v>C2a: BD-HY Equivalent</v>
          </cell>
        </row>
        <row r="599">
          <cell r="D599" t="str">
            <v>Long</v>
          </cell>
          <cell r="K599" t="str">
            <v>C2a: BD-HY Equivalent</v>
          </cell>
        </row>
        <row r="600">
          <cell r="D600" t="str">
            <v>Long</v>
          </cell>
          <cell r="K600" t="str">
            <v>C2: High Yield</v>
          </cell>
        </row>
        <row r="601">
          <cell r="D601" t="str">
            <v>Long</v>
          </cell>
          <cell r="K601" t="str">
            <v>C2: High Yield</v>
          </cell>
        </row>
        <row r="602">
          <cell r="D602" t="str">
            <v>Long</v>
          </cell>
          <cell r="K602" t="str">
            <v>C2: High Yield</v>
          </cell>
        </row>
        <row r="603">
          <cell r="D603" t="str">
            <v>Long</v>
          </cell>
          <cell r="K603" t="str">
            <v>C2: High Yield</v>
          </cell>
        </row>
        <row r="604">
          <cell r="D604" t="str">
            <v>Long</v>
          </cell>
          <cell r="K604" t="str">
            <v>C2: High Yield</v>
          </cell>
        </row>
        <row r="605">
          <cell r="D605" t="str">
            <v>Long</v>
          </cell>
          <cell r="K605" t="str">
            <v>C2: High Yield</v>
          </cell>
        </row>
        <row r="606">
          <cell r="D606" t="str">
            <v>Long</v>
          </cell>
          <cell r="K606" t="str">
            <v>C2: High Yield</v>
          </cell>
        </row>
        <row r="607">
          <cell r="D607" t="str">
            <v>Short</v>
          </cell>
          <cell r="K607" t="str">
            <v>C3a: Outright Shorts</v>
          </cell>
        </row>
        <row r="608">
          <cell r="D608" t="str">
            <v>Short</v>
          </cell>
          <cell r="K608" t="str">
            <v>C3a: Outright Shorts</v>
          </cell>
        </row>
        <row r="609">
          <cell r="D609" t="str">
            <v>Short</v>
          </cell>
          <cell r="K609" t="str">
            <v>C3a: Outright Shorts</v>
          </cell>
        </row>
        <row r="610">
          <cell r="D610" t="str">
            <v>Short</v>
          </cell>
          <cell r="K610" t="str">
            <v>C3a: Outright Shorts</v>
          </cell>
        </row>
        <row r="611">
          <cell r="D611" t="str">
            <v>Short</v>
          </cell>
          <cell r="K611" t="str">
            <v>C3a: Outright Shorts</v>
          </cell>
        </row>
        <row r="612">
          <cell r="D612" t="str">
            <v>Short</v>
          </cell>
          <cell r="K612" t="str">
            <v>C3a: Outright Shorts</v>
          </cell>
        </row>
        <row r="613">
          <cell r="D613" t="str">
            <v>Short</v>
          </cell>
          <cell r="K613" t="str">
            <v>C3a: Outright Shorts</v>
          </cell>
        </row>
        <row r="614">
          <cell r="D614" t="str">
            <v>Short</v>
          </cell>
          <cell r="K614" t="str">
            <v>C3a: Outright Shorts</v>
          </cell>
        </row>
        <row r="615">
          <cell r="D615" t="str">
            <v>Short</v>
          </cell>
          <cell r="K615" t="str">
            <v>C3a: Outright Shorts</v>
          </cell>
        </row>
        <row r="616">
          <cell r="D616" t="str">
            <v>Short</v>
          </cell>
          <cell r="K616" t="str">
            <v>C3a: Outright Shorts</v>
          </cell>
        </row>
        <row r="617">
          <cell r="D617" t="str">
            <v>Short</v>
          </cell>
          <cell r="K617" t="str">
            <v>C3a: Outright Shorts</v>
          </cell>
        </row>
        <row r="618">
          <cell r="D618" t="str">
            <v>Short</v>
          </cell>
          <cell r="K618" t="str">
            <v>C3a: Outright Shorts</v>
          </cell>
        </row>
        <row r="619">
          <cell r="D619" t="str">
            <v>Short</v>
          </cell>
          <cell r="K619" t="str">
            <v>C3a: Outright Shorts</v>
          </cell>
        </row>
        <row r="620">
          <cell r="D620" t="str">
            <v>Short</v>
          </cell>
          <cell r="K620" t="str">
            <v>C3a: Outright Shorts</v>
          </cell>
        </row>
        <row r="621">
          <cell r="D621" t="str">
            <v>Short</v>
          </cell>
          <cell r="K621" t="str">
            <v>C3a: Outright Shorts</v>
          </cell>
        </row>
        <row r="622">
          <cell r="D622" t="str">
            <v>Short</v>
          </cell>
          <cell r="K622" t="str">
            <v>C4: Other</v>
          </cell>
        </row>
        <row r="623">
          <cell r="D623" t="str">
            <v>Short</v>
          </cell>
          <cell r="K623" t="str">
            <v>C4: Other</v>
          </cell>
        </row>
        <row r="624">
          <cell r="D624" t="str">
            <v>Short</v>
          </cell>
          <cell r="K624" t="str">
            <v>C4: Other</v>
          </cell>
        </row>
        <row r="625">
          <cell r="D625" t="str">
            <v>Short</v>
          </cell>
          <cell r="K625" t="str">
            <v>C4: Other</v>
          </cell>
        </row>
        <row r="626">
          <cell r="D626" t="str">
            <v>Short</v>
          </cell>
          <cell r="K626" t="str">
            <v>C4: Other</v>
          </cell>
        </row>
        <row r="627">
          <cell r="D627" t="str">
            <v>Short</v>
          </cell>
          <cell r="K627" t="str">
            <v>C4: Other</v>
          </cell>
        </row>
        <row r="628">
          <cell r="D628" t="str">
            <v>Long</v>
          </cell>
          <cell r="K628" t="str">
            <v>C1: Bank Debt</v>
          </cell>
        </row>
        <row r="629">
          <cell r="D629" t="str">
            <v>Long</v>
          </cell>
          <cell r="K629" t="str">
            <v>C1: Bank Debt</v>
          </cell>
        </row>
        <row r="630">
          <cell r="D630" t="str">
            <v>Long</v>
          </cell>
          <cell r="K630" t="str">
            <v>C1: Bank Debt</v>
          </cell>
        </row>
        <row r="631">
          <cell r="D631" t="str">
            <v>Long</v>
          </cell>
          <cell r="K631" t="str">
            <v>C1: Bank Debt</v>
          </cell>
        </row>
        <row r="632">
          <cell r="D632" t="str">
            <v>Long</v>
          </cell>
          <cell r="K632" t="str">
            <v>C1: Bank Debt</v>
          </cell>
        </row>
        <row r="633">
          <cell r="D633" t="str">
            <v>Long</v>
          </cell>
          <cell r="K633" t="str">
            <v>C1: Bank Debt</v>
          </cell>
        </row>
        <row r="634">
          <cell r="D634" t="str">
            <v>Long</v>
          </cell>
          <cell r="K634" t="str">
            <v>C1: Bank Debt</v>
          </cell>
        </row>
        <row r="635">
          <cell r="D635" t="str">
            <v>Long</v>
          </cell>
          <cell r="K635" t="str">
            <v>C1: Bank Debt</v>
          </cell>
        </row>
        <row r="636">
          <cell r="D636" t="str">
            <v>Long</v>
          </cell>
          <cell r="K636" t="str">
            <v>C1: Bank Debt</v>
          </cell>
        </row>
        <row r="637">
          <cell r="D637" t="str">
            <v>Long</v>
          </cell>
          <cell r="K637" t="str">
            <v>C1: Bank Debt</v>
          </cell>
        </row>
        <row r="638">
          <cell r="D638" t="str">
            <v>Long</v>
          </cell>
          <cell r="K638" t="str">
            <v>C1: Bank Debt</v>
          </cell>
        </row>
        <row r="639">
          <cell r="D639" t="str">
            <v>Long</v>
          </cell>
          <cell r="K639" t="str">
            <v>C2a: BD-HY Equivalent</v>
          </cell>
        </row>
        <row r="640">
          <cell r="D640" t="str">
            <v>Long</v>
          </cell>
          <cell r="K640" t="str">
            <v>C2a: BD-HY Equivalent</v>
          </cell>
        </row>
        <row r="641">
          <cell r="D641" t="str">
            <v>Long</v>
          </cell>
          <cell r="K641" t="str">
            <v>C2a: BD-HY Equivalent</v>
          </cell>
        </row>
        <row r="642">
          <cell r="D642" t="str">
            <v>Long</v>
          </cell>
          <cell r="K642" t="str">
            <v>C2a: BD-HY Equivalent</v>
          </cell>
        </row>
        <row r="643">
          <cell r="D643" t="str">
            <v>Long</v>
          </cell>
          <cell r="K643" t="str">
            <v>C2a: BD-HY Equivalent</v>
          </cell>
        </row>
        <row r="644">
          <cell r="D644" t="str">
            <v>Long</v>
          </cell>
          <cell r="K644" t="str">
            <v>C2a: BD-HY Equivalent</v>
          </cell>
        </row>
        <row r="645">
          <cell r="D645" t="str">
            <v>Long</v>
          </cell>
          <cell r="K645" t="str">
            <v>C2a: BD-HY Equivalent</v>
          </cell>
        </row>
        <row r="646">
          <cell r="D646" t="str">
            <v>Long</v>
          </cell>
          <cell r="K646" t="str">
            <v>C1: Bank Debt</v>
          </cell>
        </row>
        <row r="647">
          <cell r="D647" t="str">
            <v>Long</v>
          </cell>
          <cell r="K647" t="str">
            <v>C1: Bank Debt</v>
          </cell>
        </row>
        <row r="648">
          <cell r="D648" t="str">
            <v>Long</v>
          </cell>
          <cell r="K648" t="str">
            <v>C1: Bank Debt</v>
          </cell>
        </row>
        <row r="649">
          <cell r="D649" t="str">
            <v>Long</v>
          </cell>
          <cell r="K649" t="str">
            <v>C1: Bank Debt</v>
          </cell>
        </row>
        <row r="650">
          <cell r="D650" t="str">
            <v>Long</v>
          </cell>
          <cell r="K650" t="str">
            <v>C1: Bank Debt</v>
          </cell>
        </row>
        <row r="651">
          <cell r="D651" t="str">
            <v>Long</v>
          </cell>
          <cell r="K651" t="str">
            <v>C2a: BD-HY Equivalent</v>
          </cell>
        </row>
        <row r="652">
          <cell r="D652" t="str">
            <v>Long</v>
          </cell>
          <cell r="K652" t="str">
            <v>C2a: BD-HY Equivalent</v>
          </cell>
        </row>
        <row r="653">
          <cell r="D653" t="str">
            <v>Long</v>
          </cell>
          <cell r="K653" t="str">
            <v>C2a: BD-HY Equivalent</v>
          </cell>
        </row>
        <row r="654">
          <cell r="D654" t="str">
            <v>Long</v>
          </cell>
          <cell r="K654" t="str">
            <v>C2a: BD-HY Equivalent</v>
          </cell>
        </row>
        <row r="655">
          <cell r="D655" t="str">
            <v>Long</v>
          </cell>
          <cell r="K655" t="str">
            <v>C2a: BD-HY Equivalent</v>
          </cell>
        </row>
        <row r="656">
          <cell r="D656" t="str">
            <v>Long</v>
          </cell>
          <cell r="K656" t="str">
            <v>C2: High Yield</v>
          </cell>
        </row>
        <row r="657">
          <cell r="D657" t="str">
            <v>Long</v>
          </cell>
          <cell r="K657" t="str">
            <v>C2: High Yield</v>
          </cell>
        </row>
        <row r="658">
          <cell r="D658" t="str">
            <v>Long</v>
          </cell>
          <cell r="K658" t="str">
            <v>C2: High Yield</v>
          </cell>
        </row>
        <row r="659">
          <cell r="D659" t="str">
            <v>Long</v>
          </cell>
          <cell r="K659" t="str">
            <v>C2: High Yield</v>
          </cell>
        </row>
        <row r="660">
          <cell r="D660" t="str">
            <v>Long</v>
          </cell>
          <cell r="K660" t="str">
            <v>C2: High Yield</v>
          </cell>
        </row>
        <row r="661">
          <cell r="D661" t="str">
            <v>Long</v>
          </cell>
          <cell r="K661" t="str">
            <v>C2: High Yield</v>
          </cell>
        </row>
        <row r="662">
          <cell r="D662" t="str">
            <v>Long</v>
          </cell>
          <cell r="K662" t="str">
            <v>C2: High Yield</v>
          </cell>
        </row>
        <row r="663">
          <cell r="D663" t="str">
            <v>Long</v>
          </cell>
          <cell r="K663" t="str">
            <v>C1: Bank Debt</v>
          </cell>
        </row>
        <row r="664">
          <cell r="D664" t="str">
            <v>Long</v>
          </cell>
          <cell r="K664" t="str">
            <v>C1: Bank Debt</v>
          </cell>
        </row>
        <row r="665">
          <cell r="D665" t="str">
            <v>Long</v>
          </cell>
          <cell r="K665" t="str">
            <v>C1: Bank Debt</v>
          </cell>
        </row>
        <row r="666">
          <cell r="D666" t="str">
            <v>Long</v>
          </cell>
          <cell r="K666" t="str">
            <v>C1: Bank Debt</v>
          </cell>
        </row>
        <row r="667">
          <cell r="D667" t="str">
            <v>Long</v>
          </cell>
          <cell r="K667" t="str">
            <v>C2: High Yield</v>
          </cell>
        </row>
        <row r="668">
          <cell r="D668" t="str">
            <v>Long</v>
          </cell>
          <cell r="K668" t="str">
            <v>C2: High Yield</v>
          </cell>
        </row>
        <row r="669">
          <cell r="D669" t="str">
            <v>Long</v>
          </cell>
          <cell r="K669" t="str">
            <v>C2: High Yield</v>
          </cell>
        </row>
        <row r="670">
          <cell r="D670" t="str">
            <v>Long</v>
          </cell>
          <cell r="K670" t="str">
            <v>C2: High Yield</v>
          </cell>
        </row>
        <row r="671">
          <cell r="D671" t="str">
            <v>Long</v>
          </cell>
          <cell r="K671" t="str">
            <v>C2: High Yield</v>
          </cell>
        </row>
        <row r="672">
          <cell r="D672" t="str">
            <v>Long</v>
          </cell>
          <cell r="K672" t="str">
            <v>C2: High Yield</v>
          </cell>
        </row>
        <row r="673">
          <cell r="D673" t="str">
            <v>Long</v>
          </cell>
          <cell r="K673" t="str">
            <v>C2: High Yield</v>
          </cell>
        </row>
        <row r="674">
          <cell r="D674" t="str">
            <v>Long</v>
          </cell>
          <cell r="K674" t="str">
            <v>C2: High Yield</v>
          </cell>
        </row>
        <row r="675">
          <cell r="D675" t="str">
            <v>Long</v>
          </cell>
          <cell r="K675" t="str">
            <v>C2: High Yield</v>
          </cell>
        </row>
        <row r="676">
          <cell r="D676" t="str">
            <v>Long</v>
          </cell>
          <cell r="K676" t="str">
            <v>C2: High Yield</v>
          </cell>
        </row>
        <row r="677">
          <cell r="D677" t="str">
            <v>Long</v>
          </cell>
          <cell r="K677" t="str">
            <v>C1: Bank Debt</v>
          </cell>
        </row>
        <row r="678">
          <cell r="D678" t="str">
            <v>Long</v>
          </cell>
          <cell r="K678" t="str">
            <v>C1: Bank Debt</v>
          </cell>
        </row>
        <row r="679">
          <cell r="D679" t="str">
            <v>Long</v>
          </cell>
          <cell r="K679" t="str">
            <v>C1: Bank Debt</v>
          </cell>
        </row>
        <row r="680">
          <cell r="D680" t="str">
            <v>Long</v>
          </cell>
          <cell r="K680" t="str">
            <v>C1: Bank Debt</v>
          </cell>
        </row>
        <row r="681">
          <cell r="D681" t="str">
            <v>Long</v>
          </cell>
          <cell r="K681" t="str">
            <v>C1: Bank Debt</v>
          </cell>
        </row>
        <row r="682">
          <cell r="D682" t="str">
            <v>Long</v>
          </cell>
          <cell r="K682" t="str">
            <v>C2a: BD-HY Equivalent</v>
          </cell>
        </row>
        <row r="683">
          <cell r="D683" t="str">
            <v>Long</v>
          </cell>
          <cell r="K683" t="str">
            <v>C2a: BD-HY Equivalent</v>
          </cell>
        </row>
        <row r="684">
          <cell r="D684" t="str">
            <v>Long</v>
          </cell>
          <cell r="K684" t="str">
            <v>C1: Bank Debt</v>
          </cell>
        </row>
        <row r="685">
          <cell r="D685" t="str">
            <v>Long</v>
          </cell>
          <cell r="K685" t="str">
            <v>C1: Bank Debt</v>
          </cell>
        </row>
        <row r="686">
          <cell r="D686" t="str">
            <v>Long</v>
          </cell>
          <cell r="K686" t="str">
            <v>C2a: BD-HY Equivalent</v>
          </cell>
        </row>
        <row r="687">
          <cell r="D687" t="str">
            <v>Long</v>
          </cell>
          <cell r="K687" t="str">
            <v>C2a: BD-HY Equivalent</v>
          </cell>
        </row>
        <row r="688">
          <cell r="D688" t="str">
            <v>Long</v>
          </cell>
          <cell r="K688" t="str">
            <v>C2a: BD-HY Equivalent</v>
          </cell>
        </row>
        <row r="689">
          <cell r="D689" t="str">
            <v>Long</v>
          </cell>
          <cell r="K689" t="str">
            <v>C1: Bank Debt</v>
          </cell>
        </row>
        <row r="690">
          <cell r="D690" t="str">
            <v>Long</v>
          </cell>
          <cell r="K690" t="str">
            <v>C1: Bank Debt</v>
          </cell>
        </row>
        <row r="691">
          <cell r="D691" t="str">
            <v>Long</v>
          </cell>
          <cell r="K691" t="str">
            <v>C1: Bank Debt</v>
          </cell>
        </row>
        <row r="692">
          <cell r="D692" t="str">
            <v>Long</v>
          </cell>
          <cell r="K692" t="str">
            <v>C1: Bank Debt</v>
          </cell>
        </row>
        <row r="693">
          <cell r="D693" t="str">
            <v>Long</v>
          </cell>
          <cell r="K693" t="str">
            <v>C1: Bank Debt</v>
          </cell>
        </row>
        <row r="694">
          <cell r="D694" t="str">
            <v>Long</v>
          </cell>
          <cell r="K694" t="str">
            <v>C1: Bank Debt</v>
          </cell>
        </row>
        <row r="695">
          <cell r="D695" t="str">
            <v>Long</v>
          </cell>
          <cell r="K695" t="str">
            <v>C1: Bank Debt</v>
          </cell>
        </row>
        <row r="696">
          <cell r="D696" t="str">
            <v>Long</v>
          </cell>
          <cell r="K696" t="str">
            <v>C1: Bank Debt</v>
          </cell>
        </row>
        <row r="697">
          <cell r="D697" t="str">
            <v>Long</v>
          </cell>
          <cell r="K697" t="str">
            <v>C1: Bank Debt</v>
          </cell>
        </row>
        <row r="698">
          <cell r="D698" t="str">
            <v>Long</v>
          </cell>
          <cell r="K698" t="str">
            <v>C1: Bank Debt</v>
          </cell>
        </row>
        <row r="699">
          <cell r="D699" t="str">
            <v>Long</v>
          </cell>
          <cell r="K699" t="str">
            <v>C1: Bank Debt</v>
          </cell>
        </row>
        <row r="700">
          <cell r="D700" t="str">
            <v>Long</v>
          </cell>
          <cell r="K700" t="str">
            <v>C1: Bank Debt</v>
          </cell>
        </row>
        <row r="701">
          <cell r="D701" t="str">
            <v>Long</v>
          </cell>
          <cell r="K701" t="str">
            <v>C1: Bank Debt</v>
          </cell>
        </row>
        <row r="702">
          <cell r="D702" t="str">
            <v>Long</v>
          </cell>
          <cell r="K702" t="str">
            <v>C1: Bank Debt</v>
          </cell>
        </row>
        <row r="703">
          <cell r="D703" t="str">
            <v>Long</v>
          </cell>
          <cell r="K703" t="str">
            <v>C2: High Yield</v>
          </cell>
        </row>
        <row r="704">
          <cell r="D704" t="str">
            <v>Long</v>
          </cell>
          <cell r="K704" t="str">
            <v>C2: High Yield</v>
          </cell>
        </row>
        <row r="705">
          <cell r="D705" t="str">
            <v>Long</v>
          </cell>
          <cell r="K705" t="str">
            <v>C2: High Yield</v>
          </cell>
        </row>
        <row r="706">
          <cell r="D706" t="str">
            <v>Long</v>
          </cell>
          <cell r="K706" t="str">
            <v>C2: High Yield</v>
          </cell>
        </row>
        <row r="707">
          <cell r="D707" t="str">
            <v>Long</v>
          </cell>
          <cell r="K707" t="str">
            <v>C2: High Yield</v>
          </cell>
        </row>
        <row r="708">
          <cell r="D708" t="str">
            <v>Long</v>
          </cell>
          <cell r="K708" t="str">
            <v>C2: High Yield</v>
          </cell>
        </row>
        <row r="709">
          <cell r="D709" t="str">
            <v>Long</v>
          </cell>
          <cell r="K709" t="str">
            <v>C2: High Yield</v>
          </cell>
        </row>
        <row r="710">
          <cell r="D710" t="str">
            <v>Long</v>
          </cell>
          <cell r="K710" t="str">
            <v>C2: High Yield</v>
          </cell>
        </row>
        <row r="711">
          <cell r="D711" t="str">
            <v>Long</v>
          </cell>
          <cell r="K711" t="str">
            <v>C2: High Yield</v>
          </cell>
        </row>
        <row r="712">
          <cell r="D712" t="str">
            <v>Long</v>
          </cell>
          <cell r="K712" t="str">
            <v>C2: High Yield</v>
          </cell>
        </row>
        <row r="713">
          <cell r="D713" t="str">
            <v>Long</v>
          </cell>
          <cell r="K713" t="str">
            <v>C2: High Yield</v>
          </cell>
        </row>
        <row r="714">
          <cell r="D714" t="str">
            <v>Long</v>
          </cell>
          <cell r="K714" t="str">
            <v>C4: Other</v>
          </cell>
        </row>
        <row r="715">
          <cell r="D715" t="str">
            <v>Long</v>
          </cell>
          <cell r="K715" t="str">
            <v>C4: Other</v>
          </cell>
        </row>
        <row r="716">
          <cell r="D716" t="str">
            <v>Long</v>
          </cell>
          <cell r="K716" t="str">
            <v>C4: Other</v>
          </cell>
        </row>
        <row r="717">
          <cell r="D717" t="str">
            <v>Long</v>
          </cell>
          <cell r="K717" t="str">
            <v>C4: Other</v>
          </cell>
        </row>
        <row r="718">
          <cell r="D718" t="str">
            <v>Long</v>
          </cell>
          <cell r="K718" t="str">
            <v>C4: Other</v>
          </cell>
        </row>
        <row r="719">
          <cell r="D719" t="str">
            <v>Long</v>
          </cell>
          <cell r="K719" t="str">
            <v>C4: Other</v>
          </cell>
        </row>
        <row r="720">
          <cell r="D720" t="str">
            <v>Long</v>
          </cell>
          <cell r="K720" t="str">
            <v>C2: High Yield</v>
          </cell>
        </row>
        <row r="721">
          <cell r="D721" t="str">
            <v>Long</v>
          </cell>
          <cell r="K721" t="str">
            <v>C2: High Yield</v>
          </cell>
        </row>
        <row r="722">
          <cell r="D722" t="str">
            <v>Long</v>
          </cell>
          <cell r="K722" t="str">
            <v>C2: High Yield</v>
          </cell>
        </row>
        <row r="723">
          <cell r="D723" t="str">
            <v>Long</v>
          </cell>
          <cell r="K723" t="str">
            <v>C2: High Yield</v>
          </cell>
        </row>
        <row r="724">
          <cell r="D724" t="str">
            <v>Long</v>
          </cell>
          <cell r="K724" t="str">
            <v>C2: High Yield</v>
          </cell>
        </row>
        <row r="725">
          <cell r="D725" t="str">
            <v>Long</v>
          </cell>
          <cell r="K725" t="str">
            <v>C2: High Yield</v>
          </cell>
        </row>
        <row r="726">
          <cell r="D726" t="str">
            <v>Long</v>
          </cell>
          <cell r="K726" t="str">
            <v>C2: High Yield</v>
          </cell>
        </row>
        <row r="727">
          <cell r="D727" t="str">
            <v>Long</v>
          </cell>
          <cell r="K727" t="str">
            <v>C2: High Yield</v>
          </cell>
        </row>
        <row r="728">
          <cell r="D728" t="str">
            <v>Long</v>
          </cell>
          <cell r="K728" t="str">
            <v>C2: High Yield</v>
          </cell>
        </row>
        <row r="729">
          <cell r="D729" t="str">
            <v>Long</v>
          </cell>
          <cell r="K729" t="str">
            <v>C2: High Yield</v>
          </cell>
        </row>
        <row r="730">
          <cell r="D730" t="str">
            <v>Long</v>
          </cell>
          <cell r="K730" t="str">
            <v>C2: High Yield</v>
          </cell>
        </row>
        <row r="731">
          <cell r="D731" t="str">
            <v>Long</v>
          </cell>
          <cell r="K731" t="str">
            <v>C2: High Yield</v>
          </cell>
        </row>
        <row r="732">
          <cell r="D732" t="str">
            <v>Long</v>
          </cell>
          <cell r="K732" t="str">
            <v>C2: High Yield</v>
          </cell>
        </row>
        <row r="733">
          <cell r="D733" t="str">
            <v>Long</v>
          </cell>
          <cell r="K733" t="str">
            <v>C2: High Yield</v>
          </cell>
        </row>
        <row r="734">
          <cell r="D734" t="str">
            <v>Long</v>
          </cell>
          <cell r="K734" t="str">
            <v>C2: High Yield</v>
          </cell>
        </row>
        <row r="735">
          <cell r="D735" t="str">
            <v>Long</v>
          </cell>
          <cell r="K735" t="str">
            <v>C2: High Yield</v>
          </cell>
        </row>
        <row r="736">
          <cell r="D736" t="str">
            <v>Long</v>
          </cell>
          <cell r="K736" t="str">
            <v>C2: High Yield</v>
          </cell>
        </row>
        <row r="737">
          <cell r="D737" t="str">
            <v>Long</v>
          </cell>
          <cell r="K737" t="str">
            <v>C2: High Yield</v>
          </cell>
        </row>
        <row r="738">
          <cell r="D738" t="str">
            <v>Long</v>
          </cell>
          <cell r="K738" t="str">
            <v>C2: High Yield</v>
          </cell>
        </row>
        <row r="739">
          <cell r="D739" t="str">
            <v>Short</v>
          </cell>
          <cell r="K739" t="str">
            <v>C3a: Outright Shorts</v>
          </cell>
        </row>
        <row r="740">
          <cell r="D740" t="str">
            <v>Short</v>
          </cell>
          <cell r="K740" t="str">
            <v>C3a: Outright Shorts</v>
          </cell>
        </row>
        <row r="741">
          <cell r="D741" t="str">
            <v>Short</v>
          </cell>
          <cell r="K741" t="str">
            <v>C3a: Outright Shorts</v>
          </cell>
        </row>
        <row r="742">
          <cell r="D742" t="str">
            <v>Short</v>
          </cell>
          <cell r="K742" t="str">
            <v>C3a: Outright Shorts</v>
          </cell>
        </row>
        <row r="743">
          <cell r="D743" t="str">
            <v>Short</v>
          </cell>
          <cell r="K743" t="str">
            <v>C3a: Outright Shorts</v>
          </cell>
        </row>
        <row r="744">
          <cell r="D744" t="str">
            <v>Short</v>
          </cell>
          <cell r="K744" t="str">
            <v>C3a: Outright Shorts</v>
          </cell>
        </row>
        <row r="745">
          <cell r="D745" t="str">
            <v>Short</v>
          </cell>
          <cell r="K745" t="str">
            <v>C3a: Outright Shorts</v>
          </cell>
        </row>
        <row r="746">
          <cell r="D746" t="str">
            <v>Short</v>
          </cell>
          <cell r="K746" t="str">
            <v>C3a: Outright Shorts</v>
          </cell>
        </row>
        <row r="747">
          <cell r="D747" t="str">
            <v>Short</v>
          </cell>
          <cell r="K747" t="str">
            <v>C3a: Outright Shorts</v>
          </cell>
        </row>
        <row r="748">
          <cell r="D748" t="str">
            <v>Short</v>
          </cell>
          <cell r="K748" t="str">
            <v>C3a: Outright Shorts</v>
          </cell>
        </row>
        <row r="749">
          <cell r="D749" t="str">
            <v>Short</v>
          </cell>
          <cell r="K749" t="str">
            <v>C3a: Outright Shorts</v>
          </cell>
        </row>
        <row r="750">
          <cell r="D750" t="str">
            <v>Short</v>
          </cell>
          <cell r="K750" t="str">
            <v>C3a: Outright Shorts</v>
          </cell>
        </row>
        <row r="751">
          <cell r="D751" t="str">
            <v>Short</v>
          </cell>
          <cell r="K751" t="str">
            <v>C3a: Outright Shorts</v>
          </cell>
        </row>
        <row r="752">
          <cell r="D752" t="str">
            <v>Short</v>
          </cell>
          <cell r="K752" t="str">
            <v>C3a: Outright Shorts</v>
          </cell>
        </row>
        <row r="753">
          <cell r="D753" t="str">
            <v>Short</v>
          </cell>
          <cell r="K753" t="str">
            <v>C3a: Outright Shorts</v>
          </cell>
        </row>
        <row r="754">
          <cell r="D754" t="str">
            <v>Short</v>
          </cell>
          <cell r="K754" t="str">
            <v>C3a: Outright Shorts</v>
          </cell>
        </row>
        <row r="755">
          <cell r="D755" t="str">
            <v>Long</v>
          </cell>
          <cell r="K755" t="str">
            <v>C1: Bank Debt</v>
          </cell>
        </row>
        <row r="756">
          <cell r="D756" t="str">
            <v>Long</v>
          </cell>
          <cell r="K756" t="str">
            <v>C1: Bank Debt</v>
          </cell>
        </row>
        <row r="757">
          <cell r="D757" t="str">
            <v>Long</v>
          </cell>
          <cell r="K757" t="str">
            <v>C1: Bank Debt</v>
          </cell>
        </row>
        <row r="758">
          <cell r="D758" t="str">
            <v>Long</v>
          </cell>
          <cell r="K758" t="str">
            <v>C1: Bank Debt</v>
          </cell>
        </row>
        <row r="759">
          <cell r="D759" t="str">
            <v>Long</v>
          </cell>
          <cell r="K759" t="str">
            <v>C1: Bank Debt</v>
          </cell>
        </row>
        <row r="760">
          <cell r="D760" t="str">
            <v>Long</v>
          </cell>
          <cell r="K760" t="str">
            <v>C2a: BD-HY Equivalent</v>
          </cell>
        </row>
        <row r="761">
          <cell r="D761" t="str">
            <v>Long</v>
          </cell>
          <cell r="K761" t="str">
            <v>C1: Bank Debt</v>
          </cell>
        </row>
        <row r="762">
          <cell r="D762" t="str">
            <v>Long</v>
          </cell>
          <cell r="K762" t="str">
            <v>C1: Bank Debt</v>
          </cell>
        </row>
        <row r="763">
          <cell r="D763" t="str">
            <v>Long</v>
          </cell>
          <cell r="K763" t="str">
            <v>C1: Bank Debt</v>
          </cell>
        </row>
        <row r="764">
          <cell r="D764" t="str">
            <v>Long</v>
          </cell>
          <cell r="K764" t="str">
            <v>C1: Bank Debt</v>
          </cell>
        </row>
        <row r="765">
          <cell r="D765" t="str">
            <v>Long</v>
          </cell>
          <cell r="K765" t="str">
            <v>C1: Bank Debt</v>
          </cell>
        </row>
        <row r="766">
          <cell r="D766" t="str">
            <v>Long</v>
          </cell>
          <cell r="K766" t="str">
            <v>C1: Bank Debt</v>
          </cell>
        </row>
        <row r="767">
          <cell r="D767" t="str">
            <v>Long</v>
          </cell>
          <cell r="K767" t="str">
            <v>C1: Bank Debt</v>
          </cell>
        </row>
        <row r="768">
          <cell r="D768" t="str">
            <v>Long</v>
          </cell>
          <cell r="K768" t="str">
            <v>C1: Bank Debt</v>
          </cell>
        </row>
        <row r="769">
          <cell r="D769" t="str">
            <v>Long</v>
          </cell>
          <cell r="K769" t="str">
            <v>C1: Bank Debt</v>
          </cell>
        </row>
        <row r="770">
          <cell r="D770" t="str">
            <v>Long</v>
          </cell>
          <cell r="K770" t="str">
            <v>C1: Bank Debt</v>
          </cell>
        </row>
        <row r="771">
          <cell r="D771" t="str">
            <v>Short</v>
          </cell>
          <cell r="K771" t="str">
            <v>C4: Other</v>
          </cell>
        </row>
        <row r="772">
          <cell r="D772" t="str">
            <v>Short</v>
          </cell>
          <cell r="K772" t="str">
            <v>C4: Other</v>
          </cell>
        </row>
        <row r="773">
          <cell r="D773" t="str">
            <v>Short</v>
          </cell>
          <cell r="K773" t="str">
            <v>C4: Other</v>
          </cell>
        </row>
        <row r="774">
          <cell r="D774" t="str">
            <v>Short</v>
          </cell>
          <cell r="K774" t="str">
            <v>C4: Other</v>
          </cell>
        </row>
        <row r="775">
          <cell r="D775" t="str">
            <v>Short</v>
          </cell>
          <cell r="K775" t="str">
            <v>C4: Other</v>
          </cell>
        </row>
        <row r="776">
          <cell r="D776" t="str">
            <v>Short</v>
          </cell>
          <cell r="K776" t="str">
            <v>C4: Other</v>
          </cell>
        </row>
        <row r="777">
          <cell r="D777" t="str">
            <v>Long</v>
          </cell>
          <cell r="K777" t="str">
            <v>C1: Bank Debt</v>
          </cell>
        </row>
        <row r="778">
          <cell r="D778" t="str">
            <v>Long</v>
          </cell>
          <cell r="K778" t="str">
            <v>C1: Bank Debt</v>
          </cell>
        </row>
        <row r="779">
          <cell r="D779" t="str">
            <v>Long</v>
          </cell>
          <cell r="K779" t="str">
            <v>C1: Bank Debt</v>
          </cell>
        </row>
        <row r="780">
          <cell r="D780" t="str">
            <v>Long</v>
          </cell>
          <cell r="K780" t="str">
            <v>C1: Bank Debt</v>
          </cell>
        </row>
        <row r="781">
          <cell r="D781" t="str">
            <v>Long</v>
          </cell>
          <cell r="K781" t="str">
            <v>C1: Bank Debt</v>
          </cell>
        </row>
        <row r="782">
          <cell r="D782" t="str">
            <v>Long</v>
          </cell>
          <cell r="K782" t="str">
            <v>C1: Bank Debt</v>
          </cell>
        </row>
        <row r="783">
          <cell r="D783" t="str">
            <v>Long</v>
          </cell>
          <cell r="K783" t="str">
            <v>C1: Bank Debt</v>
          </cell>
        </row>
        <row r="784">
          <cell r="D784" t="str">
            <v>Long</v>
          </cell>
          <cell r="K784" t="str">
            <v>C1: Bank Debt</v>
          </cell>
        </row>
        <row r="785">
          <cell r="D785" t="str">
            <v>Long</v>
          </cell>
          <cell r="K785" t="str">
            <v>C2: High Yield</v>
          </cell>
        </row>
        <row r="786">
          <cell r="D786" t="str">
            <v>Long</v>
          </cell>
          <cell r="K786" t="str">
            <v>C2: High Yield</v>
          </cell>
        </row>
        <row r="787">
          <cell r="D787" t="str">
            <v>Long</v>
          </cell>
          <cell r="K787" t="str">
            <v>C2: High Yield</v>
          </cell>
        </row>
        <row r="788">
          <cell r="D788" t="str">
            <v>Long</v>
          </cell>
          <cell r="K788" t="str">
            <v>C2: High Yield</v>
          </cell>
        </row>
        <row r="789">
          <cell r="D789" t="str">
            <v>Long</v>
          </cell>
          <cell r="K789" t="str">
            <v>C2: High Yield</v>
          </cell>
        </row>
        <row r="790">
          <cell r="D790" t="str">
            <v>Long</v>
          </cell>
          <cell r="K790" t="str">
            <v>C2: High Yield</v>
          </cell>
        </row>
        <row r="791">
          <cell r="D791" t="str">
            <v>Long</v>
          </cell>
          <cell r="K791" t="str">
            <v>C2: High Yield</v>
          </cell>
        </row>
        <row r="792">
          <cell r="D792" t="str">
            <v>Long</v>
          </cell>
          <cell r="K792" t="str">
            <v>C2: High Yield</v>
          </cell>
        </row>
        <row r="793">
          <cell r="D793" t="str">
            <v>Long</v>
          </cell>
          <cell r="K793" t="str">
            <v>C2: High Yield</v>
          </cell>
        </row>
        <row r="794">
          <cell r="D794" t="str">
            <v>Long</v>
          </cell>
          <cell r="K794" t="str">
            <v>C2: High Yield</v>
          </cell>
        </row>
        <row r="795">
          <cell r="D795" t="str">
            <v>Long</v>
          </cell>
          <cell r="K795" t="str">
            <v>C2: High Yield</v>
          </cell>
        </row>
        <row r="796">
          <cell r="D796" t="str">
            <v>Long</v>
          </cell>
          <cell r="K796" t="str">
            <v>C2: High Yield</v>
          </cell>
        </row>
        <row r="797">
          <cell r="D797" t="str">
            <v>Long</v>
          </cell>
          <cell r="K797" t="str">
            <v>C1: Bank Debt</v>
          </cell>
        </row>
        <row r="798">
          <cell r="D798" t="str">
            <v>Long</v>
          </cell>
          <cell r="K798" t="str">
            <v>C1: Bank Debt</v>
          </cell>
        </row>
        <row r="799">
          <cell r="D799" t="str">
            <v>Long</v>
          </cell>
          <cell r="K799" t="str">
            <v>C1: Bank Debt</v>
          </cell>
        </row>
        <row r="800">
          <cell r="D800" t="str">
            <v>Long</v>
          </cell>
          <cell r="K800" t="str">
            <v>C1: Bank Debt</v>
          </cell>
        </row>
        <row r="801">
          <cell r="D801" t="str">
            <v>Long</v>
          </cell>
          <cell r="K801" t="str">
            <v>C1: Bank Debt</v>
          </cell>
        </row>
        <row r="802">
          <cell r="D802" t="str">
            <v>Long</v>
          </cell>
          <cell r="K802" t="str">
            <v>C1: Bank Debt</v>
          </cell>
        </row>
        <row r="803">
          <cell r="D803" t="str">
            <v>Long</v>
          </cell>
          <cell r="K803" t="str">
            <v>C2a: BD-HY Equivalent</v>
          </cell>
        </row>
        <row r="804">
          <cell r="D804" t="str">
            <v>Long</v>
          </cell>
          <cell r="K804" t="str">
            <v>C2a: BD-HY Equivalent</v>
          </cell>
        </row>
        <row r="805">
          <cell r="D805" t="str">
            <v>Long</v>
          </cell>
          <cell r="K805" t="str">
            <v>C2a: BD-HY Equivalent</v>
          </cell>
        </row>
        <row r="806">
          <cell r="D806" t="str">
            <v>Long</v>
          </cell>
          <cell r="K806" t="str">
            <v>C2: High Yield</v>
          </cell>
        </row>
        <row r="807">
          <cell r="D807" t="str">
            <v>Long</v>
          </cell>
          <cell r="K807" t="str">
            <v>C2: High Yield</v>
          </cell>
        </row>
        <row r="808">
          <cell r="D808" t="str">
            <v>Long</v>
          </cell>
          <cell r="K808" t="str">
            <v>C2: High Yield</v>
          </cell>
        </row>
        <row r="809">
          <cell r="D809" t="str">
            <v>Long</v>
          </cell>
          <cell r="K809" t="str">
            <v>C2: High Yield</v>
          </cell>
        </row>
        <row r="810">
          <cell r="D810" t="str">
            <v>Long</v>
          </cell>
          <cell r="K810" t="str">
            <v>C2: High Yield</v>
          </cell>
        </row>
        <row r="811">
          <cell r="D811" t="str">
            <v>Long</v>
          </cell>
          <cell r="K811" t="str">
            <v>C2: High Yield</v>
          </cell>
        </row>
        <row r="812">
          <cell r="D812" t="str">
            <v>Long</v>
          </cell>
          <cell r="K812" t="str">
            <v>C2: High Yield</v>
          </cell>
        </row>
        <row r="813">
          <cell r="D813" t="str">
            <v>Long</v>
          </cell>
          <cell r="K813" t="str">
            <v>C2: High Yield</v>
          </cell>
        </row>
        <row r="814">
          <cell r="D814" t="str">
            <v>Long</v>
          </cell>
          <cell r="K814" t="str">
            <v>C2: High Yield</v>
          </cell>
        </row>
        <row r="815">
          <cell r="D815" t="str">
            <v>Long</v>
          </cell>
          <cell r="K815" t="str">
            <v>C2: High Yield</v>
          </cell>
        </row>
        <row r="816">
          <cell r="D816" t="str">
            <v>Long</v>
          </cell>
          <cell r="K816" t="str">
            <v>C2: High Yield</v>
          </cell>
        </row>
        <row r="817">
          <cell r="D817" t="str">
            <v>Long</v>
          </cell>
          <cell r="K817" t="str">
            <v>C2: High Yield</v>
          </cell>
        </row>
        <row r="818">
          <cell r="D818" t="str">
            <v>Long</v>
          </cell>
          <cell r="K818" t="str">
            <v>C1: Bank Debt</v>
          </cell>
        </row>
        <row r="819">
          <cell r="D819" t="str">
            <v>Long</v>
          </cell>
          <cell r="K819" t="str">
            <v>C1: Bank Debt</v>
          </cell>
        </row>
        <row r="820">
          <cell r="D820" t="str">
            <v>Long</v>
          </cell>
          <cell r="K820" t="str">
            <v>C1: Bank Debt</v>
          </cell>
        </row>
        <row r="821">
          <cell r="D821" t="str">
            <v>Long</v>
          </cell>
          <cell r="K821" t="str">
            <v>C1: Bank Debt</v>
          </cell>
        </row>
        <row r="822">
          <cell r="D822" t="str">
            <v>Long</v>
          </cell>
          <cell r="K822" t="str">
            <v>C1: Bank Debt</v>
          </cell>
        </row>
        <row r="823">
          <cell r="D823" t="str">
            <v>Long</v>
          </cell>
          <cell r="K823" t="str">
            <v>C2: High Yield</v>
          </cell>
        </row>
        <row r="824">
          <cell r="D824" t="str">
            <v>Long</v>
          </cell>
          <cell r="K824" t="str">
            <v>C2: High Yield</v>
          </cell>
        </row>
        <row r="825">
          <cell r="D825" t="str">
            <v>Long</v>
          </cell>
          <cell r="K825" t="str">
            <v>C2: High Yield</v>
          </cell>
        </row>
        <row r="826">
          <cell r="D826" t="str">
            <v>Long</v>
          </cell>
          <cell r="K826" t="str">
            <v>C2: High Yield</v>
          </cell>
        </row>
        <row r="827">
          <cell r="D827" t="str">
            <v>Long</v>
          </cell>
          <cell r="K827" t="str">
            <v>C2: High Yield</v>
          </cell>
        </row>
        <row r="828">
          <cell r="D828" t="str">
            <v>Long</v>
          </cell>
          <cell r="K828" t="str">
            <v>C2: High Yield</v>
          </cell>
        </row>
        <row r="829">
          <cell r="D829" t="str">
            <v>Long</v>
          </cell>
          <cell r="K829" t="str">
            <v>C2: High Yield</v>
          </cell>
        </row>
        <row r="830">
          <cell r="D830" t="str">
            <v>Long</v>
          </cell>
          <cell r="K830" t="str">
            <v>C1: Bank Debt</v>
          </cell>
        </row>
        <row r="831">
          <cell r="D831" t="str">
            <v>Long</v>
          </cell>
          <cell r="K831" t="str">
            <v>C1: Bank Debt</v>
          </cell>
        </row>
        <row r="832">
          <cell r="D832" t="str">
            <v>Long</v>
          </cell>
          <cell r="K832" t="str">
            <v>C1: Bank Debt</v>
          </cell>
        </row>
        <row r="833">
          <cell r="D833" t="str">
            <v>Long</v>
          </cell>
          <cell r="K833" t="str">
            <v>C2a: BD-HY Equivalent</v>
          </cell>
        </row>
        <row r="834">
          <cell r="D834" t="str">
            <v>Long</v>
          </cell>
          <cell r="K834" t="str">
            <v>C1: Bank Debt</v>
          </cell>
        </row>
        <row r="835">
          <cell r="D835" t="str">
            <v>Long</v>
          </cell>
          <cell r="K835" t="str">
            <v>C1: Bank Debt</v>
          </cell>
        </row>
        <row r="836">
          <cell r="D836" t="str">
            <v>Long</v>
          </cell>
          <cell r="K836" t="str">
            <v>C1: Bank Debt</v>
          </cell>
        </row>
        <row r="837">
          <cell r="D837" t="str">
            <v>Long</v>
          </cell>
          <cell r="K837" t="str">
            <v>C1: Bank Debt</v>
          </cell>
        </row>
        <row r="838">
          <cell r="D838" t="str">
            <v>Long</v>
          </cell>
          <cell r="K838" t="str">
            <v>C2: High Yield</v>
          </cell>
        </row>
        <row r="839">
          <cell r="D839" t="str">
            <v>Long</v>
          </cell>
          <cell r="K839" t="str">
            <v>C2: High Yield</v>
          </cell>
        </row>
        <row r="840">
          <cell r="D840" t="str">
            <v>Long</v>
          </cell>
          <cell r="K840" t="str">
            <v>C2: High Yield</v>
          </cell>
        </row>
        <row r="841">
          <cell r="D841" t="str">
            <v>Long</v>
          </cell>
          <cell r="K841" t="str">
            <v>C2: High Yield</v>
          </cell>
        </row>
        <row r="842">
          <cell r="D842" t="str">
            <v>Long</v>
          </cell>
          <cell r="K842" t="str">
            <v>C2: High Yield</v>
          </cell>
        </row>
        <row r="843">
          <cell r="D843" t="str">
            <v>Long</v>
          </cell>
          <cell r="K843" t="str">
            <v>C2a: BD-HY Equivalent</v>
          </cell>
        </row>
        <row r="844">
          <cell r="D844" t="str">
            <v>Long</v>
          </cell>
          <cell r="K844" t="str">
            <v>C2a: BD-HY Equivalent</v>
          </cell>
        </row>
        <row r="845">
          <cell r="D845" t="str">
            <v>Long</v>
          </cell>
          <cell r="K845" t="str">
            <v>C2a: BD-HY Equivalent</v>
          </cell>
        </row>
        <row r="846">
          <cell r="D846" t="str">
            <v>Long</v>
          </cell>
          <cell r="K846" t="str">
            <v>C2a: BD-HY Equivalent</v>
          </cell>
        </row>
        <row r="847">
          <cell r="D847" t="str">
            <v>Long</v>
          </cell>
          <cell r="K847" t="str">
            <v>C2a: BD-HY Equivalent</v>
          </cell>
        </row>
        <row r="848">
          <cell r="D848" t="str">
            <v>Short</v>
          </cell>
          <cell r="K848" t="str">
            <v>C3a: Outright Shorts</v>
          </cell>
        </row>
        <row r="849">
          <cell r="D849" t="str">
            <v>Short</v>
          </cell>
          <cell r="K849" t="str">
            <v>C3a: Outright Shorts</v>
          </cell>
        </row>
        <row r="850">
          <cell r="D850" t="str">
            <v>Short</v>
          </cell>
          <cell r="K850" t="str">
            <v>C3a: Outright Shorts</v>
          </cell>
        </row>
        <row r="851">
          <cell r="D851" t="str">
            <v>Short</v>
          </cell>
          <cell r="K851" t="str">
            <v>C3a: Outright Shorts</v>
          </cell>
        </row>
        <row r="852">
          <cell r="D852" t="str">
            <v>Short</v>
          </cell>
          <cell r="K852" t="str">
            <v>C3a: Outright Shorts</v>
          </cell>
        </row>
        <row r="853">
          <cell r="D853" t="str">
            <v>Long</v>
          </cell>
          <cell r="K853" t="str">
            <v>C1: Bank Debt</v>
          </cell>
        </row>
        <row r="854">
          <cell r="D854" t="str">
            <v>Long</v>
          </cell>
          <cell r="K854" t="str">
            <v>C1: Bank Debt</v>
          </cell>
        </row>
        <row r="855">
          <cell r="D855" t="str">
            <v>Long</v>
          </cell>
          <cell r="K855" t="str">
            <v>C2a: BD-HY Equivalent</v>
          </cell>
        </row>
        <row r="856">
          <cell r="D856" t="str">
            <v>Long</v>
          </cell>
          <cell r="K856" t="str">
            <v>C2a: BD-HY Equivalent</v>
          </cell>
        </row>
        <row r="857">
          <cell r="D857" t="str">
            <v>Long</v>
          </cell>
          <cell r="K857" t="str">
            <v>C2a: BD-HY Equivalent</v>
          </cell>
        </row>
        <row r="858">
          <cell r="D858" t="str">
            <v>Long</v>
          </cell>
          <cell r="K858" t="str">
            <v>C2a: BD-HY Equivalent</v>
          </cell>
        </row>
        <row r="859">
          <cell r="D859" t="str">
            <v>Long</v>
          </cell>
          <cell r="K859" t="str">
            <v>C2a: BD-HY Equivalent</v>
          </cell>
        </row>
        <row r="860">
          <cell r="D860" t="str">
            <v>Long</v>
          </cell>
          <cell r="K860" t="str">
            <v>C1: Bank Debt</v>
          </cell>
        </row>
        <row r="861">
          <cell r="D861" t="str">
            <v>Long</v>
          </cell>
          <cell r="K861" t="str">
            <v>C1: Bank Debt</v>
          </cell>
        </row>
        <row r="862">
          <cell r="D862" t="str">
            <v>Long</v>
          </cell>
          <cell r="K862" t="str">
            <v>C1: Bank Debt</v>
          </cell>
        </row>
        <row r="863">
          <cell r="D863" t="str">
            <v>Long</v>
          </cell>
          <cell r="K863" t="str">
            <v>C2: High Yield</v>
          </cell>
        </row>
        <row r="864">
          <cell r="D864" t="str">
            <v>Long</v>
          </cell>
          <cell r="K864" t="str">
            <v>C2: High Yield</v>
          </cell>
        </row>
        <row r="865">
          <cell r="D865" t="str">
            <v>Long</v>
          </cell>
          <cell r="K865" t="str">
            <v>C2: High Yield</v>
          </cell>
        </row>
        <row r="866">
          <cell r="D866" t="str">
            <v>Long</v>
          </cell>
          <cell r="K866" t="str">
            <v>C2: High Yield</v>
          </cell>
        </row>
        <row r="867">
          <cell r="D867" t="str">
            <v>Long</v>
          </cell>
          <cell r="K867" t="str">
            <v>C2: High Yield</v>
          </cell>
        </row>
        <row r="868">
          <cell r="D868" t="str">
            <v>Long</v>
          </cell>
          <cell r="K868" t="str">
            <v>C2: High Yield</v>
          </cell>
        </row>
        <row r="869">
          <cell r="D869" t="str">
            <v>Long</v>
          </cell>
          <cell r="K869" t="str">
            <v>C2: High Yield</v>
          </cell>
        </row>
        <row r="870">
          <cell r="D870" t="str">
            <v>Long</v>
          </cell>
          <cell r="K870" t="str">
            <v>C1: Bank Debt</v>
          </cell>
        </row>
        <row r="871">
          <cell r="D871" t="str">
            <v>Long</v>
          </cell>
          <cell r="K871" t="str">
            <v>C1: Bank Debt</v>
          </cell>
        </row>
        <row r="872">
          <cell r="D872" t="str">
            <v>Long</v>
          </cell>
          <cell r="K872" t="str">
            <v>C1: Bank Debt</v>
          </cell>
        </row>
        <row r="873">
          <cell r="D873" t="str">
            <v>Long</v>
          </cell>
          <cell r="K873" t="str">
            <v>C2: High Yield</v>
          </cell>
        </row>
        <row r="874">
          <cell r="D874" t="str">
            <v>Long</v>
          </cell>
          <cell r="K874" t="str">
            <v>C2: High Yield</v>
          </cell>
        </row>
        <row r="875">
          <cell r="D875" t="str">
            <v>Long</v>
          </cell>
          <cell r="K875" t="str">
            <v>C2: High Yield</v>
          </cell>
        </row>
        <row r="876">
          <cell r="D876" t="str">
            <v>Long</v>
          </cell>
          <cell r="K876" t="str">
            <v>C1: Bank Debt</v>
          </cell>
        </row>
        <row r="877">
          <cell r="D877" t="str">
            <v>Long</v>
          </cell>
          <cell r="K877" t="str">
            <v>C1: Bank Debt</v>
          </cell>
        </row>
        <row r="878">
          <cell r="D878" t="str">
            <v>Long</v>
          </cell>
          <cell r="K878" t="str">
            <v>C1: Bank Debt</v>
          </cell>
        </row>
        <row r="879">
          <cell r="D879" t="str">
            <v>Long</v>
          </cell>
          <cell r="K879" t="str">
            <v>C1: Bank Debt</v>
          </cell>
        </row>
        <row r="880">
          <cell r="D880" t="str">
            <v>Long</v>
          </cell>
          <cell r="K880" t="str">
            <v>C2: High Yield</v>
          </cell>
        </row>
        <row r="881">
          <cell r="D881" t="str">
            <v>Long</v>
          </cell>
          <cell r="K881" t="str">
            <v>C2: High Yield</v>
          </cell>
        </row>
        <row r="882">
          <cell r="D882" t="str">
            <v>Long</v>
          </cell>
          <cell r="K882" t="str">
            <v>C2: High Yield</v>
          </cell>
        </row>
        <row r="883">
          <cell r="D883" t="str">
            <v>Long</v>
          </cell>
          <cell r="K883" t="str">
            <v>C2: High Yield</v>
          </cell>
        </row>
        <row r="884">
          <cell r="D884" t="str">
            <v>Long</v>
          </cell>
          <cell r="K884" t="str">
            <v>C2: High Yield</v>
          </cell>
        </row>
        <row r="885">
          <cell r="D885" t="str">
            <v>Long</v>
          </cell>
          <cell r="K885" t="str">
            <v>C2: High Yield</v>
          </cell>
        </row>
        <row r="886">
          <cell r="D886" t="str">
            <v>Long</v>
          </cell>
          <cell r="K886" t="str">
            <v>C2: High Yield</v>
          </cell>
        </row>
        <row r="887">
          <cell r="D887" t="str">
            <v>Long</v>
          </cell>
          <cell r="K887" t="str">
            <v>C1: Bank Debt</v>
          </cell>
        </row>
        <row r="888">
          <cell r="D888" t="str">
            <v>Long</v>
          </cell>
          <cell r="K888" t="str">
            <v>C1: Bank Debt</v>
          </cell>
        </row>
        <row r="889">
          <cell r="D889" t="str">
            <v>Long</v>
          </cell>
          <cell r="K889" t="str">
            <v>C1: Bank Debt</v>
          </cell>
        </row>
        <row r="890">
          <cell r="D890" t="str">
            <v>Long</v>
          </cell>
          <cell r="K890" t="str">
            <v>C1: Bank Debt</v>
          </cell>
        </row>
        <row r="891">
          <cell r="D891" t="str">
            <v>Long</v>
          </cell>
          <cell r="K891" t="str">
            <v>C2a: BD-HY Equivalent</v>
          </cell>
        </row>
        <row r="892">
          <cell r="D892" t="str">
            <v>Long</v>
          </cell>
          <cell r="K892" t="str">
            <v>C2a: BD-HY Equivalent</v>
          </cell>
        </row>
        <row r="893">
          <cell r="D893" t="str">
            <v>Long</v>
          </cell>
          <cell r="K893" t="str">
            <v>C2a: BD-HY Equivalent</v>
          </cell>
        </row>
        <row r="894">
          <cell r="D894" t="str">
            <v>Long</v>
          </cell>
          <cell r="K894" t="str">
            <v>C2a: BD-HY Equivalent</v>
          </cell>
        </row>
        <row r="895">
          <cell r="D895" t="str">
            <v>Long</v>
          </cell>
          <cell r="K895" t="str">
            <v>C4: Other</v>
          </cell>
        </row>
        <row r="896">
          <cell r="D896" t="str">
            <v>Long</v>
          </cell>
          <cell r="K896" t="str">
            <v>C4: Other</v>
          </cell>
        </row>
        <row r="897">
          <cell r="D897" t="str">
            <v>Long</v>
          </cell>
          <cell r="K897" t="str">
            <v>C4: Other</v>
          </cell>
        </row>
        <row r="898">
          <cell r="D898" t="str">
            <v>Long</v>
          </cell>
          <cell r="K898" t="str">
            <v>C4: Other</v>
          </cell>
        </row>
        <row r="899">
          <cell r="D899" t="str">
            <v>Long</v>
          </cell>
          <cell r="K899" t="str">
            <v>C4: Other</v>
          </cell>
        </row>
        <row r="900">
          <cell r="D900" t="str">
            <v>Long</v>
          </cell>
          <cell r="K900" t="str">
            <v>C4: Other</v>
          </cell>
        </row>
        <row r="901">
          <cell r="D901" t="str">
            <v>Long</v>
          </cell>
          <cell r="K901" t="str">
            <v>C2: High Yield</v>
          </cell>
        </row>
        <row r="902">
          <cell r="D902" t="str">
            <v>Long</v>
          </cell>
          <cell r="K902" t="str">
            <v>C2: High Yield</v>
          </cell>
        </row>
        <row r="903">
          <cell r="D903" t="str">
            <v>Long</v>
          </cell>
          <cell r="K903" t="str">
            <v>C2: High Yield</v>
          </cell>
        </row>
        <row r="904">
          <cell r="D904" t="str">
            <v>Long</v>
          </cell>
          <cell r="K904" t="str">
            <v>C2: High Yield</v>
          </cell>
        </row>
        <row r="905">
          <cell r="D905" t="str">
            <v>Long</v>
          </cell>
          <cell r="K905" t="str">
            <v>C2: High Yield</v>
          </cell>
        </row>
        <row r="906">
          <cell r="D906" t="str">
            <v>Long</v>
          </cell>
          <cell r="K906" t="str">
            <v>C2: High Yield</v>
          </cell>
        </row>
        <row r="907">
          <cell r="D907" t="str">
            <v>Short</v>
          </cell>
          <cell r="K907" t="str">
            <v>C3a: Outright Shorts</v>
          </cell>
        </row>
        <row r="908">
          <cell r="D908" t="str">
            <v>Short</v>
          </cell>
          <cell r="K908" t="str">
            <v>C3a: Outright Shorts</v>
          </cell>
        </row>
        <row r="909">
          <cell r="D909" t="str">
            <v>Short</v>
          </cell>
          <cell r="K909" t="str">
            <v>C3a: Outright Shorts</v>
          </cell>
        </row>
        <row r="910">
          <cell r="D910" t="str">
            <v>Short</v>
          </cell>
          <cell r="K910" t="str">
            <v>C3a: Outright Shorts</v>
          </cell>
        </row>
        <row r="911">
          <cell r="D911" t="str">
            <v>Short</v>
          </cell>
          <cell r="K911" t="str">
            <v>C3a: Outright Shorts</v>
          </cell>
        </row>
        <row r="912">
          <cell r="D912" t="str">
            <v>Long</v>
          </cell>
          <cell r="K912" t="str">
            <v>C1: Bank Debt</v>
          </cell>
        </row>
        <row r="913">
          <cell r="D913" t="str">
            <v>Long</v>
          </cell>
          <cell r="K913" t="str">
            <v>C1: Bank Debt</v>
          </cell>
        </row>
        <row r="914">
          <cell r="D914" t="str">
            <v>Long</v>
          </cell>
          <cell r="K914" t="str">
            <v>C1: Bank Debt</v>
          </cell>
        </row>
        <row r="915">
          <cell r="D915" t="str">
            <v>Long</v>
          </cell>
          <cell r="K915" t="str">
            <v>C1: Bank Debt</v>
          </cell>
        </row>
        <row r="916">
          <cell r="D916" t="str">
            <v>Long</v>
          </cell>
          <cell r="K916" t="str">
            <v>C1: Bank Debt</v>
          </cell>
        </row>
        <row r="917">
          <cell r="D917" t="str">
            <v>Long</v>
          </cell>
          <cell r="K917" t="str">
            <v>C1: Bank Debt</v>
          </cell>
        </row>
        <row r="918">
          <cell r="D918" t="str">
            <v>Long</v>
          </cell>
          <cell r="K918" t="str">
            <v>C1: Bank Debt</v>
          </cell>
        </row>
        <row r="919">
          <cell r="D919" t="str">
            <v>Long</v>
          </cell>
          <cell r="K919" t="str">
            <v>C1: Bank Debt</v>
          </cell>
        </row>
        <row r="920">
          <cell r="D920" t="str">
            <v>Long</v>
          </cell>
          <cell r="K920" t="str">
            <v>C1: Bank Debt</v>
          </cell>
        </row>
        <row r="921">
          <cell r="D921" t="str">
            <v>Long</v>
          </cell>
          <cell r="K921" t="str">
            <v>C1: Bank Debt</v>
          </cell>
        </row>
        <row r="922">
          <cell r="D922" t="str">
            <v>Long</v>
          </cell>
          <cell r="K922" t="str">
            <v>C1: Bank Debt</v>
          </cell>
        </row>
        <row r="923">
          <cell r="D923" t="str">
            <v>Long</v>
          </cell>
          <cell r="K923" t="str">
            <v>C1: Bank Debt</v>
          </cell>
        </row>
        <row r="924">
          <cell r="D924" t="str">
            <v>Long</v>
          </cell>
          <cell r="K924" t="str">
            <v>C1: Bank Debt</v>
          </cell>
        </row>
        <row r="925">
          <cell r="D925" t="str">
            <v>Long</v>
          </cell>
          <cell r="K925" t="str">
            <v>C1: Bank Debt</v>
          </cell>
        </row>
        <row r="926">
          <cell r="D926" t="str">
            <v>Long</v>
          </cell>
          <cell r="K926" t="str">
            <v>C1: Bank Debt</v>
          </cell>
        </row>
        <row r="927">
          <cell r="D927" t="str">
            <v>Long</v>
          </cell>
          <cell r="K927" t="str">
            <v>C1: Bank Debt</v>
          </cell>
        </row>
        <row r="928">
          <cell r="D928" t="str">
            <v>Long</v>
          </cell>
          <cell r="K928" t="str">
            <v>C2: High Yield</v>
          </cell>
        </row>
        <row r="929">
          <cell r="D929" t="str">
            <v>Long</v>
          </cell>
          <cell r="K929" t="str">
            <v>C2: High Yield</v>
          </cell>
        </row>
        <row r="930">
          <cell r="D930" t="str">
            <v>Long</v>
          </cell>
          <cell r="K930" t="str">
            <v>C2: High Yield</v>
          </cell>
        </row>
        <row r="931">
          <cell r="D931" t="str">
            <v>Long</v>
          </cell>
          <cell r="K931" t="str">
            <v>C2: High Yield</v>
          </cell>
        </row>
        <row r="932">
          <cell r="D932" t="str">
            <v>Long</v>
          </cell>
          <cell r="K932" t="str">
            <v>C2: High Yield</v>
          </cell>
        </row>
        <row r="933">
          <cell r="D933" t="str">
            <v>Long</v>
          </cell>
          <cell r="K933" t="str">
            <v>C2: High Yield</v>
          </cell>
        </row>
        <row r="934">
          <cell r="D934" t="str">
            <v>Long</v>
          </cell>
          <cell r="K934" t="str">
            <v>C2: High Yield</v>
          </cell>
        </row>
        <row r="935">
          <cell r="D935" t="str">
            <v>Long</v>
          </cell>
          <cell r="K935" t="str">
            <v>C2: High Yield</v>
          </cell>
        </row>
        <row r="936">
          <cell r="D936" t="str">
            <v>Long</v>
          </cell>
          <cell r="K936" t="str">
            <v>C2: High Yield</v>
          </cell>
        </row>
        <row r="937">
          <cell r="D937" t="str">
            <v>Long</v>
          </cell>
          <cell r="K937" t="str">
            <v>C2: High Yield</v>
          </cell>
        </row>
        <row r="938">
          <cell r="D938" t="str">
            <v>Long</v>
          </cell>
          <cell r="K938" t="str">
            <v>C2: High Yield</v>
          </cell>
        </row>
        <row r="939">
          <cell r="D939" t="str">
            <v>Long</v>
          </cell>
          <cell r="K939" t="str">
            <v>C2: High Yield</v>
          </cell>
        </row>
        <row r="940">
          <cell r="D940" t="str">
            <v>Long</v>
          </cell>
          <cell r="K940" t="str">
            <v>C2: High Yield</v>
          </cell>
        </row>
        <row r="941">
          <cell r="D941" t="str">
            <v>Long</v>
          </cell>
          <cell r="K941" t="str">
            <v>C2: High Yield</v>
          </cell>
        </row>
        <row r="942">
          <cell r="D942" t="str">
            <v>Long</v>
          </cell>
          <cell r="K942" t="str">
            <v>C3a: Outright Shorts</v>
          </cell>
        </row>
        <row r="943">
          <cell r="D943" t="str">
            <v>Long</v>
          </cell>
          <cell r="K943" t="str">
            <v>C3a: Outright Shorts</v>
          </cell>
        </row>
        <row r="944">
          <cell r="D944" t="str">
            <v>Long</v>
          </cell>
          <cell r="K944" t="str">
            <v>C3a: Outright Shorts</v>
          </cell>
        </row>
        <row r="945">
          <cell r="D945" t="str">
            <v>Long</v>
          </cell>
          <cell r="K945" t="str">
            <v>C3a: Outright Shorts</v>
          </cell>
        </row>
        <row r="946">
          <cell r="D946" t="str">
            <v>Long</v>
          </cell>
          <cell r="K946" t="str">
            <v>C1: Bank Debt</v>
          </cell>
        </row>
        <row r="947">
          <cell r="D947" t="str">
            <v>Long</v>
          </cell>
          <cell r="K947" t="str">
            <v>C1: Bank Debt</v>
          </cell>
        </row>
        <row r="948">
          <cell r="D948" t="str">
            <v>Long</v>
          </cell>
          <cell r="K948" t="str">
            <v>C2: High Yield</v>
          </cell>
        </row>
        <row r="949">
          <cell r="D949" t="str">
            <v>Long</v>
          </cell>
          <cell r="K949" t="str">
            <v>C2: High Yield</v>
          </cell>
        </row>
        <row r="950">
          <cell r="D950" t="str">
            <v>Long</v>
          </cell>
          <cell r="K950" t="str">
            <v>C2: High Yield</v>
          </cell>
        </row>
        <row r="951">
          <cell r="D951" t="str">
            <v>Long</v>
          </cell>
          <cell r="K951" t="str">
            <v>C2: High Yield</v>
          </cell>
        </row>
        <row r="952">
          <cell r="D952" t="str">
            <v>Long</v>
          </cell>
          <cell r="K952" t="str">
            <v>C2: High Yield</v>
          </cell>
        </row>
        <row r="953">
          <cell r="D953" t="str">
            <v>Short</v>
          </cell>
          <cell r="K953" t="str">
            <v>C3a: Outright Shorts</v>
          </cell>
        </row>
        <row r="954">
          <cell r="D954" t="str">
            <v>Short</v>
          </cell>
          <cell r="K954" t="str">
            <v>C3a: Outright Shorts</v>
          </cell>
        </row>
        <row r="955">
          <cell r="D955" t="str">
            <v>Short</v>
          </cell>
          <cell r="K955" t="str">
            <v>C3a: Outright Shorts</v>
          </cell>
        </row>
        <row r="956">
          <cell r="D956" t="str">
            <v>Short</v>
          </cell>
          <cell r="K956" t="str">
            <v>C3: Capital Structure</v>
          </cell>
        </row>
        <row r="957">
          <cell r="D957" t="str">
            <v>Short</v>
          </cell>
          <cell r="K957" t="str">
            <v>C3: Capital Structure</v>
          </cell>
        </row>
        <row r="958">
          <cell r="D958" t="str">
            <v>Short</v>
          </cell>
          <cell r="K958" t="str">
            <v>C3: Capital Structure</v>
          </cell>
        </row>
        <row r="959">
          <cell r="D959" t="str">
            <v>Long</v>
          </cell>
          <cell r="K959" t="str">
            <v>C3: Capital Structure</v>
          </cell>
        </row>
        <row r="960">
          <cell r="D960" t="str">
            <v>Long</v>
          </cell>
          <cell r="K960" t="str">
            <v>C3: Capital Structure</v>
          </cell>
        </row>
        <row r="961">
          <cell r="D961" t="str">
            <v>Long</v>
          </cell>
          <cell r="K961" t="str">
            <v>C3: Capital Structure</v>
          </cell>
        </row>
        <row r="962">
          <cell r="D962" t="str">
            <v>Long</v>
          </cell>
          <cell r="K962" t="str">
            <v>C1: Bank Debt</v>
          </cell>
        </row>
        <row r="963">
          <cell r="D963" t="str">
            <v>Long</v>
          </cell>
          <cell r="K963" t="str">
            <v>C1: Bank Debt</v>
          </cell>
        </row>
        <row r="964">
          <cell r="D964" t="str">
            <v>Long</v>
          </cell>
          <cell r="K964" t="str">
            <v>C1: Bank Debt</v>
          </cell>
        </row>
        <row r="965">
          <cell r="D965" t="str">
            <v>Long</v>
          </cell>
          <cell r="K965" t="str">
            <v>C1: Bank Debt</v>
          </cell>
        </row>
        <row r="966">
          <cell r="D966" t="str">
            <v>Long</v>
          </cell>
          <cell r="K966" t="str">
            <v>C1: Bank Debt</v>
          </cell>
        </row>
        <row r="967">
          <cell r="D967" t="str">
            <v>Long</v>
          </cell>
          <cell r="K967" t="str">
            <v>C1a: HY-Bank Debt Equivalent</v>
          </cell>
        </row>
        <row r="968">
          <cell r="D968" t="str">
            <v>Long</v>
          </cell>
          <cell r="K968" t="str">
            <v>C1a: HY-Bank Debt Equivalent</v>
          </cell>
        </row>
        <row r="969">
          <cell r="D969" t="str">
            <v>Long</v>
          </cell>
          <cell r="K969" t="str">
            <v>C1a: HY-Bank Debt Equivalent</v>
          </cell>
        </row>
        <row r="970">
          <cell r="D970" t="str">
            <v>Long</v>
          </cell>
          <cell r="K970" t="str">
            <v>C1a: HY-Bank Debt Equivalent</v>
          </cell>
        </row>
        <row r="971">
          <cell r="D971" t="str">
            <v>Long</v>
          </cell>
          <cell r="K971" t="str">
            <v>C1a: HY-Bank Debt Equivalent</v>
          </cell>
        </row>
        <row r="972">
          <cell r="D972" t="str">
            <v>Long</v>
          </cell>
          <cell r="K972" t="str">
            <v>C1a: HY-Bank Debt Equivalent</v>
          </cell>
        </row>
        <row r="973">
          <cell r="D973" t="str">
            <v>Long</v>
          </cell>
          <cell r="K973" t="str">
            <v>C1a: HY-Bank Debt Equivalent</v>
          </cell>
        </row>
        <row r="974">
          <cell r="D974" t="str">
            <v>Long</v>
          </cell>
          <cell r="K974" t="str">
            <v>C1: Bank Debt</v>
          </cell>
        </row>
        <row r="975">
          <cell r="D975" t="str">
            <v>Long</v>
          </cell>
          <cell r="K975" t="str">
            <v>C1: Bank Debt</v>
          </cell>
        </row>
        <row r="976">
          <cell r="D976" t="str">
            <v>Long</v>
          </cell>
          <cell r="K976" t="str">
            <v>C1: Bank Debt</v>
          </cell>
        </row>
        <row r="977">
          <cell r="D977" t="str">
            <v>Long</v>
          </cell>
          <cell r="K977" t="str">
            <v>C1: Bank Debt</v>
          </cell>
        </row>
        <row r="978">
          <cell r="D978" t="str">
            <v>Long</v>
          </cell>
          <cell r="K978" t="str">
            <v>C1: Bank Debt</v>
          </cell>
        </row>
        <row r="979">
          <cell r="D979" t="str">
            <v>Short</v>
          </cell>
          <cell r="K979" t="str">
            <v>C4: Other</v>
          </cell>
        </row>
        <row r="980">
          <cell r="D980" t="str">
            <v>Short</v>
          </cell>
          <cell r="K980" t="str">
            <v>C4: Other</v>
          </cell>
        </row>
        <row r="981">
          <cell r="D981" t="str">
            <v>Short</v>
          </cell>
          <cell r="K981" t="str">
            <v>C4: Other</v>
          </cell>
        </row>
        <row r="982">
          <cell r="D982" t="str">
            <v>Short</v>
          </cell>
          <cell r="K982" t="str">
            <v>C4: Other</v>
          </cell>
        </row>
        <row r="983">
          <cell r="D983" t="str">
            <v>Short</v>
          </cell>
          <cell r="K983" t="str">
            <v>C4: Other</v>
          </cell>
        </row>
        <row r="984">
          <cell r="D984" t="str">
            <v>Short</v>
          </cell>
          <cell r="K984" t="str">
            <v>C4: Other</v>
          </cell>
        </row>
        <row r="985">
          <cell r="D985" t="str">
            <v>Long</v>
          </cell>
          <cell r="K985" t="str">
            <v>C1: Bank Debt</v>
          </cell>
        </row>
        <row r="986">
          <cell r="D986" t="str">
            <v>Long</v>
          </cell>
          <cell r="K986" t="str">
            <v>C1: Bank Debt</v>
          </cell>
        </row>
        <row r="987">
          <cell r="D987" t="str">
            <v>Short</v>
          </cell>
          <cell r="K987" t="str">
            <v>C3a: Outright Shorts</v>
          </cell>
        </row>
        <row r="988">
          <cell r="D988" t="str">
            <v>Short</v>
          </cell>
          <cell r="K988" t="str">
            <v>C3a: Outright Shorts</v>
          </cell>
        </row>
        <row r="989">
          <cell r="D989" t="str">
            <v>Short</v>
          </cell>
          <cell r="K989" t="str">
            <v>C3a: Outright Shorts</v>
          </cell>
        </row>
        <row r="990">
          <cell r="D990" t="str">
            <v>Short</v>
          </cell>
          <cell r="K990" t="str">
            <v>C3a: Outright Shorts</v>
          </cell>
        </row>
        <row r="991">
          <cell r="D991" t="str">
            <v>Short</v>
          </cell>
          <cell r="K991" t="str">
            <v>C3a: Outright Shorts</v>
          </cell>
        </row>
        <row r="992">
          <cell r="D992" t="str">
            <v>Short</v>
          </cell>
          <cell r="K992" t="str">
            <v>C3a: Outright Shorts</v>
          </cell>
        </row>
        <row r="993">
          <cell r="D993" t="str">
            <v>Short</v>
          </cell>
          <cell r="K993" t="str">
            <v>C3a: Outright Shorts</v>
          </cell>
        </row>
        <row r="994">
          <cell r="D994" t="str">
            <v>Short</v>
          </cell>
          <cell r="K994" t="str">
            <v>C3a: Outright Shorts</v>
          </cell>
        </row>
        <row r="995">
          <cell r="D995" t="str">
            <v>Short</v>
          </cell>
          <cell r="K995" t="str">
            <v>C3a: Outright Shorts</v>
          </cell>
        </row>
        <row r="996">
          <cell r="D996" t="str">
            <v>Long</v>
          </cell>
          <cell r="K996" t="str">
            <v>C2a: BD-HY Equivalent</v>
          </cell>
        </row>
        <row r="997">
          <cell r="D997" t="str">
            <v>Long</v>
          </cell>
          <cell r="K997" t="str">
            <v>C2a: BD-HY Equivalent</v>
          </cell>
        </row>
        <row r="998">
          <cell r="D998" t="str">
            <v>Long</v>
          </cell>
          <cell r="K998" t="str">
            <v>C2a: BD-HY Equivalent</v>
          </cell>
        </row>
        <row r="999">
          <cell r="D999" t="str">
            <v>Long</v>
          </cell>
          <cell r="K999" t="str">
            <v>C2a: BD-HY Equivalent</v>
          </cell>
        </row>
        <row r="1000">
          <cell r="D1000" t="str">
            <v>Long</v>
          </cell>
          <cell r="K1000" t="str">
            <v>C2a: BD-HY Equivalent</v>
          </cell>
        </row>
        <row r="1001">
          <cell r="D1001" t="str">
            <v>Long</v>
          </cell>
          <cell r="K1001" t="str">
            <v>C2a: BD-HY Equivalent</v>
          </cell>
        </row>
        <row r="1002">
          <cell r="D1002" t="str">
            <v>Long</v>
          </cell>
          <cell r="K1002" t="str">
            <v>C2a: BD-HY Equivalent</v>
          </cell>
        </row>
        <row r="1003">
          <cell r="D1003" t="str">
            <v>Long</v>
          </cell>
          <cell r="K1003" t="str">
            <v>C2a: BD-HY Equivalent</v>
          </cell>
        </row>
        <row r="1004">
          <cell r="D1004" t="str">
            <v>Long</v>
          </cell>
          <cell r="K1004" t="str">
            <v>C2a: BD-HY Equivalent</v>
          </cell>
        </row>
        <row r="1005">
          <cell r="D1005" t="str">
            <v>Long</v>
          </cell>
          <cell r="K1005" t="str">
            <v>C2a: BD-HY Equivalent</v>
          </cell>
        </row>
        <row r="1006">
          <cell r="D1006" t="str">
            <v>Long</v>
          </cell>
          <cell r="K1006" t="str">
            <v>C4: Other</v>
          </cell>
        </row>
        <row r="1007">
          <cell r="D1007" t="str">
            <v>Long</v>
          </cell>
          <cell r="K1007" t="str">
            <v>C4: Other</v>
          </cell>
        </row>
        <row r="1008">
          <cell r="D1008" t="str">
            <v>Long</v>
          </cell>
          <cell r="K1008" t="str">
            <v>C4: Other</v>
          </cell>
        </row>
        <row r="1009">
          <cell r="D1009" t="str">
            <v>Long</v>
          </cell>
          <cell r="K1009" t="str">
            <v>C4: Other</v>
          </cell>
        </row>
        <row r="1010">
          <cell r="D1010" t="str">
            <v>Long</v>
          </cell>
          <cell r="K1010" t="str">
            <v>C4: Other</v>
          </cell>
        </row>
        <row r="1011">
          <cell r="D1011" t="str">
            <v>Long</v>
          </cell>
          <cell r="K1011" t="str">
            <v>C4: Other</v>
          </cell>
        </row>
        <row r="1012">
          <cell r="D1012" t="str">
            <v>Long</v>
          </cell>
          <cell r="K1012" t="str">
            <v>C2: High Yield</v>
          </cell>
        </row>
        <row r="1013">
          <cell r="D1013" t="str">
            <v>Long</v>
          </cell>
          <cell r="K1013" t="str">
            <v>C2: High Yield</v>
          </cell>
        </row>
        <row r="1014">
          <cell r="D1014" t="str">
            <v>Long</v>
          </cell>
          <cell r="K1014" t="str">
            <v>C2: High Yield</v>
          </cell>
        </row>
        <row r="1015">
          <cell r="D1015" t="str">
            <v>Long</v>
          </cell>
          <cell r="K1015" t="str">
            <v>C2: High Yield</v>
          </cell>
        </row>
        <row r="1016">
          <cell r="D1016" t="str">
            <v>Long</v>
          </cell>
          <cell r="K1016" t="str">
            <v>C2: High Yield</v>
          </cell>
        </row>
        <row r="1017">
          <cell r="D1017" t="str">
            <v>Long</v>
          </cell>
          <cell r="K1017" t="str">
            <v>C2: High Yield</v>
          </cell>
        </row>
        <row r="1018">
          <cell r="D1018" t="str">
            <v>Long</v>
          </cell>
          <cell r="K1018" t="str">
            <v>C2: High Yield</v>
          </cell>
        </row>
        <row r="1019">
          <cell r="D1019" t="str">
            <v>Long</v>
          </cell>
          <cell r="K1019" t="str">
            <v>C2: High Yield</v>
          </cell>
        </row>
        <row r="1020">
          <cell r="D1020" t="str">
            <v>Long</v>
          </cell>
          <cell r="K1020" t="str">
            <v>C2: High Yield</v>
          </cell>
        </row>
        <row r="1021">
          <cell r="D1021" t="str">
            <v>Long</v>
          </cell>
          <cell r="K1021" t="str">
            <v>C2: High Yield</v>
          </cell>
        </row>
        <row r="1022">
          <cell r="D1022" t="str">
            <v>Long</v>
          </cell>
          <cell r="K1022" t="str">
            <v>C2: High Yield</v>
          </cell>
        </row>
        <row r="1023">
          <cell r="D1023" t="str">
            <v>Long</v>
          </cell>
          <cell r="K1023" t="str">
            <v>C2: High Yield</v>
          </cell>
        </row>
        <row r="1024">
          <cell r="D1024" t="str">
            <v>Long</v>
          </cell>
          <cell r="K1024" t="str">
            <v>C2: High Yield</v>
          </cell>
        </row>
        <row r="1025">
          <cell r="D1025" t="str">
            <v>Long</v>
          </cell>
          <cell r="K1025" t="str">
            <v>C2: High Yield</v>
          </cell>
        </row>
        <row r="1026">
          <cell r="D1026" t="str">
            <v>Long</v>
          </cell>
          <cell r="K1026" t="str">
            <v>C2: High Yield</v>
          </cell>
        </row>
        <row r="1027">
          <cell r="D1027" t="str">
            <v>Long</v>
          </cell>
          <cell r="K1027" t="str">
            <v>C2: High Yield</v>
          </cell>
        </row>
        <row r="1028">
          <cell r="D1028" t="str">
            <v>Long</v>
          </cell>
          <cell r="K1028" t="str">
            <v>C2: High Yield</v>
          </cell>
        </row>
        <row r="1029">
          <cell r="D1029" t="str">
            <v>Long</v>
          </cell>
          <cell r="K1029" t="str">
            <v>C2: High Yield</v>
          </cell>
        </row>
        <row r="1030">
          <cell r="D1030" t="str">
            <v>Long</v>
          </cell>
          <cell r="K1030" t="str">
            <v>C2: High Yield</v>
          </cell>
        </row>
        <row r="1031">
          <cell r="D1031" t="str">
            <v>Long</v>
          </cell>
          <cell r="K1031" t="str">
            <v>C2: High Yield</v>
          </cell>
        </row>
        <row r="1032">
          <cell r="D1032" t="str">
            <v>Long</v>
          </cell>
          <cell r="K1032" t="str">
            <v>C1: Bank Debt</v>
          </cell>
        </row>
        <row r="1033">
          <cell r="D1033" t="str">
            <v>Long</v>
          </cell>
          <cell r="K1033" t="str">
            <v>C1: Bank Debt</v>
          </cell>
        </row>
        <row r="1034">
          <cell r="D1034" t="str">
            <v>Long</v>
          </cell>
          <cell r="K1034" t="str">
            <v>C1: Bank Debt</v>
          </cell>
        </row>
        <row r="1035">
          <cell r="D1035" t="str">
            <v>Long</v>
          </cell>
          <cell r="K1035" t="str">
            <v>C1: Bank Debt</v>
          </cell>
        </row>
        <row r="1036">
          <cell r="D1036" t="str">
            <v>Long</v>
          </cell>
          <cell r="K1036" t="str">
            <v>C1: Bank Debt</v>
          </cell>
        </row>
        <row r="1037">
          <cell r="D1037" t="str">
            <v>Long</v>
          </cell>
          <cell r="K1037" t="str">
            <v>C1: Bank Debt</v>
          </cell>
        </row>
        <row r="1038">
          <cell r="D1038" t="str">
            <v>Long</v>
          </cell>
          <cell r="K1038" t="str">
            <v>C1: Bank Debt</v>
          </cell>
        </row>
        <row r="1039">
          <cell r="D1039" t="str">
            <v>Long</v>
          </cell>
          <cell r="K1039" t="str">
            <v>C2: High Yield</v>
          </cell>
        </row>
        <row r="1040">
          <cell r="D1040" t="str">
            <v>Long</v>
          </cell>
          <cell r="K1040" t="str">
            <v>C2: High Yield</v>
          </cell>
        </row>
        <row r="1041">
          <cell r="D1041" t="str">
            <v>Long</v>
          </cell>
          <cell r="K1041" t="str">
            <v>C2: High Yield</v>
          </cell>
        </row>
        <row r="1042">
          <cell r="D1042" t="str">
            <v>Long</v>
          </cell>
          <cell r="K1042" t="str">
            <v>C2: High Yield</v>
          </cell>
        </row>
        <row r="1043">
          <cell r="D1043" t="str">
            <v>Long</v>
          </cell>
          <cell r="K1043" t="str">
            <v>C2: High Yield</v>
          </cell>
        </row>
        <row r="1044">
          <cell r="D1044" t="str">
            <v>Long</v>
          </cell>
          <cell r="K1044" t="str">
            <v>C2: High Yield</v>
          </cell>
        </row>
        <row r="1045">
          <cell r="D1045" t="str">
            <v>Long</v>
          </cell>
          <cell r="K1045" t="str">
            <v>C2: High Yield</v>
          </cell>
        </row>
        <row r="1046">
          <cell r="D1046" t="str">
            <v>Long</v>
          </cell>
          <cell r="K1046" t="str">
            <v>C2: High Yield</v>
          </cell>
        </row>
        <row r="1047">
          <cell r="D1047" t="str">
            <v>Long</v>
          </cell>
          <cell r="K1047" t="str">
            <v>C2: High Yield</v>
          </cell>
        </row>
        <row r="1048">
          <cell r="D1048" t="str">
            <v>Long</v>
          </cell>
          <cell r="K1048" t="str">
            <v>C2: High Yield</v>
          </cell>
        </row>
        <row r="1049">
          <cell r="D1049" t="str">
            <v>Long</v>
          </cell>
          <cell r="K1049" t="str">
            <v>C1: Bank Debt</v>
          </cell>
        </row>
        <row r="1050">
          <cell r="D1050" t="str">
            <v>Long</v>
          </cell>
          <cell r="K1050" t="str">
            <v>C1: Bank Debt</v>
          </cell>
        </row>
        <row r="1051">
          <cell r="D1051" t="str">
            <v>Long</v>
          </cell>
          <cell r="K1051" t="str">
            <v>C1: Bank Debt</v>
          </cell>
        </row>
        <row r="1052">
          <cell r="D1052" t="str">
            <v>Long</v>
          </cell>
          <cell r="K1052" t="str">
            <v>C1: Bank Debt</v>
          </cell>
        </row>
        <row r="1053">
          <cell r="D1053" t="str">
            <v>Long</v>
          </cell>
          <cell r="K1053" t="str">
            <v>C1: Bank Debt</v>
          </cell>
        </row>
        <row r="1054">
          <cell r="D1054" t="str">
            <v>Long</v>
          </cell>
          <cell r="K1054" t="str">
            <v>C1: Bank Debt</v>
          </cell>
        </row>
        <row r="1055">
          <cell r="D1055" t="str">
            <v>Long</v>
          </cell>
          <cell r="K1055" t="str">
            <v>C1: Bank Debt</v>
          </cell>
        </row>
        <row r="1056">
          <cell r="D1056" t="str">
            <v>Long</v>
          </cell>
          <cell r="K1056" t="str">
            <v>C1: Bank Debt</v>
          </cell>
        </row>
        <row r="1057">
          <cell r="D1057" t="str">
            <v>Long</v>
          </cell>
          <cell r="K1057" t="str">
            <v>C1: Bank Debt</v>
          </cell>
        </row>
        <row r="1058">
          <cell r="D1058" t="str">
            <v>Long</v>
          </cell>
          <cell r="K1058" t="str">
            <v>C1: Bank Debt</v>
          </cell>
        </row>
        <row r="1059">
          <cell r="D1059" t="str">
            <v>Long</v>
          </cell>
          <cell r="K1059" t="str">
            <v>C1: Bank Debt</v>
          </cell>
        </row>
        <row r="1060">
          <cell r="D1060" t="str">
            <v>Long</v>
          </cell>
          <cell r="K1060" t="str">
            <v>C1: Bank Debt</v>
          </cell>
        </row>
        <row r="1061">
          <cell r="D1061" t="str">
            <v>Long</v>
          </cell>
          <cell r="K1061" t="str">
            <v>C1: Bank Debt</v>
          </cell>
        </row>
        <row r="1062">
          <cell r="D1062" t="str">
            <v>Long</v>
          </cell>
          <cell r="K1062" t="str">
            <v>C2a: BD-HY Equivalent</v>
          </cell>
        </row>
        <row r="1063">
          <cell r="D1063" t="str">
            <v>Long</v>
          </cell>
          <cell r="K1063" t="str">
            <v>C2a: BD-HY Equivalent</v>
          </cell>
        </row>
        <row r="1064">
          <cell r="D1064" t="str">
            <v>Long</v>
          </cell>
          <cell r="K1064" t="str">
            <v>C2a: BD-HY Equivalent</v>
          </cell>
        </row>
        <row r="1065">
          <cell r="D1065" t="str">
            <v>Long</v>
          </cell>
          <cell r="K1065" t="str">
            <v>C2a: BD-HY Equivalent</v>
          </cell>
        </row>
        <row r="1066">
          <cell r="D1066" t="str">
            <v>Long</v>
          </cell>
          <cell r="K1066" t="str">
            <v>C2a: BD-HY Equivalent</v>
          </cell>
        </row>
        <row r="1067">
          <cell r="D1067" t="str">
            <v>Long</v>
          </cell>
          <cell r="K1067" t="str">
            <v>C1: Bank Debt</v>
          </cell>
        </row>
        <row r="1068">
          <cell r="D1068" t="str">
            <v>Long</v>
          </cell>
          <cell r="K1068" t="str">
            <v>C1: Bank Debt</v>
          </cell>
        </row>
        <row r="1069">
          <cell r="D1069" t="str">
            <v>Long</v>
          </cell>
          <cell r="K1069" t="str">
            <v>C1: Bank Debt</v>
          </cell>
        </row>
        <row r="1070">
          <cell r="D1070" t="str">
            <v>Long</v>
          </cell>
          <cell r="K1070" t="str">
            <v>C1: Bank Debt</v>
          </cell>
        </row>
        <row r="1071">
          <cell r="D1071" t="str">
            <v>Long</v>
          </cell>
          <cell r="K1071" t="str">
            <v>C1: Bank Debt</v>
          </cell>
        </row>
        <row r="1072">
          <cell r="D1072" t="str">
            <v>Long</v>
          </cell>
          <cell r="K1072" t="str">
            <v>C1: Bank Debt</v>
          </cell>
        </row>
        <row r="1073">
          <cell r="D1073" t="str">
            <v>Long</v>
          </cell>
          <cell r="K1073" t="str">
            <v>C2a: BD-HY Equivalent</v>
          </cell>
        </row>
        <row r="1074">
          <cell r="D1074" t="str">
            <v>Long</v>
          </cell>
          <cell r="K1074" t="str">
            <v>C2a: BD-HY Equivalent</v>
          </cell>
        </row>
        <row r="1075">
          <cell r="D1075" t="str">
            <v>Long</v>
          </cell>
          <cell r="K1075" t="str">
            <v>C2a: BD-HY Equivalent</v>
          </cell>
        </row>
        <row r="1076">
          <cell r="D1076" t="str">
            <v>Long</v>
          </cell>
          <cell r="K1076" t="str">
            <v>C2a: BD-HY Equivalent</v>
          </cell>
        </row>
        <row r="1077">
          <cell r="D1077" t="str">
            <v>Long</v>
          </cell>
          <cell r="K1077" t="str">
            <v>C2a: BD-HY Equivalent</v>
          </cell>
        </row>
        <row r="1078">
          <cell r="D1078" t="str">
            <v>Long</v>
          </cell>
          <cell r="K1078" t="str">
            <v>C1: Bank Debt</v>
          </cell>
        </row>
        <row r="1079">
          <cell r="D1079" t="str">
            <v>Long</v>
          </cell>
          <cell r="K1079" t="str">
            <v>C1: Bank Debt</v>
          </cell>
        </row>
        <row r="1080">
          <cell r="D1080" t="str">
            <v>Long</v>
          </cell>
          <cell r="K1080" t="str">
            <v>C1: Bank Debt</v>
          </cell>
        </row>
        <row r="1081">
          <cell r="D1081" t="str">
            <v>Long</v>
          </cell>
          <cell r="K1081" t="str">
            <v>C1: Bank Debt</v>
          </cell>
        </row>
        <row r="1082">
          <cell r="D1082" t="str">
            <v>Long</v>
          </cell>
          <cell r="K1082" t="str">
            <v>C1: Bank Debt</v>
          </cell>
        </row>
        <row r="1083">
          <cell r="D1083" t="str">
            <v>Long</v>
          </cell>
          <cell r="K1083" t="str">
            <v>C1: Bank Debt</v>
          </cell>
        </row>
        <row r="1084">
          <cell r="D1084" t="str">
            <v>Long</v>
          </cell>
          <cell r="K1084" t="str">
            <v>C1: Bank Debt</v>
          </cell>
        </row>
        <row r="1085">
          <cell r="D1085" t="str">
            <v>Long</v>
          </cell>
          <cell r="K1085" t="str">
            <v>C1: Bank Debt</v>
          </cell>
        </row>
        <row r="1086">
          <cell r="D1086" t="str">
            <v>Long</v>
          </cell>
          <cell r="K1086" t="str">
            <v>C1: Bank Debt</v>
          </cell>
        </row>
        <row r="1087">
          <cell r="D1087" t="str">
            <v>Long</v>
          </cell>
          <cell r="K1087" t="str">
            <v>C2: High Yield</v>
          </cell>
        </row>
        <row r="1088">
          <cell r="D1088" t="str">
            <v>Long</v>
          </cell>
          <cell r="K1088" t="str">
            <v>C2: High Yield</v>
          </cell>
        </row>
        <row r="1089">
          <cell r="D1089" t="str">
            <v>Long</v>
          </cell>
          <cell r="K1089" t="str">
            <v>C2: High Yield</v>
          </cell>
        </row>
        <row r="1090">
          <cell r="D1090" t="str">
            <v>Long</v>
          </cell>
          <cell r="K1090" t="str">
            <v>C2: High Yield</v>
          </cell>
        </row>
        <row r="1091">
          <cell r="D1091" t="str">
            <v>Long</v>
          </cell>
          <cell r="K1091" t="str">
            <v>C2: High Yield</v>
          </cell>
        </row>
        <row r="1092">
          <cell r="D1092" t="str">
            <v>Long</v>
          </cell>
          <cell r="K1092" t="str">
            <v>C2: High Yield</v>
          </cell>
        </row>
        <row r="1093">
          <cell r="D1093" t="str">
            <v>Long</v>
          </cell>
          <cell r="K1093" t="str">
            <v>C2: High Yield</v>
          </cell>
        </row>
        <row r="1094">
          <cell r="D1094" t="str">
            <v>Long</v>
          </cell>
          <cell r="K1094" t="str">
            <v>C2: High Yield</v>
          </cell>
        </row>
        <row r="1095">
          <cell r="D1095" t="str">
            <v>Long</v>
          </cell>
          <cell r="K1095" t="str">
            <v>C2: High Yield</v>
          </cell>
        </row>
        <row r="1096">
          <cell r="D1096" t="str">
            <v>Long</v>
          </cell>
          <cell r="K1096" t="str">
            <v>C2: High Yield</v>
          </cell>
        </row>
        <row r="1097">
          <cell r="D1097" t="str">
            <v>Long</v>
          </cell>
          <cell r="K1097" t="str">
            <v>C2: High Yield</v>
          </cell>
        </row>
        <row r="1098">
          <cell r="D1098" t="str">
            <v>Long</v>
          </cell>
          <cell r="K1098" t="str">
            <v>C2: High Yield</v>
          </cell>
        </row>
        <row r="1099">
          <cell r="D1099" t="str">
            <v>Long</v>
          </cell>
          <cell r="K1099" t="str">
            <v>C2: High Yield</v>
          </cell>
        </row>
        <row r="1100">
          <cell r="D1100" t="str">
            <v>Long</v>
          </cell>
          <cell r="K1100" t="str">
            <v>C1: Bank Debt</v>
          </cell>
        </row>
        <row r="1101">
          <cell r="D1101" t="str">
            <v>Long</v>
          </cell>
          <cell r="K1101" t="str">
            <v>C1: Bank Debt</v>
          </cell>
        </row>
        <row r="1102">
          <cell r="D1102" t="str">
            <v>Long</v>
          </cell>
          <cell r="K1102" t="str">
            <v>C1: Bank Debt</v>
          </cell>
        </row>
        <row r="1103">
          <cell r="D1103" t="str">
            <v>Long</v>
          </cell>
          <cell r="K1103" t="str">
            <v>C1: Bank Debt</v>
          </cell>
        </row>
        <row r="1104">
          <cell r="D1104" t="str">
            <v>Long</v>
          </cell>
          <cell r="K1104" t="str">
            <v>C1: Bank Debt</v>
          </cell>
        </row>
        <row r="1105">
          <cell r="D1105" t="str">
            <v>Long</v>
          </cell>
          <cell r="K1105" t="str">
            <v>C2: High Yield</v>
          </cell>
        </row>
        <row r="1106">
          <cell r="D1106" t="str">
            <v>Long</v>
          </cell>
          <cell r="K1106" t="str">
            <v>C2: High Yield</v>
          </cell>
        </row>
        <row r="1107">
          <cell r="D1107" t="str">
            <v>Long</v>
          </cell>
          <cell r="K1107" t="str">
            <v>C2: High Yield</v>
          </cell>
        </row>
        <row r="1108">
          <cell r="D1108" t="str">
            <v>Long</v>
          </cell>
          <cell r="K1108" t="str">
            <v>C2: High Yield</v>
          </cell>
        </row>
        <row r="1109">
          <cell r="D1109" t="str">
            <v>Long</v>
          </cell>
          <cell r="K1109" t="str">
            <v>C2: High Yield</v>
          </cell>
        </row>
        <row r="1110">
          <cell r="D1110" t="str">
            <v>Long</v>
          </cell>
          <cell r="K1110" t="str">
            <v>C2: High Yield</v>
          </cell>
        </row>
        <row r="1111">
          <cell r="D1111" t="str">
            <v>Long</v>
          </cell>
          <cell r="K1111" t="str">
            <v>C2: High Yield</v>
          </cell>
        </row>
        <row r="1112">
          <cell r="D1112" t="str">
            <v>Long</v>
          </cell>
          <cell r="K1112" t="str">
            <v>C2: High Yield</v>
          </cell>
        </row>
        <row r="1113">
          <cell r="D1113" t="str">
            <v>Long</v>
          </cell>
          <cell r="K1113" t="str">
            <v>C2: High Yield</v>
          </cell>
        </row>
        <row r="1114">
          <cell r="D1114" t="str">
            <v>Long</v>
          </cell>
          <cell r="K1114" t="str">
            <v>C1: Bank Debt</v>
          </cell>
        </row>
        <row r="1115">
          <cell r="D1115" t="str">
            <v>Long</v>
          </cell>
          <cell r="K1115" t="str">
            <v>C1: Bank Debt</v>
          </cell>
        </row>
        <row r="1116">
          <cell r="D1116" t="str">
            <v>Long</v>
          </cell>
          <cell r="K1116" t="str">
            <v>C1: Bank Debt</v>
          </cell>
        </row>
        <row r="1117">
          <cell r="D1117" t="str">
            <v>Long</v>
          </cell>
          <cell r="K1117" t="str">
            <v>C2: High Yield</v>
          </cell>
        </row>
        <row r="1118">
          <cell r="D1118" t="str">
            <v>Long</v>
          </cell>
          <cell r="K1118" t="str">
            <v>C2: High Yield</v>
          </cell>
        </row>
        <row r="1119">
          <cell r="D1119" t="str">
            <v>Long</v>
          </cell>
          <cell r="K1119" t="str">
            <v>C2: High Yield</v>
          </cell>
        </row>
        <row r="1120">
          <cell r="D1120" t="str">
            <v>Long</v>
          </cell>
          <cell r="K1120" t="str">
            <v>C2: High Yield</v>
          </cell>
        </row>
        <row r="1121">
          <cell r="D1121" t="str">
            <v>Long</v>
          </cell>
          <cell r="K1121" t="str">
            <v>C1: Bank Debt</v>
          </cell>
        </row>
        <row r="1122">
          <cell r="D1122" t="str">
            <v>Long</v>
          </cell>
          <cell r="K1122" t="str">
            <v>C1: Bank Debt</v>
          </cell>
        </row>
        <row r="1123">
          <cell r="D1123" t="str">
            <v>Long</v>
          </cell>
          <cell r="K1123" t="str">
            <v>C1: Bank Debt</v>
          </cell>
        </row>
        <row r="1124">
          <cell r="D1124" t="str">
            <v>Long</v>
          </cell>
          <cell r="K1124" t="str">
            <v>C2: High Yield</v>
          </cell>
        </row>
        <row r="1125">
          <cell r="D1125" t="str">
            <v>Long</v>
          </cell>
          <cell r="K1125" t="str">
            <v>C2: High Yield</v>
          </cell>
        </row>
        <row r="1126">
          <cell r="D1126" t="str">
            <v>Long</v>
          </cell>
          <cell r="K1126" t="str">
            <v>C2: High Yield</v>
          </cell>
        </row>
        <row r="1127">
          <cell r="D1127" t="str">
            <v>Long</v>
          </cell>
          <cell r="K1127" t="str">
            <v>C2: High Yield</v>
          </cell>
        </row>
        <row r="1128">
          <cell r="D1128" t="str">
            <v>Long</v>
          </cell>
          <cell r="K1128" t="str">
            <v>C2: High Yield</v>
          </cell>
        </row>
        <row r="1129">
          <cell r="D1129" t="str">
            <v>Long</v>
          </cell>
          <cell r="K1129" t="str">
            <v>C2: High Yield</v>
          </cell>
        </row>
        <row r="1130">
          <cell r="D1130" t="str">
            <v>Long</v>
          </cell>
          <cell r="K1130" t="str">
            <v>C2: High Yield</v>
          </cell>
        </row>
        <row r="1131">
          <cell r="D1131" t="str">
            <v>Long</v>
          </cell>
          <cell r="K1131" t="str">
            <v>C2: High Yield</v>
          </cell>
        </row>
        <row r="1132">
          <cell r="D1132" t="str">
            <v>Long</v>
          </cell>
          <cell r="K1132" t="str">
            <v>C2: High Yield</v>
          </cell>
        </row>
        <row r="1133">
          <cell r="D1133" t="str">
            <v>Long</v>
          </cell>
          <cell r="K1133" t="str">
            <v>C1: Bank Debt</v>
          </cell>
        </row>
        <row r="1134">
          <cell r="D1134" t="str">
            <v>Long</v>
          </cell>
          <cell r="K1134" t="str">
            <v>C1: Bank Debt</v>
          </cell>
        </row>
        <row r="1135">
          <cell r="D1135" t="str">
            <v>Long</v>
          </cell>
          <cell r="K1135" t="str">
            <v>C1: Bank Debt</v>
          </cell>
        </row>
        <row r="1136">
          <cell r="D1136" t="str">
            <v>Long</v>
          </cell>
          <cell r="K1136" t="str">
            <v>C1: Bank Debt</v>
          </cell>
        </row>
        <row r="1137">
          <cell r="D1137" t="str">
            <v>Long</v>
          </cell>
          <cell r="K1137" t="str">
            <v>C1: Bank Debt</v>
          </cell>
        </row>
        <row r="1138">
          <cell r="D1138" t="str">
            <v>Long</v>
          </cell>
          <cell r="K1138" t="str">
            <v>C1: Bank Debt</v>
          </cell>
        </row>
        <row r="1139">
          <cell r="D1139" t="str">
            <v>Long</v>
          </cell>
          <cell r="K1139" t="str">
            <v>C1: Bank Debt</v>
          </cell>
        </row>
        <row r="1140">
          <cell r="D1140" t="str">
            <v>Long</v>
          </cell>
          <cell r="K1140" t="str">
            <v>C1: Bank Debt</v>
          </cell>
        </row>
        <row r="1141">
          <cell r="D1141" t="str">
            <v>Long</v>
          </cell>
          <cell r="K1141" t="str">
            <v>C1: Bank Debt</v>
          </cell>
        </row>
        <row r="1142">
          <cell r="D1142" t="str">
            <v>Long</v>
          </cell>
          <cell r="K1142" t="str">
            <v>C1: Bank Debt</v>
          </cell>
        </row>
        <row r="1143">
          <cell r="D1143" t="str">
            <v>Long</v>
          </cell>
          <cell r="K1143" t="str">
            <v>C1: Bank Debt</v>
          </cell>
        </row>
        <row r="1144">
          <cell r="D1144" t="str">
            <v>Long</v>
          </cell>
          <cell r="K1144" t="str">
            <v>C1: Bank Debt</v>
          </cell>
        </row>
        <row r="1145">
          <cell r="D1145" t="str">
            <v>Long</v>
          </cell>
          <cell r="K1145" t="str">
            <v>C1: Bank Debt</v>
          </cell>
        </row>
        <row r="1146">
          <cell r="D1146" t="str">
            <v>Long</v>
          </cell>
          <cell r="K1146" t="str">
            <v>C1: Bank Debt</v>
          </cell>
        </row>
        <row r="1147">
          <cell r="D1147" t="str">
            <v>Long</v>
          </cell>
          <cell r="K1147" t="str">
            <v>C1: Bank Debt</v>
          </cell>
        </row>
        <row r="1148">
          <cell r="D1148" t="str">
            <v>Long</v>
          </cell>
          <cell r="K1148" t="str">
            <v>C1: Bank Debt</v>
          </cell>
        </row>
        <row r="1149">
          <cell r="D1149" t="str">
            <v>Long</v>
          </cell>
          <cell r="K1149" t="str">
            <v>C1: Bank Debt</v>
          </cell>
        </row>
        <row r="1150">
          <cell r="D1150" t="str">
            <v>Long</v>
          </cell>
          <cell r="K1150" t="str">
            <v>C1: Bank Debt</v>
          </cell>
        </row>
        <row r="1151">
          <cell r="D1151" t="str">
            <v>Long</v>
          </cell>
          <cell r="K1151" t="str">
            <v>C1: Bank Debt</v>
          </cell>
        </row>
        <row r="1152">
          <cell r="D1152" t="str">
            <v>Long</v>
          </cell>
          <cell r="K1152" t="str">
            <v>C1: Bank Debt</v>
          </cell>
        </row>
        <row r="1153">
          <cell r="D1153" t="str">
            <v>Long</v>
          </cell>
          <cell r="K1153" t="str">
            <v>C1: Bank Debt</v>
          </cell>
        </row>
        <row r="1154">
          <cell r="D1154" t="str">
            <v>Long</v>
          </cell>
          <cell r="K1154" t="str">
            <v>C1: Bank Debt</v>
          </cell>
        </row>
        <row r="1155">
          <cell r="D1155" t="str">
            <v>Long</v>
          </cell>
          <cell r="K1155" t="str">
            <v>C1: Bank Debt</v>
          </cell>
        </row>
        <row r="1156">
          <cell r="D1156" t="str">
            <v>Long</v>
          </cell>
          <cell r="K1156" t="str">
            <v>C1: Bank Debt</v>
          </cell>
        </row>
        <row r="1157">
          <cell r="D1157" t="str">
            <v>Long</v>
          </cell>
          <cell r="K1157" t="str">
            <v>C2: High Yield</v>
          </cell>
        </row>
        <row r="1158">
          <cell r="D1158" t="str">
            <v>Long</v>
          </cell>
          <cell r="K1158" t="str">
            <v>C2: High Yield</v>
          </cell>
        </row>
        <row r="1159">
          <cell r="D1159" t="str">
            <v>Long</v>
          </cell>
          <cell r="K1159" t="str">
            <v>C2: High Yield</v>
          </cell>
        </row>
        <row r="1160">
          <cell r="D1160" t="str">
            <v>Long</v>
          </cell>
          <cell r="K1160" t="str">
            <v>C2: High Yield</v>
          </cell>
        </row>
        <row r="1161">
          <cell r="D1161" t="str">
            <v>Long</v>
          </cell>
          <cell r="K1161" t="str">
            <v>C4: Other</v>
          </cell>
        </row>
        <row r="1162">
          <cell r="D1162" t="str">
            <v>Long</v>
          </cell>
          <cell r="K1162" t="str">
            <v>C4: Other</v>
          </cell>
        </row>
        <row r="1163">
          <cell r="D1163" t="str">
            <v>Long</v>
          </cell>
          <cell r="K1163" t="str">
            <v>C4: Other</v>
          </cell>
        </row>
        <row r="1164">
          <cell r="D1164" t="str">
            <v>Long</v>
          </cell>
          <cell r="K1164" t="str">
            <v>C4: Other</v>
          </cell>
        </row>
        <row r="1165">
          <cell r="D1165" t="str">
            <v>Long</v>
          </cell>
          <cell r="K1165" t="str">
            <v>C2: High Yield</v>
          </cell>
        </row>
        <row r="1166">
          <cell r="D1166" t="str">
            <v>Long</v>
          </cell>
          <cell r="K1166" t="str">
            <v>C2: High Yield</v>
          </cell>
        </row>
        <row r="1167">
          <cell r="D1167" t="str">
            <v>Long</v>
          </cell>
          <cell r="K1167" t="str">
            <v>C2: High Yield</v>
          </cell>
        </row>
        <row r="1168">
          <cell r="D1168" t="str">
            <v>Long</v>
          </cell>
          <cell r="K1168" t="str">
            <v>C2: High Yield</v>
          </cell>
        </row>
        <row r="1169">
          <cell r="D1169" t="str">
            <v>Long</v>
          </cell>
          <cell r="K1169" t="str">
            <v>C2: High Yield</v>
          </cell>
        </row>
        <row r="1170">
          <cell r="D1170" t="str">
            <v>Long</v>
          </cell>
          <cell r="K1170" t="str">
            <v>C2: High Yield</v>
          </cell>
        </row>
        <row r="1171">
          <cell r="D1171" t="str">
            <v>Long</v>
          </cell>
          <cell r="K1171" t="str">
            <v>C2: High Yield</v>
          </cell>
        </row>
        <row r="1172">
          <cell r="D1172" t="str">
            <v>Long</v>
          </cell>
          <cell r="K1172" t="str">
            <v>C2: High Yield</v>
          </cell>
        </row>
        <row r="1173">
          <cell r="D1173" t="str">
            <v>Long</v>
          </cell>
          <cell r="K1173" t="str">
            <v>C2: High Yield</v>
          </cell>
        </row>
        <row r="1174">
          <cell r="D1174" t="str">
            <v>Long</v>
          </cell>
          <cell r="K1174" t="str">
            <v>C1: Bank Debt</v>
          </cell>
        </row>
        <row r="1175">
          <cell r="D1175" t="str">
            <v>Long</v>
          </cell>
          <cell r="K1175" t="str">
            <v>C1: Bank Debt</v>
          </cell>
        </row>
        <row r="1176">
          <cell r="D1176" t="str">
            <v>Long</v>
          </cell>
          <cell r="K1176" t="str">
            <v>C1: Bank Debt</v>
          </cell>
        </row>
        <row r="1177">
          <cell r="D1177" t="str">
            <v>Long</v>
          </cell>
          <cell r="K1177" t="str">
            <v>C1: Bank Debt</v>
          </cell>
        </row>
        <row r="1178">
          <cell r="D1178" t="str">
            <v>Long</v>
          </cell>
          <cell r="K1178" t="str">
            <v>C1: Bank Debt</v>
          </cell>
        </row>
        <row r="1179">
          <cell r="D1179" t="str">
            <v>Long</v>
          </cell>
          <cell r="K1179" t="str">
            <v>C1: Bank Debt</v>
          </cell>
        </row>
        <row r="1180">
          <cell r="D1180" t="str">
            <v>Long</v>
          </cell>
          <cell r="K1180" t="str">
            <v>C2: High Yield</v>
          </cell>
        </row>
        <row r="1181">
          <cell r="D1181" t="str">
            <v>Long</v>
          </cell>
          <cell r="K1181" t="str">
            <v>C2: High Yield</v>
          </cell>
        </row>
        <row r="1182">
          <cell r="D1182" t="str">
            <v>Long</v>
          </cell>
          <cell r="K1182" t="str">
            <v>C2: High Yield</v>
          </cell>
        </row>
        <row r="1183">
          <cell r="D1183" t="str">
            <v>Long</v>
          </cell>
          <cell r="K1183" t="str">
            <v>C2: High Yield</v>
          </cell>
        </row>
        <row r="1184">
          <cell r="D1184" t="str">
            <v>Long</v>
          </cell>
          <cell r="K1184" t="str">
            <v>C2: High Yield</v>
          </cell>
        </row>
        <row r="1185">
          <cell r="D1185" t="str">
            <v>Long</v>
          </cell>
          <cell r="K1185" t="str">
            <v>C2: High Yield</v>
          </cell>
        </row>
        <row r="1186">
          <cell r="D1186" t="str">
            <v>Long</v>
          </cell>
          <cell r="K1186" t="str">
            <v>C2: High Yield</v>
          </cell>
        </row>
        <row r="1187">
          <cell r="D1187" t="str">
            <v>Long</v>
          </cell>
          <cell r="K1187" t="str">
            <v>C2: High Yield</v>
          </cell>
        </row>
        <row r="1188">
          <cell r="D1188" t="str">
            <v>Long</v>
          </cell>
          <cell r="K1188" t="str">
            <v>C2: High Yield</v>
          </cell>
        </row>
        <row r="1189">
          <cell r="D1189" t="str">
            <v>Long</v>
          </cell>
          <cell r="K1189" t="str">
            <v>C2: High Yield</v>
          </cell>
        </row>
        <row r="1190">
          <cell r="D1190" t="str">
            <v>Long</v>
          </cell>
          <cell r="K1190" t="str">
            <v>C2: High Yield</v>
          </cell>
        </row>
        <row r="1191">
          <cell r="D1191" t="str">
            <v>Long</v>
          </cell>
          <cell r="K1191" t="str">
            <v>C2: High Yield</v>
          </cell>
        </row>
        <row r="1192">
          <cell r="D1192" t="str">
            <v>Long</v>
          </cell>
          <cell r="K1192" t="str">
            <v>C2: High Yield</v>
          </cell>
        </row>
        <row r="1193">
          <cell r="D1193" t="str">
            <v>Long</v>
          </cell>
          <cell r="K1193" t="str">
            <v>C2: High Yield</v>
          </cell>
        </row>
        <row r="1194">
          <cell r="D1194" t="str">
            <v>Short</v>
          </cell>
          <cell r="K1194" t="str">
            <v>C3a: Outright Shorts</v>
          </cell>
        </row>
        <row r="1195">
          <cell r="D1195" t="str">
            <v>Short</v>
          </cell>
          <cell r="K1195" t="str">
            <v>C3a: Outright Shorts</v>
          </cell>
        </row>
        <row r="1196">
          <cell r="D1196" t="str">
            <v>Short</v>
          </cell>
          <cell r="K1196" t="str">
            <v>C3a: Outright Shorts</v>
          </cell>
        </row>
        <row r="1197">
          <cell r="D1197" t="str">
            <v>Short</v>
          </cell>
          <cell r="K1197" t="str">
            <v>C3a: Outright Shorts</v>
          </cell>
        </row>
        <row r="1198">
          <cell r="D1198" t="str">
            <v>Long</v>
          </cell>
          <cell r="K1198" t="str">
            <v>C2: High Yield</v>
          </cell>
        </row>
        <row r="1199">
          <cell r="D1199" t="str">
            <v>Long</v>
          </cell>
          <cell r="K1199" t="str">
            <v>C2: High Yield</v>
          </cell>
        </row>
        <row r="1200">
          <cell r="D1200" t="str">
            <v>Long</v>
          </cell>
          <cell r="K1200" t="str">
            <v>C2: High Yield</v>
          </cell>
        </row>
        <row r="1201">
          <cell r="D1201" t="str">
            <v>Long</v>
          </cell>
          <cell r="K1201" t="str">
            <v>C2: High Yield</v>
          </cell>
        </row>
        <row r="1202">
          <cell r="D1202" t="str">
            <v>Long</v>
          </cell>
          <cell r="K1202" t="str">
            <v>C2: High Yield</v>
          </cell>
        </row>
        <row r="1203">
          <cell r="D1203" t="str">
            <v>Long</v>
          </cell>
          <cell r="K1203" t="str">
            <v>C2: High Yield</v>
          </cell>
        </row>
        <row r="1204">
          <cell r="D1204" t="str">
            <v>Long</v>
          </cell>
          <cell r="K1204" t="str">
            <v>C2: High Yield</v>
          </cell>
        </row>
        <row r="1205">
          <cell r="D1205" t="str">
            <v>Long</v>
          </cell>
          <cell r="K1205" t="str">
            <v>C2: High Yield</v>
          </cell>
        </row>
        <row r="1206">
          <cell r="D1206" t="str">
            <v>Long</v>
          </cell>
          <cell r="K1206" t="str">
            <v>C2: High Yield</v>
          </cell>
        </row>
        <row r="1207">
          <cell r="D1207" t="str">
            <v>Long</v>
          </cell>
          <cell r="K1207" t="str">
            <v>C2: High Yield</v>
          </cell>
        </row>
        <row r="1208">
          <cell r="D1208" t="str">
            <v>Long</v>
          </cell>
          <cell r="K1208" t="str">
            <v>C2: High Yield</v>
          </cell>
        </row>
        <row r="1209">
          <cell r="D1209" t="str">
            <v>Long</v>
          </cell>
          <cell r="K1209" t="str">
            <v>C2: High Yield</v>
          </cell>
        </row>
        <row r="1210">
          <cell r="D1210" t="str">
            <v>Long</v>
          </cell>
          <cell r="K1210" t="str">
            <v>C2: High Yield</v>
          </cell>
        </row>
        <row r="1211">
          <cell r="D1211" t="str">
            <v>Long</v>
          </cell>
          <cell r="K1211" t="str">
            <v>C2: High Yield</v>
          </cell>
        </row>
        <row r="1212">
          <cell r="D1212" t="str">
            <v>Long</v>
          </cell>
          <cell r="K1212" t="str">
            <v>C2a: BD-HY Equivalent</v>
          </cell>
        </row>
        <row r="1213">
          <cell r="D1213" t="str">
            <v>Long</v>
          </cell>
          <cell r="K1213" t="str">
            <v>C2a: BD-HY Equivalent</v>
          </cell>
        </row>
        <row r="1214">
          <cell r="D1214" t="str">
            <v>Long</v>
          </cell>
          <cell r="K1214" t="str">
            <v>C2a: BD-HY Equivalent</v>
          </cell>
        </row>
        <row r="1215">
          <cell r="D1215" t="str">
            <v>Short</v>
          </cell>
          <cell r="K1215" t="str">
            <v>C3a: Outright Shorts</v>
          </cell>
        </row>
        <row r="1216">
          <cell r="D1216" t="str">
            <v>Short</v>
          </cell>
          <cell r="K1216" t="str">
            <v>C3a: Outright Shorts</v>
          </cell>
        </row>
        <row r="1217">
          <cell r="D1217" t="str">
            <v>Short</v>
          </cell>
          <cell r="K1217" t="str">
            <v>C3a: Outright Shorts</v>
          </cell>
        </row>
        <row r="1218">
          <cell r="D1218" t="str">
            <v>Short</v>
          </cell>
          <cell r="K1218" t="str">
            <v>C3a: Outright Shorts</v>
          </cell>
        </row>
        <row r="1219">
          <cell r="D1219" t="str">
            <v>Short</v>
          </cell>
          <cell r="K1219" t="str">
            <v>C3a: Outright Shorts</v>
          </cell>
        </row>
        <row r="1220">
          <cell r="D1220" t="str">
            <v>Short</v>
          </cell>
          <cell r="K1220" t="str">
            <v>C3a: Outright Shorts</v>
          </cell>
        </row>
        <row r="1221">
          <cell r="D1221" t="str">
            <v>Short</v>
          </cell>
          <cell r="K1221" t="str">
            <v>C3a: Outright Shorts</v>
          </cell>
        </row>
        <row r="1222">
          <cell r="D1222" t="str">
            <v>Short</v>
          </cell>
          <cell r="K1222" t="str">
            <v>C3a: Outright Shorts</v>
          </cell>
        </row>
        <row r="1223">
          <cell r="D1223" t="str">
            <v>Short</v>
          </cell>
          <cell r="K1223" t="str">
            <v>C3a: Outright Shorts</v>
          </cell>
        </row>
        <row r="1224">
          <cell r="D1224" t="str">
            <v>Short</v>
          </cell>
          <cell r="K1224" t="str">
            <v>C3a: Outright Shorts</v>
          </cell>
        </row>
        <row r="1225">
          <cell r="D1225" t="str">
            <v>Long</v>
          </cell>
          <cell r="K1225" t="str">
            <v>C1: Bank Debt</v>
          </cell>
        </row>
        <row r="1226">
          <cell r="D1226" t="str">
            <v>Long</v>
          </cell>
          <cell r="K1226" t="str">
            <v>C1: Bank Debt</v>
          </cell>
        </row>
        <row r="1227">
          <cell r="D1227" t="str">
            <v>Long</v>
          </cell>
          <cell r="K1227" t="str">
            <v>C4: Other</v>
          </cell>
        </row>
        <row r="1228">
          <cell r="D1228" t="str">
            <v>Long</v>
          </cell>
          <cell r="K1228" t="str">
            <v>C4: Other</v>
          </cell>
        </row>
        <row r="1229">
          <cell r="D1229" t="str">
            <v>Long</v>
          </cell>
          <cell r="K1229" t="str">
            <v>C4: Other</v>
          </cell>
        </row>
        <row r="1230">
          <cell r="D1230" t="str">
            <v>Long</v>
          </cell>
          <cell r="K1230" t="str">
            <v>C4: Other</v>
          </cell>
        </row>
        <row r="1231">
          <cell r="D1231" t="str">
            <v>Long</v>
          </cell>
          <cell r="K1231" t="str">
            <v>C4: Other</v>
          </cell>
        </row>
        <row r="1232">
          <cell r="D1232" t="str">
            <v>Long</v>
          </cell>
          <cell r="K1232" t="str">
            <v>C4: Other</v>
          </cell>
        </row>
        <row r="1233">
          <cell r="D1233" t="str">
            <v>Long</v>
          </cell>
          <cell r="K1233" t="str">
            <v>C1: Bank Debt</v>
          </cell>
        </row>
        <row r="1234">
          <cell r="D1234" t="str">
            <v>Long</v>
          </cell>
          <cell r="K1234" t="str">
            <v>C1: Bank Debt</v>
          </cell>
        </row>
        <row r="1235">
          <cell r="D1235" t="str">
            <v>Long</v>
          </cell>
          <cell r="K1235" t="str">
            <v>C1: Bank Debt</v>
          </cell>
        </row>
        <row r="1236">
          <cell r="D1236" t="str">
            <v>Long</v>
          </cell>
          <cell r="K1236" t="str">
            <v>C1: Bank Debt</v>
          </cell>
        </row>
        <row r="1237">
          <cell r="D1237" t="str">
            <v>Long</v>
          </cell>
          <cell r="K1237" t="str">
            <v>C1: Bank Debt</v>
          </cell>
        </row>
        <row r="1238">
          <cell r="D1238" t="str">
            <v>Long</v>
          </cell>
          <cell r="K1238" t="str">
            <v>C1: Bank Debt</v>
          </cell>
        </row>
        <row r="1239">
          <cell r="D1239" t="str">
            <v>Long</v>
          </cell>
          <cell r="K1239" t="str">
            <v>C1: Bank Debt</v>
          </cell>
        </row>
        <row r="1240">
          <cell r="D1240" t="str">
            <v>Long</v>
          </cell>
          <cell r="K1240" t="str">
            <v>C1: Bank Debt</v>
          </cell>
        </row>
        <row r="1241">
          <cell r="D1241" t="str">
            <v>Short</v>
          </cell>
          <cell r="K1241" t="str">
            <v>C3a: Outright Shorts</v>
          </cell>
        </row>
        <row r="1242">
          <cell r="D1242" t="str">
            <v>Short</v>
          </cell>
          <cell r="K1242" t="str">
            <v>C3a: Outright Shorts</v>
          </cell>
        </row>
        <row r="1243">
          <cell r="D1243" t="str">
            <v>Short</v>
          </cell>
          <cell r="K1243" t="str">
            <v>C3a: Outright Shorts</v>
          </cell>
        </row>
        <row r="1244">
          <cell r="D1244" t="str">
            <v>Short</v>
          </cell>
          <cell r="K1244" t="str">
            <v>C3a: Outright Shorts</v>
          </cell>
        </row>
        <row r="1245">
          <cell r="D1245" t="str">
            <v>Short</v>
          </cell>
          <cell r="K1245" t="str">
            <v>C3a: Outright Shorts</v>
          </cell>
        </row>
        <row r="1246">
          <cell r="D1246" t="str">
            <v>Short</v>
          </cell>
          <cell r="K1246" t="str">
            <v>C3a: Outright Shorts</v>
          </cell>
        </row>
        <row r="1247">
          <cell r="D1247" t="str">
            <v>Short</v>
          </cell>
          <cell r="K1247" t="str">
            <v>C3a: Outright Shorts</v>
          </cell>
        </row>
        <row r="1248">
          <cell r="D1248" t="str">
            <v>Short</v>
          </cell>
          <cell r="K1248" t="str">
            <v>C3a: Outright Shorts</v>
          </cell>
        </row>
        <row r="1249">
          <cell r="D1249" t="str">
            <v>Short</v>
          </cell>
          <cell r="K1249" t="str">
            <v>C3a: Outright Shorts</v>
          </cell>
        </row>
        <row r="1250">
          <cell r="D1250" t="str">
            <v>Short</v>
          </cell>
          <cell r="K1250" t="str">
            <v>C3a: Outright Shorts</v>
          </cell>
        </row>
        <row r="1251">
          <cell r="D1251" t="str">
            <v>Short</v>
          </cell>
          <cell r="K1251" t="str">
            <v>C3a: Outright Shorts</v>
          </cell>
        </row>
        <row r="1252">
          <cell r="D1252" t="str">
            <v>Short</v>
          </cell>
          <cell r="K1252" t="str">
            <v>C3a: Outright Shorts</v>
          </cell>
        </row>
        <row r="1253">
          <cell r="D1253" t="str">
            <v>Short</v>
          </cell>
          <cell r="K1253" t="str">
            <v>C3a: Outright Shorts</v>
          </cell>
        </row>
        <row r="1254">
          <cell r="D1254" t="str">
            <v>Short</v>
          </cell>
          <cell r="K1254" t="str">
            <v>C3a: Outright Shorts</v>
          </cell>
        </row>
        <row r="1255">
          <cell r="D1255" t="str">
            <v>Short</v>
          </cell>
          <cell r="K1255" t="str">
            <v>C3a: Outright Shorts</v>
          </cell>
        </row>
        <row r="1256">
          <cell r="D1256" t="str">
            <v>Short</v>
          </cell>
          <cell r="K1256" t="str">
            <v>C3a: Outright Shorts</v>
          </cell>
        </row>
        <row r="1257">
          <cell r="D1257" t="str">
            <v>Short</v>
          </cell>
          <cell r="K1257" t="str">
            <v>C3a: Outright Shorts</v>
          </cell>
        </row>
        <row r="1258">
          <cell r="D1258" t="str">
            <v>Short</v>
          </cell>
          <cell r="K1258" t="str">
            <v>C3a: Outright Shorts</v>
          </cell>
        </row>
        <row r="1259">
          <cell r="D1259" t="str">
            <v>Short</v>
          </cell>
          <cell r="K1259" t="str">
            <v>C3a: Outright Shorts</v>
          </cell>
        </row>
        <row r="1260">
          <cell r="D1260" t="str">
            <v>Short</v>
          </cell>
          <cell r="K1260" t="str">
            <v>C3a: Outright Shorts</v>
          </cell>
        </row>
        <row r="1261">
          <cell r="D1261" t="str">
            <v>Long</v>
          </cell>
          <cell r="K1261" t="str">
            <v>C4: Other</v>
          </cell>
        </row>
        <row r="1262">
          <cell r="D1262" t="str">
            <v>Long</v>
          </cell>
          <cell r="K1262" t="str">
            <v>C4: Other</v>
          </cell>
        </row>
        <row r="1263">
          <cell r="D1263" t="str">
            <v>Long</v>
          </cell>
          <cell r="K1263" t="str">
            <v>C4: Other</v>
          </cell>
        </row>
        <row r="1264">
          <cell r="D1264" t="str">
            <v>Long</v>
          </cell>
          <cell r="K1264" t="str">
            <v>C4: Other</v>
          </cell>
        </row>
        <row r="1265">
          <cell r="D1265" t="str">
            <v>Long</v>
          </cell>
          <cell r="K1265" t="str">
            <v>C4: Other</v>
          </cell>
        </row>
        <row r="1266">
          <cell r="D1266" t="str">
            <v>Long</v>
          </cell>
          <cell r="K1266" t="str">
            <v>C4: Other</v>
          </cell>
        </row>
        <row r="1267">
          <cell r="D1267" t="str">
            <v>Long</v>
          </cell>
          <cell r="K1267" t="str">
            <v>C4: Other</v>
          </cell>
        </row>
        <row r="1268">
          <cell r="D1268" t="str">
            <v>Long</v>
          </cell>
          <cell r="K1268" t="str">
            <v>C4: Other</v>
          </cell>
        </row>
        <row r="1269">
          <cell r="D1269" t="str">
            <v>Long</v>
          </cell>
          <cell r="K1269" t="str">
            <v>C4: Other</v>
          </cell>
        </row>
        <row r="1270">
          <cell r="D1270" t="str">
            <v>Long</v>
          </cell>
          <cell r="K1270" t="str">
            <v>C4: Other</v>
          </cell>
        </row>
        <row r="1271">
          <cell r="D1271" t="str">
            <v>Long</v>
          </cell>
          <cell r="K1271" t="str">
            <v>C1: Bank Debt</v>
          </cell>
        </row>
        <row r="1272">
          <cell r="D1272" t="str">
            <v>Long</v>
          </cell>
          <cell r="K1272" t="str">
            <v>C1: Bank Debt</v>
          </cell>
        </row>
        <row r="1273">
          <cell r="D1273" t="str">
            <v>Long</v>
          </cell>
          <cell r="K1273" t="str">
            <v>C1: Bank Debt</v>
          </cell>
        </row>
        <row r="1274">
          <cell r="D1274" t="str">
            <v>Long</v>
          </cell>
          <cell r="K1274" t="str">
            <v>C1: Bank Debt</v>
          </cell>
        </row>
        <row r="1275">
          <cell r="D1275" t="str">
            <v>Long</v>
          </cell>
          <cell r="K1275" t="str">
            <v>C1: Bank Debt</v>
          </cell>
        </row>
        <row r="1276">
          <cell r="D1276" t="str">
            <v>Long</v>
          </cell>
          <cell r="K1276" t="str">
            <v>C1: Bank Debt</v>
          </cell>
        </row>
        <row r="1277">
          <cell r="D1277" t="str">
            <v>Long</v>
          </cell>
          <cell r="K1277" t="str">
            <v>C1: Bank Debt</v>
          </cell>
        </row>
        <row r="1278">
          <cell r="D1278" t="str">
            <v>Long</v>
          </cell>
          <cell r="K1278" t="str">
            <v>C1: Bank Debt</v>
          </cell>
        </row>
        <row r="1279">
          <cell r="D1279" t="str">
            <v>Long</v>
          </cell>
          <cell r="K1279" t="str">
            <v>C1: Bank Debt</v>
          </cell>
        </row>
        <row r="1280">
          <cell r="D1280" t="str">
            <v>Long</v>
          </cell>
          <cell r="K1280" t="str">
            <v>C2: High Yield</v>
          </cell>
        </row>
        <row r="1281">
          <cell r="D1281" t="str">
            <v>Long</v>
          </cell>
          <cell r="K1281" t="str">
            <v>C2: High Yield</v>
          </cell>
        </row>
        <row r="1282">
          <cell r="D1282" t="str">
            <v>Long</v>
          </cell>
          <cell r="K1282" t="str">
            <v>C2: High Yield</v>
          </cell>
        </row>
        <row r="1283">
          <cell r="D1283" t="str">
            <v>Long</v>
          </cell>
          <cell r="K1283" t="str">
            <v>C2: High Yield</v>
          </cell>
        </row>
        <row r="1284">
          <cell r="D1284" t="str">
            <v>Long</v>
          </cell>
          <cell r="K1284" t="str">
            <v>C2: High Yield</v>
          </cell>
        </row>
        <row r="1285">
          <cell r="D1285" t="str">
            <v>Long</v>
          </cell>
          <cell r="K1285" t="str">
            <v>C2: High Yield</v>
          </cell>
        </row>
        <row r="1286">
          <cell r="D1286" t="str">
            <v>Long</v>
          </cell>
          <cell r="K1286" t="str">
            <v>C2: High Yield</v>
          </cell>
        </row>
        <row r="1287">
          <cell r="D1287" t="str">
            <v>Long</v>
          </cell>
          <cell r="K1287" t="str">
            <v>C2: High Yield</v>
          </cell>
        </row>
        <row r="1288">
          <cell r="D1288" t="str">
            <v>Long</v>
          </cell>
          <cell r="K1288" t="str">
            <v>C2: High Yield</v>
          </cell>
        </row>
        <row r="1289">
          <cell r="D1289" t="str">
            <v>Long</v>
          </cell>
          <cell r="K1289" t="str">
            <v>C2: High Yield</v>
          </cell>
        </row>
        <row r="1290">
          <cell r="D1290" t="str">
            <v>Long</v>
          </cell>
          <cell r="K1290" t="str">
            <v>C2: High Yield</v>
          </cell>
        </row>
        <row r="1291">
          <cell r="D1291" t="str">
            <v>Long</v>
          </cell>
          <cell r="K1291" t="str">
            <v>C2: High Yield</v>
          </cell>
        </row>
        <row r="1292">
          <cell r="D1292" t="str">
            <v>Long</v>
          </cell>
          <cell r="K1292" t="str">
            <v>C2: High Yield</v>
          </cell>
        </row>
        <row r="1293">
          <cell r="D1293" t="str">
            <v>Short</v>
          </cell>
          <cell r="K1293" t="str">
            <v>C3a: Outright Shorts</v>
          </cell>
        </row>
        <row r="1294">
          <cell r="D1294" t="str">
            <v>Short</v>
          </cell>
          <cell r="K1294" t="str">
            <v>C3a: Outright Shorts</v>
          </cell>
        </row>
        <row r="1295">
          <cell r="D1295" t="str">
            <v>Short</v>
          </cell>
          <cell r="K1295" t="str">
            <v>C3a: Outright Shorts</v>
          </cell>
        </row>
        <row r="1296">
          <cell r="D1296" t="str">
            <v>Short</v>
          </cell>
          <cell r="K1296" t="str">
            <v>C3a: Outright Shorts</v>
          </cell>
        </row>
        <row r="1297">
          <cell r="D1297" t="str">
            <v>Short</v>
          </cell>
          <cell r="K1297" t="str">
            <v>C3a: Outright Shorts</v>
          </cell>
        </row>
        <row r="1298">
          <cell r="D1298" t="str">
            <v>Long</v>
          </cell>
          <cell r="K1298" t="str">
            <v>C2: High Yield</v>
          </cell>
        </row>
        <row r="1299">
          <cell r="D1299" t="str">
            <v>Long</v>
          </cell>
          <cell r="K1299" t="str">
            <v>C2: High Yield</v>
          </cell>
        </row>
        <row r="1300">
          <cell r="D1300" t="str">
            <v>Long</v>
          </cell>
          <cell r="K1300" t="str">
            <v>C2: High Yield</v>
          </cell>
        </row>
        <row r="1301">
          <cell r="D1301" t="str">
            <v>Long</v>
          </cell>
          <cell r="K1301" t="str">
            <v>C2: High Yield</v>
          </cell>
        </row>
        <row r="1302">
          <cell r="D1302" t="str">
            <v>Long</v>
          </cell>
          <cell r="K1302" t="str">
            <v>C2: High Yield</v>
          </cell>
        </row>
        <row r="1303">
          <cell r="D1303" t="str">
            <v>Long</v>
          </cell>
          <cell r="K1303" t="str">
            <v>C2: High Yield</v>
          </cell>
        </row>
        <row r="1304">
          <cell r="D1304" t="str">
            <v>Long</v>
          </cell>
          <cell r="K1304" t="str">
            <v>C2: High Yield</v>
          </cell>
        </row>
        <row r="1305">
          <cell r="D1305" t="str">
            <v>Long</v>
          </cell>
          <cell r="K1305" t="str">
            <v>C2: High Yield</v>
          </cell>
        </row>
        <row r="1306">
          <cell r="D1306" t="str">
            <v>Long</v>
          </cell>
          <cell r="K1306" t="str">
            <v>C2: High Yield</v>
          </cell>
        </row>
        <row r="1307">
          <cell r="D1307" t="str">
            <v>Long</v>
          </cell>
          <cell r="K1307" t="str">
            <v>C2: High Yield</v>
          </cell>
        </row>
        <row r="1308">
          <cell r="D1308" t="str">
            <v>Long</v>
          </cell>
          <cell r="K1308" t="str">
            <v>C2: High Yield</v>
          </cell>
        </row>
        <row r="1309">
          <cell r="D1309" t="str">
            <v>Long</v>
          </cell>
          <cell r="K1309" t="str">
            <v>C2: High Yield</v>
          </cell>
        </row>
        <row r="1310">
          <cell r="D1310" t="str">
            <v>Long</v>
          </cell>
          <cell r="K1310" t="str">
            <v>C2: High Yield</v>
          </cell>
        </row>
        <row r="1311">
          <cell r="D1311" t="str">
            <v>Long</v>
          </cell>
          <cell r="K1311" t="str">
            <v>C1: Bank Debt</v>
          </cell>
        </row>
        <row r="1312">
          <cell r="D1312" t="str">
            <v>Long</v>
          </cell>
          <cell r="K1312" t="str">
            <v>C1: Bank Debt</v>
          </cell>
        </row>
        <row r="1313">
          <cell r="D1313" t="str">
            <v>Long</v>
          </cell>
          <cell r="K1313" t="str">
            <v>C1: Bank Debt</v>
          </cell>
        </row>
        <row r="1314">
          <cell r="D1314" t="str">
            <v>Long</v>
          </cell>
          <cell r="K1314" t="str">
            <v>C1: Bank Debt</v>
          </cell>
        </row>
        <row r="1315">
          <cell r="D1315" t="str">
            <v>Long</v>
          </cell>
          <cell r="K1315" t="str">
            <v>C2: High Yield</v>
          </cell>
        </row>
        <row r="1316">
          <cell r="D1316" t="str">
            <v>Long</v>
          </cell>
          <cell r="K1316" t="str">
            <v>C2: High Yield</v>
          </cell>
        </row>
        <row r="1317">
          <cell r="D1317" t="str">
            <v>Long</v>
          </cell>
          <cell r="K1317" t="str">
            <v>C2: High Yield</v>
          </cell>
        </row>
        <row r="1318">
          <cell r="D1318" t="str">
            <v>Long</v>
          </cell>
          <cell r="K1318" t="str">
            <v>C2: High Yield</v>
          </cell>
        </row>
        <row r="1319">
          <cell r="D1319" t="str">
            <v>Long</v>
          </cell>
          <cell r="K1319" t="str">
            <v>C2: High Yield</v>
          </cell>
        </row>
        <row r="1320">
          <cell r="D1320" t="str">
            <v>Long</v>
          </cell>
          <cell r="K1320" t="str">
            <v>C2: High Yield</v>
          </cell>
        </row>
        <row r="1321">
          <cell r="D1321" t="str">
            <v>Long</v>
          </cell>
          <cell r="K1321" t="str">
            <v>C2: High Yield</v>
          </cell>
        </row>
        <row r="1322">
          <cell r="D1322" t="str">
            <v>Short</v>
          </cell>
          <cell r="K1322" t="str">
            <v>C3a: Outright Shorts</v>
          </cell>
        </row>
        <row r="1323">
          <cell r="D1323" t="str">
            <v>Short</v>
          </cell>
          <cell r="K1323" t="str">
            <v>C3a: Outright Shorts</v>
          </cell>
        </row>
        <row r="1324">
          <cell r="D1324" t="str">
            <v>Short</v>
          </cell>
          <cell r="K1324" t="str">
            <v>C3a: Outright Shorts</v>
          </cell>
        </row>
        <row r="1325">
          <cell r="D1325" t="str">
            <v>Short</v>
          </cell>
          <cell r="K1325" t="str">
            <v>C3a: Outright Shorts</v>
          </cell>
        </row>
        <row r="1326">
          <cell r="D1326" t="str">
            <v>Short</v>
          </cell>
          <cell r="K1326" t="str">
            <v>C3a: Outright Shorts</v>
          </cell>
        </row>
        <row r="1327">
          <cell r="D1327" t="str">
            <v>Long</v>
          </cell>
          <cell r="K1327" t="str">
            <v>C4: Other</v>
          </cell>
        </row>
        <row r="1328">
          <cell r="D1328" t="str">
            <v>Long</v>
          </cell>
          <cell r="K1328" t="str">
            <v>C4: Other</v>
          </cell>
        </row>
        <row r="1329">
          <cell r="D1329" t="str">
            <v>Long</v>
          </cell>
          <cell r="K1329" t="str">
            <v>C4: Other</v>
          </cell>
        </row>
        <row r="1330">
          <cell r="D1330" t="str">
            <v>Long</v>
          </cell>
          <cell r="K1330" t="str">
            <v>C1: Bank Debt</v>
          </cell>
        </row>
        <row r="1331">
          <cell r="D1331" t="str">
            <v>Long</v>
          </cell>
          <cell r="K1331" t="str">
            <v>C1: Bank Debt</v>
          </cell>
        </row>
        <row r="1332">
          <cell r="D1332" t="str">
            <v>Long</v>
          </cell>
          <cell r="K1332" t="str">
            <v>C1: Bank Debt</v>
          </cell>
        </row>
        <row r="1333">
          <cell r="D1333" t="str">
            <v>Long</v>
          </cell>
          <cell r="K1333" t="str">
            <v>C4: Other</v>
          </cell>
        </row>
        <row r="1334">
          <cell r="D1334" t="str">
            <v>Long</v>
          </cell>
          <cell r="K1334" t="str">
            <v>C4: Other</v>
          </cell>
        </row>
        <row r="1335">
          <cell r="D1335" t="str">
            <v>Long</v>
          </cell>
          <cell r="K1335" t="str">
            <v>C4: Other</v>
          </cell>
        </row>
        <row r="1336">
          <cell r="D1336" t="str">
            <v>Long</v>
          </cell>
          <cell r="K1336" t="str">
            <v>C4: Other</v>
          </cell>
        </row>
        <row r="1337">
          <cell r="D1337" t="str">
            <v>Long</v>
          </cell>
          <cell r="K1337" t="str">
            <v>C4: Other</v>
          </cell>
        </row>
        <row r="1338">
          <cell r="D1338" t="str">
            <v>Long</v>
          </cell>
          <cell r="K1338" t="str">
            <v>C4: Other</v>
          </cell>
        </row>
        <row r="1339">
          <cell r="D1339" t="str">
            <v>Long</v>
          </cell>
          <cell r="K1339" t="str">
            <v>C4: Other</v>
          </cell>
        </row>
        <row r="1340">
          <cell r="D1340" t="str">
            <v>Long</v>
          </cell>
          <cell r="K1340" t="str">
            <v>C4: Other</v>
          </cell>
        </row>
        <row r="1341">
          <cell r="D1341" t="str">
            <v>Long</v>
          </cell>
          <cell r="K1341" t="str">
            <v>C4: Other</v>
          </cell>
        </row>
        <row r="1342">
          <cell r="D1342" t="str">
            <v>Long</v>
          </cell>
          <cell r="K1342" t="str">
            <v>C4: Other</v>
          </cell>
        </row>
        <row r="1343">
          <cell r="D1343" t="str">
            <v>Long</v>
          </cell>
          <cell r="K1343" t="str">
            <v>C4: Other</v>
          </cell>
        </row>
        <row r="1344">
          <cell r="D1344" t="str">
            <v>Long</v>
          </cell>
          <cell r="K1344" t="str">
            <v>C4: Other</v>
          </cell>
        </row>
        <row r="1345">
          <cell r="D1345" t="str">
            <v>Long</v>
          </cell>
          <cell r="K1345" t="str">
            <v>C1: Bank Debt</v>
          </cell>
        </row>
        <row r="1346">
          <cell r="D1346" t="str">
            <v>Long</v>
          </cell>
          <cell r="K1346" t="str">
            <v>C2a: BD-HY Equivalent</v>
          </cell>
        </row>
        <row r="1347">
          <cell r="D1347" t="str">
            <v>Long</v>
          </cell>
          <cell r="K1347" t="str">
            <v>C2a: BD-HY Equivalent</v>
          </cell>
        </row>
        <row r="1348">
          <cell r="D1348" t="str">
            <v>Long</v>
          </cell>
          <cell r="K1348" t="str">
            <v>C2a: BD-HY Equivalent</v>
          </cell>
        </row>
        <row r="1349">
          <cell r="D1349" t="str">
            <v>Long</v>
          </cell>
          <cell r="K1349" t="str">
            <v>C2a: BD-HY Equivalent</v>
          </cell>
        </row>
        <row r="1350">
          <cell r="D1350" t="str">
            <v>Long</v>
          </cell>
          <cell r="K1350" t="str">
            <v>C2a: BD-HY Equivalent</v>
          </cell>
        </row>
        <row r="1351">
          <cell r="D1351" t="str">
            <v>Long</v>
          </cell>
          <cell r="K1351" t="str">
            <v>C2a: BD-HY Equivalent</v>
          </cell>
        </row>
        <row r="1352">
          <cell r="D1352" t="str">
            <v>Long</v>
          </cell>
          <cell r="K1352" t="str">
            <v>C2a: BD-HY Equivalent</v>
          </cell>
        </row>
        <row r="1353">
          <cell r="D1353" t="str">
            <v>Long</v>
          </cell>
          <cell r="K1353" t="str">
            <v>C3: Capital Structure</v>
          </cell>
        </row>
        <row r="1354">
          <cell r="D1354" t="str">
            <v>Long</v>
          </cell>
          <cell r="K1354" t="str">
            <v>C3: Capital Structure</v>
          </cell>
        </row>
        <row r="1355">
          <cell r="D1355" t="str">
            <v>Long</v>
          </cell>
          <cell r="K1355" t="str">
            <v>C3: Capital Structure</v>
          </cell>
        </row>
        <row r="1356">
          <cell r="D1356" t="str">
            <v>Long</v>
          </cell>
          <cell r="K1356" t="str">
            <v>C3: Capital Structure</v>
          </cell>
        </row>
        <row r="1357">
          <cell r="D1357" t="str">
            <v>Long</v>
          </cell>
          <cell r="K1357" t="str">
            <v>C3: Capital Structure</v>
          </cell>
        </row>
        <row r="1358">
          <cell r="D1358" t="str">
            <v>Long</v>
          </cell>
          <cell r="K1358" t="str">
            <v>C3: Capital Structure</v>
          </cell>
        </row>
        <row r="1359">
          <cell r="D1359" t="str">
            <v>Long</v>
          </cell>
          <cell r="K1359" t="str">
            <v>C3: Capital Structure</v>
          </cell>
        </row>
        <row r="1360">
          <cell r="D1360" t="str">
            <v>Short</v>
          </cell>
          <cell r="K1360" t="str">
            <v>C3: Capital Structure</v>
          </cell>
        </row>
        <row r="1361">
          <cell r="D1361" t="str">
            <v>Short</v>
          </cell>
          <cell r="K1361" t="str">
            <v>C3: Capital Structure</v>
          </cell>
        </row>
        <row r="1362">
          <cell r="D1362" t="str">
            <v>Short</v>
          </cell>
          <cell r="K1362" t="str">
            <v>C3: Capital Structure</v>
          </cell>
        </row>
        <row r="1363">
          <cell r="D1363" t="str">
            <v>Long</v>
          </cell>
          <cell r="K1363" t="str">
            <v>C2: High Yield</v>
          </cell>
        </row>
        <row r="1364">
          <cell r="D1364" t="str">
            <v>Long</v>
          </cell>
          <cell r="K1364" t="str">
            <v>C2: High Yield</v>
          </cell>
        </row>
        <row r="1365">
          <cell r="D1365" t="str">
            <v>Long</v>
          </cell>
          <cell r="K1365" t="str">
            <v>C2: High Yield</v>
          </cell>
        </row>
        <row r="1366">
          <cell r="D1366" t="str">
            <v>Long</v>
          </cell>
          <cell r="K1366" t="str">
            <v>C2: High Yield</v>
          </cell>
        </row>
        <row r="1367">
          <cell r="D1367" t="str">
            <v>Long</v>
          </cell>
          <cell r="K1367" t="str">
            <v>C2: High Yield</v>
          </cell>
        </row>
        <row r="1368">
          <cell r="D1368" t="str">
            <v>Long</v>
          </cell>
          <cell r="K1368" t="str">
            <v>C2: High Yield</v>
          </cell>
        </row>
        <row r="1369">
          <cell r="D1369" t="str">
            <v>Long</v>
          </cell>
          <cell r="K1369" t="str">
            <v>C2: High Yield</v>
          </cell>
        </row>
        <row r="1370">
          <cell r="D1370" t="str">
            <v>Long</v>
          </cell>
          <cell r="K1370" t="str">
            <v>C2: High Yield</v>
          </cell>
        </row>
        <row r="1371">
          <cell r="D1371" t="str">
            <v>Long</v>
          </cell>
          <cell r="K1371" t="str">
            <v>C2: High Yield</v>
          </cell>
        </row>
        <row r="1372">
          <cell r="D1372" t="str">
            <v>Long</v>
          </cell>
          <cell r="K1372" t="str">
            <v>C2: High Yield</v>
          </cell>
        </row>
        <row r="1373">
          <cell r="D1373" t="str">
            <v>Long</v>
          </cell>
          <cell r="K1373" t="str">
            <v>C2: High Yield</v>
          </cell>
        </row>
        <row r="1374">
          <cell r="D1374" t="str">
            <v>Long</v>
          </cell>
          <cell r="K1374" t="str">
            <v>C2: High Yield</v>
          </cell>
        </row>
        <row r="1375">
          <cell r="D1375" t="str">
            <v>Long</v>
          </cell>
          <cell r="K1375" t="str">
            <v>C2: High Yield</v>
          </cell>
        </row>
        <row r="1376">
          <cell r="D1376" t="str">
            <v>Long</v>
          </cell>
          <cell r="K1376" t="str">
            <v>C2: High Yield</v>
          </cell>
        </row>
        <row r="1377">
          <cell r="D1377" t="str">
            <v>Short</v>
          </cell>
          <cell r="K1377" t="str">
            <v>C3a: Outright Shorts</v>
          </cell>
        </row>
        <row r="1378">
          <cell r="D1378" t="str">
            <v>Short</v>
          </cell>
          <cell r="K1378" t="str">
            <v>C3a: Outright Shorts</v>
          </cell>
        </row>
        <row r="1379">
          <cell r="D1379" t="str">
            <v>Short</v>
          </cell>
          <cell r="K1379" t="str">
            <v>C3a: Outright Shorts</v>
          </cell>
        </row>
        <row r="1380">
          <cell r="D1380" t="str">
            <v>Short</v>
          </cell>
          <cell r="K1380" t="str">
            <v>C3a: Outright Shorts</v>
          </cell>
        </row>
        <row r="1381">
          <cell r="D1381" t="str">
            <v>Short</v>
          </cell>
          <cell r="K1381" t="str">
            <v>C3a: Outright Shorts</v>
          </cell>
        </row>
        <row r="1382">
          <cell r="D1382" t="str">
            <v>Short</v>
          </cell>
          <cell r="K1382" t="str">
            <v>C3a: Outright Shorts</v>
          </cell>
        </row>
        <row r="1383">
          <cell r="D1383" t="str">
            <v>Short</v>
          </cell>
          <cell r="K1383" t="str">
            <v>C3a: Outright Shorts</v>
          </cell>
        </row>
        <row r="1384">
          <cell r="D1384" t="str">
            <v>Short</v>
          </cell>
          <cell r="K1384" t="str">
            <v>C3a: Outright Shorts</v>
          </cell>
        </row>
        <row r="1385">
          <cell r="D1385" t="str">
            <v>Short</v>
          </cell>
          <cell r="K1385" t="str">
            <v>C3a: Outright Shorts</v>
          </cell>
        </row>
        <row r="1386">
          <cell r="D1386" t="str">
            <v>Short</v>
          </cell>
          <cell r="K1386" t="str">
            <v>C3a: Outright Shorts</v>
          </cell>
        </row>
        <row r="1387">
          <cell r="D1387" t="str">
            <v>Long</v>
          </cell>
          <cell r="K1387" t="str">
            <v>C1: Bank Debt</v>
          </cell>
        </row>
        <row r="1388">
          <cell r="D1388" t="str">
            <v>Long</v>
          </cell>
          <cell r="K1388" t="str">
            <v>C1: Bank Debt</v>
          </cell>
        </row>
        <row r="1389">
          <cell r="D1389" t="str">
            <v>Long</v>
          </cell>
          <cell r="K1389" t="str">
            <v>C1: Bank Debt</v>
          </cell>
        </row>
        <row r="1390">
          <cell r="D1390" t="str">
            <v>Long</v>
          </cell>
          <cell r="K1390" t="str">
            <v>C2: High Yield</v>
          </cell>
        </row>
        <row r="1391">
          <cell r="D1391" t="str">
            <v>Long</v>
          </cell>
          <cell r="K1391" t="str">
            <v>C2: High Yield</v>
          </cell>
        </row>
        <row r="1392">
          <cell r="D1392" t="str">
            <v>Long</v>
          </cell>
          <cell r="K1392" t="str">
            <v>C2: High Yield</v>
          </cell>
        </row>
        <row r="1393">
          <cell r="D1393" t="str">
            <v>Long</v>
          </cell>
          <cell r="K1393" t="str">
            <v>C2: High Yield</v>
          </cell>
        </row>
        <row r="1394">
          <cell r="D1394" t="str">
            <v>Long</v>
          </cell>
          <cell r="K1394" t="str">
            <v>C2: High Yield</v>
          </cell>
        </row>
        <row r="1395">
          <cell r="D1395" t="str">
            <v>Long</v>
          </cell>
          <cell r="K1395" t="str">
            <v>C2: High Yield</v>
          </cell>
        </row>
        <row r="1396">
          <cell r="D1396" t="str">
            <v>Long</v>
          </cell>
          <cell r="K1396" t="str">
            <v>C2: High Yield</v>
          </cell>
        </row>
        <row r="1397">
          <cell r="D1397" t="str">
            <v>Long</v>
          </cell>
          <cell r="K1397" t="str">
            <v>C1: Bank Debt</v>
          </cell>
        </row>
        <row r="1398">
          <cell r="D1398" t="str">
            <v>Long</v>
          </cell>
          <cell r="K1398" t="str">
            <v>C1: Bank Debt</v>
          </cell>
        </row>
        <row r="1399">
          <cell r="D1399" t="str">
            <v>Long</v>
          </cell>
          <cell r="K1399" t="str">
            <v>C1: Bank Debt</v>
          </cell>
        </row>
        <row r="1400">
          <cell r="D1400" t="str">
            <v>Short</v>
          </cell>
          <cell r="K1400" t="str">
            <v>C3a: Outright Shorts</v>
          </cell>
        </row>
        <row r="1401">
          <cell r="D1401" t="str">
            <v>Short</v>
          </cell>
          <cell r="K1401" t="str">
            <v>C3a: Outright Shorts</v>
          </cell>
        </row>
        <row r="1402">
          <cell r="D1402" t="str">
            <v>Short</v>
          </cell>
          <cell r="K1402" t="str">
            <v>C3a: Outright Shorts</v>
          </cell>
        </row>
        <row r="1403">
          <cell r="D1403" t="str">
            <v>Short</v>
          </cell>
          <cell r="K1403" t="str">
            <v>C3a: Outright Shorts</v>
          </cell>
        </row>
        <row r="1404">
          <cell r="D1404" t="str">
            <v>Short</v>
          </cell>
          <cell r="K1404" t="str">
            <v>C3a: Outright Shorts</v>
          </cell>
        </row>
        <row r="1405">
          <cell r="D1405" t="str">
            <v>Long</v>
          </cell>
          <cell r="K1405" t="str">
            <v>C2: High Yield</v>
          </cell>
        </row>
        <row r="1406">
          <cell r="D1406" t="str">
            <v>Long</v>
          </cell>
          <cell r="K1406" t="str">
            <v>C2: High Yield</v>
          </cell>
        </row>
        <row r="1407">
          <cell r="D1407" t="str">
            <v>Long</v>
          </cell>
          <cell r="K1407" t="str">
            <v>C2: High Yield</v>
          </cell>
        </row>
        <row r="1408">
          <cell r="D1408" t="str">
            <v>Long</v>
          </cell>
          <cell r="K1408" t="str">
            <v>C2: High Yield</v>
          </cell>
        </row>
        <row r="1409">
          <cell r="D1409" t="str">
            <v>Long</v>
          </cell>
          <cell r="K1409" t="str">
            <v>C2: High Yield</v>
          </cell>
        </row>
        <row r="1410">
          <cell r="D1410" t="str">
            <v>Long</v>
          </cell>
          <cell r="K1410" t="str">
            <v>C2: High Yield</v>
          </cell>
        </row>
        <row r="1411">
          <cell r="D1411" t="str">
            <v>Long</v>
          </cell>
          <cell r="K1411" t="str">
            <v>C2: High Yield</v>
          </cell>
        </row>
        <row r="1412">
          <cell r="D1412" t="str">
            <v>Long</v>
          </cell>
          <cell r="K1412" t="str">
            <v>C1: Bank Debt</v>
          </cell>
        </row>
        <row r="1413">
          <cell r="D1413" t="str">
            <v>Long</v>
          </cell>
          <cell r="K1413" t="str">
            <v>C1: Bank Debt</v>
          </cell>
        </row>
        <row r="1414">
          <cell r="D1414" t="str">
            <v>Long</v>
          </cell>
          <cell r="K1414" t="str">
            <v>C1: Bank Debt</v>
          </cell>
        </row>
        <row r="1415">
          <cell r="D1415" t="str">
            <v>Long</v>
          </cell>
          <cell r="K1415" t="str">
            <v>C1a: HY-Bank Debt Equivalent</v>
          </cell>
        </row>
        <row r="1416">
          <cell r="D1416" t="str">
            <v>Long</v>
          </cell>
          <cell r="K1416" t="str">
            <v>C1a: HY-Bank Debt Equivalent</v>
          </cell>
        </row>
        <row r="1417">
          <cell r="D1417" t="str">
            <v>Long</v>
          </cell>
          <cell r="K1417" t="str">
            <v>C1a: HY-Bank Debt Equivalent</v>
          </cell>
        </row>
        <row r="1418">
          <cell r="D1418" t="str">
            <v>Long</v>
          </cell>
          <cell r="K1418" t="str">
            <v>C1a: HY-Bank Debt Equivalent</v>
          </cell>
        </row>
        <row r="1419">
          <cell r="D1419" t="str">
            <v>Long</v>
          </cell>
          <cell r="K1419" t="str">
            <v>C1a: HY-Bank Debt Equivalent</v>
          </cell>
        </row>
        <row r="1420">
          <cell r="D1420" t="str">
            <v>Long</v>
          </cell>
          <cell r="K1420" t="str">
            <v>C1a: HY-Bank Debt Equivalent</v>
          </cell>
        </row>
        <row r="1421">
          <cell r="D1421" t="str">
            <v>Long</v>
          </cell>
          <cell r="K1421" t="str">
            <v>C2: High Yield</v>
          </cell>
        </row>
        <row r="1422">
          <cell r="D1422" t="str">
            <v>Long</v>
          </cell>
          <cell r="K1422" t="str">
            <v>C2: High Yield</v>
          </cell>
        </row>
        <row r="1423">
          <cell r="D1423" t="str">
            <v>Long</v>
          </cell>
          <cell r="K1423" t="str">
            <v>C2: High Yield</v>
          </cell>
        </row>
        <row r="1424">
          <cell r="D1424" t="str">
            <v>Long</v>
          </cell>
          <cell r="K1424" t="str">
            <v>C2: High Yield</v>
          </cell>
        </row>
        <row r="1425">
          <cell r="D1425" t="str">
            <v>Long</v>
          </cell>
          <cell r="K1425" t="str">
            <v>C2: High Yield</v>
          </cell>
        </row>
        <row r="1426">
          <cell r="D1426" t="str">
            <v>Long</v>
          </cell>
          <cell r="K1426" t="str">
            <v>C2: High Yield</v>
          </cell>
        </row>
        <row r="1427">
          <cell r="D1427" t="str">
            <v>Long</v>
          </cell>
          <cell r="K1427" t="str">
            <v>C2: High Yield</v>
          </cell>
        </row>
        <row r="1428">
          <cell r="D1428" t="str">
            <v>Long</v>
          </cell>
          <cell r="K1428" t="str">
            <v>C2: High Yield</v>
          </cell>
        </row>
        <row r="1429">
          <cell r="D1429" t="str">
            <v>Long</v>
          </cell>
          <cell r="K1429" t="str">
            <v>C2: High Yield</v>
          </cell>
        </row>
        <row r="1430">
          <cell r="D1430" t="str">
            <v>Long</v>
          </cell>
          <cell r="K1430" t="str">
            <v>C2: High Yield</v>
          </cell>
        </row>
        <row r="1431">
          <cell r="D1431" t="str">
            <v>Long</v>
          </cell>
          <cell r="K1431" t="str">
            <v>C2: High Yield</v>
          </cell>
        </row>
        <row r="1432">
          <cell r="D1432" t="str">
            <v>Long</v>
          </cell>
          <cell r="K1432" t="str">
            <v>C2: High Yield</v>
          </cell>
        </row>
        <row r="1433">
          <cell r="D1433" t="str">
            <v>Long</v>
          </cell>
          <cell r="K1433" t="str">
            <v>C2: High Yield</v>
          </cell>
        </row>
        <row r="1434">
          <cell r="D1434" t="str">
            <v>Long</v>
          </cell>
          <cell r="K1434" t="str">
            <v>C2: High Yield</v>
          </cell>
        </row>
        <row r="1435">
          <cell r="D1435" t="str">
            <v>Long</v>
          </cell>
          <cell r="K1435" t="str">
            <v>C2: High Yield</v>
          </cell>
        </row>
        <row r="1436">
          <cell r="D1436" t="str">
            <v>Long</v>
          </cell>
          <cell r="K1436" t="str">
            <v>C2: High Yield</v>
          </cell>
        </row>
        <row r="1437">
          <cell r="D1437" t="str">
            <v>Long</v>
          </cell>
          <cell r="K1437" t="str">
            <v>C2: High Yield</v>
          </cell>
        </row>
        <row r="1438">
          <cell r="D1438" t="str">
            <v>Long</v>
          </cell>
          <cell r="K1438" t="str">
            <v>C2: High Yield</v>
          </cell>
        </row>
        <row r="1439">
          <cell r="D1439" t="str">
            <v>Long</v>
          </cell>
          <cell r="K1439" t="str">
            <v>C2: High Yield</v>
          </cell>
        </row>
        <row r="1440">
          <cell r="D1440" t="str">
            <v>Long</v>
          </cell>
          <cell r="K1440" t="str">
            <v>C2: High Yield</v>
          </cell>
        </row>
        <row r="1441">
          <cell r="D1441" t="str">
            <v>Long</v>
          </cell>
          <cell r="K1441" t="str">
            <v>C2: High Yield</v>
          </cell>
        </row>
        <row r="1442">
          <cell r="D1442" t="str">
            <v>Long</v>
          </cell>
          <cell r="K1442" t="str">
            <v>C2a: BD-HY Equivalent</v>
          </cell>
        </row>
        <row r="1443">
          <cell r="D1443" t="str">
            <v>Long</v>
          </cell>
          <cell r="K1443" t="str">
            <v>C2: High Yield</v>
          </cell>
        </row>
        <row r="1444">
          <cell r="D1444" t="str">
            <v>Long</v>
          </cell>
          <cell r="K1444" t="str">
            <v>C2: High Yield</v>
          </cell>
        </row>
        <row r="1445">
          <cell r="D1445" t="str">
            <v>Long</v>
          </cell>
          <cell r="K1445" t="str">
            <v>C2: High Yield</v>
          </cell>
        </row>
        <row r="1446">
          <cell r="D1446" t="str">
            <v>Long</v>
          </cell>
          <cell r="K1446" t="str">
            <v>C2: High Yield</v>
          </cell>
        </row>
        <row r="1447">
          <cell r="D1447" t="str">
            <v>Long</v>
          </cell>
          <cell r="K1447" t="str">
            <v>C2: High Yield</v>
          </cell>
        </row>
        <row r="1448">
          <cell r="D1448" t="str">
            <v>Long</v>
          </cell>
          <cell r="K1448" t="str">
            <v>C2: High Yield</v>
          </cell>
        </row>
        <row r="1449">
          <cell r="D1449" t="str">
            <v>Long</v>
          </cell>
          <cell r="K1449" t="str">
            <v>C2: High Yield</v>
          </cell>
        </row>
        <row r="1450">
          <cell r="D1450" t="str">
            <v>Long</v>
          </cell>
          <cell r="K1450" t="str">
            <v>C2: High Yield</v>
          </cell>
        </row>
        <row r="1451">
          <cell r="D1451" t="str">
            <v>Long</v>
          </cell>
          <cell r="K1451" t="str">
            <v>C2: High Yield</v>
          </cell>
        </row>
        <row r="1452">
          <cell r="D1452" t="str">
            <v>Long</v>
          </cell>
          <cell r="K1452" t="str">
            <v>C2: High Yield</v>
          </cell>
        </row>
        <row r="1453">
          <cell r="D1453" t="str">
            <v>Long</v>
          </cell>
          <cell r="K1453" t="str">
            <v>C2: High Yield</v>
          </cell>
        </row>
        <row r="1454">
          <cell r="D1454" t="str">
            <v>Long</v>
          </cell>
          <cell r="K1454" t="str">
            <v>C2: High Yield</v>
          </cell>
        </row>
        <row r="1455">
          <cell r="D1455" t="str">
            <v>Long</v>
          </cell>
          <cell r="K1455" t="str">
            <v>C2: High Yield</v>
          </cell>
        </row>
        <row r="1456">
          <cell r="D1456" t="str">
            <v>Long</v>
          </cell>
          <cell r="K1456" t="str">
            <v>C2: High Yield</v>
          </cell>
        </row>
        <row r="1457">
          <cell r="D1457" t="str">
            <v>Long</v>
          </cell>
          <cell r="K1457" t="str">
            <v>C4: Other</v>
          </cell>
        </row>
        <row r="1458">
          <cell r="D1458" t="str">
            <v>Long</v>
          </cell>
          <cell r="K1458" t="str">
            <v>C4: Other</v>
          </cell>
        </row>
        <row r="1459">
          <cell r="D1459" t="str">
            <v>Long</v>
          </cell>
          <cell r="K1459" t="str">
            <v>C4: Other</v>
          </cell>
        </row>
        <row r="1460">
          <cell r="D1460" t="str">
            <v>Long</v>
          </cell>
          <cell r="K1460" t="str">
            <v>C4: Other</v>
          </cell>
        </row>
        <row r="1461">
          <cell r="D1461" t="str">
            <v>Long</v>
          </cell>
          <cell r="K1461" t="str">
            <v>C4: Other</v>
          </cell>
        </row>
        <row r="1462">
          <cell r="D1462" t="str">
            <v>Long</v>
          </cell>
          <cell r="K1462" t="str">
            <v>C4: Other</v>
          </cell>
        </row>
        <row r="1463">
          <cell r="D1463" t="str">
            <v>Long</v>
          </cell>
          <cell r="K1463" t="str">
            <v>C1: Bank Debt</v>
          </cell>
        </row>
        <row r="1464">
          <cell r="D1464" t="str">
            <v>Long</v>
          </cell>
          <cell r="K1464" t="str">
            <v>C1: Bank Debt</v>
          </cell>
        </row>
        <row r="1465">
          <cell r="D1465" t="str">
            <v>Long</v>
          </cell>
          <cell r="K1465" t="str">
            <v>C1: Bank Debt</v>
          </cell>
        </row>
        <row r="1466">
          <cell r="D1466" t="str">
            <v>Long</v>
          </cell>
          <cell r="K1466" t="str">
            <v>C1: Bank Debt</v>
          </cell>
        </row>
        <row r="1467">
          <cell r="D1467" t="str">
            <v>Long</v>
          </cell>
          <cell r="K1467" t="str">
            <v>C1: Bank Debt</v>
          </cell>
        </row>
        <row r="1468">
          <cell r="D1468" t="str">
            <v>Long</v>
          </cell>
          <cell r="K1468" t="str">
            <v>C1: Bank Debt</v>
          </cell>
        </row>
        <row r="1469">
          <cell r="D1469" t="str">
            <v>Long</v>
          </cell>
          <cell r="K1469" t="str">
            <v>C1: Bank Debt</v>
          </cell>
        </row>
        <row r="1470">
          <cell r="D1470" t="str">
            <v>Long</v>
          </cell>
          <cell r="K1470" t="str">
            <v>C1: Bank Debt</v>
          </cell>
        </row>
        <row r="1471">
          <cell r="D1471" t="str">
            <v>Long</v>
          </cell>
          <cell r="K1471" t="str">
            <v>C2: High Yield</v>
          </cell>
        </row>
        <row r="1472">
          <cell r="D1472" t="str">
            <v>Long</v>
          </cell>
          <cell r="K1472" t="str">
            <v>C2: High Yield</v>
          </cell>
        </row>
        <row r="1473">
          <cell r="D1473" t="str">
            <v>Long</v>
          </cell>
          <cell r="K1473" t="str">
            <v>C2: High Yield</v>
          </cell>
        </row>
        <row r="1474">
          <cell r="D1474" t="str">
            <v>Long</v>
          </cell>
          <cell r="K1474" t="str">
            <v>C2: High Yield</v>
          </cell>
        </row>
        <row r="1475">
          <cell r="D1475" t="str">
            <v>Long</v>
          </cell>
          <cell r="K1475" t="str">
            <v>C2: High Yield</v>
          </cell>
        </row>
        <row r="1476">
          <cell r="D1476" t="str">
            <v>Long</v>
          </cell>
          <cell r="K1476" t="str">
            <v>C2: High Yield</v>
          </cell>
        </row>
        <row r="1477">
          <cell r="D1477" t="str">
            <v>Long</v>
          </cell>
          <cell r="K1477" t="str">
            <v>C2: High Yield</v>
          </cell>
        </row>
        <row r="1478">
          <cell r="D1478" t="str">
            <v>Long</v>
          </cell>
          <cell r="K1478" t="str">
            <v>C2: High Yield</v>
          </cell>
        </row>
        <row r="1479">
          <cell r="D1479" t="str">
            <v>Long</v>
          </cell>
          <cell r="K1479" t="str">
            <v>C2: High Yield</v>
          </cell>
        </row>
        <row r="1480">
          <cell r="D1480" t="str">
            <v>Long</v>
          </cell>
          <cell r="K1480" t="str">
            <v>C2: High Yield</v>
          </cell>
        </row>
        <row r="1481">
          <cell r="D1481" t="str">
            <v>Long</v>
          </cell>
          <cell r="K1481" t="str">
            <v>C1: Bank Debt</v>
          </cell>
        </row>
        <row r="1482">
          <cell r="D1482" t="str">
            <v>Long</v>
          </cell>
          <cell r="K1482" t="str">
            <v>C1: Bank Debt</v>
          </cell>
        </row>
        <row r="1483">
          <cell r="D1483" t="str">
            <v>Long</v>
          </cell>
          <cell r="K1483" t="str">
            <v>C1: Bank Debt</v>
          </cell>
        </row>
        <row r="1484">
          <cell r="D1484" t="str">
            <v>Long</v>
          </cell>
          <cell r="K1484" t="str">
            <v>C1: Bank Debt</v>
          </cell>
        </row>
        <row r="1485">
          <cell r="D1485" t="str">
            <v>Long</v>
          </cell>
          <cell r="K1485" t="str">
            <v>C1: Bank Debt</v>
          </cell>
        </row>
        <row r="1486">
          <cell r="D1486" t="str">
            <v>Long</v>
          </cell>
          <cell r="K1486" t="str">
            <v>C1: Bank Debt</v>
          </cell>
        </row>
        <row r="1487">
          <cell r="D1487" t="str">
            <v>Long</v>
          </cell>
          <cell r="K1487" t="str">
            <v>C1: Bank Debt</v>
          </cell>
        </row>
        <row r="1488">
          <cell r="D1488" t="str">
            <v>Long</v>
          </cell>
          <cell r="K1488" t="str">
            <v>C1: Bank Debt</v>
          </cell>
        </row>
        <row r="1489">
          <cell r="D1489" t="str">
            <v>Long</v>
          </cell>
          <cell r="K1489" t="str">
            <v>C1: Bank Debt</v>
          </cell>
        </row>
        <row r="1490">
          <cell r="D1490" t="str">
            <v>Long</v>
          </cell>
          <cell r="K1490" t="str">
            <v>C1: Bank Debt</v>
          </cell>
        </row>
        <row r="1491">
          <cell r="D1491" t="str">
            <v>Long</v>
          </cell>
          <cell r="K1491" t="str">
            <v>C1: Bank Debt</v>
          </cell>
        </row>
        <row r="1492">
          <cell r="D1492" t="str">
            <v>Long</v>
          </cell>
          <cell r="K1492" t="str">
            <v>C1: Bank Debt</v>
          </cell>
        </row>
        <row r="1493">
          <cell r="D1493" t="str">
            <v>Long</v>
          </cell>
          <cell r="K1493" t="str">
            <v>C1: Bank Debt</v>
          </cell>
        </row>
        <row r="1494">
          <cell r="D1494" t="str">
            <v>Long</v>
          </cell>
          <cell r="K1494" t="str">
            <v>C2a: BD-HY Equivalent</v>
          </cell>
        </row>
        <row r="1495">
          <cell r="D1495" t="str">
            <v>Long</v>
          </cell>
          <cell r="K1495" t="str">
            <v>C1: Bank Debt</v>
          </cell>
        </row>
        <row r="1496">
          <cell r="D1496" t="str">
            <v>Long</v>
          </cell>
          <cell r="K1496" t="str">
            <v>C1: Bank Debt</v>
          </cell>
        </row>
        <row r="1497">
          <cell r="D1497" t="str">
            <v>Long</v>
          </cell>
          <cell r="K1497" t="str">
            <v>C1: Bank Debt</v>
          </cell>
        </row>
        <row r="1498">
          <cell r="D1498" t="str">
            <v>Long</v>
          </cell>
          <cell r="K1498" t="str">
            <v>C2a: BD-HY Equivalent</v>
          </cell>
        </row>
        <row r="1499">
          <cell r="D1499" t="str">
            <v>Long</v>
          </cell>
          <cell r="K1499" t="str">
            <v>C2a: BD-HY Equivalent</v>
          </cell>
        </row>
        <row r="1500">
          <cell r="D1500" t="str">
            <v>Long</v>
          </cell>
          <cell r="K1500" t="str">
            <v>C2: High Yield</v>
          </cell>
        </row>
        <row r="1501">
          <cell r="D1501" t="str">
            <v>Long</v>
          </cell>
          <cell r="K1501" t="str">
            <v>C2: High Yield</v>
          </cell>
        </row>
        <row r="1502">
          <cell r="D1502" t="str">
            <v>Long</v>
          </cell>
          <cell r="K1502" t="str">
            <v>C2: High Yield</v>
          </cell>
        </row>
        <row r="1503">
          <cell r="D1503" t="str">
            <v>Long</v>
          </cell>
          <cell r="K1503" t="str">
            <v>C2a: BD-HY Equivalent</v>
          </cell>
        </row>
        <row r="1504">
          <cell r="D1504" t="str">
            <v>Long</v>
          </cell>
          <cell r="K1504" t="str">
            <v>C2a: BD-HY Equivalent</v>
          </cell>
        </row>
        <row r="1505">
          <cell r="D1505" t="str">
            <v>Long</v>
          </cell>
          <cell r="K1505" t="str">
            <v>C2a: BD-HY Equivalent</v>
          </cell>
        </row>
        <row r="1506">
          <cell r="D1506" t="str">
            <v>Long</v>
          </cell>
          <cell r="K1506" t="str">
            <v>C1: Bank Debt</v>
          </cell>
        </row>
        <row r="1507">
          <cell r="D1507" t="str">
            <v>Long</v>
          </cell>
          <cell r="K1507" t="str">
            <v>C1: Bank Debt</v>
          </cell>
        </row>
        <row r="1508">
          <cell r="D1508" t="str">
            <v>Long</v>
          </cell>
          <cell r="K1508" t="str">
            <v>C1: Bank Debt</v>
          </cell>
        </row>
        <row r="1509">
          <cell r="D1509" t="str">
            <v>Long</v>
          </cell>
          <cell r="K1509" t="str">
            <v>C1: Bank Debt</v>
          </cell>
        </row>
        <row r="1510">
          <cell r="D1510" t="str">
            <v>Long</v>
          </cell>
          <cell r="K1510" t="str">
            <v>C1: Bank Debt</v>
          </cell>
        </row>
        <row r="1511">
          <cell r="D1511" t="str">
            <v>Long</v>
          </cell>
          <cell r="K1511" t="str">
            <v>C1: Bank Debt</v>
          </cell>
        </row>
        <row r="1512">
          <cell r="D1512" t="str">
            <v>Short</v>
          </cell>
          <cell r="K1512" t="str">
            <v>C3a: Outright Shorts</v>
          </cell>
        </row>
        <row r="1513">
          <cell r="D1513" t="str">
            <v>Short</v>
          </cell>
          <cell r="K1513" t="str">
            <v>C3a: Outright Shorts</v>
          </cell>
        </row>
        <row r="1514">
          <cell r="D1514" t="str">
            <v>Short</v>
          </cell>
          <cell r="K1514" t="str">
            <v>C3a: Outright Shorts</v>
          </cell>
        </row>
        <row r="1515">
          <cell r="D1515" t="str">
            <v>Short</v>
          </cell>
          <cell r="K1515" t="str">
            <v>C3a: Outright Shorts</v>
          </cell>
        </row>
        <row r="1516">
          <cell r="D1516" t="str">
            <v>Short</v>
          </cell>
          <cell r="K1516" t="str">
            <v>C3a: Outright Shorts</v>
          </cell>
        </row>
        <row r="1517">
          <cell r="D1517" t="str">
            <v>Long</v>
          </cell>
          <cell r="K1517" t="str">
            <v>C1: Bank Debt</v>
          </cell>
        </row>
        <row r="1518">
          <cell r="D1518" t="str">
            <v>Long</v>
          </cell>
          <cell r="K1518" t="str">
            <v>C1: Bank Debt</v>
          </cell>
        </row>
        <row r="1519">
          <cell r="D1519" t="str">
            <v>Long</v>
          </cell>
          <cell r="K1519" t="str">
            <v>C1: Bank Debt</v>
          </cell>
        </row>
        <row r="1520">
          <cell r="D1520" t="str">
            <v>Long</v>
          </cell>
          <cell r="K1520" t="str">
            <v>C1: Bank Debt</v>
          </cell>
        </row>
        <row r="1521">
          <cell r="D1521" t="str">
            <v>Long</v>
          </cell>
          <cell r="K1521" t="str">
            <v>C1: Bank Debt</v>
          </cell>
        </row>
        <row r="1522">
          <cell r="D1522" t="str">
            <v>Long</v>
          </cell>
          <cell r="K1522" t="str">
            <v>C2a: BD-HY Equivalent</v>
          </cell>
        </row>
        <row r="1523">
          <cell r="D1523" t="str">
            <v>Long</v>
          </cell>
          <cell r="K1523" t="str">
            <v>C2a: BD-HY Equivalent</v>
          </cell>
        </row>
        <row r="1524">
          <cell r="D1524" t="str">
            <v>Long</v>
          </cell>
          <cell r="K1524" t="str">
            <v>C2a: BD-HY Equivalent</v>
          </cell>
        </row>
        <row r="1525">
          <cell r="D1525" t="str">
            <v>Long</v>
          </cell>
          <cell r="K1525" t="str">
            <v>C2a: BD-HY Equivalent</v>
          </cell>
        </row>
        <row r="1526">
          <cell r="D1526" t="str">
            <v>Long</v>
          </cell>
          <cell r="K1526" t="str">
            <v>C2a: BD-HY Equivalent</v>
          </cell>
        </row>
        <row r="1527">
          <cell r="D1527" t="str">
            <v>Long</v>
          </cell>
          <cell r="K1527" t="str">
            <v>C2a: BD-HY Equivalent</v>
          </cell>
        </row>
        <row r="1528">
          <cell r="D1528" t="str">
            <v>Long</v>
          </cell>
          <cell r="K1528" t="str">
            <v>C2a: BD-HY Equivalent</v>
          </cell>
        </row>
        <row r="1529">
          <cell r="D1529" t="str">
            <v>Long</v>
          </cell>
          <cell r="K1529" t="str">
            <v>C2a: BD-HY Equivalent</v>
          </cell>
        </row>
        <row r="1530">
          <cell r="D1530" t="str">
            <v>Long</v>
          </cell>
          <cell r="K1530" t="str">
            <v>C4: Other</v>
          </cell>
        </row>
        <row r="1531">
          <cell r="D1531" t="str">
            <v>Long</v>
          </cell>
          <cell r="K1531" t="str">
            <v>C4: Other</v>
          </cell>
        </row>
        <row r="1532">
          <cell r="D1532" t="str">
            <v>Long</v>
          </cell>
          <cell r="K1532" t="str">
            <v>C4: Other</v>
          </cell>
        </row>
        <row r="1533">
          <cell r="D1533" t="str">
            <v>Long</v>
          </cell>
          <cell r="K1533" t="str">
            <v>C4: Other</v>
          </cell>
        </row>
        <row r="1534">
          <cell r="D1534" t="str">
            <v>Long</v>
          </cell>
          <cell r="K1534" t="str">
            <v>C4: Other</v>
          </cell>
        </row>
        <row r="1535">
          <cell r="D1535" t="str">
            <v>Long</v>
          </cell>
          <cell r="K1535" t="str">
            <v>C4: Other</v>
          </cell>
        </row>
        <row r="1536">
          <cell r="D1536" t="str">
            <v>Long</v>
          </cell>
          <cell r="K1536" t="str">
            <v>C2a: BD-HY Equivalent</v>
          </cell>
        </row>
        <row r="1537">
          <cell r="D1537" t="str">
            <v>Long</v>
          </cell>
          <cell r="K1537" t="str">
            <v>C2a: BD-HY Equivalent</v>
          </cell>
        </row>
        <row r="1538">
          <cell r="D1538" t="str">
            <v>Long</v>
          </cell>
          <cell r="K1538" t="str">
            <v>C2a: BD-HY Equivalent</v>
          </cell>
        </row>
        <row r="1539">
          <cell r="D1539" t="str">
            <v>Long</v>
          </cell>
          <cell r="K1539" t="str">
            <v>C2a: BD-HY Equivalent</v>
          </cell>
        </row>
        <row r="1540">
          <cell r="D1540" t="str">
            <v>Long</v>
          </cell>
          <cell r="K1540" t="str">
            <v>C2a: BD-HY Equivalent</v>
          </cell>
        </row>
        <row r="1541">
          <cell r="D1541" t="str">
            <v>Long</v>
          </cell>
          <cell r="K1541" t="str">
            <v>C2a: BD-HY Equivalent</v>
          </cell>
        </row>
        <row r="1542">
          <cell r="D1542" t="str">
            <v>Long</v>
          </cell>
          <cell r="K1542" t="str">
            <v>C2a: BD-HY Equivalent</v>
          </cell>
        </row>
        <row r="1543">
          <cell r="D1543" t="str">
            <v>Long</v>
          </cell>
          <cell r="K1543" t="str">
            <v>C2a: BD-HY Equivalent</v>
          </cell>
        </row>
        <row r="1544">
          <cell r="D1544" t="str">
            <v>Long</v>
          </cell>
          <cell r="K1544" t="str">
            <v>C2a: BD-HY Equivalent</v>
          </cell>
        </row>
        <row r="1545">
          <cell r="D1545" t="str">
            <v>Long</v>
          </cell>
          <cell r="K1545" t="str">
            <v>C2a: BD-HY Equivalent</v>
          </cell>
        </row>
        <row r="1546">
          <cell r="D1546" t="str">
            <v>Long</v>
          </cell>
          <cell r="K1546" t="str">
            <v>C2a: BD-HY Equivalent</v>
          </cell>
        </row>
        <row r="1547">
          <cell r="D1547" t="str">
            <v>Long</v>
          </cell>
          <cell r="K1547" t="str">
            <v>C1: Bank Debt</v>
          </cell>
        </row>
        <row r="1548">
          <cell r="D1548" t="str">
            <v>Long</v>
          </cell>
          <cell r="K1548" t="str">
            <v>C1: Bank Debt</v>
          </cell>
        </row>
        <row r="1549">
          <cell r="D1549" t="str">
            <v>Long</v>
          </cell>
          <cell r="K1549" t="str">
            <v>C4: Other</v>
          </cell>
        </row>
        <row r="1550">
          <cell r="D1550" t="str">
            <v>Long</v>
          </cell>
          <cell r="K1550" t="str">
            <v>C4: Other</v>
          </cell>
        </row>
        <row r="1551">
          <cell r="D1551" t="str">
            <v>Long</v>
          </cell>
          <cell r="K1551" t="str">
            <v>C4: Other</v>
          </cell>
        </row>
        <row r="1552">
          <cell r="D1552" t="str">
            <v>Long</v>
          </cell>
          <cell r="K1552" t="str">
            <v>C4: Other</v>
          </cell>
        </row>
        <row r="1553">
          <cell r="D1553" t="str">
            <v>Long</v>
          </cell>
          <cell r="K1553" t="str">
            <v>C2: High Yield</v>
          </cell>
        </row>
        <row r="1554">
          <cell r="D1554" t="str">
            <v>Long</v>
          </cell>
          <cell r="K1554" t="str">
            <v>C2: High Yield</v>
          </cell>
        </row>
        <row r="1555">
          <cell r="D1555" t="str">
            <v>Long</v>
          </cell>
          <cell r="K1555" t="str">
            <v>C2: High Yield</v>
          </cell>
        </row>
        <row r="1556">
          <cell r="D1556" t="str">
            <v>Long</v>
          </cell>
          <cell r="K1556" t="str">
            <v>C2: High Yield</v>
          </cell>
        </row>
        <row r="1557">
          <cell r="D1557" t="str">
            <v>Long</v>
          </cell>
          <cell r="K1557" t="str">
            <v>C2: High Yield</v>
          </cell>
        </row>
        <row r="1558">
          <cell r="D1558" t="str">
            <v>Long</v>
          </cell>
          <cell r="K1558" t="str">
            <v>C2: High Yield</v>
          </cell>
        </row>
        <row r="1559">
          <cell r="D1559" t="str">
            <v>Long</v>
          </cell>
          <cell r="K1559" t="str">
            <v>C2: High Yield</v>
          </cell>
        </row>
        <row r="1560">
          <cell r="D1560" t="str">
            <v>Long</v>
          </cell>
          <cell r="K1560" t="str">
            <v>C1a: HY-Bank Debt Equivalent</v>
          </cell>
        </row>
        <row r="1561">
          <cell r="D1561" t="str">
            <v>Long</v>
          </cell>
          <cell r="K1561" t="str">
            <v>C1a: HY-Bank Debt Equivalent</v>
          </cell>
        </row>
        <row r="1562">
          <cell r="D1562" t="str">
            <v>Long</v>
          </cell>
          <cell r="K1562" t="str">
            <v>C1a: HY-Bank Debt Equivalent</v>
          </cell>
        </row>
        <row r="1563">
          <cell r="D1563" t="str">
            <v>Long</v>
          </cell>
          <cell r="K1563" t="str">
            <v>C1a: HY-Bank Debt Equivalent</v>
          </cell>
        </row>
        <row r="1564">
          <cell r="D1564" t="str">
            <v>Long</v>
          </cell>
          <cell r="K1564" t="str">
            <v>C1a: HY-Bank Debt Equivalent</v>
          </cell>
        </row>
        <row r="1565">
          <cell r="D1565" t="str">
            <v>Long</v>
          </cell>
          <cell r="K1565" t="str">
            <v>C1a: HY-Bank Debt Equivalent</v>
          </cell>
        </row>
        <row r="1566">
          <cell r="D1566" t="str">
            <v>Long</v>
          </cell>
          <cell r="K1566" t="str">
            <v>C1a: HY-Bank Debt Equivalent</v>
          </cell>
        </row>
        <row r="1567">
          <cell r="D1567" t="str">
            <v>Long</v>
          </cell>
          <cell r="K1567" t="str">
            <v>C2: High Yield</v>
          </cell>
        </row>
        <row r="1568">
          <cell r="D1568" t="str">
            <v>Long</v>
          </cell>
          <cell r="K1568" t="str">
            <v>C2: High Yield</v>
          </cell>
        </row>
        <row r="1569">
          <cell r="D1569" t="str">
            <v>Long</v>
          </cell>
          <cell r="K1569" t="str">
            <v>C2: High Yield</v>
          </cell>
        </row>
        <row r="1570">
          <cell r="D1570" t="str">
            <v>Long</v>
          </cell>
          <cell r="K1570" t="str">
            <v>C2: High Yield</v>
          </cell>
        </row>
        <row r="1571">
          <cell r="D1571" t="str">
            <v>Long</v>
          </cell>
          <cell r="K1571" t="str">
            <v>C2: High Yield</v>
          </cell>
        </row>
        <row r="1572">
          <cell r="D1572" t="str">
            <v>Long</v>
          </cell>
          <cell r="K1572" t="str">
            <v>C2: High Yield</v>
          </cell>
        </row>
        <row r="1573">
          <cell r="D1573" t="str">
            <v>Long</v>
          </cell>
          <cell r="K1573" t="str">
            <v>C2: High Yield</v>
          </cell>
        </row>
        <row r="1574">
          <cell r="D1574" t="str">
            <v>Long</v>
          </cell>
          <cell r="K1574" t="str">
            <v>C1: Bank Debt</v>
          </cell>
        </row>
        <row r="1575">
          <cell r="D1575" t="str">
            <v>Long</v>
          </cell>
          <cell r="K1575" t="str">
            <v>C1: Bank Debt</v>
          </cell>
        </row>
        <row r="1576">
          <cell r="D1576" t="str">
            <v>Long</v>
          </cell>
          <cell r="K1576" t="str">
            <v>C1: Bank Debt</v>
          </cell>
        </row>
        <row r="1577">
          <cell r="D1577" t="str">
            <v>Long</v>
          </cell>
          <cell r="K1577" t="str">
            <v>C1: Bank Debt</v>
          </cell>
        </row>
        <row r="1578">
          <cell r="D1578" t="str">
            <v>Long</v>
          </cell>
          <cell r="K1578" t="str">
            <v>C1: Bank Debt</v>
          </cell>
        </row>
        <row r="1579">
          <cell r="D1579" t="str">
            <v>Short</v>
          </cell>
          <cell r="K1579" t="str">
            <v>C3a: Outright Shorts</v>
          </cell>
        </row>
        <row r="1580">
          <cell r="D1580" t="str">
            <v>Short</v>
          </cell>
          <cell r="K1580" t="str">
            <v>C3a: Outright Shorts</v>
          </cell>
        </row>
        <row r="1581">
          <cell r="D1581" t="str">
            <v>Short</v>
          </cell>
          <cell r="K1581" t="str">
            <v>C3a: Outright Shorts</v>
          </cell>
        </row>
        <row r="1582">
          <cell r="D1582" t="str">
            <v>Short</v>
          </cell>
          <cell r="K1582" t="str">
            <v>C3a: Outright Shorts</v>
          </cell>
        </row>
        <row r="1583">
          <cell r="D1583" t="str">
            <v>Short</v>
          </cell>
          <cell r="K1583" t="str">
            <v>C3a: Outright Shorts</v>
          </cell>
        </row>
        <row r="1584">
          <cell r="D1584" t="str">
            <v>Short</v>
          </cell>
          <cell r="K1584" t="str">
            <v>C3a: Outright Shorts</v>
          </cell>
        </row>
        <row r="1585">
          <cell r="D1585" t="str">
            <v>Short</v>
          </cell>
          <cell r="K1585" t="str">
            <v>C3a: Outright Shorts</v>
          </cell>
        </row>
        <row r="1586">
          <cell r="D1586" t="str">
            <v>Short</v>
          </cell>
          <cell r="K1586" t="str">
            <v>C3a: Outright Shorts</v>
          </cell>
        </row>
        <row r="1587">
          <cell r="D1587" t="str">
            <v>Short</v>
          </cell>
          <cell r="K1587" t="str">
            <v>C3a: Outright Shorts</v>
          </cell>
        </row>
        <row r="1588">
          <cell r="D1588" t="str">
            <v>Long</v>
          </cell>
          <cell r="K1588" t="str">
            <v>C4: Other</v>
          </cell>
        </row>
        <row r="1589">
          <cell r="D1589" t="str">
            <v>Long</v>
          </cell>
          <cell r="K1589" t="str">
            <v>C4: Other</v>
          </cell>
        </row>
        <row r="1590">
          <cell r="D1590" t="str">
            <v>Long</v>
          </cell>
          <cell r="K1590" t="str">
            <v>C4: Other</v>
          </cell>
        </row>
        <row r="1591">
          <cell r="D1591" t="str">
            <v>Long</v>
          </cell>
          <cell r="K1591" t="str">
            <v>C2: High Yield</v>
          </cell>
        </row>
        <row r="1592">
          <cell r="D1592" t="str">
            <v>Long</v>
          </cell>
          <cell r="K1592" t="str">
            <v>C2: High Yield</v>
          </cell>
        </row>
        <row r="1593">
          <cell r="D1593" t="str">
            <v>Long</v>
          </cell>
          <cell r="K1593" t="str">
            <v>C2: High Yield</v>
          </cell>
        </row>
        <row r="1594">
          <cell r="D1594" t="str">
            <v>Long</v>
          </cell>
          <cell r="K1594" t="str">
            <v>C2: High Yield</v>
          </cell>
        </row>
        <row r="1595">
          <cell r="D1595" t="str">
            <v>Long</v>
          </cell>
          <cell r="K1595" t="str">
            <v>C2: High Yield</v>
          </cell>
        </row>
        <row r="1596">
          <cell r="D1596" t="str">
            <v>Long</v>
          </cell>
          <cell r="K1596" t="str">
            <v>C2: High Yield</v>
          </cell>
        </row>
        <row r="1597">
          <cell r="D1597" t="str">
            <v>Long</v>
          </cell>
          <cell r="K1597" t="str">
            <v>C2: High Yield</v>
          </cell>
        </row>
        <row r="1598">
          <cell r="D1598" t="str">
            <v>Long</v>
          </cell>
          <cell r="K1598" t="str">
            <v>C2: High Yield</v>
          </cell>
        </row>
        <row r="1599">
          <cell r="D1599" t="str">
            <v>Long</v>
          </cell>
          <cell r="K1599" t="str">
            <v>C2: High Yield</v>
          </cell>
        </row>
        <row r="1600">
          <cell r="D1600" t="str">
            <v>Long</v>
          </cell>
          <cell r="K1600" t="str">
            <v>C2: High Yield</v>
          </cell>
        </row>
        <row r="1601">
          <cell r="D1601" t="str">
            <v>Long</v>
          </cell>
          <cell r="K1601" t="str">
            <v>C2: High Yield</v>
          </cell>
        </row>
        <row r="1602">
          <cell r="D1602" t="str">
            <v>Long</v>
          </cell>
          <cell r="K1602" t="str">
            <v>C2: High Yield</v>
          </cell>
        </row>
        <row r="1603">
          <cell r="D1603" t="str">
            <v>Long</v>
          </cell>
          <cell r="K1603" t="str">
            <v>C2: High Yield</v>
          </cell>
        </row>
        <row r="1604">
          <cell r="D1604" t="str">
            <v>Long</v>
          </cell>
          <cell r="K1604" t="str">
            <v>C2: High Yield</v>
          </cell>
        </row>
        <row r="1605">
          <cell r="D1605" t="str">
            <v>Long</v>
          </cell>
          <cell r="K1605" t="str">
            <v>C2: High Yield</v>
          </cell>
        </row>
        <row r="1606">
          <cell r="D1606" t="str">
            <v>Long</v>
          </cell>
          <cell r="K1606" t="str">
            <v>C2: High Yield</v>
          </cell>
        </row>
        <row r="1607">
          <cell r="D1607" t="str">
            <v>Long</v>
          </cell>
          <cell r="K1607" t="str">
            <v>C2: High Yield</v>
          </cell>
        </row>
        <row r="1608">
          <cell r="D1608" t="str">
            <v>Long</v>
          </cell>
          <cell r="K1608" t="str">
            <v>C2: High Yield</v>
          </cell>
        </row>
        <row r="1609">
          <cell r="D1609" t="str">
            <v>Long</v>
          </cell>
          <cell r="K1609" t="str">
            <v>C2: High Yield</v>
          </cell>
        </row>
        <row r="1610">
          <cell r="D1610" t="str">
            <v>Long</v>
          </cell>
          <cell r="K1610" t="str">
            <v>C2: High Yield</v>
          </cell>
        </row>
        <row r="1611">
          <cell r="D1611" t="str">
            <v>Long</v>
          </cell>
          <cell r="K1611" t="str">
            <v>C2: High Yield</v>
          </cell>
        </row>
        <row r="1612">
          <cell r="D1612" t="str">
            <v>Long</v>
          </cell>
          <cell r="K1612" t="str">
            <v>C2: High Yield</v>
          </cell>
        </row>
        <row r="1613">
          <cell r="D1613" t="str">
            <v>Long</v>
          </cell>
          <cell r="K1613" t="str">
            <v>C2a: BD-HY Equivalent</v>
          </cell>
        </row>
        <row r="1614">
          <cell r="D1614" t="str">
            <v>Long</v>
          </cell>
          <cell r="K1614" t="str">
            <v>C2a: BD-HY Equivalent</v>
          </cell>
        </row>
        <row r="1615">
          <cell r="D1615" t="str">
            <v>Long</v>
          </cell>
          <cell r="K1615" t="str">
            <v>C2a: BD-HY Equivalent</v>
          </cell>
        </row>
        <row r="1616">
          <cell r="D1616" t="str">
            <v>Long</v>
          </cell>
          <cell r="K1616" t="str">
            <v>C2a: BD-HY Equivalent</v>
          </cell>
        </row>
        <row r="1617">
          <cell r="D1617" t="str">
            <v>Long</v>
          </cell>
          <cell r="K1617" t="str">
            <v>C2a: BD-HY Equivalent</v>
          </cell>
        </row>
        <row r="1618">
          <cell r="D1618" t="str">
            <v>Short</v>
          </cell>
          <cell r="K1618" t="str">
            <v>C3a: Outright Shorts</v>
          </cell>
        </row>
        <row r="1619">
          <cell r="D1619" t="str">
            <v>Short</v>
          </cell>
          <cell r="K1619" t="str">
            <v>C3a: Outright Shorts</v>
          </cell>
        </row>
        <row r="1620">
          <cell r="D1620" t="str">
            <v>Short</v>
          </cell>
          <cell r="K1620" t="str">
            <v>C3a: Outright Shorts</v>
          </cell>
        </row>
        <row r="1621">
          <cell r="D1621" t="str">
            <v>Short</v>
          </cell>
          <cell r="K1621" t="str">
            <v>C3a: Outright Shorts</v>
          </cell>
        </row>
        <row r="1622">
          <cell r="D1622" t="str">
            <v>Short</v>
          </cell>
          <cell r="K1622" t="str">
            <v>C3a: Outright Shorts</v>
          </cell>
        </row>
        <row r="1623">
          <cell r="D1623" t="str">
            <v>Long</v>
          </cell>
          <cell r="K1623" t="str">
            <v>C1: Bank Debt</v>
          </cell>
        </row>
        <row r="1624">
          <cell r="D1624" t="str">
            <v>Long</v>
          </cell>
          <cell r="K1624" t="str">
            <v>C1: Bank Debt</v>
          </cell>
        </row>
        <row r="1625">
          <cell r="D1625" t="str">
            <v>Long</v>
          </cell>
          <cell r="K1625" t="str">
            <v>C1: Bank Debt</v>
          </cell>
        </row>
        <row r="1626">
          <cell r="D1626" t="str">
            <v>Long</v>
          </cell>
          <cell r="K1626" t="str">
            <v>C1: Bank Debt</v>
          </cell>
        </row>
        <row r="1627">
          <cell r="D1627" t="str">
            <v>Long</v>
          </cell>
          <cell r="K1627" t="str">
            <v>C1: Bank Debt</v>
          </cell>
        </row>
        <row r="1628">
          <cell r="D1628" t="str">
            <v>Long</v>
          </cell>
          <cell r="K1628" t="str">
            <v>C1: Bank Debt</v>
          </cell>
        </row>
        <row r="1629">
          <cell r="D1629" t="str">
            <v>Long</v>
          </cell>
          <cell r="K1629" t="str">
            <v>C2a: BD-HY Equivalent</v>
          </cell>
        </row>
        <row r="1630">
          <cell r="D1630" t="str">
            <v>Long</v>
          </cell>
          <cell r="K1630" t="str">
            <v>C2a: BD-HY Equivalent</v>
          </cell>
        </row>
        <row r="1631">
          <cell r="D1631" t="str">
            <v>Long</v>
          </cell>
          <cell r="K1631" t="str">
            <v>C2a: BD-HY Equivalent</v>
          </cell>
        </row>
        <row r="1632">
          <cell r="D1632" t="str">
            <v>Long</v>
          </cell>
          <cell r="K1632" t="str">
            <v>C1: Bank Debt</v>
          </cell>
        </row>
        <row r="1633">
          <cell r="D1633" t="str">
            <v>Long</v>
          </cell>
          <cell r="K1633" t="str">
            <v>C1: Bank Debt</v>
          </cell>
        </row>
        <row r="1634">
          <cell r="D1634" t="str">
            <v>Long</v>
          </cell>
          <cell r="K1634" t="str">
            <v>C1: Bank Debt</v>
          </cell>
        </row>
        <row r="1635">
          <cell r="D1635" t="str">
            <v>Long</v>
          </cell>
          <cell r="K1635" t="str">
            <v>C1: Bank Debt</v>
          </cell>
        </row>
        <row r="1636">
          <cell r="D1636" t="str">
            <v>Long</v>
          </cell>
          <cell r="K1636" t="str">
            <v>C1: Bank Debt</v>
          </cell>
        </row>
        <row r="1637">
          <cell r="D1637" t="str">
            <v>Long</v>
          </cell>
          <cell r="K1637" t="str">
            <v>C2a: BD-HY Equivalent</v>
          </cell>
        </row>
        <row r="1638">
          <cell r="D1638" t="str">
            <v>Long</v>
          </cell>
          <cell r="K1638" t="str">
            <v>C2a: BD-HY Equivalent</v>
          </cell>
        </row>
        <row r="1639">
          <cell r="D1639" t="str">
            <v>Long</v>
          </cell>
          <cell r="K1639" t="str">
            <v>C1: Bank Debt</v>
          </cell>
        </row>
        <row r="1640">
          <cell r="D1640" t="str">
            <v>Long</v>
          </cell>
          <cell r="K1640" t="str">
            <v>C1: Bank Debt</v>
          </cell>
        </row>
        <row r="1641">
          <cell r="D1641" t="str">
            <v>Long</v>
          </cell>
          <cell r="K1641" t="str">
            <v>C1: Bank Debt</v>
          </cell>
        </row>
        <row r="1642">
          <cell r="D1642" t="str">
            <v>Long</v>
          </cell>
          <cell r="K1642" t="str">
            <v>C1: Bank Debt</v>
          </cell>
        </row>
        <row r="1643">
          <cell r="D1643" t="str">
            <v>Long</v>
          </cell>
          <cell r="K1643" t="str">
            <v>C1: Bank Debt</v>
          </cell>
        </row>
        <row r="1644">
          <cell r="D1644" t="str">
            <v>Long</v>
          </cell>
          <cell r="K1644" t="str">
            <v>C1: Bank Debt</v>
          </cell>
        </row>
        <row r="1645">
          <cell r="D1645" t="str">
            <v>Long</v>
          </cell>
          <cell r="K1645" t="str">
            <v>C1: Bank Debt</v>
          </cell>
        </row>
        <row r="1646">
          <cell r="D1646" t="str">
            <v>Long</v>
          </cell>
          <cell r="K1646" t="str">
            <v>C1: Bank Debt</v>
          </cell>
        </row>
        <row r="1647">
          <cell r="D1647" t="str">
            <v>Long</v>
          </cell>
          <cell r="K1647" t="str">
            <v>C1: Bank Debt</v>
          </cell>
        </row>
        <row r="1648">
          <cell r="D1648" t="str">
            <v>Long</v>
          </cell>
          <cell r="K1648" t="str">
            <v>C1: Bank Debt</v>
          </cell>
        </row>
        <row r="1649">
          <cell r="D1649" t="str">
            <v>Long</v>
          </cell>
          <cell r="K1649" t="str">
            <v>C2: High Yield</v>
          </cell>
        </row>
        <row r="1650">
          <cell r="D1650" t="str">
            <v>Long</v>
          </cell>
          <cell r="K1650" t="str">
            <v>C2: High Yield</v>
          </cell>
        </row>
        <row r="1651">
          <cell r="D1651" t="str">
            <v>Long</v>
          </cell>
          <cell r="K1651" t="str">
            <v>C2: High Yield</v>
          </cell>
        </row>
        <row r="1652">
          <cell r="D1652" t="str">
            <v>Long</v>
          </cell>
          <cell r="K1652" t="str">
            <v>C2: High Yield</v>
          </cell>
        </row>
        <row r="1653">
          <cell r="D1653" t="str">
            <v>Long</v>
          </cell>
          <cell r="K1653" t="str">
            <v>C2: High Yield</v>
          </cell>
        </row>
        <row r="1654">
          <cell r="D1654" t="str">
            <v>Long</v>
          </cell>
          <cell r="K1654" t="str">
            <v>C2: High Yield</v>
          </cell>
        </row>
        <row r="1655">
          <cell r="D1655" t="str">
            <v>Long</v>
          </cell>
          <cell r="K1655" t="str">
            <v>C2: High Yield</v>
          </cell>
        </row>
        <row r="1656">
          <cell r="D1656" t="str">
            <v>Long</v>
          </cell>
          <cell r="K1656" t="str">
            <v>C2: High Yield</v>
          </cell>
        </row>
        <row r="1657">
          <cell r="D1657" t="str">
            <v>Long</v>
          </cell>
          <cell r="K1657" t="str">
            <v>C2: High Yield</v>
          </cell>
        </row>
        <row r="1658">
          <cell r="D1658" t="str">
            <v>Long</v>
          </cell>
          <cell r="K1658" t="str">
            <v>C2: High Yield</v>
          </cell>
        </row>
        <row r="1659">
          <cell r="D1659" t="str">
            <v>Long</v>
          </cell>
          <cell r="K1659" t="str">
            <v>C2: High Yield</v>
          </cell>
        </row>
        <row r="1660">
          <cell r="D1660" t="str">
            <v>Long</v>
          </cell>
          <cell r="K1660" t="str">
            <v>C2: High Yield</v>
          </cell>
        </row>
        <row r="1661">
          <cell r="D1661" t="str">
            <v>Long</v>
          </cell>
          <cell r="K1661" t="str">
            <v>C2: High Yield</v>
          </cell>
        </row>
        <row r="1662">
          <cell r="D1662" t="str">
            <v>Long</v>
          </cell>
          <cell r="K1662" t="str">
            <v>C2: High Yield</v>
          </cell>
        </row>
        <row r="1663">
          <cell r="D1663" t="str">
            <v>Long</v>
          </cell>
          <cell r="K1663" t="str">
            <v>C1: Bank Debt</v>
          </cell>
        </row>
        <row r="1664">
          <cell r="D1664" t="str">
            <v>Long</v>
          </cell>
          <cell r="K1664" t="str">
            <v>C1: Bank Debt</v>
          </cell>
        </row>
        <row r="1665">
          <cell r="D1665" t="str">
            <v>Long</v>
          </cell>
          <cell r="K1665" t="str">
            <v>C1: Bank Debt</v>
          </cell>
        </row>
        <row r="1666">
          <cell r="D1666" t="str">
            <v>Long</v>
          </cell>
          <cell r="K1666" t="str">
            <v>C1: Bank Debt</v>
          </cell>
        </row>
        <row r="1667">
          <cell r="D1667" t="str">
            <v>Long</v>
          </cell>
          <cell r="K1667" t="str">
            <v>C1: Bank Debt</v>
          </cell>
        </row>
        <row r="1668">
          <cell r="D1668" t="str">
            <v>Long</v>
          </cell>
          <cell r="K1668" t="str">
            <v>C1: Bank Debt</v>
          </cell>
        </row>
        <row r="1669">
          <cell r="D1669" t="str">
            <v>Long</v>
          </cell>
          <cell r="K1669" t="str">
            <v>C1: Bank Debt</v>
          </cell>
        </row>
        <row r="1670">
          <cell r="D1670" t="str">
            <v>Long</v>
          </cell>
          <cell r="K1670" t="str">
            <v>C1: Bank Debt</v>
          </cell>
        </row>
        <row r="1671">
          <cell r="D1671" t="str">
            <v>Long</v>
          </cell>
          <cell r="K1671" t="str">
            <v>C1: Bank Debt</v>
          </cell>
        </row>
        <row r="1672">
          <cell r="D1672" t="str">
            <v>Long</v>
          </cell>
          <cell r="K1672" t="str">
            <v>C1: Bank Debt</v>
          </cell>
        </row>
        <row r="1673">
          <cell r="D1673" t="str">
            <v>Long</v>
          </cell>
          <cell r="K1673" t="str">
            <v>C1: Bank Debt</v>
          </cell>
        </row>
        <row r="1674">
          <cell r="D1674" t="str">
            <v>Long</v>
          </cell>
          <cell r="K1674" t="str">
            <v>C2a: BD-HY Equivalent</v>
          </cell>
        </row>
        <row r="1675">
          <cell r="D1675" t="str">
            <v>Long</v>
          </cell>
          <cell r="K1675" t="str">
            <v>C2a: BD-HY Equivalent</v>
          </cell>
        </row>
        <row r="1676">
          <cell r="D1676" t="str">
            <v>Long</v>
          </cell>
          <cell r="K1676" t="str">
            <v>C2a: BD-HY Equivalent</v>
          </cell>
        </row>
        <row r="1677">
          <cell r="D1677" t="str">
            <v>Long</v>
          </cell>
          <cell r="K1677" t="str">
            <v>C2a: BD-HY Equivalent</v>
          </cell>
        </row>
        <row r="1678">
          <cell r="D1678" t="str">
            <v>Long</v>
          </cell>
          <cell r="K1678" t="str">
            <v>C2a: BD-HY Equivalent</v>
          </cell>
        </row>
        <row r="1679">
          <cell r="D1679" t="str">
            <v>Long</v>
          </cell>
          <cell r="K1679" t="str">
            <v>C2a: BD-HY Equivalent</v>
          </cell>
        </row>
        <row r="1680">
          <cell r="D1680" t="str">
            <v>Long</v>
          </cell>
          <cell r="K1680" t="str">
            <v>C2a: BD-HY Equivalent</v>
          </cell>
        </row>
        <row r="1681">
          <cell r="D1681" t="str">
            <v>Long</v>
          </cell>
          <cell r="K1681" t="str">
            <v>C2a: BD-HY Equivalent</v>
          </cell>
        </row>
        <row r="1682">
          <cell r="D1682" t="str">
            <v>Long</v>
          </cell>
          <cell r="K1682" t="str">
            <v>C2a: BD-HY Equivalent</v>
          </cell>
        </row>
        <row r="1683">
          <cell r="D1683" t="str">
            <v>Long</v>
          </cell>
          <cell r="K1683" t="str">
            <v>C2a: BD-HY Equivalent</v>
          </cell>
        </row>
        <row r="1684">
          <cell r="D1684" t="str">
            <v>Long</v>
          </cell>
          <cell r="K1684" t="str">
            <v>C2a: BD-HY Equivalent</v>
          </cell>
        </row>
        <row r="1685">
          <cell r="D1685" t="str">
            <v>Long</v>
          </cell>
          <cell r="K1685" t="str">
            <v>C2a: BD-HY Equivalent</v>
          </cell>
        </row>
        <row r="1686">
          <cell r="D1686" t="str">
            <v>Long</v>
          </cell>
          <cell r="K1686" t="str">
            <v>C2: High Yield</v>
          </cell>
        </row>
        <row r="1687">
          <cell r="D1687" t="str">
            <v>Long</v>
          </cell>
          <cell r="K1687" t="str">
            <v>C2: High Yield</v>
          </cell>
        </row>
        <row r="1688">
          <cell r="D1688" t="str">
            <v>Long</v>
          </cell>
          <cell r="K1688" t="str">
            <v>C2: High Yield</v>
          </cell>
        </row>
        <row r="1689">
          <cell r="D1689" t="str">
            <v>Long</v>
          </cell>
          <cell r="K1689" t="str">
            <v>C2: High Yield</v>
          </cell>
        </row>
        <row r="1690">
          <cell r="D1690" t="str">
            <v>Long</v>
          </cell>
          <cell r="K1690" t="str">
            <v>C2: High Yield</v>
          </cell>
        </row>
        <row r="1691">
          <cell r="D1691" t="str">
            <v>Long</v>
          </cell>
          <cell r="K1691" t="str">
            <v>C2: High Yield</v>
          </cell>
        </row>
        <row r="1692">
          <cell r="D1692" t="str">
            <v>Long</v>
          </cell>
          <cell r="K1692" t="str">
            <v>C2: High Yield</v>
          </cell>
        </row>
        <row r="1693">
          <cell r="D1693" t="str">
            <v>Long</v>
          </cell>
          <cell r="K1693" t="str">
            <v>C2: High Yield</v>
          </cell>
        </row>
        <row r="1694">
          <cell r="D1694" t="str">
            <v>Long</v>
          </cell>
          <cell r="K1694" t="str">
            <v>C2: High Yield</v>
          </cell>
        </row>
        <row r="1695">
          <cell r="D1695" t="str">
            <v>Long</v>
          </cell>
          <cell r="K1695" t="str">
            <v>C2: High Yield</v>
          </cell>
        </row>
        <row r="1696">
          <cell r="D1696" t="str">
            <v>Long</v>
          </cell>
          <cell r="K1696" t="str">
            <v>C2: High Yield</v>
          </cell>
        </row>
        <row r="1697">
          <cell r="D1697" t="str">
            <v>Long</v>
          </cell>
          <cell r="K1697" t="str">
            <v>C2: High Yield</v>
          </cell>
        </row>
        <row r="1698">
          <cell r="D1698" t="str">
            <v>Long</v>
          </cell>
          <cell r="K1698" t="str">
            <v>C2: High Yield</v>
          </cell>
        </row>
        <row r="1699">
          <cell r="D1699" t="str">
            <v>Long</v>
          </cell>
          <cell r="K1699" t="str">
            <v>C2: High Yield</v>
          </cell>
        </row>
        <row r="1700">
          <cell r="D1700" t="str">
            <v>Long</v>
          </cell>
          <cell r="K1700" t="str">
            <v>C2: High Yield</v>
          </cell>
        </row>
        <row r="1701">
          <cell r="D1701" t="str">
            <v>Long</v>
          </cell>
          <cell r="K1701" t="str">
            <v>C2: High Yield</v>
          </cell>
        </row>
        <row r="1702">
          <cell r="D1702" t="str">
            <v>Long</v>
          </cell>
          <cell r="K1702" t="str">
            <v>C2: High Yield</v>
          </cell>
        </row>
        <row r="1703">
          <cell r="D1703" t="str">
            <v>Long</v>
          </cell>
          <cell r="K1703" t="str">
            <v>C4: Other</v>
          </cell>
        </row>
        <row r="1704">
          <cell r="D1704" t="str">
            <v>Long</v>
          </cell>
          <cell r="K1704" t="str">
            <v>C4: Other</v>
          </cell>
        </row>
        <row r="1705">
          <cell r="D1705" t="str">
            <v>Long</v>
          </cell>
          <cell r="K1705" t="str">
            <v>C4: Other</v>
          </cell>
        </row>
        <row r="1706">
          <cell r="D1706" t="str">
            <v>Long</v>
          </cell>
          <cell r="K1706" t="str">
            <v>C4: Other</v>
          </cell>
        </row>
        <row r="1707">
          <cell r="D1707" t="str">
            <v>Long</v>
          </cell>
          <cell r="K1707" t="str">
            <v>C4: Other</v>
          </cell>
        </row>
        <row r="1708">
          <cell r="D1708" t="str">
            <v>Long</v>
          </cell>
          <cell r="K1708" t="str">
            <v>C4: Other</v>
          </cell>
        </row>
        <row r="1709">
          <cell r="D1709" t="str">
            <v>Long</v>
          </cell>
          <cell r="K1709" t="str">
            <v>C1: Bank Debt</v>
          </cell>
        </row>
        <row r="1710">
          <cell r="D1710" t="str">
            <v>Long</v>
          </cell>
          <cell r="K1710" t="str">
            <v>C1: Bank Debt</v>
          </cell>
        </row>
        <row r="1711">
          <cell r="D1711" t="str">
            <v>Long</v>
          </cell>
          <cell r="K1711" t="str">
            <v>C1: Bank Debt</v>
          </cell>
        </row>
        <row r="1712">
          <cell r="D1712" t="str">
            <v>Long</v>
          </cell>
          <cell r="K1712" t="str">
            <v>C1: Bank Debt</v>
          </cell>
        </row>
        <row r="1713">
          <cell r="D1713" t="str">
            <v>Long</v>
          </cell>
          <cell r="K1713" t="str">
            <v>C1: Bank Debt</v>
          </cell>
        </row>
        <row r="1714">
          <cell r="D1714" t="str">
            <v>Long</v>
          </cell>
          <cell r="K1714" t="str">
            <v>C1: Bank Debt</v>
          </cell>
        </row>
        <row r="1715">
          <cell r="D1715" t="str">
            <v>Long</v>
          </cell>
          <cell r="K1715" t="str">
            <v>C1: Bank Debt</v>
          </cell>
        </row>
        <row r="1716">
          <cell r="D1716" t="str">
            <v>Long</v>
          </cell>
          <cell r="K1716" t="str">
            <v>C1: Bank Debt</v>
          </cell>
        </row>
        <row r="1717">
          <cell r="D1717" t="str">
            <v>Long</v>
          </cell>
          <cell r="K1717" t="str">
            <v>C1: Bank Debt</v>
          </cell>
        </row>
        <row r="1718">
          <cell r="D1718" t="str">
            <v>Long</v>
          </cell>
          <cell r="K1718" t="str">
            <v>C1: Bank Debt</v>
          </cell>
        </row>
        <row r="1719">
          <cell r="D1719" t="str">
            <v>Long</v>
          </cell>
          <cell r="K1719" t="str">
            <v>C1: Bank Debt</v>
          </cell>
        </row>
        <row r="1720">
          <cell r="D1720" t="str">
            <v>Long</v>
          </cell>
          <cell r="K1720" t="str">
            <v>C1: Bank Debt</v>
          </cell>
        </row>
        <row r="1721">
          <cell r="D1721" t="str">
            <v>Long</v>
          </cell>
          <cell r="K1721" t="str">
            <v>C2a: BD-HY Equivalent</v>
          </cell>
        </row>
        <row r="1722">
          <cell r="D1722" t="str">
            <v>Long</v>
          </cell>
          <cell r="K1722" t="str">
            <v>C1: Bank Debt</v>
          </cell>
        </row>
        <row r="1723">
          <cell r="D1723" t="str">
            <v>Short</v>
          </cell>
          <cell r="K1723" t="str">
            <v>C3a: Outright Shorts</v>
          </cell>
        </row>
        <row r="1724">
          <cell r="D1724" t="str">
            <v>Short</v>
          </cell>
          <cell r="K1724" t="str">
            <v>C3a: Outright Shorts</v>
          </cell>
        </row>
        <row r="1725">
          <cell r="D1725" t="str">
            <v>Short</v>
          </cell>
          <cell r="K1725" t="str">
            <v>C3a: Outright Shorts</v>
          </cell>
        </row>
        <row r="1726">
          <cell r="D1726" t="str">
            <v>Short</v>
          </cell>
          <cell r="K1726" t="str">
            <v>C3a: Outright Shorts</v>
          </cell>
        </row>
        <row r="1727">
          <cell r="D1727" t="str">
            <v>Short</v>
          </cell>
          <cell r="K1727" t="str">
            <v>C3a: Outright Shorts</v>
          </cell>
        </row>
        <row r="1728">
          <cell r="D1728" t="str">
            <v>Long</v>
          </cell>
          <cell r="K1728" t="str">
            <v>C4: Other</v>
          </cell>
        </row>
        <row r="1729">
          <cell r="D1729" t="str">
            <v>Long</v>
          </cell>
          <cell r="K1729" t="str">
            <v>C4: Other</v>
          </cell>
        </row>
        <row r="1730">
          <cell r="D1730" t="str">
            <v>Long</v>
          </cell>
          <cell r="K1730" t="str">
            <v>C4: Other</v>
          </cell>
        </row>
        <row r="1731">
          <cell r="D1731" t="str">
            <v>Long</v>
          </cell>
          <cell r="K1731" t="str">
            <v>C4: Other</v>
          </cell>
        </row>
        <row r="1732">
          <cell r="D1732" t="str">
            <v>Long</v>
          </cell>
          <cell r="K1732" t="str">
            <v>C4: Other</v>
          </cell>
        </row>
        <row r="1733">
          <cell r="D1733" t="str">
            <v>Long</v>
          </cell>
          <cell r="K1733" t="str">
            <v>C4: Other</v>
          </cell>
        </row>
        <row r="1734">
          <cell r="D1734" t="str">
            <v>Long</v>
          </cell>
          <cell r="K1734" t="str">
            <v>C2: High Yield</v>
          </cell>
        </row>
        <row r="1735">
          <cell r="D1735" t="str">
            <v>Long</v>
          </cell>
          <cell r="K1735" t="str">
            <v>C2: High Yield</v>
          </cell>
        </row>
        <row r="1736">
          <cell r="D1736" t="str">
            <v>Long</v>
          </cell>
          <cell r="K1736" t="str">
            <v>C2: High Yield</v>
          </cell>
        </row>
        <row r="1737">
          <cell r="D1737" t="str">
            <v>Long</v>
          </cell>
          <cell r="K1737" t="str">
            <v>C2: High Yield</v>
          </cell>
        </row>
        <row r="1738">
          <cell r="D1738" t="str">
            <v>Long</v>
          </cell>
          <cell r="K1738" t="str">
            <v>C2: High Yield</v>
          </cell>
        </row>
        <row r="1739">
          <cell r="D1739" t="str">
            <v>Long</v>
          </cell>
          <cell r="K1739" t="str">
            <v>C2: High Yield</v>
          </cell>
        </row>
        <row r="1740">
          <cell r="D1740" t="str">
            <v>Short</v>
          </cell>
          <cell r="K1740" t="str">
            <v>C3a: Outright Shorts</v>
          </cell>
        </row>
        <row r="1741">
          <cell r="D1741" t="str">
            <v>Short</v>
          </cell>
          <cell r="K1741" t="str">
            <v>C3a: Outright Shorts</v>
          </cell>
        </row>
        <row r="1742">
          <cell r="D1742" t="str">
            <v>Short</v>
          </cell>
          <cell r="K1742" t="str">
            <v>C3a: Outright Shorts</v>
          </cell>
        </row>
        <row r="1743">
          <cell r="D1743" t="str">
            <v>Short</v>
          </cell>
          <cell r="K1743" t="str">
            <v>C3a: Outright Shorts</v>
          </cell>
        </row>
        <row r="1744">
          <cell r="D1744" t="str">
            <v>Short</v>
          </cell>
          <cell r="K1744" t="str">
            <v>C3a: Outright Shorts</v>
          </cell>
        </row>
        <row r="1745">
          <cell r="D1745" t="str">
            <v>Short</v>
          </cell>
          <cell r="K1745" t="str">
            <v>C3a: Outright Shorts</v>
          </cell>
        </row>
        <row r="1746">
          <cell r="D1746" t="str">
            <v>Short</v>
          </cell>
          <cell r="K1746" t="str">
            <v>C3a: Outright Shorts</v>
          </cell>
        </row>
        <row r="1747">
          <cell r="D1747" t="str">
            <v>Short</v>
          </cell>
          <cell r="K1747" t="str">
            <v>C3a: Outright Shorts</v>
          </cell>
        </row>
        <row r="1748">
          <cell r="D1748" t="str">
            <v>Short</v>
          </cell>
          <cell r="K1748" t="str">
            <v>C3a: Outright Shorts</v>
          </cell>
        </row>
        <row r="1749">
          <cell r="D1749" t="str">
            <v>Short</v>
          </cell>
          <cell r="K1749" t="str">
            <v>C3a: Outright Shorts</v>
          </cell>
        </row>
        <row r="1750">
          <cell r="D1750" t="str">
            <v>Short</v>
          </cell>
          <cell r="K1750" t="str">
            <v>C3a: Outright Shorts</v>
          </cell>
        </row>
        <row r="1751">
          <cell r="D1751" t="str">
            <v>Short</v>
          </cell>
          <cell r="K1751" t="str">
            <v>C3a: Outright Shorts</v>
          </cell>
        </row>
        <row r="1752">
          <cell r="D1752" t="str">
            <v>Short</v>
          </cell>
          <cell r="K1752" t="str">
            <v>C3a: Outright Shorts</v>
          </cell>
        </row>
        <row r="1753">
          <cell r="D1753" t="str">
            <v>Short</v>
          </cell>
          <cell r="K1753" t="str">
            <v>C3a: Outright Shorts</v>
          </cell>
        </row>
        <row r="1754">
          <cell r="D1754" t="str">
            <v>Short</v>
          </cell>
          <cell r="K1754" t="str">
            <v>C3a: Outright Shorts</v>
          </cell>
        </row>
        <row r="1755">
          <cell r="D1755" t="str">
            <v>Short</v>
          </cell>
          <cell r="K1755" t="str">
            <v>C3a: Outright Shorts</v>
          </cell>
        </row>
        <row r="1756">
          <cell r="D1756" t="str">
            <v>Short</v>
          </cell>
          <cell r="K1756" t="str">
            <v>C3a: Outright Shorts</v>
          </cell>
        </row>
        <row r="1757">
          <cell r="D1757" t="str">
            <v>Short</v>
          </cell>
          <cell r="K1757" t="str">
            <v>C3a: Outright Shorts</v>
          </cell>
        </row>
        <row r="1758">
          <cell r="D1758" t="str">
            <v>Short</v>
          </cell>
          <cell r="K1758" t="str">
            <v>C3a: Outright Shorts</v>
          </cell>
        </row>
        <row r="1759">
          <cell r="D1759" t="str">
            <v>Short</v>
          </cell>
          <cell r="K1759" t="str">
            <v>C3a: Outright Shorts</v>
          </cell>
        </row>
        <row r="1760">
          <cell r="D1760" t="str">
            <v>Short</v>
          </cell>
          <cell r="K1760" t="str">
            <v>C3a: Outright Shorts</v>
          </cell>
        </row>
        <row r="1761">
          <cell r="D1761" t="str">
            <v>Long</v>
          </cell>
          <cell r="K1761" t="str">
            <v>C2: High Yield</v>
          </cell>
        </row>
        <row r="1762">
          <cell r="D1762" t="str">
            <v>Long</v>
          </cell>
          <cell r="K1762" t="str">
            <v>C2: High Yield</v>
          </cell>
        </row>
        <row r="1763">
          <cell r="D1763" t="str">
            <v>Long</v>
          </cell>
          <cell r="K1763" t="str">
            <v>C2: High Yield</v>
          </cell>
        </row>
        <row r="1764">
          <cell r="D1764" t="str">
            <v>Long</v>
          </cell>
          <cell r="K1764" t="str">
            <v>C2: High Yield</v>
          </cell>
        </row>
        <row r="1765">
          <cell r="D1765" t="str">
            <v>Long</v>
          </cell>
          <cell r="K1765" t="str">
            <v>C2: High Yield</v>
          </cell>
        </row>
        <row r="1766">
          <cell r="D1766" t="str">
            <v>Long</v>
          </cell>
          <cell r="K1766" t="str">
            <v>C2: High Yield</v>
          </cell>
        </row>
        <row r="1767">
          <cell r="D1767" t="str">
            <v>Long</v>
          </cell>
          <cell r="K1767" t="str">
            <v>C2: High Yield</v>
          </cell>
        </row>
        <row r="1768">
          <cell r="D1768" t="str">
            <v>Long</v>
          </cell>
          <cell r="K1768" t="str">
            <v>C2: High Yield</v>
          </cell>
        </row>
        <row r="1769">
          <cell r="D1769" t="str">
            <v>Long</v>
          </cell>
          <cell r="K1769" t="str">
            <v>C2: High Yield</v>
          </cell>
        </row>
        <row r="1770">
          <cell r="D1770" t="str">
            <v>Long</v>
          </cell>
          <cell r="K1770" t="str">
            <v>C2: High Yield</v>
          </cell>
        </row>
        <row r="1771">
          <cell r="D1771" t="str">
            <v>Long</v>
          </cell>
          <cell r="K1771" t="str">
            <v>C2: High Yield</v>
          </cell>
        </row>
        <row r="1772">
          <cell r="D1772" t="str">
            <v>Long</v>
          </cell>
          <cell r="K1772" t="str">
            <v>C2: High Yield</v>
          </cell>
        </row>
        <row r="1773">
          <cell r="D1773" t="str">
            <v>Long</v>
          </cell>
          <cell r="K1773" t="str">
            <v>C2a: BD-HY Equivalent</v>
          </cell>
        </row>
        <row r="1774">
          <cell r="D1774" t="str">
            <v>Long</v>
          </cell>
          <cell r="K1774" t="str">
            <v>C2a: BD-HY Equivalent</v>
          </cell>
        </row>
        <row r="1775">
          <cell r="D1775" t="str">
            <v>Long</v>
          </cell>
          <cell r="K1775" t="str">
            <v>C2a: BD-HY Equivalent</v>
          </cell>
        </row>
        <row r="1776">
          <cell r="D1776" t="str">
            <v>Long</v>
          </cell>
          <cell r="K1776" t="str">
            <v>C2a: BD-HY Equivalent</v>
          </cell>
        </row>
        <row r="1777">
          <cell r="D1777" t="str">
            <v>Long</v>
          </cell>
          <cell r="K1777" t="str">
            <v>C2a: BD-HY Equivalent</v>
          </cell>
        </row>
        <row r="1778">
          <cell r="D1778" t="str">
            <v>Long</v>
          </cell>
          <cell r="K1778" t="str">
            <v>C2: High Yield</v>
          </cell>
        </row>
        <row r="1779">
          <cell r="D1779" t="str">
            <v>Long</v>
          </cell>
          <cell r="K1779" t="str">
            <v>C2: High Yield</v>
          </cell>
        </row>
        <row r="1780">
          <cell r="D1780" t="str">
            <v>Long</v>
          </cell>
          <cell r="K1780" t="str">
            <v>C2: High Yield</v>
          </cell>
        </row>
        <row r="1781">
          <cell r="D1781" t="str">
            <v>Long</v>
          </cell>
          <cell r="K1781" t="str">
            <v>C2: High Yield</v>
          </cell>
        </row>
        <row r="1782">
          <cell r="D1782" t="str">
            <v>Long</v>
          </cell>
          <cell r="K1782" t="str">
            <v>C2: High Yield</v>
          </cell>
        </row>
        <row r="1783">
          <cell r="D1783" t="str">
            <v>Long</v>
          </cell>
          <cell r="K1783" t="str">
            <v>C2: High Yield</v>
          </cell>
        </row>
        <row r="1784">
          <cell r="D1784" t="str">
            <v>Long</v>
          </cell>
          <cell r="K1784" t="str">
            <v>C2: High Yield</v>
          </cell>
        </row>
        <row r="1785">
          <cell r="D1785" t="str">
            <v>Long</v>
          </cell>
          <cell r="K1785" t="str">
            <v>C2a: BD-HY Equivalent</v>
          </cell>
        </row>
        <row r="1786">
          <cell r="D1786" t="str">
            <v>Long</v>
          </cell>
          <cell r="K1786" t="str">
            <v>C2a: BD-HY Equivalent</v>
          </cell>
        </row>
        <row r="1787">
          <cell r="D1787" t="str">
            <v>Long</v>
          </cell>
          <cell r="K1787" t="str">
            <v>C2a: BD-HY Equivalent</v>
          </cell>
        </row>
        <row r="1788">
          <cell r="D1788" t="str">
            <v>Long</v>
          </cell>
          <cell r="K1788" t="str">
            <v>C2a: BD-HY Equivalent</v>
          </cell>
        </row>
        <row r="1789">
          <cell r="D1789" t="str">
            <v>Long</v>
          </cell>
          <cell r="K1789" t="str">
            <v>C2a: BD-HY Equivalent</v>
          </cell>
        </row>
        <row r="1790">
          <cell r="D1790" t="str">
            <v>Long</v>
          </cell>
          <cell r="K1790" t="str">
            <v>C2a: BD-HY Equivalent</v>
          </cell>
        </row>
        <row r="1791">
          <cell r="D1791" t="str">
            <v>Long</v>
          </cell>
          <cell r="K1791" t="str">
            <v>C2a: BD-HY Equivalent</v>
          </cell>
        </row>
        <row r="1792">
          <cell r="D1792" t="str">
            <v>Long</v>
          </cell>
          <cell r="K1792" t="str">
            <v>C2a: BD-HY Equivalent</v>
          </cell>
        </row>
        <row r="1793">
          <cell r="D1793" t="str">
            <v>Short</v>
          </cell>
          <cell r="K1793" t="str">
            <v>C3a: Outright Shorts</v>
          </cell>
        </row>
        <row r="1794">
          <cell r="D1794" t="str">
            <v>Short</v>
          </cell>
          <cell r="K1794" t="str">
            <v>C3a: Outright Shorts</v>
          </cell>
        </row>
        <row r="1795">
          <cell r="D1795" t="str">
            <v>Short</v>
          </cell>
          <cell r="K1795" t="str">
            <v>C3a: Outright Shorts</v>
          </cell>
        </row>
        <row r="1796">
          <cell r="D1796" t="str">
            <v>Short</v>
          </cell>
          <cell r="K1796" t="str">
            <v>C3a: Outright Shorts</v>
          </cell>
        </row>
        <row r="1797">
          <cell r="D1797" t="str">
            <v>Short</v>
          </cell>
          <cell r="K1797" t="str">
            <v>C3a: Outright Shorts</v>
          </cell>
        </row>
        <row r="1798">
          <cell r="D1798" t="str">
            <v>Short</v>
          </cell>
          <cell r="K1798" t="str">
            <v>C3a: Outright Shorts</v>
          </cell>
        </row>
        <row r="1799">
          <cell r="D1799" t="str">
            <v>Long</v>
          </cell>
          <cell r="K1799" t="str">
            <v>C4: Other</v>
          </cell>
        </row>
        <row r="1800">
          <cell r="D1800" t="str">
            <v>Long</v>
          </cell>
          <cell r="K1800" t="str">
            <v>C4: Other</v>
          </cell>
        </row>
        <row r="1801">
          <cell r="D1801" t="str">
            <v>Long</v>
          </cell>
          <cell r="K1801" t="str">
            <v>C4: Other</v>
          </cell>
        </row>
        <row r="1802">
          <cell r="D1802" t="str">
            <v>Long</v>
          </cell>
          <cell r="K1802" t="str">
            <v>C4: Other</v>
          </cell>
        </row>
        <row r="1803">
          <cell r="D1803" t="str">
            <v>Long</v>
          </cell>
          <cell r="K1803" t="str">
            <v>C4: Other</v>
          </cell>
        </row>
        <row r="1804">
          <cell r="D1804" t="str">
            <v>Long</v>
          </cell>
          <cell r="K1804" t="str">
            <v>C4: Other</v>
          </cell>
        </row>
        <row r="1805">
          <cell r="D1805" t="str">
            <v>Long</v>
          </cell>
          <cell r="K1805" t="str">
            <v>C2a: BD-HY Equivalent</v>
          </cell>
        </row>
        <row r="1806">
          <cell r="D1806" t="str">
            <v>Long</v>
          </cell>
          <cell r="K1806" t="str">
            <v>C2a: BD-HY Equivalent</v>
          </cell>
        </row>
        <row r="1807">
          <cell r="D1807" t="str">
            <v>Long</v>
          </cell>
          <cell r="K1807" t="str">
            <v>C2a: BD-HY Equivalent</v>
          </cell>
        </row>
        <row r="1808">
          <cell r="D1808" t="str">
            <v>Long</v>
          </cell>
          <cell r="K1808" t="str">
            <v>C2a: BD-HY Equivalent</v>
          </cell>
        </row>
        <row r="1809">
          <cell r="D1809" t="str">
            <v>Long</v>
          </cell>
          <cell r="K1809" t="str">
            <v>C2a: BD-HY Equivalent</v>
          </cell>
        </row>
        <row r="1810">
          <cell r="D1810" t="str">
            <v>Long</v>
          </cell>
          <cell r="K1810" t="str">
            <v>C2: High Yield</v>
          </cell>
        </row>
        <row r="1811">
          <cell r="D1811" t="str">
            <v>Long</v>
          </cell>
          <cell r="K1811" t="str">
            <v>C2: High Yield</v>
          </cell>
        </row>
        <row r="1812">
          <cell r="D1812" t="str">
            <v>Long</v>
          </cell>
          <cell r="K1812" t="str">
            <v>C2: High Yield</v>
          </cell>
        </row>
        <row r="1813">
          <cell r="D1813" t="str">
            <v>Long</v>
          </cell>
          <cell r="K1813" t="str">
            <v>C2: High Yield</v>
          </cell>
        </row>
        <row r="1814">
          <cell r="D1814" t="str">
            <v>Long</v>
          </cell>
          <cell r="K1814" t="str">
            <v>C2: High Yield</v>
          </cell>
        </row>
        <row r="1815">
          <cell r="D1815" t="str">
            <v>Long</v>
          </cell>
          <cell r="K1815" t="str">
            <v>C2: High Yield</v>
          </cell>
        </row>
        <row r="1816">
          <cell r="D1816" t="str">
            <v>Long</v>
          </cell>
          <cell r="K1816" t="str">
            <v>C2: High Yield</v>
          </cell>
        </row>
        <row r="1817">
          <cell r="D1817" t="str">
            <v>Long</v>
          </cell>
          <cell r="K1817" t="str">
            <v>C2: High Yield</v>
          </cell>
        </row>
        <row r="1818">
          <cell r="D1818" t="str">
            <v>Long</v>
          </cell>
          <cell r="K1818" t="str">
            <v>C2: High Yield</v>
          </cell>
        </row>
        <row r="1819">
          <cell r="D1819" t="str">
            <v>Long</v>
          </cell>
          <cell r="K1819" t="str">
            <v>C2: High Yield</v>
          </cell>
        </row>
        <row r="1820">
          <cell r="D1820" t="str">
            <v>Long</v>
          </cell>
          <cell r="K1820" t="str">
            <v>C2: High Yield</v>
          </cell>
        </row>
        <row r="1821">
          <cell r="D1821" t="str">
            <v>Long</v>
          </cell>
          <cell r="K1821" t="str">
            <v>C2: High Yield</v>
          </cell>
        </row>
        <row r="1822">
          <cell r="D1822" t="str">
            <v>Long</v>
          </cell>
          <cell r="K1822" t="str">
            <v>C2: High Yield</v>
          </cell>
        </row>
        <row r="1823">
          <cell r="D1823" t="str">
            <v>Long</v>
          </cell>
          <cell r="K1823" t="str">
            <v>C2: High Yield</v>
          </cell>
        </row>
        <row r="1824">
          <cell r="D1824" t="str">
            <v>Long</v>
          </cell>
          <cell r="K1824" t="str">
            <v>C1: Bank Debt</v>
          </cell>
        </row>
        <row r="1825">
          <cell r="D1825" t="str">
            <v>Long</v>
          </cell>
          <cell r="K1825" t="str">
            <v>C1: Bank Debt</v>
          </cell>
        </row>
        <row r="1826">
          <cell r="D1826" t="str">
            <v>Long</v>
          </cell>
          <cell r="K1826" t="str">
            <v>C1: Bank Debt</v>
          </cell>
        </row>
        <row r="1827">
          <cell r="D1827" t="str">
            <v>Long</v>
          </cell>
          <cell r="K1827" t="str">
            <v>C2a: BD-HY Equivalent</v>
          </cell>
        </row>
        <row r="1828">
          <cell r="D1828" t="str">
            <v>Long</v>
          </cell>
          <cell r="K1828" t="str">
            <v>C2a: BD-HY Equivalent</v>
          </cell>
        </row>
        <row r="1829">
          <cell r="D1829" t="str">
            <v>Long</v>
          </cell>
          <cell r="K1829" t="str">
            <v>C2a: BD-HY Equivalent</v>
          </cell>
        </row>
        <row r="1830">
          <cell r="D1830" t="str">
            <v>Long</v>
          </cell>
          <cell r="K1830" t="str">
            <v>C2a: BD-HY Equivalent</v>
          </cell>
        </row>
        <row r="1831">
          <cell r="D1831" t="str">
            <v>Long</v>
          </cell>
          <cell r="K1831" t="str">
            <v>C2a: BD-HY Equivalent</v>
          </cell>
        </row>
        <row r="1832">
          <cell r="D1832" t="str">
            <v>Long</v>
          </cell>
          <cell r="K1832" t="str">
            <v>C2: High Yield</v>
          </cell>
        </row>
        <row r="1833">
          <cell r="D1833" t="str">
            <v>Long</v>
          </cell>
          <cell r="K1833" t="str">
            <v>C2: High Yield</v>
          </cell>
        </row>
        <row r="1834">
          <cell r="D1834" t="str">
            <v>Long</v>
          </cell>
          <cell r="K1834" t="str">
            <v>C2: High Yield</v>
          </cell>
        </row>
        <row r="1835">
          <cell r="D1835" t="str">
            <v>Long</v>
          </cell>
          <cell r="K1835" t="str">
            <v>C2: High Yield</v>
          </cell>
        </row>
        <row r="1836">
          <cell r="D1836" t="str">
            <v>Long</v>
          </cell>
          <cell r="K1836" t="str">
            <v>C2: High Yield</v>
          </cell>
        </row>
        <row r="1837">
          <cell r="D1837" t="str">
            <v>Long</v>
          </cell>
          <cell r="K1837" t="str">
            <v>C2: High Yield</v>
          </cell>
        </row>
        <row r="1838">
          <cell r="D1838" t="str">
            <v>Long</v>
          </cell>
          <cell r="K1838" t="str">
            <v>C2: High Yield</v>
          </cell>
        </row>
        <row r="1839">
          <cell r="D1839" t="str">
            <v>Long</v>
          </cell>
          <cell r="K1839" t="str">
            <v>C2: High Yield</v>
          </cell>
        </row>
        <row r="1840">
          <cell r="D1840" t="str">
            <v>Long</v>
          </cell>
          <cell r="K1840" t="str">
            <v>C2: High Yield</v>
          </cell>
        </row>
        <row r="1841">
          <cell r="D1841" t="str">
            <v>Long</v>
          </cell>
          <cell r="K1841" t="str">
            <v>C2: High Yield</v>
          </cell>
        </row>
        <row r="1842">
          <cell r="D1842" t="str">
            <v>Long</v>
          </cell>
          <cell r="K1842" t="str">
            <v>C2: High Yield</v>
          </cell>
        </row>
        <row r="1843">
          <cell r="D1843" t="str">
            <v>Long</v>
          </cell>
          <cell r="K1843" t="str">
            <v>C2: High Yield</v>
          </cell>
        </row>
        <row r="1844">
          <cell r="D1844" t="str">
            <v>Long</v>
          </cell>
          <cell r="K1844" t="str">
            <v>C2: High Yield</v>
          </cell>
        </row>
        <row r="1845">
          <cell r="D1845" t="str">
            <v>Long</v>
          </cell>
          <cell r="K1845" t="str">
            <v>C2: High Yield</v>
          </cell>
        </row>
        <row r="1846">
          <cell r="D1846" t="str">
            <v>Long</v>
          </cell>
          <cell r="K1846" t="str">
            <v>C1: Bank Debt</v>
          </cell>
        </row>
        <row r="1847">
          <cell r="D1847" t="str">
            <v>Long</v>
          </cell>
          <cell r="K1847" t="str">
            <v>C1: Bank Debt</v>
          </cell>
        </row>
        <row r="1848">
          <cell r="D1848" t="str">
            <v>Long</v>
          </cell>
          <cell r="K1848" t="str">
            <v>C1: Bank Debt</v>
          </cell>
        </row>
        <row r="1849">
          <cell r="D1849" t="str">
            <v>Long</v>
          </cell>
          <cell r="K1849" t="str">
            <v>C1: Bank Debt</v>
          </cell>
        </row>
        <row r="1850">
          <cell r="D1850" t="str">
            <v>Long</v>
          </cell>
          <cell r="K1850" t="str">
            <v>C1: Bank Debt</v>
          </cell>
        </row>
        <row r="1851">
          <cell r="D1851" t="str">
            <v>Long</v>
          </cell>
          <cell r="K1851" t="str">
            <v>C1: Bank Debt</v>
          </cell>
        </row>
        <row r="1852">
          <cell r="D1852" t="str">
            <v>Long</v>
          </cell>
          <cell r="K1852" t="str">
            <v>C1: Bank Debt</v>
          </cell>
        </row>
        <row r="1853">
          <cell r="D1853" t="str">
            <v>Long</v>
          </cell>
          <cell r="K1853" t="str">
            <v>C1: Bank Debt</v>
          </cell>
        </row>
        <row r="1854">
          <cell r="D1854" t="str">
            <v>Long</v>
          </cell>
          <cell r="K1854" t="str">
            <v>C1: Bank Debt</v>
          </cell>
        </row>
        <row r="1855">
          <cell r="D1855" t="str">
            <v>Long</v>
          </cell>
          <cell r="K1855" t="str">
            <v>C1: Bank Debt</v>
          </cell>
        </row>
        <row r="1856">
          <cell r="D1856" t="str">
            <v>Long</v>
          </cell>
          <cell r="K1856" t="str">
            <v>C1: Bank Debt</v>
          </cell>
        </row>
        <row r="1857">
          <cell r="D1857" t="str">
            <v>Short</v>
          </cell>
          <cell r="K1857" t="str">
            <v>C4: Other</v>
          </cell>
        </row>
        <row r="1858">
          <cell r="D1858" t="str">
            <v>Short</v>
          </cell>
          <cell r="K1858" t="str">
            <v>C4: Other</v>
          </cell>
        </row>
        <row r="1859">
          <cell r="D1859" t="str">
            <v>Short</v>
          </cell>
          <cell r="K1859" t="str">
            <v>C4: Other</v>
          </cell>
        </row>
        <row r="1860">
          <cell r="D1860" t="str">
            <v>Short</v>
          </cell>
          <cell r="K1860" t="str">
            <v>C4: Other</v>
          </cell>
        </row>
        <row r="1861">
          <cell r="D1861" t="str">
            <v>Short</v>
          </cell>
          <cell r="K1861" t="str">
            <v>C4: Other</v>
          </cell>
        </row>
        <row r="1862">
          <cell r="D1862" t="str">
            <v>Short</v>
          </cell>
          <cell r="K1862" t="str">
            <v>C4: Other</v>
          </cell>
        </row>
        <row r="1863">
          <cell r="D1863" t="str">
            <v>Short</v>
          </cell>
          <cell r="K1863" t="str">
            <v>C3a: Outright Shorts</v>
          </cell>
        </row>
        <row r="1864">
          <cell r="D1864" t="str">
            <v>Short</v>
          </cell>
          <cell r="K1864" t="str">
            <v>C3a: Outright Shorts</v>
          </cell>
        </row>
        <row r="1865">
          <cell r="D1865" t="str">
            <v>Short</v>
          </cell>
          <cell r="K1865" t="str">
            <v>C3a: Outright Shorts</v>
          </cell>
        </row>
        <row r="1866">
          <cell r="D1866" t="str">
            <v>Short</v>
          </cell>
          <cell r="K1866" t="str">
            <v>C3a: Outright Shorts</v>
          </cell>
        </row>
        <row r="1867">
          <cell r="D1867" t="str">
            <v>Short</v>
          </cell>
          <cell r="K1867" t="str">
            <v>C3a: Outright Shorts</v>
          </cell>
        </row>
        <row r="1868">
          <cell r="D1868" t="str">
            <v>Short</v>
          </cell>
          <cell r="K1868" t="str">
            <v>C3a: Outright Shorts</v>
          </cell>
        </row>
        <row r="1869">
          <cell r="D1869" t="str">
            <v>Short</v>
          </cell>
          <cell r="K1869" t="str">
            <v>C3a: Outright Shorts</v>
          </cell>
        </row>
        <row r="1870">
          <cell r="D1870" t="str">
            <v>Short</v>
          </cell>
          <cell r="K1870" t="str">
            <v>C3a: Outright Shorts</v>
          </cell>
        </row>
        <row r="1871">
          <cell r="D1871" t="str">
            <v>Short</v>
          </cell>
          <cell r="K1871" t="str">
            <v>C3a: Outright Shorts</v>
          </cell>
        </row>
        <row r="1872">
          <cell r="D1872" t="str">
            <v>Short</v>
          </cell>
          <cell r="K1872" t="str">
            <v>C3a: Outright Shorts</v>
          </cell>
        </row>
        <row r="1873">
          <cell r="D1873" t="str">
            <v>Short</v>
          </cell>
          <cell r="K1873" t="str">
            <v>C3a: Outright Shorts</v>
          </cell>
        </row>
        <row r="1874">
          <cell r="D1874" t="str">
            <v>Long</v>
          </cell>
          <cell r="K1874" t="str">
            <v>C1: Bank Debt</v>
          </cell>
        </row>
        <row r="1875">
          <cell r="D1875" t="str">
            <v>Long</v>
          </cell>
          <cell r="K1875" t="str">
            <v>C1: Bank Debt</v>
          </cell>
        </row>
        <row r="1876">
          <cell r="D1876" t="str">
            <v>Long</v>
          </cell>
          <cell r="K1876" t="str">
            <v>C1: Bank Debt</v>
          </cell>
        </row>
        <row r="1877">
          <cell r="D1877" t="str">
            <v>Long</v>
          </cell>
          <cell r="K1877" t="str">
            <v>C1: Bank Debt</v>
          </cell>
        </row>
        <row r="1878">
          <cell r="D1878" t="str">
            <v>Long</v>
          </cell>
          <cell r="K1878" t="str">
            <v>C1: Bank Debt</v>
          </cell>
        </row>
        <row r="1879">
          <cell r="D1879" t="str">
            <v>Long</v>
          </cell>
          <cell r="K1879" t="str">
            <v>C1: Bank Debt</v>
          </cell>
        </row>
        <row r="1880">
          <cell r="D1880" t="str">
            <v>Long</v>
          </cell>
          <cell r="K1880" t="str">
            <v>C1: Bank Debt</v>
          </cell>
        </row>
        <row r="1881">
          <cell r="D1881" t="str">
            <v>Long</v>
          </cell>
          <cell r="K1881" t="str">
            <v>C1: Bank Debt</v>
          </cell>
        </row>
        <row r="1882">
          <cell r="D1882" t="str">
            <v>Long</v>
          </cell>
          <cell r="K1882" t="str">
            <v>C1: Bank Debt</v>
          </cell>
        </row>
        <row r="1883">
          <cell r="D1883" t="str">
            <v>Long</v>
          </cell>
          <cell r="K1883" t="str">
            <v>C4: Other</v>
          </cell>
        </row>
        <row r="1884">
          <cell r="D1884" t="str">
            <v>Long</v>
          </cell>
          <cell r="K1884" t="str">
            <v>C4: Other</v>
          </cell>
        </row>
        <row r="1885">
          <cell r="D1885" t="str">
            <v>Long</v>
          </cell>
          <cell r="K1885" t="str">
            <v>C4: Other</v>
          </cell>
        </row>
        <row r="1886">
          <cell r="D1886" t="str">
            <v>Long</v>
          </cell>
          <cell r="K1886" t="str">
            <v>C4: Other</v>
          </cell>
        </row>
        <row r="1887">
          <cell r="D1887" t="str">
            <v>Long</v>
          </cell>
          <cell r="K1887" t="str">
            <v>C4: Other</v>
          </cell>
        </row>
        <row r="1888">
          <cell r="D1888" t="str">
            <v>Long</v>
          </cell>
          <cell r="K1888" t="str">
            <v>C2: High Yield</v>
          </cell>
        </row>
        <row r="1889">
          <cell r="D1889" t="str">
            <v>Long</v>
          </cell>
          <cell r="K1889" t="str">
            <v>C2: High Yield</v>
          </cell>
        </row>
        <row r="1890">
          <cell r="D1890" t="str">
            <v>Short</v>
          </cell>
          <cell r="K1890" t="str">
            <v>C3a: Outright Shorts</v>
          </cell>
        </row>
        <row r="1891">
          <cell r="D1891" t="str">
            <v>Short</v>
          </cell>
          <cell r="K1891" t="str">
            <v>C3a: Outright Shorts</v>
          </cell>
        </row>
        <row r="1892">
          <cell r="D1892" t="str">
            <v>Short</v>
          </cell>
          <cell r="K1892" t="str">
            <v>C3a: Outright Shorts</v>
          </cell>
        </row>
        <row r="1893">
          <cell r="D1893" t="str">
            <v>Short</v>
          </cell>
          <cell r="K1893" t="str">
            <v>C3a: Outright Shorts</v>
          </cell>
        </row>
        <row r="1894">
          <cell r="D1894" t="str">
            <v>Short</v>
          </cell>
          <cell r="K1894" t="str">
            <v>C3a: Outright Shorts</v>
          </cell>
        </row>
        <row r="1895">
          <cell r="D1895" t="str">
            <v>Short</v>
          </cell>
          <cell r="K1895" t="str">
            <v>C3a: Outright Shorts</v>
          </cell>
        </row>
        <row r="1896">
          <cell r="D1896" t="str">
            <v>Short</v>
          </cell>
          <cell r="K1896" t="str">
            <v>C3a: Outright Shorts</v>
          </cell>
        </row>
        <row r="1897">
          <cell r="D1897" t="str">
            <v>Short</v>
          </cell>
          <cell r="K1897" t="str">
            <v>C3a: Outright Shorts</v>
          </cell>
        </row>
        <row r="1898">
          <cell r="D1898" t="str">
            <v>Short</v>
          </cell>
          <cell r="K1898" t="str">
            <v>C3a: Outright Shorts</v>
          </cell>
        </row>
        <row r="1899">
          <cell r="D1899" t="str">
            <v>Short</v>
          </cell>
          <cell r="K1899" t="str">
            <v>C3a: Outright Shorts</v>
          </cell>
        </row>
        <row r="1900">
          <cell r="D1900" t="str">
            <v>Short</v>
          </cell>
          <cell r="K1900" t="str">
            <v>C3a: Outright Shorts</v>
          </cell>
        </row>
        <row r="1901">
          <cell r="D1901" t="str">
            <v>Short</v>
          </cell>
          <cell r="K1901" t="str">
            <v>C3a: Outright Shorts</v>
          </cell>
        </row>
        <row r="1902">
          <cell r="D1902" t="str">
            <v>Short</v>
          </cell>
          <cell r="K1902" t="str">
            <v>C3a: Outright Shorts</v>
          </cell>
        </row>
        <row r="1903">
          <cell r="D1903" t="str">
            <v>Short</v>
          </cell>
          <cell r="K1903" t="str">
            <v>C3a: Outright Shorts</v>
          </cell>
        </row>
        <row r="1904">
          <cell r="D1904" t="str">
            <v>Short</v>
          </cell>
          <cell r="K1904" t="str">
            <v>C3a: Outright Shorts</v>
          </cell>
        </row>
        <row r="1905">
          <cell r="D1905" t="str">
            <v>Short</v>
          </cell>
          <cell r="K1905" t="str">
            <v>C3a: Outright Shorts</v>
          </cell>
        </row>
        <row r="1906">
          <cell r="D1906" t="str">
            <v>Short</v>
          </cell>
          <cell r="K1906" t="str">
            <v>C3a: Outright Shorts</v>
          </cell>
        </row>
        <row r="1907">
          <cell r="D1907" t="str">
            <v>Short</v>
          </cell>
          <cell r="K1907" t="str">
            <v>C3a: Outright Shorts</v>
          </cell>
        </row>
        <row r="1908">
          <cell r="D1908" t="str">
            <v>Short</v>
          </cell>
          <cell r="K1908" t="str">
            <v>C3a: Outright Shorts</v>
          </cell>
        </row>
        <row r="1909">
          <cell r="D1909" t="str">
            <v>Long</v>
          </cell>
          <cell r="K1909" t="str">
            <v>C2a: BD-HY Equivalent</v>
          </cell>
        </row>
        <row r="1910">
          <cell r="D1910" t="str">
            <v>Long</v>
          </cell>
          <cell r="K1910" t="str">
            <v>C2a: BD-HY Equivalent</v>
          </cell>
        </row>
        <row r="1911">
          <cell r="D1911" t="str">
            <v>Long</v>
          </cell>
          <cell r="K1911" t="str">
            <v>C2a: BD-HY Equivalent</v>
          </cell>
        </row>
        <row r="1912">
          <cell r="D1912" t="str">
            <v>Long</v>
          </cell>
          <cell r="K1912" t="str">
            <v>C2a: BD-HY Equivalent</v>
          </cell>
        </row>
        <row r="1913">
          <cell r="D1913" t="str">
            <v>Long</v>
          </cell>
          <cell r="K1913" t="str">
            <v>C2a: BD-HY Equivalent</v>
          </cell>
        </row>
        <row r="1914">
          <cell r="D1914" t="str">
            <v>Long</v>
          </cell>
          <cell r="K1914" t="str">
            <v>C1: Bank Debt</v>
          </cell>
        </row>
        <row r="1915">
          <cell r="D1915" t="str">
            <v>Long</v>
          </cell>
          <cell r="K1915" t="str">
            <v>C1: Bank Debt</v>
          </cell>
        </row>
        <row r="1916">
          <cell r="D1916" t="str">
            <v>Long</v>
          </cell>
          <cell r="K1916" t="str">
            <v>C1: Bank Debt</v>
          </cell>
        </row>
        <row r="1917">
          <cell r="D1917" t="str">
            <v>Long</v>
          </cell>
          <cell r="K1917" t="str">
            <v>C1: Bank Debt</v>
          </cell>
        </row>
        <row r="1918">
          <cell r="D1918" t="str">
            <v>Short</v>
          </cell>
          <cell r="K1918" t="str">
            <v>C3a: Outright Shorts</v>
          </cell>
        </row>
        <row r="1919">
          <cell r="D1919" t="str">
            <v>Short</v>
          </cell>
          <cell r="K1919" t="str">
            <v>C3a: Outright Shorts</v>
          </cell>
        </row>
        <row r="1920">
          <cell r="D1920" t="str">
            <v>Short</v>
          </cell>
          <cell r="K1920" t="str">
            <v>C3a: Outright Shorts</v>
          </cell>
        </row>
        <row r="1921">
          <cell r="D1921" t="str">
            <v>Short</v>
          </cell>
          <cell r="K1921" t="str">
            <v>C3a: Outright Shorts</v>
          </cell>
        </row>
        <row r="1922">
          <cell r="D1922" t="str">
            <v>Short</v>
          </cell>
          <cell r="K1922" t="str">
            <v>C3a: Outright Shorts</v>
          </cell>
        </row>
        <row r="1923">
          <cell r="D1923" t="str">
            <v>Short</v>
          </cell>
          <cell r="K1923" t="str">
            <v>C3a: Outright Shorts</v>
          </cell>
        </row>
        <row r="1924">
          <cell r="D1924" t="str">
            <v>Short</v>
          </cell>
          <cell r="K1924" t="str">
            <v>C3a: Outright Shorts</v>
          </cell>
        </row>
        <row r="1925">
          <cell r="D1925" t="str">
            <v>Short</v>
          </cell>
          <cell r="K1925" t="str">
            <v>C3a: Outright Shorts</v>
          </cell>
        </row>
        <row r="1926">
          <cell r="D1926" t="str">
            <v>Short</v>
          </cell>
          <cell r="K1926" t="str">
            <v>C3a: Outright Shorts</v>
          </cell>
        </row>
        <row r="1927">
          <cell r="D1927" t="str">
            <v>Short</v>
          </cell>
          <cell r="K1927" t="str">
            <v>C3a: Outright Shorts</v>
          </cell>
        </row>
        <row r="1928">
          <cell r="D1928" t="str">
            <v>Long</v>
          </cell>
          <cell r="K1928" t="str">
            <v>C4: Other</v>
          </cell>
        </row>
        <row r="1929">
          <cell r="D1929" t="str">
            <v>Long</v>
          </cell>
          <cell r="K1929" t="str">
            <v>C4: Other</v>
          </cell>
        </row>
        <row r="1930">
          <cell r="D1930" t="str">
            <v>Long</v>
          </cell>
          <cell r="K1930" t="str">
            <v>C4: Other</v>
          </cell>
        </row>
        <row r="1931">
          <cell r="D1931" t="str">
            <v>Long</v>
          </cell>
          <cell r="K1931" t="str">
            <v>C1: Bank Debt</v>
          </cell>
        </row>
        <row r="1932">
          <cell r="D1932" t="str">
            <v>Long</v>
          </cell>
          <cell r="K1932" t="str">
            <v>C1: Bank Debt</v>
          </cell>
        </row>
        <row r="1933">
          <cell r="D1933" t="str">
            <v>Long</v>
          </cell>
          <cell r="K1933" t="str">
            <v>C1: Bank Debt</v>
          </cell>
        </row>
        <row r="1934">
          <cell r="D1934" t="str">
            <v>Long</v>
          </cell>
          <cell r="K1934" t="str">
            <v>C1: Bank Debt</v>
          </cell>
        </row>
        <row r="1935">
          <cell r="D1935" t="str">
            <v>Long</v>
          </cell>
          <cell r="K1935" t="str">
            <v>C2a: BD-HY Equivalent</v>
          </cell>
        </row>
        <row r="1936">
          <cell r="D1936" t="str">
            <v>Long</v>
          </cell>
          <cell r="K1936" t="str">
            <v>C2a: BD-HY Equivalent</v>
          </cell>
        </row>
        <row r="1937">
          <cell r="D1937" t="str">
            <v>Long</v>
          </cell>
          <cell r="K1937" t="str">
            <v>C2a: BD-HY Equivalent</v>
          </cell>
        </row>
        <row r="1938">
          <cell r="D1938" t="str">
            <v>Long</v>
          </cell>
          <cell r="K1938" t="str">
            <v>C2a: BD-HY Equivalent</v>
          </cell>
        </row>
        <row r="1939">
          <cell r="D1939" t="str">
            <v>Long</v>
          </cell>
          <cell r="K1939" t="str">
            <v>C2a: BD-HY Equivalent</v>
          </cell>
        </row>
        <row r="1940">
          <cell r="D1940" t="str">
            <v>Long</v>
          </cell>
          <cell r="K1940" t="str">
            <v>C2: High Yield</v>
          </cell>
        </row>
        <row r="1941">
          <cell r="D1941" t="str">
            <v>Long</v>
          </cell>
          <cell r="K1941" t="str">
            <v>C2: High Yield</v>
          </cell>
        </row>
        <row r="1942">
          <cell r="D1942" t="str">
            <v>Long</v>
          </cell>
          <cell r="K1942" t="str">
            <v>C2: High Yield</v>
          </cell>
        </row>
        <row r="1943">
          <cell r="D1943" t="str">
            <v>Long</v>
          </cell>
          <cell r="K1943" t="str">
            <v>C2: High Yield</v>
          </cell>
        </row>
        <row r="1944">
          <cell r="D1944" t="str">
            <v>Long</v>
          </cell>
          <cell r="K1944" t="str">
            <v>C2: High Yield</v>
          </cell>
        </row>
        <row r="1945">
          <cell r="D1945" t="str">
            <v>Long</v>
          </cell>
          <cell r="K1945" t="str">
            <v>C2: High Yield</v>
          </cell>
        </row>
        <row r="1946">
          <cell r="D1946" t="str">
            <v>Long</v>
          </cell>
          <cell r="K1946" t="str">
            <v>C2: High Yield</v>
          </cell>
        </row>
        <row r="1947">
          <cell r="D1947" t="str">
            <v>Long</v>
          </cell>
          <cell r="K1947" t="str">
            <v>C1: Bank Debt</v>
          </cell>
        </row>
        <row r="1948">
          <cell r="D1948" t="str">
            <v>Long</v>
          </cell>
          <cell r="K1948" t="str">
            <v>C1: Bank Debt</v>
          </cell>
        </row>
        <row r="1949">
          <cell r="D1949" t="str">
            <v>Long</v>
          </cell>
          <cell r="K1949" t="str">
            <v>C1: Bank Debt</v>
          </cell>
        </row>
        <row r="1950">
          <cell r="D1950" t="str">
            <v>Long</v>
          </cell>
          <cell r="K1950" t="str">
            <v>C1: Bank Debt</v>
          </cell>
        </row>
        <row r="1951">
          <cell r="D1951" t="str">
            <v>Long</v>
          </cell>
          <cell r="K1951" t="str">
            <v>C1: Bank Debt</v>
          </cell>
        </row>
        <row r="1952">
          <cell r="D1952" t="str">
            <v>Long</v>
          </cell>
          <cell r="K1952" t="str">
            <v>C2a: BD-HY Equivalent</v>
          </cell>
        </row>
        <row r="1953">
          <cell r="D1953" t="str">
            <v>Long</v>
          </cell>
          <cell r="K1953" t="str">
            <v>C4: Other</v>
          </cell>
        </row>
        <row r="1954">
          <cell r="D1954" t="str">
            <v>Long</v>
          </cell>
          <cell r="K1954" t="str">
            <v>C4: Other</v>
          </cell>
        </row>
        <row r="1955">
          <cell r="D1955" t="str">
            <v>Long</v>
          </cell>
          <cell r="K1955" t="str">
            <v>C4: Other</v>
          </cell>
        </row>
        <row r="1956">
          <cell r="D1956" t="str">
            <v>Long</v>
          </cell>
          <cell r="K1956" t="str">
            <v>C4: Other</v>
          </cell>
        </row>
        <row r="1957">
          <cell r="D1957" t="str">
            <v>Long</v>
          </cell>
          <cell r="K1957" t="str">
            <v>C4: Other</v>
          </cell>
        </row>
        <row r="1958">
          <cell r="D1958" t="str">
            <v>Long</v>
          </cell>
          <cell r="K1958" t="str">
            <v>C4: Other</v>
          </cell>
        </row>
        <row r="1959">
          <cell r="D1959" t="str">
            <v>Short</v>
          </cell>
          <cell r="K1959" t="str">
            <v>C3a: Outright Shorts</v>
          </cell>
        </row>
        <row r="1960">
          <cell r="D1960" t="str">
            <v>Short</v>
          </cell>
          <cell r="K1960" t="str">
            <v>C3a: Outright Shorts</v>
          </cell>
        </row>
        <row r="1961">
          <cell r="D1961" t="str">
            <v>Short</v>
          </cell>
          <cell r="K1961" t="str">
            <v>C3a: Outright Shorts</v>
          </cell>
        </row>
        <row r="1962">
          <cell r="D1962" t="str">
            <v>Short</v>
          </cell>
          <cell r="K1962" t="str">
            <v>C3a: Outright Shorts</v>
          </cell>
        </row>
        <row r="1963">
          <cell r="D1963" t="str">
            <v>Short</v>
          </cell>
          <cell r="K1963" t="str">
            <v>C3a: Outright Shorts</v>
          </cell>
        </row>
        <row r="1964">
          <cell r="D1964" t="str">
            <v>Long</v>
          </cell>
          <cell r="K1964" t="str">
            <v>C2: High Yield</v>
          </cell>
        </row>
        <row r="1965">
          <cell r="D1965" t="str">
            <v>Long</v>
          </cell>
          <cell r="K1965" t="str">
            <v>C2: High Yield</v>
          </cell>
        </row>
        <row r="1966">
          <cell r="D1966" t="str">
            <v>Long</v>
          </cell>
          <cell r="K1966" t="str">
            <v>C2: High Yield</v>
          </cell>
        </row>
        <row r="1967">
          <cell r="D1967" t="str">
            <v>Long</v>
          </cell>
          <cell r="K1967" t="str">
            <v>C2: High Yield</v>
          </cell>
        </row>
        <row r="1968">
          <cell r="D1968" t="str">
            <v>Long</v>
          </cell>
          <cell r="K1968" t="str">
            <v>C2: High Yield</v>
          </cell>
        </row>
        <row r="1969">
          <cell r="D1969" t="str">
            <v>Long</v>
          </cell>
          <cell r="K1969" t="str">
            <v>C2: High Yield</v>
          </cell>
        </row>
        <row r="1970">
          <cell r="D1970" t="str">
            <v>Long</v>
          </cell>
          <cell r="K1970" t="str">
            <v>C2: High Yield</v>
          </cell>
        </row>
        <row r="1971">
          <cell r="D1971" t="str">
            <v>Long</v>
          </cell>
          <cell r="K1971" t="str">
            <v>C2: High Yield</v>
          </cell>
        </row>
        <row r="1972">
          <cell r="D1972" t="str">
            <v>Long</v>
          </cell>
          <cell r="K1972" t="str">
            <v>C2: High Yield</v>
          </cell>
        </row>
        <row r="1973">
          <cell r="D1973" t="str">
            <v>Long</v>
          </cell>
          <cell r="K1973" t="str">
            <v>C2: High Yield</v>
          </cell>
        </row>
        <row r="1974">
          <cell r="D1974" t="str">
            <v>Long</v>
          </cell>
          <cell r="K1974" t="str">
            <v>C2: High Yield</v>
          </cell>
        </row>
        <row r="1975">
          <cell r="D1975" t="str">
            <v>Long</v>
          </cell>
          <cell r="K1975" t="str">
            <v>C2: High Yield</v>
          </cell>
        </row>
        <row r="1976">
          <cell r="D1976" t="str">
            <v>Long</v>
          </cell>
          <cell r="K1976" t="str">
            <v>C2: High Yield</v>
          </cell>
        </row>
        <row r="1977">
          <cell r="D1977" t="str">
            <v>Long</v>
          </cell>
          <cell r="K1977" t="str">
            <v>C2: High Yield</v>
          </cell>
        </row>
        <row r="1978">
          <cell r="D1978" t="str">
            <v>Long</v>
          </cell>
          <cell r="K1978" t="str">
            <v>C2: High Yield</v>
          </cell>
        </row>
        <row r="1979">
          <cell r="D1979" t="str">
            <v>Long</v>
          </cell>
          <cell r="K1979" t="str">
            <v>C2: High Yield</v>
          </cell>
        </row>
        <row r="1980">
          <cell r="D1980" t="str">
            <v>Long</v>
          </cell>
          <cell r="K1980" t="str">
            <v>C1: Bank Debt</v>
          </cell>
        </row>
        <row r="1981">
          <cell r="D1981" t="str">
            <v>Long</v>
          </cell>
          <cell r="K1981" t="str">
            <v>C1: Bank Debt</v>
          </cell>
        </row>
        <row r="1982">
          <cell r="D1982" t="str">
            <v>Long</v>
          </cell>
          <cell r="K1982" t="str">
            <v>C1: Bank Debt</v>
          </cell>
        </row>
        <row r="1983">
          <cell r="D1983" t="str">
            <v>Long</v>
          </cell>
          <cell r="K1983" t="str">
            <v>C1: Bank Debt</v>
          </cell>
        </row>
        <row r="1984">
          <cell r="D1984" t="str">
            <v>Long</v>
          </cell>
          <cell r="K1984" t="str">
            <v>C1: Bank Debt</v>
          </cell>
        </row>
        <row r="1985">
          <cell r="D1985" t="str">
            <v>Long</v>
          </cell>
          <cell r="K1985" t="str">
            <v>C2: High Yield</v>
          </cell>
        </row>
        <row r="1986">
          <cell r="D1986" t="str">
            <v>Long</v>
          </cell>
          <cell r="K1986" t="str">
            <v>C2: High Yield</v>
          </cell>
        </row>
        <row r="1987">
          <cell r="D1987" t="str">
            <v>Long</v>
          </cell>
          <cell r="K1987" t="str">
            <v>C2: High Yield</v>
          </cell>
        </row>
        <row r="1988">
          <cell r="D1988" t="str">
            <v>Long</v>
          </cell>
          <cell r="K1988" t="str">
            <v>C2: High Yield</v>
          </cell>
        </row>
        <row r="1989">
          <cell r="D1989" t="str">
            <v>Long</v>
          </cell>
          <cell r="K1989" t="str">
            <v>C2: High Yield</v>
          </cell>
        </row>
        <row r="1990">
          <cell r="D1990" t="str">
            <v>Long</v>
          </cell>
          <cell r="K1990" t="str">
            <v>C2: High Yield</v>
          </cell>
        </row>
        <row r="1991">
          <cell r="D1991" t="str">
            <v>Long</v>
          </cell>
          <cell r="K1991" t="str">
            <v>C2: High Yield</v>
          </cell>
        </row>
        <row r="1992">
          <cell r="D1992" t="str">
            <v>Long</v>
          </cell>
          <cell r="K1992" t="str">
            <v>C1: Bank Debt</v>
          </cell>
        </row>
        <row r="1993">
          <cell r="D1993" t="str">
            <v>Long</v>
          </cell>
          <cell r="K1993" t="str">
            <v>C1: Bank Debt</v>
          </cell>
        </row>
        <row r="1994">
          <cell r="D1994" t="str">
            <v>Long</v>
          </cell>
          <cell r="K1994" t="str">
            <v>C1: Bank Debt</v>
          </cell>
        </row>
        <row r="1995">
          <cell r="D1995" t="str">
            <v>Long</v>
          </cell>
          <cell r="K1995" t="str">
            <v>C1: Bank Debt</v>
          </cell>
        </row>
        <row r="1996">
          <cell r="D1996" t="str">
            <v>Long</v>
          </cell>
          <cell r="K1996" t="str">
            <v>C1: Bank Debt</v>
          </cell>
        </row>
        <row r="1997">
          <cell r="D1997" t="str">
            <v>Long</v>
          </cell>
          <cell r="K1997" t="str">
            <v>C1: Bank Debt</v>
          </cell>
        </row>
        <row r="1998">
          <cell r="D1998" t="str">
            <v>Long</v>
          </cell>
          <cell r="K1998" t="str">
            <v>C1: Bank Debt</v>
          </cell>
        </row>
        <row r="1999">
          <cell r="D1999" t="str">
            <v>Long</v>
          </cell>
          <cell r="K1999" t="str">
            <v>C1: Bank Debt</v>
          </cell>
        </row>
        <row r="2000">
          <cell r="D2000" t="str">
            <v>Long</v>
          </cell>
          <cell r="K2000" t="str">
            <v>C1: Bank Debt</v>
          </cell>
        </row>
        <row r="2001">
          <cell r="D2001" t="str">
            <v>Long</v>
          </cell>
          <cell r="K2001" t="str">
            <v>C1: Bank Debt</v>
          </cell>
        </row>
        <row r="2002">
          <cell r="D2002" t="str">
            <v>Short</v>
          </cell>
          <cell r="K2002" t="str">
            <v>C3a: Outright Shorts</v>
          </cell>
        </row>
        <row r="2003">
          <cell r="D2003" t="str">
            <v>Short</v>
          </cell>
          <cell r="K2003" t="str">
            <v>C3a: Outright Shorts</v>
          </cell>
        </row>
        <row r="2004">
          <cell r="D2004" t="str">
            <v>Short</v>
          </cell>
          <cell r="K2004" t="str">
            <v>C3a: Outright Shorts</v>
          </cell>
        </row>
        <row r="2005">
          <cell r="D2005" t="str">
            <v>Short</v>
          </cell>
          <cell r="K2005" t="str">
            <v>C3a: Outright Shorts</v>
          </cell>
        </row>
        <row r="2006">
          <cell r="D2006" t="str">
            <v>Short</v>
          </cell>
          <cell r="K2006" t="str">
            <v>C3a: Outright Shorts</v>
          </cell>
        </row>
        <row r="2007">
          <cell r="D2007" t="str">
            <v>Long</v>
          </cell>
          <cell r="K2007" t="str">
            <v>C2a: BD-HY Equivalent</v>
          </cell>
        </row>
        <row r="2008">
          <cell r="D2008" t="str">
            <v>Long</v>
          </cell>
          <cell r="K2008" t="str">
            <v>C2a: BD-HY Equivalent</v>
          </cell>
        </row>
        <row r="2009">
          <cell r="D2009" t="str">
            <v>Long</v>
          </cell>
          <cell r="K2009" t="str">
            <v>C2a: BD-HY Equivalent</v>
          </cell>
        </row>
        <row r="2010">
          <cell r="D2010" t="str">
            <v>Long</v>
          </cell>
          <cell r="K2010" t="str">
            <v>C2a: BD-HY Equivalent</v>
          </cell>
        </row>
        <row r="2011">
          <cell r="D2011" t="str">
            <v>Long</v>
          </cell>
          <cell r="K2011" t="str">
            <v>C2a: BD-HY Equivalent</v>
          </cell>
        </row>
        <row r="2012">
          <cell r="D2012" t="str">
            <v>Long</v>
          </cell>
          <cell r="K2012" t="str">
            <v>C2: High Yield</v>
          </cell>
        </row>
        <row r="2013">
          <cell r="D2013" t="str">
            <v>Long</v>
          </cell>
          <cell r="K2013" t="str">
            <v>C2: High Yield</v>
          </cell>
        </row>
        <row r="2014">
          <cell r="D2014" t="str">
            <v>Long</v>
          </cell>
          <cell r="K2014" t="str">
            <v>C2: High Yield</v>
          </cell>
        </row>
        <row r="2015">
          <cell r="D2015" t="str">
            <v>Long</v>
          </cell>
          <cell r="K2015" t="str">
            <v>C2: High Yield</v>
          </cell>
        </row>
        <row r="2016">
          <cell r="D2016" t="str">
            <v>Long</v>
          </cell>
          <cell r="K2016" t="str">
            <v>C2: High Yield</v>
          </cell>
        </row>
        <row r="2017">
          <cell r="D2017" t="str">
            <v>Long</v>
          </cell>
          <cell r="K2017" t="str">
            <v>C2: High Yield</v>
          </cell>
        </row>
        <row r="2018">
          <cell r="D2018" t="str">
            <v>Long</v>
          </cell>
          <cell r="K2018" t="str">
            <v>C2: High Yield</v>
          </cell>
        </row>
        <row r="2019">
          <cell r="D2019" t="str">
            <v>Long</v>
          </cell>
          <cell r="K2019" t="str">
            <v>C2: High Yield</v>
          </cell>
        </row>
        <row r="2020">
          <cell r="D2020" t="str">
            <v>Long</v>
          </cell>
          <cell r="K2020" t="str">
            <v>C2: High Yield</v>
          </cell>
        </row>
        <row r="2021">
          <cell r="D2021" t="str">
            <v>Long</v>
          </cell>
          <cell r="K2021" t="str">
            <v>C2: High Yield</v>
          </cell>
        </row>
        <row r="2022">
          <cell r="D2022" t="str">
            <v>Long</v>
          </cell>
          <cell r="K2022" t="str">
            <v>C2: High Yield</v>
          </cell>
        </row>
        <row r="2023">
          <cell r="D2023" t="str">
            <v>Long</v>
          </cell>
          <cell r="K2023" t="str">
            <v>C2: High Yield</v>
          </cell>
        </row>
        <row r="2024">
          <cell r="D2024" t="str">
            <v>Long</v>
          </cell>
          <cell r="K2024" t="str">
            <v>C2: High Yield</v>
          </cell>
        </row>
        <row r="2025">
          <cell r="D2025" t="str">
            <v>Long</v>
          </cell>
          <cell r="K2025" t="str">
            <v>C2: High Yield</v>
          </cell>
        </row>
        <row r="2026">
          <cell r="D2026" t="str">
            <v>Long</v>
          </cell>
          <cell r="K2026" t="str">
            <v>C2: High Yield</v>
          </cell>
        </row>
        <row r="2027">
          <cell r="D2027" t="str">
            <v>Long</v>
          </cell>
          <cell r="K2027" t="str">
            <v>C2: High Yield</v>
          </cell>
        </row>
        <row r="2028">
          <cell r="D2028" t="str">
            <v>Long</v>
          </cell>
          <cell r="K2028" t="str">
            <v>C2: High Yield</v>
          </cell>
        </row>
        <row r="2029">
          <cell r="D2029" t="str">
            <v>Long</v>
          </cell>
          <cell r="K2029" t="str">
            <v>C2: High Yield</v>
          </cell>
        </row>
        <row r="2030">
          <cell r="D2030" t="str">
            <v>Long</v>
          </cell>
          <cell r="K2030" t="str">
            <v>C2: High Yield</v>
          </cell>
        </row>
        <row r="2031">
          <cell r="D2031" t="str">
            <v>Long</v>
          </cell>
          <cell r="K2031" t="str">
            <v>C1: Bank Debt</v>
          </cell>
        </row>
        <row r="2032">
          <cell r="D2032" t="str">
            <v>Long</v>
          </cell>
          <cell r="K2032" t="str">
            <v>C1: Bank Debt</v>
          </cell>
        </row>
        <row r="2033">
          <cell r="D2033" t="str">
            <v>Short</v>
          </cell>
          <cell r="K2033" t="str">
            <v>C3a: Outright Shorts</v>
          </cell>
        </row>
        <row r="2034">
          <cell r="D2034" t="str">
            <v>Short</v>
          </cell>
          <cell r="K2034" t="str">
            <v>C3a: Outright Shorts</v>
          </cell>
        </row>
        <row r="2035">
          <cell r="D2035" t="str">
            <v>Short</v>
          </cell>
          <cell r="K2035" t="str">
            <v>C3a: Outright Shorts</v>
          </cell>
        </row>
        <row r="2036">
          <cell r="D2036" t="str">
            <v>Short</v>
          </cell>
          <cell r="K2036" t="str">
            <v>C3a: Outright Shorts</v>
          </cell>
        </row>
        <row r="2037">
          <cell r="D2037" t="str">
            <v>Short</v>
          </cell>
          <cell r="K2037" t="str">
            <v>C3a: Outright Shorts</v>
          </cell>
        </row>
        <row r="2038">
          <cell r="D2038" t="str">
            <v>Short</v>
          </cell>
          <cell r="K2038" t="str">
            <v>C4: Other</v>
          </cell>
        </row>
        <row r="2039">
          <cell r="D2039" t="str">
            <v>Short</v>
          </cell>
          <cell r="K2039" t="str">
            <v>C4: Other</v>
          </cell>
        </row>
        <row r="2040">
          <cell r="D2040" t="str">
            <v>Short</v>
          </cell>
          <cell r="K2040" t="str">
            <v>C4: Other</v>
          </cell>
        </row>
        <row r="2041">
          <cell r="D2041" t="str">
            <v>Short</v>
          </cell>
          <cell r="K2041" t="str">
            <v>C4: Other</v>
          </cell>
        </row>
        <row r="2042">
          <cell r="D2042" t="str">
            <v>Short</v>
          </cell>
          <cell r="K2042" t="str">
            <v>C4: Other</v>
          </cell>
        </row>
        <row r="2043">
          <cell r="D2043" t="str">
            <v>Short</v>
          </cell>
          <cell r="K2043" t="str">
            <v>C4: Other</v>
          </cell>
        </row>
        <row r="2044">
          <cell r="D2044" t="str">
            <v>Short</v>
          </cell>
          <cell r="K2044" t="str">
            <v>C4: Other</v>
          </cell>
        </row>
        <row r="2045">
          <cell r="D2045" t="str">
            <v>Short</v>
          </cell>
          <cell r="K2045" t="str">
            <v>C4: Other</v>
          </cell>
        </row>
        <row r="2046">
          <cell r="D2046" t="str">
            <v>Short</v>
          </cell>
          <cell r="K2046" t="str">
            <v>C4: Other</v>
          </cell>
        </row>
        <row r="2047">
          <cell r="D2047" t="str">
            <v>Short</v>
          </cell>
          <cell r="K2047" t="str">
            <v>C4: Other</v>
          </cell>
        </row>
        <row r="2048">
          <cell r="D2048" t="str">
            <v>Long</v>
          </cell>
          <cell r="K2048" t="str">
            <v>C4: Other</v>
          </cell>
        </row>
        <row r="2049">
          <cell r="D2049" t="str">
            <v>Long</v>
          </cell>
          <cell r="K2049" t="str">
            <v>C4: Other</v>
          </cell>
        </row>
        <row r="2050">
          <cell r="D2050" t="str">
            <v>Long</v>
          </cell>
          <cell r="K2050" t="str">
            <v>C4: Other</v>
          </cell>
        </row>
        <row r="2051">
          <cell r="D2051" t="str">
            <v>Long</v>
          </cell>
          <cell r="K2051" t="str">
            <v>C4: Other</v>
          </cell>
        </row>
        <row r="2052">
          <cell r="D2052" t="str">
            <v>Long</v>
          </cell>
          <cell r="K2052" t="str">
            <v>C4: Other</v>
          </cell>
        </row>
        <row r="2053">
          <cell r="D2053" t="str">
            <v>Long</v>
          </cell>
          <cell r="K2053" t="str">
            <v>C4: Other</v>
          </cell>
        </row>
        <row r="2054">
          <cell r="D2054" t="str">
            <v>Long</v>
          </cell>
          <cell r="K2054" t="str">
            <v>C4: Other</v>
          </cell>
        </row>
        <row r="2055">
          <cell r="D2055" t="str">
            <v>Long</v>
          </cell>
          <cell r="K2055" t="str">
            <v>C4: Other</v>
          </cell>
        </row>
        <row r="2056">
          <cell r="D2056" t="str">
            <v>Long</v>
          </cell>
          <cell r="K2056" t="str">
            <v>C4: Other</v>
          </cell>
        </row>
        <row r="2057">
          <cell r="D2057" t="str">
            <v>Long</v>
          </cell>
          <cell r="K2057" t="str">
            <v>C4: Other</v>
          </cell>
        </row>
        <row r="2058">
          <cell r="D2058" t="str">
            <v>Long</v>
          </cell>
          <cell r="K2058" t="str">
            <v>C1: Bank Debt</v>
          </cell>
        </row>
        <row r="2059">
          <cell r="D2059" t="str">
            <v>Long</v>
          </cell>
          <cell r="K2059" t="str">
            <v>C1: Bank Debt</v>
          </cell>
        </row>
        <row r="2060">
          <cell r="D2060" t="str">
            <v>Long</v>
          </cell>
          <cell r="K2060" t="str">
            <v>C1: Bank Debt</v>
          </cell>
        </row>
        <row r="2061">
          <cell r="D2061" t="str">
            <v>Long</v>
          </cell>
          <cell r="K2061" t="str">
            <v>C1: Bank Debt</v>
          </cell>
        </row>
        <row r="2062">
          <cell r="D2062" t="str">
            <v>Long</v>
          </cell>
          <cell r="K2062" t="str">
            <v>C1: Bank Debt</v>
          </cell>
        </row>
        <row r="2063">
          <cell r="D2063" t="str">
            <v>Long</v>
          </cell>
          <cell r="K2063" t="str">
            <v>C1: Bank Debt</v>
          </cell>
        </row>
        <row r="2064">
          <cell r="D2064" t="str">
            <v>Long</v>
          </cell>
          <cell r="K2064" t="str">
            <v>C1: Bank Debt</v>
          </cell>
        </row>
        <row r="2065">
          <cell r="D2065" t="str">
            <v>Long</v>
          </cell>
          <cell r="K2065" t="str">
            <v>C1: Bank Debt</v>
          </cell>
        </row>
        <row r="2066">
          <cell r="D2066" t="str">
            <v>Long</v>
          </cell>
          <cell r="K2066" t="str">
            <v>C1: Bank Debt</v>
          </cell>
        </row>
        <row r="2067">
          <cell r="D2067" t="str">
            <v>Long</v>
          </cell>
          <cell r="K2067" t="str">
            <v>C1: Bank Debt</v>
          </cell>
        </row>
        <row r="2068">
          <cell r="D2068" t="str">
            <v>Long</v>
          </cell>
          <cell r="K2068" t="str">
            <v>C1: Bank Debt</v>
          </cell>
        </row>
        <row r="2069">
          <cell r="D2069" t="str">
            <v>Long</v>
          </cell>
          <cell r="K2069" t="str">
            <v>C1: Bank Debt</v>
          </cell>
        </row>
        <row r="2070">
          <cell r="D2070" t="str">
            <v>Long</v>
          </cell>
          <cell r="K2070" t="str">
            <v>C1: Bank Debt</v>
          </cell>
        </row>
        <row r="2071">
          <cell r="D2071" t="str">
            <v>Long</v>
          </cell>
          <cell r="K2071" t="str">
            <v>C1: Bank Debt</v>
          </cell>
        </row>
        <row r="2072">
          <cell r="D2072" t="str">
            <v>Long</v>
          </cell>
          <cell r="K2072" t="str">
            <v>C1: Bank Debt</v>
          </cell>
        </row>
        <row r="2073">
          <cell r="D2073" t="str">
            <v>Long</v>
          </cell>
          <cell r="K2073" t="str">
            <v>C1: Bank Debt</v>
          </cell>
        </row>
        <row r="2074">
          <cell r="D2074" t="str">
            <v>Long</v>
          </cell>
          <cell r="K2074" t="str">
            <v>C1: Bank Debt</v>
          </cell>
        </row>
        <row r="2075">
          <cell r="D2075" t="str">
            <v>Long</v>
          </cell>
          <cell r="K2075" t="str">
            <v>C1: Bank Debt</v>
          </cell>
        </row>
        <row r="2076">
          <cell r="D2076" t="str">
            <v>Long</v>
          </cell>
          <cell r="K2076" t="str">
            <v>C1: Bank Debt</v>
          </cell>
        </row>
        <row r="2077">
          <cell r="D2077" t="str">
            <v>Long</v>
          </cell>
          <cell r="K2077" t="str">
            <v>C1: Bank Debt</v>
          </cell>
        </row>
        <row r="2078">
          <cell r="D2078" t="str">
            <v>Long</v>
          </cell>
          <cell r="K2078" t="str">
            <v>C1: Bank Debt</v>
          </cell>
        </row>
        <row r="2079">
          <cell r="D2079" t="str">
            <v>Long</v>
          </cell>
          <cell r="K2079" t="str">
            <v>C1: Bank Debt</v>
          </cell>
        </row>
        <row r="2080">
          <cell r="D2080" t="str">
            <v>Long</v>
          </cell>
          <cell r="K2080" t="str">
            <v>C1: Bank Debt</v>
          </cell>
        </row>
        <row r="2081">
          <cell r="D2081" t="str">
            <v>Long</v>
          </cell>
          <cell r="K2081" t="str">
            <v>C1: Bank Debt</v>
          </cell>
        </row>
        <row r="2082">
          <cell r="D2082" t="str">
            <v>Long</v>
          </cell>
          <cell r="K2082" t="str">
            <v>C1: Bank Debt</v>
          </cell>
        </row>
        <row r="2083">
          <cell r="D2083" t="str">
            <v>Long</v>
          </cell>
          <cell r="K2083" t="str">
            <v>C1: Bank Debt</v>
          </cell>
        </row>
        <row r="2084">
          <cell r="D2084" t="str">
            <v>Long</v>
          </cell>
          <cell r="K2084" t="str">
            <v>C1: Bank Debt</v>
          </cell>
        </row>
        <row r="2085">
          <cell r="D2085" t="str">
            <v>Long</v>
          </cell>
          <cell r="K2085" t="str">
            <v>C1: Bank Debt</v>
          </cell>
        </row>
        <row r="2086">
          <cell r="D2086" t="str">
            <v>Short</v>
          </cell>
          <cell r="K2086" t="str">
            <v>C3a: Outright Shorts</v>
          </cell>
        </row>
        <row r="2087">
          <cell r="D2087" t="str">
            <v>Short</v>
          </cell>
          <cell r="K2087" t="str">
            <v>C3a: Outright Shorts</v>
          </cell>
        </row>
        <row r="2088">
          <cell r="D2088" t="str">
            <v>Short</v>
          </cell>
          <cell r="K2088" t="str">
            <v>C3a: Outright Shorts</v>
          </cell>
        </row>
        <row r="2089">
          <cell r="D2089" t="str">
            <v>Short</v>
          </cell>
          <cell r="K2089" t="str">
            <v>C3a: Outright Shorts</v>
          </cell>
        </row>
        <row r="2090">
          <cell r="D2090" t="str">
            <v>Short</v>
          </cell>
          <cell r="K2090" t="str">
            <v>C3a: Outright Shorts</v>
          </cell>
        </row>
        <row r="2091">
          <cell r="D2091" t="str">
            <v>Short</v>
          </cell>
          <cell r="K2091" t="str">
            <v>C3a: Outright Shorts</v>
          </cell>
        </row>
        <row r="2092">
          <cell r="D2092" t="str">
            <v>Short</v>
          </cell>
          <cell r="K2092" t="str">
            <v>C3a: Outright Shorts</v>
          </cell>
        </row>
        <row r="2093">
          <cell r="D2093" t="str">
            <v>Short</v>
          </cell>
          <cell r="K2093" t="str">
            <v>C3a: Outright Shorts</v>
          </cell>
        </row>
        <row r="2094">
          <cell r="D2094" t="str">
            <v>Short</v>
          </cell>
          <cell r="K2094" t="str">
            <v>C3a: Outright Shorts</v>
          </cell>
        </row>
        <row r="2095">
          <cell r="D2095" t="str">
            <v>Short</v>
          </cell>
          <cell r="K2095" t="str">
            <v>C3a: Outright Shorts</v>
          </cell>
        </row>
        <row r="2096">
          <cell r="D2096" t="str">
            <v>Short</v>
          </cell>
          <cell r="K2096" t="str">
            <v>C3a: Outright Shorts</v>
          </cell>
        </row>
        <row r="2097">
          <cell r="D2097" t="str">
            <v>Short</v>
          </cell>
          <cell r="K2097" t="str">
            <v>C3a: Outright Shorts</v>
          </cell>
        </row>
        <row r="2098">
          <cell r="D2098" t="str">
            <v>Short</v>
          </cell>
          <cell r="K2098" t="str">
            <v>C3a: Outright Shorts</v>
          </cell>
        </row>
        <row r="2099">
          <cell r="D2099" t="str">
            <v>Short</v>
          </cell>
          <cell r="K2099" t="str">
            <v>C3a: Outright Shorts</v>
          </cell>
        </row>
        <row r="2100">
          <cell r="D2100" t="str">
            <v>Short</v>
          </cell>
          <cell r="K2100" t="str">
            <v>C3a: Outright Shorts</v>
          </cell>
        </row>
        <row r="2101">
          <cell r="D2101" t="str">
            <v>Long</v>
          </cell>
          <cell r="K2101" t="str">
            <v>C1: Bank Debt</v>
          </cell>
        </row>
        <row r="2102">
          <cell r="D2102" t="str">
            <v>Long</v>
          </cell>
          <cell r="K2102" t="str">
            <v>C1: Bank Debt</v>
          </cell>
        </row>
        <row r="2103">
          <cell r="D2103" t="str">
            <v>Long</v>
          </cell>
          <cell r="K2103" t="str">
            <v>C1: Bank Debt</v>
          </cell>
        </row>
        <row r="2104">
          <cell r="D2104" t="str">
            <v>Long</v>
          </cell>
          <cell r="K2104" t="str">
            <v>C2a: BD-HY Equivalent</v>
          </cell>
        </row>
        <row r="2105">
          <cell r="D2105" t="str">
            <v>Long</v>
          </cell>
          <cell r="K2105" t="str">
            <v>C2a: BD-HY Equivalent</v>
          </cell>
        </row>
        <row r="2106">
          <cell r="D2106" t="str">
            <v>Long</v>
          </cell>
          <cell r="K2106" t="str">
            <v>C2a: BD-HY Equivalent</v>
          </cell>
        </row>
        <row r="2107">
          <cell r="D2107" t="str">
            <v>Long</v>
          </cell>
          <cell r="K2107" t="str">
            <v>C2a: BD-HY Equivalent</v>
          </cell>
        </row>
        <row r="2108">
          <cell r="D2108" t="str">
            <v>Long</v>
          </cell>
          <cell r="K2108" t="str">
            <v>C1: Bank Debt</v>
          </cell>
        </row>
        <row r="2109">
          <cell r="D2109" t="str">
            <v>Long</v>
          </cell>
          <cell r="K2109" t="str">
            <v>C1: Bank Debt</v>
          </cell>
        </row>
        <row r="2110">
          <cell r="D2110" t="str">
            <v>Long</v>
          </cell>
          <cell r="K2110" t="str">
            <v>C1: Bank Debt</v>
          </cell>
        </row>
        <row r="2111">
          <cell r="D2111" t="str">
            <v>Long</v>
          </cell>
          <cell r="K2111" t="str">
            <v>C4: Other</v>
          </cell>
        </row>
        <row r="2112">
          <cell r="D2112" t="str">
            <v>Long</v>
          </cell>
          <cell r="K2112" t="str">
            <v>C4: Other</v>
          </cell>
        </row>
        <row r="2113">
          <cell r="D2113" t="str">
            <v>Long</v>
          </cell>
          <cell r="K2113" t="str">
            <v>C4: Other</v>
          </cell>
        </row>
        <row r="2114">
          <cell r="D2114" t="str">
            <v>Long</v>
          </cell>
          <cell r="K2114" t="str">
            <v>C4: Other</v>
          </cell>
        </row>
        <row r="2115">
          <cell r="D2115" t="str">
            <v>Long</v>
          </cell>
          <cell r="K2115" t="str">
            <v>C4: Other</v>
          </cell>
        </row>
        <row r="2116">
          <cell r="D2116" t="str">
            <v>Long</v>
          </cell>
          <cell r="K2116" t="str">
            <v>C4: Other</v>
          </cell>
        </row>
        <row r="2117">
          <cell r="D2117" t="str">
            <v>Long</v>
          </cell>
          <cell r="K2117" t="str">
            <v>C1: Bank Debt</v>
          </cell>
        </row>
        <row r="2118">
          <cell r="D2118" t="str">
            <v>Long</v>
          </cell>
          <cell r="K2118" t="str">
            <v>C1: Bank Debt</v>
          </cell>
        </row>
        <row r="2119">
          <cell r="D2119" t="str">
            <v>Long</v>
          </cell>
          <cell r="K2119" t="str">
            <v>C1: Bank Debt</v>
          </cell>
        </row>
        <row r="2120">
          <cell r="D2120" t="str">
            <v>Long</v>
          </cell>
          <cell r="K2120" t="str">
            <v>C1: Bank Debt</v>
          </cell>
        </row>
        <row r="2121">
          <cell r="D2121" t="str">
            <v>Long</v>
          </cell>
          <cell r="K2121" t="str">
            <v>C1: Bank Debt</v>
          </cell>
        </row>
        <row r="2122">
          <cell r="D2122" t="str">
            <v>Long</v>
          </cell>
          <cell r="K2122" t="str">
            <v>C2: High Yield</v>
          </cell>
        </row>
        <row r="2123">
          <cell r="D2123" t="str">
            <v>Long</v>
          </cell>
          <cell r="K2123" t="str">
            <v>C2: High Yield</v>
          </cell>
        </row>
        <row r="2124">
          <cell r="D2124" t="str">
            <v>Long</v>
          </cell>
          <cell r="K2124" t="str">
            <v>C2: High Yield</v>
          </cell>
        </row>
        <row r="2125">
          <cell r="D2125" t="str">
            <v>Long</v>
          </cell>
          <cell r="K2125" t="str">
            <v>C2: High Yield</v>
          </cell>
        </row>
        <row r="2126">
          <cell r="D2126" t="str">
            <v>Long</v>
          </cell>
          <cell r="K2126" t="str">
            <v>C2: High Yield</v>
          </cell>
        </row>
        <row r="2127">
          <cell r="D2127" t="str">
            <v>Long</v>
          </cell>
          <cell r="K2127" t="str">
            <v>C2: High Yield</v>
          </cell>
        </row>
        <row r="2128">
          <cell r="D2128" t="str">
            <v>Long</v>
          </cell>
          <cell r="K2128" t="str">
            <v>C2: High Yield</v>
          </cell>
        </row>
        <row r="2129">
          <cell r="D2129" t="str">
            <v>Long</v>
          </cell>
          <cell r="K2129" t="str">
            <v>C1: Bank Debt</v>
          </cell>
        </row>
        <row r="2130">
          <cell r="D2130" t="str">
            <v>Long</v>
          </cell>
          <cell r="K2130" t="str">
            <v>C1: Bank Debt</v>
          </cell>
        </row>
        <row r="2131">
          <cell r="D2131" t="str">
            <v>Long</v>
          </cell>
          <cell r="K2131" t="str">
            <v>C1: Bank Debt</v>
          </cell>
        </row>
        <row r="2132">
          <cell r="D2132" t="str">
            <v>Long</v>
          </cell>
          <cell r="K2132" t="str">
            <v>C1: Bank Debt</v>
          </cell>
        </row>
        <row r="2133">
          <cell r="D2133" t="str">
            <v>Long</v>
          </cell>
          <cell r="K2133" t="str">
            <v>C1: Bank Debt</v>
          </cell>
        </row>
        <row r="2134">
          <cell r="D2134" t="str">
            <v>Long</v>
          </cell>
          <cell r="K2134" t="str">
            <v>C1: Bank Debt</v>
          </cell>
        </row>
        <row r="2135">
          <cell r="D2135" t="str">
            <v>Long</v>
          </cell>
          <cell r="K2135" t="str">
            <v>C1: Bank Debt</v>
          </cell>
        </row>
        <row r="2136">
          <cell r="D2136" t="str">
            <v>Long</v>
          </cell>
          <cell r="K2136" t="str">
            <v>C1: Bank Debt</v>
          </cell>
        </row>
        <row r="2137">
          <cell r="D2137" t="str">
            <v>Long</v>
          </cell>
          <cell r="K2137" t="str">
            <v>C1: Bank Debt</v>
          </cell>
        </row>
        <row r="2138">
          <cell r="D2138" t="str">
            <v>Long</v>
          </cell>
          <cell r="K2138" t="str">
            <v>C2a: BD-HY Equivalent</v>
          </cell>
        </row>
        <row r="2139">
          <cell r="D2139" t="str">
            <v>Long</v>
          </cell>
          <cell r="K2139" t="str">
            <v>C2a: BD-HY Equivalent</v>
          </cell>
        </row>
        <row r="2140">
          <cell r="D2140" t="str">
            <v>Long</v>
          </cell>
          <cell r="K2140" t="str">
            <v>C2a: BD-HY Equivalent</v>
          </cell>
        </row>
        <row r="2141">
          <cell r="D2141" t="str">
            <v>Long</v>
          </cell>
          <cell r="K2141" t="str">
            <v>C2a: BD-HY Equivalent</v>
          </cell>
        </row>
        <row r="2142">
          <cell r="D2142" t="str">
            <v>Long</v>
          </cell>
          <cell r="K2142" t="str">
            <v>C2a: BD-HY Equivalent</v>
          </cell>
        </row>
        <row r="2143">
          <cell r="D2143" t="str">
            <v>Long</v>
          </cell>
          <cell r="K2143" t="str">
            <v>C1: Bank Debt</v>
          </cell>
        </row>
        <row r="2144">
          <cell r="D2144" t="str">
            <v>Long</v>
          </cell>
          <cell r="K2144" t="str">
            <v>C1: Bank Debt</v>
          </cell>
        </row>
        <row r="2145">
          <cell r="D2145" t="str">
            <v>Long</v>
          </cell>
          <cell r="K2145" t="str">
            <v>C1: Bank Debt</v>
          </cell>
        </row>
        <row r="2146">
          <cell r="D2146" t="str">
            <v>Long</v>
          </cell>
          <cell r="K2146" t="str">
            <v>C1: Bank Debt</v>
          </cell>
        </row>
        <row r="2147">
          <cell r="D2147" t="str">
            <v>Long</v>
          </cell>
          <cell r="K2147" t="str">
            <v>C1: Bank Debt</v>
          </cell>
        </row>
        <row r="2148">
          <cell r="D2148" t="str">
            <v>Long</v>
          </cell>
          <cell r="K2148" t="str">
            <v>C2: High Yield</v>
          </cell>
        </row>
        <row r="2149">
          <cell r="D2149" t="str">
            <v>Long</v>
          </cell>
          <cell r="K2149" t="str">
            <v>C2: High Yield</v>
          </cell>
        </row>
        <row r="2150">
          <cell r="D2150" t="str">
            <v>Long</v>
          </cell>
          <cell r="K2150" t="str">
            <v>C2: High Yield</v>
          </cell>
        </row>
        <row r="2151">
          <cell r="D2151" t="str">
            <v>Long</v>
          </cell>
          <cell r="K2151" t="str">
            <v>C2: High Yield</v>
          </cell>
        </row>
        <row r="2152">
          <cell r="D2152" t="str">
            <v>Long</v>
          </cell>
          <cell r="K2152" t="str">
            <v>C2: High Yield</v>
          </cell>
        </row>
        <row r="2153">
          <cell r="D2153" t="str">
            <v>Long</v>
          </cell>
          <cell r="K2153" t="str">
            <v>C2: High Yield</v>
          </cell>
        </row>
        <row r="2154">
          <cell r="D2154" t="str">
            <v>Long</v>
          </cell>
          <cell r="K2154" t="str">
            <v>C1: Bank Debt</v>
          </cell>
        </row>
        <row r="2155">
          <cell r="D2155" t="str">
            <v>Long</v>
          </cell>
          <cell r="K2155" t="str">
            <v>C1: Bank Debt</v>
          </cell>
        </row>
        <row r="2156">
          <cell r="D2156" t="str">
            <v>Long</v>
          </cell>
          <cell r="K2156" t="str">
            <v>C1: Bank Debt</v>
          </cell>
        </row>
        <row r="2157">
          <cell r="D2157" t="str">
            <v>Long</v>
          </cell>
          <cell r="K2157" t="str">
            <v>C1: Bank Debt</v>
          </cell>
        </row>
        <row r="2158">
          <cell r="D2158" t="str">
            <v>Long</v>
          </cell>
          <cell r="K2158" t="str">
            <v>C1: Bank Debt</v>
          </cell>
        </row>
        <row r="2159">
          <cell r="D2159" t="str">
            <v>Long</v>
          </cell>
          <cell r="K2159" t="str">
            <v>C1: Bank Debt</v>
          </cell>
        </row>
        <row r="2160">
          <cell r="D2160" t="str">
            <v>Short</v>
          </cell>
          <cell r="K2160" t="str">
            <v>C3a: Outright Shorts</v>
          </cell>
        </row>
        <row r="2161">
          <cell r="D2161" t="str">
            <v>Short</v>
          </cell>
          <cell r="K2161" t="str">
            <v>C3a: Outright Shorts</v>
          </cell>
        </row>
        <row r="2162">
          <cell r="D2162" t="str">
            <v>Short</v>
          </cell>
          <cell r="K2162" t="str">
            <v>C3a: Outright Shorts</v>
          </cell>
        </row>
        <row r="2163">
          <cell r="D2163" t="str">
            <v>Short</v>
          </cell>
          <cell r="K2163" t="str">
            <v>C3a: Outright Shorts</v>
          </cell>
        </row>
        <row r="2164">
          <cell r="D2164" t="str">
            <v>Long</v>
          </cell>
          <cell r="K2164" t="str">
            <v>C2a: BD-HY Equivalent</v>
          </cell>
        </row>
        <row r="2165">
          <cell r="D2165" t="str">
            <v>Long</v>
          </cell>
          <cell r="K2165" t="str">
            <v>C2a: BD-HY Equivalent</v>
          </cell>
        </row>
        <row r="2166">
          <cell r="D2166" t="str">
            <v>Long</v>
          </cell>
          <cell r="K2166" t="str">
            <v>C2a: BD-HY Equivalent</v>
          </cell>
        </row>
        <row r="2167">
          <cell r="D2167" t="str">
            <v>Short</v>
          </cell>
          <cell r="K2167" t="str">
            <v>C3a: Outright Shorts</v>
          </cell>
        </row>
        <row r="2168">
          <cell r="D2168" t="str">
            <v>Short</v>
          </cell>
          <cell r="K2168" t="str">
            <v>C3a: Outright Shorts</v>
          </cell>
        </row>
        <row r="2169">
          <cell r="D2169" t="str">
            <v>Short</v>
          </cell>
          <cell r="K2169" t="str">
            <v>C3a: Outright Shorts</v>
          </cell>
        </row>
        <row r="2170">
          <cell r="D2170" t="str">
            <v>Short</v>
          </cell>
          <cell r="K2170" t="str">
            <v>C3a: Outright Shorts</v>
          </cell>
        </row>
        <row r="2171">
          <cell r="D2171" t="str">
            <v>Short</v>
          </cell>
          <cell r="K2171" t="str">
            <v>C3a: Outright Shorts</v>
          </cell>
        </row>
        <row r="2172">
          <cell r="D2172" t="str">
            <v>Short</v>
          </cell>
          <cell r="K2172" t="str">
            <v>C3a: Outright Shorts</v>
          </cell>
        </row>
        <row r="2173">
          <cell r="D2173" t="str">
            <v>Short</v>
          </cell>
          <cell r="K2173" t="str">
            <v>C3a: Outright Shorts</v>
          </cell>
        </row>
        <row r="2174">
          <cell r="D2174" t="str">
            <v>Short</v>
          </cell>
          <cell r="K2174" t="str">
            <v>C3a: Outright Shorts</v>
          </cell>
        </row>
        <row r="2175">
          <cell r="D2175" t="str">
            <v>Short</v>
          </cell>
          <cell r="K2175" t="str">
            <v>C3a: Outright Shorts</v>
          </cell>
        </row>
        <row r="2176">
          <cell r="D2176" t="str">
            <v>Short</v>
          </cell>
          <cell r="K2176" t="str">
            <v>C3a: Outright Shorts</v>
          </cell>
        </row>
        <row r="2177">
          <cell r="D2177" t="str">
            <v>Long</v>
          </cell>
          <cell r="K2177" t="str">
            <v>C2a: BD-HY Equivalent</v>
          </cell>
        </row>
        <row r="2178">
          <cell r="D2178" t="str">
            <v>Long</v>
          </cell>
          <cell r="K2178" t="str">
            <v>C2a: BD-HY Equivalent</v>
          </cell>
        </row>
        <row r="2179">
          <cell r="D2179" t="str">
            <v>Long</v>
          </cell>
          <cell r="K2179" t="str">
            <v>C2a: BD-HY Equivalent</v>
          </cell>
        </row>
        <row r="2180">
          <cell r="D2180" t="str">
            <v>Long</v>
          </cell>
          <cell r="K2180" t="str">
            <v>C2a: BD-HY Equivalent</v>
          </cell>
        </row>
        <row r="2181">
          <cell r="D2181" t="str">
            <v>Long</v>
          </cell>
          <cell r="K2181" t="str">
            <v>C2a: BD-HY Equivalent</v>
          </cell>
        </row>
        <row r="2182">
          <cell r="D2182" t="str">
            <v>Short</v>
          </cell>
          <cell r="K2182" t="str">
            <v>C3: Capital Structure</v>
          </cell>
        </row>
        <row r="2183">
          <cell r="D2183" t="str">
            <v>Short</v>
          </cell>
          <cell r="K2183" t="str">
            <v>C3: Capital Structure</v>
          </cell>
        </row>
        <row r="2184">
          <cell r="D2184" t="str">
            <v>Short</v>
          </cell>
          <cell r="K2184" t="str">
            <v>C3: Capital Structure</v>
          </cell>
        </row>
        <row r="2185">
          <cell r="D2185" t="str">
            <v>Short</v>
          </cell>
          <cell r="K2185" t="str">
            <v>C3: Capital Structure</v>
          </cell>
        </row>
        <row r="2186">
          <cell r="D2186" t="str">
            <v>Short</v>
          </cell>
          <cell r="K2186" t="str">
            <v>C3: Capital Structure</v>
          </cell>
        </row>
        <row r="2187">
          <cell r="D2187" t="str">
            <v>Long</v>
          </cell>
          <cell r="K2187" t="str">
            <v>C3: Capital Structure</v>
          </cell>
        </row>
        <row r="2188">
          <cell r="D2188" t="str">
            <v>Long</v>
          </cell>
          <cell r="K2188" t="str">
            <v>C3: Capital Structure</v>
          </cell>
        </row>
        <row r="2189">
          <cell r="D2189" t="str">
            <v>Long</v>
          </cell>
          <cell r="K2189" t="str">
            <v>C3: Capital Structure</v>
          </cell>
        </row>
        <row r="2190">
          <cell r="D2190" t="str">
            <v>Long</v>
          </cell>
          <cell r="K2190" t="str">
            <v>C3: Capital Structure</v>
          </cell>
        </row>
        <row r="2191">
          <cell r="D2191" t="str">
            <v>Long</v>
          </cell>
          <cell r="K2191" t="str">
            <v>C3: Capital Structure</v>
          </cell>
        </row>
        <row r="2192">
          <cell r="D2192" t="str">
            <v>Long</v>
          </cell>
          <cell r="K2192" t="str">
            <v>C1: Bank Debt</v>
          </cell>
        </row>
        <row r="2193">
          <cell r="D2193" t="str">
            <v>Long</v>
          </cell>
          <cell r="K2193" t="str">
            <v>C1: Bank Debt</v>
          </cell>
        </row>
        <row r="2194">
          <cell r="D2194" t="str">
            <v>Long</v>
          </cell>
          <cell r="K2194" t="str">
            <v>C1: Bank Debt</v>
          </cell>
        </row>
        <row r="2195">
          <cell r="D2195" t="str">
            <v>Long</v>
          </cell>
          <cell r="K2195" t="str">
            <v>C1: Bank Debt</v>
          </cell>
        </row>
        <row r="2196">
          <cell r="D2196" t="str">
            <v>Long</v>
          </cell>
          <cell r="K2196" t="str">
            <v>C1: Bank Debt</v>
          </cell>
        </row>
        <row r="2197">
          <cell r="D2197" t="str">
            <v>Long</v>
          </cell>
          <cell r="K2197" t="str">
            <v>C1: Bank Debt</v>
          </cell>
        </row>
        <row r="2198">
          <cell r="D2198" t="str">
            <v>Long</v>
          </cell>
          <cell r="K2198" t="str">
            <v>C1: Bank Debt</v>
          </cell>
        </row>
        <row r="2199">
          <cell r="D2199" t="str">
            <v>Long</v>
          </cell>
          <cell r="K2199" t="str">
            <v>C1: Bank Debt</v>
          </cell>
        </row>
        <row r="2200">
          <cell r="D2200" t="str">
            <v>Long</v>
          </cell>
          <cell r="K2200" t="str">
            <v>C1: Bank Debt</v>
          </cell>
        </row>
        <row r="2201">
          <cell r="D2201" t="str">
            <v>Long</v>
          </cell>
          <cell r="K2201" t="str">
            <v>C1: Bank Debt</v>
          </cell>
        </row>
        <row r="2202">
          <cell r="D2202" t="str">
            <v>Short</v>
          </cell>
          <cell r="K2202" t="str">
            <v>C3: Capital Structure</v>
          </cell>
        </row>
        <row r="2203">
          <cell r="D2203" t="str">
            <v>Short</v>
          </cell>
          <cell r="K2203" t="str">
            <v>C3: Capital Structure</v>
          </cell>
        </row>
        <row r="2204">
          <cell r="D2204" t="str">
            <v>Short</v>
          </cell>
          <cell r="K2204" t="str">
            <v>C3: Capital Structure</v>
          </cell>
        </row>
        <row r="2205">
          <cell r="D2205" t="str">
            <v>Short</v>
          </cell>
          <cell r="K2205" t="str">
            <v>C3: Capital Structure</v>
          </cell>
        </row>
        <row r="2206">
          <cell r="D2206" t="str">
            <v>Short</v>
          </cell>
          <cell r="K2206" t="str">
            <v>C3: Capital Structure</v>
          </cell>
        </row>
        <row r="2207">
          <cell r="D2207" t="str">
            <v>Short</v>
          </cell>
          <cell r="K2207" t="str">
            <v>C3: Capital Structure</v>
          </cell>
        </row>
        <row r="2208">
          <cell r="D2208" t="str">
            <v>Short</v>
          </cell>
          <cell r="K2208" t="str">
            <v>C3: Capital Structure</v>
          </cell>
        </row>
        <row r="2209">
          <cell r="D2209" t="str">
            <v>Short</v>
          </cell>
          <cell r="K2209" t="str">
            <v>C3: Capital Structure</v>
          </cell>
        </row>
        <row r="2210">
          <cell r="D2210" t="str">
            <v>Short</v>
          </cell>
          <cell r="K2210" t="str">
            <v>C3: Capital Structure</v>
          </cell>
        </row>
        <row r="2211">
          <cell r="D2211" t="str">
            <v>Short</v>
          </cell>
          <cell r="K2211" t="str">
            <v>C3: Capital Structure</v>
          </cell>
        </row>
        <row r="2212">
          <cell r="D2212" t="str">
            <v>Long</v>
          </cell>
          <cell r="K2212" t="str">
            <v>C3: Capital Structure</v>
          </cell>
        </row>
        <row r="2213">
          <cell r="D2213" t="str">
            <v>Long</v>
          </cell>
          <cell r="K2213" t="str">
            <v>C3: Capital Structure</v>
          </cell>
        </row>
        <row r="2214">
          <cell r="D2214" t="str">
            <v>Long</v>
          </cell>
          <cell r="K2214" t="str">
            <v>C3: Capital Structure</v>
          </cell>
        </row>
        <row r="2215">
          <cell r="D2215" t="str">
            <v>Long</v>
          </cell>
          <cell r="K2215" t="str">
            <v>C3: Capital Structure</v>
          </cell>
        </row>
        <row r="2216">
          <cell r="D2216" t="str">
            <v>Long</v>
          </cell>
          <cell r="K2216" t="str">
            <v>C3: Capital Structure</v>
          </cell>
        </row>
        <row r="2217">
          <cell r="D2217" t="str">
            <v>Long</v>
          </cell>
          <cell r="K2217" t="str">
            <v>C2: High Yield</v>
          </cell>
        </row>
        <row r="2218">
          <cell r="D2218" t="str">
            <v>Long</v>
          </cell>
          <cell r="K2218" t="str">
            <v>C2: High Yield</v>
          </cell>
        </row>
        <row r="2219">
          <cell r="D2219" t="str">
            <v>Long</v>
          </cell>
          <cell r="K2219" t="str">
            <v>C2: High Yield</v>
          </cell>
        </row>
        <row r="2220">
          <cell r="D2220" t="str">
            <v>Long</v>
          </cell>
          <cell r="K2220" t="str">
            <v>C2: High Yield</v>
          </cell>
        </row>
        <row r="2221">
          <cell r="D2221" t="str">
            <v>Long</v>
          </cell>
          <cell r="K2221" t="str">
            <v>C2: High Yield</v>
          </cell>
        </row>
        <row r="2222">
          <cell r="D2222" t="str">
            <v>Long</v>
          </cell>
          <cell r="K2222" t="str">
            <v>C2: High Yield</v>
          </cell>
        </row>
        <row r="2223">
          <cell r="D2223" t="str">
            <v>Long</v>
          </cell>
          <cell r="K2223" t="str">
            <v>C2: High Yield</v>
          </cell>
        </row>
        <row r="2224">
          <cell r="D2224" t="str">
            <v>Short</v>
          </cell>
          <cell r="K2224" t="str">
            <v>C2: High Yield</v>
          </cell>
        </row>
        <row r="2225">
          <cell r="D2225" t="str">
            <v>Short</v>
          </cell>
          <cell r="K2225" t="str">
            <v>C2: High Yield</v>
          </cell>
        </row>
        <row r="2226">
          <cell r="D2226" t="str">
            <v>Short</v>
          </cell>
          <cell r="K2226" t="str">
            <v>C2: High Yield</v>
          </cell>
        </row>
        <row r="2227">
          <cell r="D2227" t="str">
            <v>Short</v>
          </cell>
          <cell r="K2227" t="str">
            <v>C2: High Yield</v>
          </cell>
        </row>
        <row r="2228">
          <cell r="D2228" t="str">
            <v>Short</v>
          </cell>
          <cell r="K2228" t="str">
            <v>C2: High Yield</v>
          </cell>
        </row>
        <row r="2229">
          <cell r="D2229" t="str">
            <v>Long</v>
          </cell>
          <cell r="K2229" t="str">
            <v>C2: High Yield</v>
          </cell>
        </row>
        <row r="2230">
          <cell r="D2230" t="str">
            <v>Long</v>
          </cell>
          <cell r="K2230" t="str">
            <v>C2: High Yield</v>
          </cell>
        </row>
        <row r="2231">
          <cell r="D2231" t="str">
            <v>Long</v>
          </cell>
          <cell r="K2231" t="str">
            <v>C2: High Yield</v>
          </cell>
        </row>
        <row r="2232">
          <cell r="D2232" t="str">
            <v>Long</v>
          </cell>
          <cell r="K2232" t="str">
            <v>C2: High Yield</v>
          </cell>
        </row>
        <row r="2233">
          <cell r="D2233" t="str">
            <v>Long</v>
          </cell>
          <cell r="K2233" t="str">
            <v>C2: High Yield</v>
          </cell>
        </row>
        <row r="2234">
          <cell r="D2234" t="str">
            <v>Long</v>
          </cell>
          <cell r="K2234" t="str">
            <v>C2: High Yield</v>
          </cell>
        </row>
        <row r="2235">
          <cell r="D2235" t="str">
            <v>Long</v>
          </cell>
          <cell r="K2235" t="str">
            <v>C2: High Yield</v>
          </cell>
        </row>
        <row r="2236">
          <cell r="D2236" t="str">
            <v>Long</v>
          </cell>
          <cell r="K2236" t="str">
            <v>C1: Bank Debt</v>
          </cell>
        </row>
        <row r="2237">
          <cell r="D2237" t="str">
            <v>Long</v>
          </cell>
          <cell r="K2237" t="str">
            <v>C1: Bank Debt</v>
          </cell>
        </row>
        <row r="2238">
          <cell r="D2238" t="str">
            <v>Long</v>
          </cell>
          <cell r="K2238" t="str">
            <v>C1: Bank Debt</v>
          </cell>
        </row>
        <row r="2239">
          <cell r="D2239" t="str">
            <v>Long</v>
          </cell>
          <cell r="K2239" t="str">
            <v>C1: Bank Debt</v>
          </cell>
        </row>
        <row r="2240">
          <cell r="D2240" t="str">
            <v>Long</v>
          </cell>
          <cell r="K2240" t="str">
            <v>C1: Bank Debt</v>
          </cell>
        </row>
        <row r="2241">
          <cell r="D2241" t="str">
            <v>Long</v>
          </cell>
          <cell r="K2241" t="str">
            <v>C1: Bank Debt</v>
          </cell>
        </row>
        <row r="2242">
          <cell r="D2242" t="str">
            <v>Long</v>
          </cell>
          <cell r="K2242" t="str">
            <v>C1: Bank Debt</v>
          </cell>
        </row>
        <row r="2243">
          <cell r="D2243" t="str">
            <v>Long</v>
          </cell>
          <cell r="K2243" t="str">
            <v>C1: Bank Debt</v>
          </cell>
        </row>
        <row r="2244">
          <cell r="D2244" t="str">
            <v>Long</v>
          </cell>
          <cell r="K2244" t="str">
            <v>C1: Bank Debt</v>
          </cell>
        </row>
        <row r="2245">
          <cell r="D2245" t="str">
            <v>Long</v>
          </cell>
          <cell r="K2245" t="str">
            <v>C1: Bank Debt</v>
          </cell>
        </row>
        <row r="2246">
          <cell r="D2246" t="str">
            <v>Long</v>
          </cell>
          <cell r="K2246" t="str">
            <v>C4: Other</v>
          </cell>
        </row>
        <row r="2247">
          <cell r="D2247" t="str">
            <v>Long</v>
          </cell>
          <cell r="K2247" t="str">
            <v>C4: Other</v>
          </cell>
        </row>
        <row r="2248">
          <cell r="D2248" t="str">
            <v>Long</v>
          </cell>
          <cell r="K2248" t="str">
            <v>C4: Other</v>
          </cell>
        </row>
        <row r="2249">
          <cell r="D2249" t="str">
            <v>Long</v>
          </cell>
          <cell r="K2249" t="str">
            <v>C4: Other</v>
          </cell>
        </row>
        <row r="2250">
          <cell r="D2250" t="str">
            <v>Long</v>
          </cell>
          <cell r="K2250" t="str">
            <v>C4: Other</v>
          </cell>
        </row>
        <row r="2251">
          <cell r="D2251" t="str">
            <v>Long</v>
          </cell>
          <cell r="K2251" t="str">
            <v>C4: Other</v>
          </cell>
        </row>
        <row r="2252">
          <cell r="D2252" t="str">
            <v>Long</v>
          </cell>
          <cell r="K2252" t="str">
            <v>C2: High Yield</v>
          </cell>
        </row>
        <row r="2253">
          <cell r="D2253" t="str">
            <v>Long</v>
          </cell>
          <cell r="K2253" t="str">
            <v>C2: High Yield</v>
          </cell>
        </row>
        <row r="2254">
          <cell r="D2254" t="str">
            <v>Long</v>
          </cell>
          <cell r="K2254" t="str">
            <v>C2: High Yield</v>
          </cell>
        </row>
        <row r="2255">
          <cell r="D2255" t="str">
            <v>Long</v>
          </cell>
          <cell r="K2255" t="str">
            <v>C2: High Yield</v>
          </cell>
        </row>
        <row r="2256">
          <cell r="D2256" t="str">
            <v>Long</v>
          </cell>
          <cell r="K2256" t="str">
            <v>C2: High Yield</v>
          </cell>
        </row>
        <row r="2257">
          <cell r="D2257" t="str">
            <v>Long</v>
          </cell>
          <cell r="K2257" t="str">
            <v>C1: Bank Debt</v>
          </cell>
        </row>
        <row r="2258">
          <cell r="D2258" t="str">
            <v>Long</v>
          </cell>
          <cell r="K2258" t="str">
            <v>C1: Bank Debt</v>
          </cell>
        </row>
        <row r="2259">
          <cell r="D2259" t="str">
            <v>Long</v>
          </cell>
          <cell r="K2259" t="str">
            <v>C1: Bank Debt</v>
          </cell>
        </row>
        <row r="2260">
          <cell r="D2260" t="str">
            <v>Long</v>
          </cell>
          <cell r="K2260" t="str">
            <v>C1: Bank Debt</v>
          </cell>
        </row>
        <row r="2261">
          <cell r="D2261" t="str">
            <v>Long</v>
          </cell>
          <cell r="K2261" t="str">
            <v>C2a: BD-HY Equivalent</v>
          </cell>
        </row>
        <row r="2262">
          <cell r="D2262" t="str">
            <v>Long</v>
          </cell>
          <cell r="K2262" t="str">
            <v>C2a: BD-HY Equivalent</v>
          </cell>
        </row>
        <row r="2263">
          <cell r="D2263" t="str">
            <v>Long</v>
          </cell>
          <cell r="K2263" t="str">
            <v>C2a: BD-HY Equivalent</v>
          </cell>
        </row>
        <row r="2264">
          <cell r="D2264" t="str">
            <v>Long</v>
          </cell>
          <cell r="K2264" t="str">
            <v>C2: High Yield</v>
          </cell>
        </row>
        <row r="2265">
          <cell r="D2265" t="str">
            <v>Long</v>
          </cell>
          <cell r="K2265" t="str">
            <v>C2: High Yield</v>
          </cell>
        </row>
        <row r="2266">
          <cell r="D2266" t="str">
            <v>Long</v>
          </cell>
          <cell r="K2266" t="str">
            <v>C2: High Yield</v>
          </cell>
        </row>
        <row r="2267">
          <cell r="D2267" t="str">
            <v>Long</v>
          </cell>
          <cell r="K2267" t="str">
            <v>C2: High Yield</v>
          </cell>
        </row>
        <row r="2268">
          <cell r="D2268" t="str">
            <v>Long</v>
          </cell>
          <cell r="K2268" t="str">
            <v>C2: High Yield</v>
          </cell>
        </row>
        <row r="2269">
          <cell r="D2269" t="str">
            <v>Long</v>
          </cell>
          <cell r="K2269" t="str">
            <v>C2: High Yield</v>
          </cell>
        </row>
        <row r="2270">
          <cell r="D2270" t="str">
            <v>Long</v>
          </cell>
          <cell r="K2270" t="str">
            <v>C2: High Yield</v>
          </cell>
        </row>
        <row r="2271">
          <cell r="D2271" t="str">
            <v>Long</v>
          </cell>
          <cell r="K2271" t="str">
            <v>C2: High Yield</v>
          </cell>
        </row>
        <row r="2272">
          <cell r="D2272" t="str">
            <v>Long</v>
          </cell>
          <cell r="K2272" t="str">
            <v>C2: High Yield</v>
          </cell>
        </row>
        <row r="2273">
          <cell r="D2273" t="str">
            <v>Long</v>
          </cell>
          <cell r="K2273" t="str">
            <v>C2: High Yield</v>
          </cell>
        </row>
        <row r="2274">
          <cell r="D2274" t="str">
            <v>Long</v>
          </cell>
          <cell r="K2274" t="str">
            <v>C2: High Yield</v>
          </cell>
        </row>
        <row r="2275">
          <cell r="D2275" t="str">
            <v>Long</v>
          </cell>
          <cell r="K2275" t="str">
            <v>C2: High Yield</v>
          </cell>
        </row>
        <row r="2276">
          <cell r="D2276" t="str">
            <v>Long</v>
          </cell>
          <cell r="K2276" t="str">
            <v>C2: High Yield</v>
          </cell>
        </row>
        <row r="2277">
          <cell r="D2277" t="str">
            <v>Long</v>
          </cell>
          <cell r="K2277" t="str">
            <v>C2: High Yield</v>
          </cell>
        </row>
        <row r="2278">
          <cell r="D2278" t="str">
            <v>Long</v>
          </cell>
          <cell r="K2278" t="str">
            <v>C1: Bank Debt</v>
          </cell>
        </row>
        <row r="2279">
          <cell r="D2279" t="str">
            <v>Long</v>
          </cell>
          <cell r="K2279" t="str">
            <v>C1: Bank Debt</v>
          </cell>
        </row>
        <row r="2280">
          <cell r="D2280" t="str">
            <v>Long</v>
          </cell>
          <cell r="K2280" t="str">
            <v>C1: Bank Debt</v>
          </cell>
        </row>
        <row r="2281">
          <cell r="D2281" t="str">
            <v>Long</v>
          </cell>
          <cell r="K2281" t="str">
            <v>C1: Bank Debt</v>
          </cell>
        </row>
        <row r="2282">
          <cell r="D2282" t="str">
            <v>Long</v>
          </cell>
          <cell r="K2282" t="str">
            <v>C2a: BD-HY Equivalent</v>
          </cell>
        </row>
        <row r="2283">
          <cell r="D2283" t="str">
            <v>Long</v>
          </cell>
          <cell r="K2283" t="str">
            <v>C2a: BD-HY Equivalent</v>
          </cell>
        </row>
        <row r="2284">
          <cell r="D2284" t="str">
            <v>Long</v>
          </cell>
          <cell r="K2284" t="str">
            <v>C1: Bank Debt</v>
          </cell>
        </row>
        <row r="2285">
          <cell r="D2285" t="str">
            <v>Long</v>
          </cell>
          <cell r="K2285" t="str">
            <v>C1: Bank Debt</v>
          </cell>
        </row>
        <row r="2286">
          <cell r="D2286" t="str">
            <v>Long</v>
          </cell>
          <cell r="K2286" t="str">
            <v>C1: Bank Debt</v>
          </cell>
        </row>
        <row r="2287">
          <cell r="D2287" t="str">
            <v>Long</v>
          </cell>
          <cell r="K2287" t="str">
            <v>C1: Bank Debt</v>
          </cell>
        </row>
        <row r="2288">
          <cell r="D2288" t="str">
            <v>Long</v>
          </cell>
          <cell r="K2288" t="str">
            <v>C1: Bank Debt</v>
          </cell>
        </row>
        <row r="2289">
          <cell r="D2289" t="str">
            <v>Long</v>
          </cell>
          <cell r="K2289" t="str">
            <v>C1: Bank Debt</v>
          </cell>
        </row>
        <row r="2290">
          <cell r="D2290" t="str">
            <v>Long</v>
          </cell>
          <cell r="K2290" t="str">
            <v>C1: Bank Debt</v>
          </cell>
        </row>
        <row r="2291">
          <cell r="D2291" t="str">
            <v>Long</v>
          </cell>
          <cell r="K2291" t="str">
            <v>C1: Bank Debt</v>
          </cell>
        </row>
        <row r="2292">
          <cell r="D2292" t="str">
            <v>Long</v>
          </cell>
          <cell r="K2292" t="str">
            <v>C1: Bank Debt</v>
          </cell>
        </row>
        <row r="2293">
          <cell r="D2293" t="str">
            <v>Long</v>
          </cell>
          <cell r="K2293" t="str">
            <v>C1: Bank Debt</v>
          </cell>
        </row>
        <row r="2294">
          <cell r="D2294" t="str">
            <v>Long</v>
          </cell>
          <cell r="K2294" t="str">
            <v>C1: Bank Debt</v>
          </cell>
        </row>
        <row r="2295">
          <cell r="D2295" t="str">
            <v>Long</v>
          </cell>
          <cell r="K2295" t="str">
            <v>C1: Bank Debt</v>
          </cell>
        </row>
        <row r="2296">
          <cell r="D2296" t="str">
            <v>Long</v>
          </cell>
          <cell r="K2296" t="str">
            <v>C1: Bank Debt</v>
          </cell>
        </row>
        <row r="2297">
          <cell r="D2297" t="str">
            <v>Long</v>
          </cell>
          <cell r="K2297" t="str">
            <v>C1: Bank Debt</v>
          </cell>
        </row>
        <row r="2298">
          <cell r="D2298" t="str">
            <v>Long</v>
          </cell>
          <cell r="K2298" t="str">
            <v>C1: Bank Debt</v>
          </cell>
        </row>
        <row r="2299">
          <cell r="D2299" t="str">
            <v>Long</v>
          </cell>
          <cell r="K2299" t="str">
            <v>C1a: HY-Bank Debt Equivalent</v>
          </cell>
        </row>
        <row r="2300">
          <cell r="D2300" t="str">
            <v>Long</v>
          </cell>
          <cell r="K2300" t="str">
            <v>C1a: HY-Bank Debt Equivalent</v>
          </cell>
        </row>
        <row r="2301">
          <cell r="D2301" t="str">
            <v>Long</v>
          </cell>
          <cell r="K2301" t="str">
            <v>C1a: HY-Bank Debt Equivalent</v>
          </cell>
        </row>
        <row r="2302">
          <cell r="D2302" t="str">
            <v>Long</v>
          </cell>
          <cell r="K2302" t="str">
            <v>C1a: HY-Bank Debt Equivalent</v>
          </cell>
        </row>
        <row r="2303">
          <cell r="D2303" t="str">
            <v>Long</v>
          </cell>
          <cell r="K2303" t="str">
            <v>C1a: HY-Bank Debt Equivalent</v>
          </cell>
        </row>
        <row r="2304">
          <cell r="D2304" t="str">
            <v>Long</v>
          </cell>
          <cell r="K2304" t="str">
            <v>C1a: HY-Bank Debt Equivalent</v>
          </cell>
        </row>
        <row r="2305">
          <cell r="D2305" t="str">
            <v>Long</v>
          </cell>
          <cell r="K2305" t="str">
            <v>C1a: HY-Bank Debt Equivalent</v>
          </cell>
        </row>
        <row r="2306">
          <cell r="D2306" t="str">
            <v>Long</v>
          </cell>
          <cell r="K2306" t="str">
            <v>C2: High Yield</v>
          </cell>
        </row>
        <row r="2307">
          <cell r="D2307" t="str">
            <v>Long</v>
          </cell>
          <cell r="K2307" t="str">
            <v>C2: High Yield</v>
          </cell>
        </row>
        <row r="2308">
          <cell r="D2308" t="str">
            <v>Long</v>
          </cell>
          <cell r="K2308" t="str">
            <v>C3a: Outright Shorts</v>
          </cell>
        </row>
        <row r="2309">
          <cell r="D2309" t="str">
            <v>Long</v>
          </cell>
          <cell r="K2309" t="str">
            <v>C3a: Outright Shorts</v>
          </cell>
        </row>
        <row r="2310">
          <cell r="D2310" t="str">
            <v>Long</v>
          </cell>
          <cell r="K2310" t="str">
            <v>C3a: Outright Shorts</v>
          </cell>
        </row>
        <row r="2311">
          <cell r="D2311" t="str">
            <v>Long</v>
          </cell>
          <cell r="K2311" t="str">
            <v>C3a: Outright Shorts</v>
          </cell>
        </row>
        <row r="2312">
          <cell r="D2312" t="str">
            <v>Long</v>
          </cell>
          <cell r="K2312" t="str">
            <v>C3a: Outright Shorts</v>
          </cell>
        </row>
        <row r="2313">
          <cell r="D2313" t="str">
            <v>Long</v>
          </cell>
          <cell r="K2313" t="str">
            <v>C2: High Yield</v>
          </cell>
        </row>
        <row r="2314">
          <cell r="D2314" t="str">
            <v>Long</v>
          </cell>
          <cell r="K2314" t="str">
            <v>C2: High Yield</v>
          </cell>
        </row>
        <row r="2315">
          <cell r="D2315" t="str">
            <v>Long</v>
          </cell>
          <cell r="K2315" t="str">
            <v>C2: High Yield</v>
          </cell>
        </row>
        <row r="2316">
          <cell r="D2316" t="str">
            <v>Long</v>
          </cell>
          <cell r="K2316" t="str">
            <v>C2: High Yield</v>
          </cell>
        </row>
        <row r="2317">
          <cell r="D2317" t="str">
            <v>Long</v>
          </cell>
          <cell r="K2317" t="str">
            <v>C2: High Yield</v>
          </cell>
        </row>
        <row r="2318">
          <cell r="D2318" t="str">
            <v>Long</v>
          </cell>
          <cell r="K2318" t="str">
            <v>C2: High Yield</v>
          </cell>
        </row>
        <row r="2319">
          <cell r="D2319" t="str">
            <v>Long</v>
          </cell>
          <cell r="K2319" t="str">
            <v>C2: High Yield</v>
          </cell>
        </row>
        <row r="2320">
          <cell r="D2320" t="str">
            <v>Long</v>
          </cell>
          <cell r="K2320" t="str">
            <v>C2: High Yield</v>
          </cell>
        </row>
        <row r="2321">
          <cell r="D2321" t="str">
            <v>Long</v>
          </cell>
          <cell r="K2321" t="str">
            <v>C2: High Yield</v>
          </cell>
        </row>
        <row r="2322">
          <cell r="D2322" t="str">
            <v>Long</v>
          </cell>
          <cell r="K2322" t="str">
            <v>C2: High Yield</v>
          </cell>
        </row>
        <row r="2323">
          <cell r="D2323" t="str">
            <v>Long</v>
          </cell>
          <cell r="K2323" t="str">
            <v>C2: High Yield</v>
          </cell>
        </row>
        <row r="2324">
          <cell r="D2324" t="str">
            <v>Long</v>
          </cell>
          <cell r="K2324" t="str">
            <v>C2: High Yield</v>
          </cell>
        </row>
        <row r="2325">
          <cell r="D2325" t="str">
            <v>Long</v>
          </cell>
          <cell r="K2325" t="str">
            <v>C2: High Yield</v>
          </cell>
        </row>
        <row r="2326">
          <cell r="D2326" t="str">
            <v>Long</v>
          </cell>
          <cell r="K2326" t="str">
            <v>C2: High Yield</v>
          </cell>
        </row>
        <row r="2327">
          <cell r="D2327" t="str">
            <v>Long</v>
          </cell>
          <cell r="K2327" t="str">
            <v>C2: High Yield</v>
          </cell>
        </row>
        <row r="2328">
          <cell r="D2328" t="str">
            <v>Long</v>
          </cell>
          <cell r="K2328" t="str">
            <v>C1: Bank Debt</v>
          </cell>
        </row>
        <row r="2329">
          <cell r="D2329" t="str">
            <v>Long</v>
          </cell>
          <cell r="K2329" t="str">
            <v>C1: Bank Debt</v>
          </cell>
        </row>
        <row r="2330">
          <cell r="D2330" t="str">
            <v>Long</v>
          </cell>
          <cell r="K2330" t="str">
            <v>C1: Bank Debt</v>
          </cell>
        </row>
        <row r="2331">
          <cell r="D2331" t="str">
            <v>Long</v>
          </cell>
          <cell r="K2331" t="str">
            <v>C1: Bank Debt</v>
          </cell>
        </row>
        <row r="2332">
          <cell r="D2332" t="str">
            <v>Long</v>
          </cell>
          <cell r="K2332" t="str">
            <v>C1: Bank Debt</v>
          </cell>
        </row>
        <row r="2333">
          <cell r="D2333" t="str">
            <v>Long</v>
          </cell>
          <cell r="K2333" t="str">
            <v>C1: Bank Debt</v>
          </cell>
        </row>
        <row r="2334">
          <cell r="D2334" t="str">
            <v>Long</v>
          </cell>
          <cell r="K2334" t="str">
            <v>C2: High Yield</v>
          </cell>
        </row>
        <row r="2335">
          <cell r="D2335" t="str">
            <v>Short</v>
          </cell>
          <cell r="K2335" t="str">
            <v>C2: High Yield</v>
          </cell>
        </row>
        <row r="2336">
          <cell r="D2336" t="str">
            <v>Short</v>
          </cell>
          <cell r="K2336" t="str">
            <v>C3a: Outright Shorts</v>
          </cell>
        </row>
        <row r="2337">
          <cell r="D2337" t="str">
            <v>Short</v>
          </cell>
          <cell r="K2337" t="str">
            <v>C3a: Outright Shorts</v>
          </cell>
        </row>
        <row r="2338">
          <cell r="D2338" t="str">
            <v>Short</v>
          </cell>
          <cell r="K2338" t="str">
            <v>C3a: Outright Shorts</v>
          </cell>
        </row>
        <row r="2339">
          <cell r="D2339" t="str">
            <v>Short</v>
          </cell>
          <cell r="K2339" t="str">
            <v>C3a: Outright Shorts</v>
          </cell>
        </row>
        <row r="2340">
          <cell r="D2340" t="str">
            <v>Short</v>
          </cell>
          <cell r="K2340" t="str">
            <v>C3a: Outright Shorts</v>
          </cell>
        </row>
        <row r="2341">
          <cell r="D2341" t="str">
            <v>Short</v>
          </cell>
          <cell r="K2341" t="str">
            <v>C3a: Outright Shorts</v>
          </cell>
        </row>
        <row r="2342">
          <cell r="D2342" t="str">
            <v>Short</v>
          </cell>
          <cell r="K2342" t="str">
            <v>C3a: Outright Shorts</v>
          </cell>
        </row>
        <row r="2343">
          <cell r="D2343" t="str">
            <v>Short</v>
          </cell>
          <cell r="K2343" t="str">
            <v>C3a: Outright Shorts</v>
          </cell>
        </row>
        <row r="2344">
          <cell r="D2344" t="str">
            <v>Short</v>
          </cell>
          <cell r="K2344" t="str">
            <v>C3a: Outright Shorts</v>
          </cell>
        </row>
        <row r="2345">
          <cell r="D2345" t="str">
            <v>Short</v>
          </cell>
          <cell r="K2345" t="str">
            <v>C3a: Outright Shorts</v>
          </cell>
        </row>
        <row r="2346">
          <cell r="D2346" t="str">
            <v>Short</v>
          </cell>
          <cell r="K2346" t="str">
            <v>C3a: Outright Shorts</v>
          </cell>
        </row>
        <row r="2347">
          <cell r="D2347" t="str">
            <v>Short</v>
          </cell>
          <cell r="K2347" t="str">
            <v>C3a: Outright Shorts</v>
          </cell>
        </row>
        <row r="2348">
          <cell r="D2348" t="str">
            <v>Short</v>
          </cell>
          <cell r="K2348" t="str">
            <v>C3a: Outright Shorts</v>
          </cell>
        </row>
        <row r="2349">
          <cell r="D2349" t="str">
            <v>Short</v>
          </cell>
          <cell r="K2349" t="str">
            <v>C3a: Outright Shorts</v>
          </cell>
        </row>
        <row r="2350">
          <cell r="D2350" t="str">
            <v>Short</v>
          </cell>
          <cell r="K2350" t="str">
            <v>C3a: Outright Shorts</v>
          </cell>
        </row>
        <row r="2351">
          <cell r="D2351" t="str">
            <v>Short</v>
          </cell>
          <cell r="K2351" t="str">
            <v>C3a: Outright Shorts</v>
          </cell>
        </row>
        <row r="2352">
          <cell r="D2352" t="str">
            <v>Short</v>
          </cell>
          <cell r="K2352" t="str">
            <v>C3a: Outright Shorts</v>
          </cell>
        </row>
        <row r="2353">
          <cell r="D2353" t="str">
            <v>Short</v>
          </cell>
          <cell r="K2353" t="str">
            <v>C3a: Outright Shorts</v>
          </cell>
        </row>
        <row r="2354">
          <cell r="D2354" t="str">
            <v>Short</v>
          </cell>
          <cell r="K2354" t="str">
            <v>C3a: Outright Shorts</v>
          </cell>
        </row>
        <row r="2355">
          <cell r="D2355" t="str">
            <v>Short</v>
          </cell>
          <cell r="K2355" t="str">
            <v>C3a: Outright Shorts</v>
          </cell>
        </row>
        <row r="2356">
          <cell r="D2356" t="str">
            <v>Short</v>
          </cell>
          <cell r="K2356" t="str">
            <v>C3a: Outright Shorts</v>
          </cell>
        </row>
        <row r="2357">
          <cell r="D2357" t="str">
            <v>Short</v>
          </cell>
          <cell r="K2357" t="str">
            <v>C3a: Outright Shorts</v>
          </cell>
        </row>
        <row r="2358">
          <cell r="D2358" t="str">
            <v>Short</v>
          </cell>
          <cell r="K2358" t="str">
            <v>C3a: Outright Shorts</v>
          </cell>
        </row>
        <row r="2359">
          <cell r="D2359" t="str">
            <v>Short</v>
          </cell>
          <cell r="K2359" t="str">
            <v>C3a: Outright Shorts</v>
          </cell>
        </row>
        <row r="2360">
          <cell r="D2360" t="str">
            <v>Short</v>
          </cell>
          <cell r="K2360" t="str">
            <v>C3a: Outright Shorts</v>
          </cell>
        </row>
        <row r="2361">
          <cell r="D2361" t="str">
            <v>Long</v>
          </cell>
          <cell r="K2361" t="str">
            <v>C1: Bank Debt</v>
          </cell>
        </row>
        <row r="2362">
          <cell r="D2362" t="str">
            <v>Long</v>
          </cell>
          <cell r="K2362" t="str">
            <v>C1: Bank Debt</v>
          </cell>
        </row>
        <row r="2363">
          <cell r="D2363" t="str">
            <v>Long</v>
          </cell>
          <cell r="K2363" t="str">
            <v>C1: Bank Debt</v>
          </cell>
        </row>
        <row r="2364">
          <cell r="D2364" t="str">
            <v>Long</v>
          </cell>
          <cell r="K2364" t="str">
            <v>C1: Bank Debt</v>
          </cell>
        </row>
        <row r="2365">
          <cell r="D2365" t="str">
            <v>Long</v>
          </cell>
          <cell r="K2365" t="str">
            <v>C1: Bank Debt</v>
          </cell>
        </row>
        <row r="2366">
          <cell r="D2366" t="str">
            <v>Long</v>
          </cell>
          <cell r="K2366" t="str">
            <v>C1: Bank Debt</v>
          </cell>
        </row>
        <row r="2367">
          <cell r="D2367" t="str">
            <v>Long</v>
          </cell>
          <cell r="K2367" t="str">
            <v>C1: Bank Debt</v>
          </cell>
        </row>
        <row r="2368">
          <cell r="D2368" t="str">
            <v>Long</v>
          </cell>
          <cell r="K2368" t="str">
            <v>C1: Bank Debt</v>
          </cell>
        </row>
        <row r="2369">
          <cell r="D2369" t="str">
            <v>Long</v>
          </cell>
          <cell r="K2369" t="str">
            <v>C1: Bank Debt</v>
          </cell>
        </row>
        <row r="2370">
          <cell r="D2370" t="str">
            <v>Long</v>
          </cell>
          <cell r="K2370" t="str">
            <v>C1: Bank Debt</v>
          </cell>
        </row>
        <row r="2371">
          <cell r="D2371" t="str">
            <v>Long</v>
          </cell>
          <cell r="K2371" t="str">
            <v>C1: Bank Debt</v>
          </cell>
        </row>
        <row r="2372">
          <cell r="D2372" t="str">
            <v>Long</v>
          </cell>
          <cell r="K2372" t="str">
            <v>C1: Bank Debt</v>
          </cell>
        </row>
        <row r="2373">
          <cell r="D2373" t="str">
            <v>Long</v>
          </cell>
          <cell r="K2373" t="str">
            <v>C1: Bank Debt</v>
          </cell>
        </row>
        <row r="2374">
          <cell r="D2374" t="str">
            <v>Long</v>
          </cell>
          <cell r="K2374" t="str">
            <v>C2: High Yield</v>
          </cell>
        </row>
        <row r="2375">
          <cell r="D2375" t="str">
            <v>Long</v>
          </cell>
          <cell r="K2375" t="str">
            <v>C2: High Yield</v>
          </cell>
        </row>
        <row r="2376">
          <cell r="D2376" t="str">
            <v>Long</v>
          </cell>
          <cell r="K2376" t="str">
            <v>C2: High Yield</v>
          </cell>
        </row>
        <row r="2377">
          <cell r="D2377" t="str">
            <v>Long</v>
          </cell>
          <cell r="K2377" t="str">
            <v>C2: High Yield</v>
          </cell>
        </row>
        <row r="2378">
          <cell r="D2378" t="str">
            <v>Long</v>
          </cell>
          <cell r="K2378" t="str">
            <v>C2: High Yield</v>
          </cell>
        </row>
        <row r="2379">
          <cell r="D2379" t="str">
            <v>Long</v>
          </cell>
          <cell r="K2379" t="str">
            <v>C2: High Yield</v>
          </cell>
        </row>
        <row r="2380">
          <cell r="D2380" t="str">
            <v>Long</v>
          </cell>
          <cell r="K2380" t="str">
            <v>C2: High Yield</v>
          </cell>
        </row>
        <row r="2381">
          <cell r="D2381" t="str">
            <v>Long</v>
          </cell>
          <cell r="K2381" t="str">
            <v>C4: Other</v>
          </cell>
        </row>
        <row r="2382">
          <cell r="D2382" t="str">
            <v>Long</v>
          </cell>
          <cell r="K2382" t="str">
            <v>C4: Other</v>
          </cell>
        </row>
        <row r="2383">
          <cell r="D2383" t="str">
            <v>Long</v>
          </cell>
          <cell r="K2383" t="str">
            <v>C4: Other</v>
          </cell>
        </row>
        <row r="2384">
          <cell r="D2384" t="str">
            <v>Long</v>
          </cell>
          <cell r="K2384" t="str">
            <v>C4: Other</v>
          </cell>
        </row>
        <row r="2385">
          <cell r="D2385" t="str">
            <v>Long</v>
          </cell>
          <cell r="K2385" t="str">
            <v>C4: Other</v>
          </cell>
        </row>
        <row r="2386">
          <cell r="D2386" t="str">
            <v>Long</v>
          </cell>
          <cell r="K2386" t="str">
            <v>C4: Other</v>
          </cell>
        </row>
        <row r="2387">
          <cell r="D2387" t="str">
            <v>Long</v>
          </cell>
          <cell r="K2387" t="str">
            <v>C2: High Yield</v>
          </cell>
        </row>
        <row r="2388">
          <cell r="D2388" t="str">
            <v>Long</v>
          </cell>
          <cell r="K2388" t="str">
            <v>C2: High Yield</v>
          </cell>
        </row>
        <row r="2389">
          <cell r="D2389" t="str">
            <v>Long</v>
          </cell>
          <cell r="K2389" t="str">
            <v>C2: High Yield</v>
          </cell>
        </row>
        <row r="2390">
          <cell r="D2390" t="str">
            <v>Long</v>
          </cell>
          <cell r="K2390" t="str">
            <v>C2: High Yield</v>
          </cell>
        </row>
        <row r="2391">
          <cell r="D2391" t="str">
            <v>Long</v>
          </cell>
          <cell r="K2391" t="str">
            <v>C2: High Yield</v>
          </cell>
        </row>
        <row r="2392">
          <cell r="D2392" t="str">
            <v>Long</v>
          </cell>
          <cell r="K2392" t="str">
            <v>C2: High Yield</v>
          </cell>
        </row>
        <row r="2393">
          <cell r="D2393" t="str">
            <v>Long</v>
          </cell>
          <cell r="K2393" t="str">
            <v>C2: High Yield</v>
          </cell>
        </row>
        <row r="2394">
          <cell r="D2394" t="str">
            <v>Long</v>
          </cell>
          <cell r="K2394" t="str">
            <v>C4: Other</v>
          </cell>
        </row>
        <row r="2395">
          <cell r="D2395" t="str">
            <v>Long</v>
          </cell>
          <cell r="K2395" t="str">
            <v>C4: Other</v>
          </cell>
        </row>
        <row r="2396">
          <cell r="D2396" t="str">
            <v>Long</v>
          </cell>
          <cell r="K2396" t="str">
            <v>C4: Other</v>
          </cell>
        </row>
        <row r="2397">
          <cell r="D2397" t="str">
            <v>Long</v>
          </cell>
          <cell r="K2397" t="str">
            <v>C4: Other</v>
          </cell>
        </row>
        <row r="2398">
          <cell r="D2398" t="str">
            <v>Long</v>
          </cell>
          <cell r="K2398" t="str">
            <v>C4: Other</v>
          </cell>
        </row>
        <row r="2399">
          <cell r="D2399" t="str">
            <v>Long</v>
          </cell>
          <cell r="K2399" t="str">
            <v>C4: Other</v>
          </cell>
        </row>
        <row r="2400">
          <cell r="D2400" t="str">
            <v>Long</v>
          </cell>
          <cell r="K2400" t="str">
            <v>C4: Other</v>
          </cell>
        </row>
        <row r="2401">
          <cell r="D2401" t="str">
            <v>Short</v>
          </cell>
          <cell r="K2401" t="str">
            <v>C3: Capital Structure</v>
          </cell>
        </row>
        <row r="2402">
          <cell r="D2402" t="str">
            <v>Short</v>
          </cell>
          <cell r="K2402" t="str">
            <v>C3: Capital Structure</v>
          </cell>
        </row>
        <row r="2403">
          <cell r="D2403" t="str">
            <v>Short</v>
          </cell>
          <cell r="K2403" t="str">
            <v>C3: Capital Structure</v>
          </cell>
        </row>
        <row r="2404">
          <cell r="D2404" t="str">
            <v>Short</v>
          </cell>
          <cell r="K2404" t="str">
            <v>C3: Capital Structure</v>
          </cell>
        </row>
        <row r="2405">
          <cell r="D2405" t="str">
            <v>Short</v>
          </cell>
          <cell r="K2405" t="str">
            <v>C3: Capital Structure</v>
          </cell>
        </row>
        <row r="2406">
          <cell r="D2406" t="str">
            <v>Short</v>
          </cell>
          <cell r="K2406" t="str">
            <v>C3: Capital Structure</v>
          </cell>
        </row>
        <row r="2407">
          <cell r="D2407" t="str">
            <v>Long</v>
          </cell>
          <cell r="K2407" t="str">
            <v>C2: High Yield</v>
          </cell>
        </row>
        <row r="2408">
          <cell r="D2408" t="str">
            <v>Long</v>
          </cell>
          <cell r="K2408" t="str">
            <v>C2: High Yield</v>
          </cell>
        </row>
        <row r="2409">
          <cell r="D2409" t="str">
            <v>Long</v>
          </cell>
          <cell r="K2409" t="str">
            <v>C2: High Yield</v>
          </cell>
        </row>
        <row r="2410">
          <cell r="D2410" t="str">
            <v>Long</v>
          </cell>
          <cell r="K2410" t="str">
            <v>C2: High Yield</v>
          </cell>
        </row>
        <row r="2411">
          <cell r="D2411" t="str">
            <v>Long</v>
          </cell>
          <cell r="K2411" t="str">
            <v>C2: High Yield</v>
          </cell>
        </row>
        <row r="2412">
          <cell r="D2412" t="str">
            <v>Long</v>
          </cell>
          <cell r="K2412" t="str">
            <v>C2: High Yield</v>
          </cell>
        </row>
        <row r="2413">
          <cell r="D2413" t="str">
            <v>Long</v>
          </cell>
          <cell r="K2413" t="str">
            <v>C2: High Yield</v>
          </cell>
        </row>
        <row r="2414">
          <cell r="D2414" t="str">
            <v>Long</v>
          </cell>
          <cell r="K2414" t="str">
            <v>C1: Bank Debt</v>
          </cell>
        </row>
        <row r="2415">
          <cell r="D2415" t="str">
            <v>Long</v>
          </cell>
          <cell r="K2415" t="str">
            <v>C1: Bank Debt</v>
          </cell>
        </row>
        <row r="2416">
          <cell r="D2416" t="str">
            <v>Long</v>
          </cell>
          <cell r="K2416" t="str">
            <v>C1: Bank Debt</v>
          </cell>
        </row>
        <row r="2417">
          <cell r="D2417" t="str">
            <v>Long</v>
          </cell>
          <cell r="K2417" t="str">
            <v>C1: Bank Debt</v>
          </cell>
        </row>
        <row r="2418">
          <cell r="D2418" t="str">
            <v>Long</v>
          </cell>
          <cell r="K2418" t="str">
            <v>C1: Bank Debt</v>
          </cell>
        </row>
        <row r="2419">
          <cell r="D2419" t="str">
            <v>Long</v>
          </cell>
          <cell r="K2419" t="str">
            <v>C1: Bank Debt</v>
          </cell>
        </row>
        <row r="2420">
          <cell r="D2420" t="str">
            <v>Long</v>
          </cell>
          <cell r="K2420" t="str">
            <v>C1: Bank Debt</v>
          </cell>
        </row>
        <row r="2421">
          <cell r="D2421" t="str">
            <v>Long</v>
          </cell>
          <cell r="K2421" t="str">
            <v>C1: Bank Debt</v>
          </cell>
        </row>
        <row r="2422">
          <cell r="D2422" t="str">
            <v>Long</v>
          </cell>
          <cell r="K2422" t="str">
            <v>C1: Bank Debt</v>
          </cell>
        </row>
        <row r="2423">
          <cell r="D2423" t="str">
            <v>Long</v>
          </cell>
          <cell r="K2423" t="str">
            <v>C1: Bank Debt</v>
          </cell>
        </row>
        <row r="2424">
          <cell r="D2424" t="str">
            <v>Long</v>
          </cell>
          <cell r="K2424" t="str">
            <v>C1: Bank Debt</v>
          </cell>
        </row>
        <row r="2425">
          <cell r="D2425" t="str">
            <v>Long</v>
          </cell>
          <cell r="K2425" t="str">
            <v>C1: Bank Debt</v>
          </cell>
        </row>
        <row r="2426">
          <cell r="D2426" t="str">
            <v>Long</v>
          </cell>
          <cell r="K2426" t="str">
            <v>C1: Bank Debt</v>
          </cell>
        </row>
        <row r="2427">
          <cell r="D2427" t="str">
            <v>Long</v>
          </cell>
          <cell r="K2427" t="str">
            <v>C1: Bank Debt</v>
          </cell>
        </row>
        <row r="2428">
          <cell r="D2428" t="str">
            <v>Long</v>
          </cell>
          <cell r="K2428" t="str">
            <v>C1: Bank Debt</v>
          </cell>
        </row>
        <row r="2429">
          <cell r="D2429" t="str">
            <v>Long</v>
          </cell>
          <cell r="K2429" t="str">
            <v>C1: Bank Debt</v>
          </cell>
        </row>
        <row r="2430">
          <cell r="D2430" t="str">
            <v>Long</v>
          </cell>
          <cell r="K2430" t="str">
            <v>C1: Bank Debt</v>
          </cell>
        </row>
        <row r="2431">
          <cell r="D2431" t="str">
            <v>Long</v>
          </cell>
          <cell r="K2431" t="str">
            <v>C1: Bank Debt</v>
          </cell>
        </row>
        <row r="2432">
          <cell r="D2432" t="str">
            <v>Long</v>
          </cell>
          <cell r="K2432" t="str">
            <v>C1: Bank Debt</v>
          </cell>
        </row>
        <row r="2433">
          <cell r="D2433" t="str">
            <v>Long</v>
          </cell>
          <cell r="K2433" t="str">
            <v>C1: Bank Debt</v>
          </cell>
        </row>
        <row r="2434">
          <cell r="D2434" t="str">
            <v>Long</v>
          </cell>
          <cell r="K2434" t="str">
            <v>C1: Bank Debt</v>
          </cell>
        </row>
        <row r="2435">
          <cell r="D2435" t="str">
            <v>Long</v>
          </cell>
          <cell r="K2435" t="str">
            <v>C1: Bank Debt</v>
          </cell>
        </row>
        <row r="2436">
          <cell r="D2436" t="str">
            <v>Long</v>
          </cell>
          <cell r="K2436" t="str">
            <v>C1: Bank Debt</v>
          </cell>
        </row>
        <row r="2437">
          <cell r="D2437" t="str">
            <v>Long</v>
          </cell>
          <cell r="K2437" t="str">
            <v>C1: Bank Debt</v>
          </cell>
        </row>
        <row r="2438">
          <cell r="D2438" t="str">
            <v>Long</v>
          </cell>
          <cell r="K2438" t="str">
            <v>C1: Bank Debt</v>
          </cell>
        </row>
        <row r="2439">
          <cell r="D2439" t="str">
            <v>Long</v>
          </cell>
          <cell r="K2439" t="str">
            <v>C1: Bank Debt</v>
          </cell>
        </row>
        <row r="2440">
          <cell r="D2440" t="str">
            <v>Long</v>
          </cell>
          <cell r="K2440" t="str">
            <v>C1: Bank Debt</v>
          </cell>
        </row>
        <row r="2441">
          <cell r="D2441" t="str">
            <v>Long</v>
          </cell>
          <cell r="K2441" t="str">
            <v>C1: Bank Debt</v>
          </cell>
        </row>
        <row r="2442">
          <cell r="D2442" t="str">
            <v>Long</v>
          </cell>
          <cell r="K2442" t="str">
            <v>C1: Bank Debt</v>
          </cell>
        </row>
        <row r="2443">
          <cell r="D2443" t="str">
            <v>Long</v>
          </cell>
          <cell r="K2443" t="str">
            <v>C2a: BD-HY Equivalent</v>
          </cell>
        </row>
        <row r="2444">
          <cell r="D2444" t="str">
            <v>Long</v>
          </cell>
          <cell r="K2444" t="str">
            <v>C2a: BD-HY Equivalent</v>
          </cell>
        </row>
        <row r="2445">
          <cell r="D2445" t="str">
            <v>Long</v>
          </cell>
          <cell r="K2445" t="str">
            <v>C2a: BD-HY Equivalent</v>
          </cell>
        </row>
        <row r="2446">
          <cell r="D2446" t="str">
            <v>Long</v>
          </cell>
          <cell r="K2446" t="str">
            <v>C2a: BD-HY Equivalent</v>
          </cell>
        </row>
        <row r="2447">
          <cell r="D2447" t="str">
            <v>Long</v>
          </cell>
          <cell r="K2447" t="str">
            <v>C2a: BD-HY Equivalent</v>
          </cell>
        </row>
        <row r="2448">
          <cell r="D2448" t="str">
            <v>Long</v>
          </cell>
          <cell r="K2448" t="str">
            <v>C2a: BD-HY Equivalent</v>
          </cell>
        </row>
        <row r="2449">
          <cell r="D2449" t="str">
            <v>Short</v>
          </cell>
          <cell r="K2449" t="str">
            <v>C2: High Yield</v>
          </cell>
        </row>
        <row r="2450">
          <cell r="D2450" t="str">
            <v>Short</v>
          </cell>
          <cell r="K2450" t="str">
            <v>C2: High Yield</v>
          </cell>
        </row>
        <row r="2451">
          <cell r="D2451" t="str">
            <v>Short</v>
          </cell>
          <cell r="K2451" t="str">
            <v>C2: High Yield</v>
          </cell>
        </row>
        <row r="2452">
          <cell r="D2452" t="str">
            <v>Short</v>
          </cell>
          <cell r="K2452" t="str">
            <v>C2: High Yield</v>
          </cell>
        </row>
        <row r="2453">
          <cell r="D2453" t="str">
            <v>Short</v>
          </cell>
          <cell r="K2453" t="str">
            <v>C2: High Yield</v>
          </cell>
        </row>
        <row r="2454">
          <cell r="D2454" t="str">
            <v>Short</v>
          </cell>
          <cell r="K2454" t="str">
            <v>C2: High Yield</v>
          </cell>
        </row>
        <row r="2455">
          <cell r="D2455" t="str">
            <v>Long</v>
          </cell>
          <cell r="K2455" t="str">
            <v>C2: High Yield</v>
          </cell>
        </row>
        <row r="2456">
          <cell r="D2456" t="str">
            <v>Long</v>
          </cell>
          <cell r="K2456" t="str">
            <v>C2: High Yield</v>
          </cell>
        </row>
        <row r="2457">
          <cell r="D2457" t="str">
            <v>Long</v>
          </cell>
          <cell r="K2457" t="str">
            <v>C2: High Yield</v>
          </cell>
        </row>
        <row r="2458">
          <cell r="D2458" t="str">
            <v>Long</v>
          </cell>
          <cell r="K2458" t="str">
            <v>C2: High Yield</v>
          </cell>
        </row>
        <row r="2459">
          <cell r="D2459" t="str">
            <v>Long</v>
          </cell>
          <cell r="K2459" t="str">
            <v>C2: High Yield</v>
          </cell>
        </row>
        <row r="2460">
          <cell r="D2460" t="str">
            <v>Long</v>
          </cell>
          <cell r="K2460" t="str">
            <v>C2: High Yield</v>
          </cell>
        </row>
        <row r="2461">
          <cell r="D2461" t="str">
            <v>Long</v>
          </cell>
          <cell r="K2461" t="str">
            <v>C2: High Yield</v>
          </cell>
        </row>
        <row r="2462">
          <cell r="D2462" t="str">
            <v>Long</v>
          </cell>
          <cell r="K2462" t="str">
            <v>C1: Bank Debt</v>
          </cell>
        </row>
        <row r="2463">
          <cell r="D2463" t="str">
            <v>Long</v>
          </cell>
          <cell r="K2463" t="str">
            <v>C1: Bank Debt</v>
          </cell>
        </row>
        <row r="2464">
          <cell r="D2464" t="str">
            <v>Long</v>
          </cell>
          <cell r="K2464" t="str">
            <v>C1: Bank Debt</v>
          </cell>
        </row>
        <row r="2465">
          <cell r="D2465" t="str">
            <v>Long</v>
          </cell>
          <cell r="K2465" t="str">
            <v>C4: Other</v>
          </cell>
        </row>
        <row r="2466">
          <cell r="D2466" t="str">
            <v>Long</v>
          </cell>
          <cell r="K2466" t="str">
            <v>C4: Other</v>
          </cell>
        </row>
        <row r="2467">
          <cell r="D2467" t="str">
            <v>Long</v>
          </cell>
          <cell r="K2467" t="str">
            <v>C4: Other</v>
          </cell>
        </row>
        <row r="2468">
          <cell r="D2468" t="str">
            <v>Long</v>
          </cell>
          <cell r="K2468" t="str">
            <v>C4: Other</v>
          </cell>
        </row>
        <row r="2469">
          <cell r="D2469" t="str">
            <v>Long</v>
          </cell>
          <cell r="K2469" t="str">
            <v>C4: Other</v>
          </cell>
        </row>
        <row r="2470">
          <cell r="D2470" t="str">
            <v>Long</v>
          </cell>
          <cell r="K2470" t="str">
            <v>C1: Bank Debt</v>
          </cell>
        </row>
        <row r="2471">
          <cell r="D2471" t="str">
            <v>Long</v>
          </cell>
          <cell r="K2471" t="str">
            <v>C1: Bank Debt</v>
          </cell>
        </row>
        <row r="2472">
          <cell r="D2472" t="str">
            <v>Long</v>
          </cell>
          <cell r="K2472" t="str">
            <v>C1: Bank Debt</v>
          </cell>
        </row>
        <row r="2473">
          <cell r="D2473" t="str">
            <v>Long</v>
          </cell>
          <cell r="K2473" t="str">
            <v>C1: Bank Debt</v>
          </cell>
        </row>
        <row r="2474">
          <cell r="D2474" t="str">
            <v>Long</v>
          </cell>
          <cell r="K2474" t="str">
            <v>C1: Bank Debt</v>
          </cell>
        </row>
        <row r="2475">
          <cell r="D2475" t="str">
            <v>Long</v>
          </cell>
          <cell r="K2475" t="str">
            <v>C1: Bank Debt</v>
          </cell>
        </row>
        <row r="2476">
          <cell r="D2476" t="str">
            <v>Long</v>
          </cell>
          <cell r="K2476" t="str">
            <v>C1: Bank Debt</v>
          </cell>
        </row>
        <row r="2477">
          <cell r="D2477" t="str">
            <v>Long</v>
          </cell>
          <cell r="K2477" t="str">
            <v>C1: Bank Debt</v>
          </cell>
        </row>
        <row r="2478">
          <cell r="D2478" t="str">
            <v>Long</v>
          </cell>
          <cell r="K2478" t="str">
            <v>C1: Bank Debt</v>
          </cell>
        </row>
        <row r="2479">
          <cell r="D2479" t="str">
            <v>Long</v>
          </cell>
          <cell r="K2479" t="str">
            <v>C1: Bank Debt</v>
          </cell>
        </row>
        <row r="2480">
          <cell r="D2480" t="str">
            <v>Long</v>
          </cell>
          <cell r="K2480" t="str">
            <v>C4: Other</v>
          </cell>
        </row>
        <row r="2481">
          <cell r="D2481" t="str">
            <v>Long</v>
          </cell>
          <cell r="K2481" t="str">
            <v>C4: Other</v>
          </cell>
        </row>
        <row r="2482">
          <cell r="D2482" t="str">
            <v>Long</v>
          </cell>
          <cell r="K2482" t="str">
            <v>C4: Other</v>
          </cell>
        </row>
        <row r="2483">
          <cell r="D2483" t="str">
            <v>Long</v>
          </cell>
          <cell r="K2483" t="str">
            <v>C4: Other</v>
          </cell>
        </row>
        <row r="2484">
          <cell r="D2484" t="str">
            <v>Long</v>
          </cell>
          <cell r="K2484" t="str">
            <v>C4: Other</v>
          </cell>
        </row>
        <row r="2485">
          <cell r="D2485" t="str">
            <v>Long</v>
          </cell>
          <cell r="K2485" t="str">
            <v>C4: Other</v>
          </cell>
        </row>
        <row r="2486">
          <cell r="D2486" t="str">
            <v>Long</v>
          </cell>
          <cell r="K2486" t="str">
            <v>C2: High Yield</v>
          </cell>
        </row>
        <row r="2487">
          <cell r="D2487" t="str">
            <v>Long</v>
          </cell>
          <cell r="K2487" t="str">
            <v>C2: High Yield</v>
          </cell>
        </row>
        <row r="2488">
          <cell r="D2488" t="str">
            <v>Long</v>
          </cell>
          <cell r="K2488" t="str">
            <v>C2: High Yield</v>
          </cell>
        </row>
        <row r="2489">
          <cell r="D2489" t="str">
            <v>Long</v>
          </cell>
          <cell r="K2489" t="str">
            <v>C2: High Yield</v>
          </cell>
        </row>
        <row r="2490">
          <cell r="D2490" t="str">
            <v>Long</v>
          </cell>
          <cell r="K2490" t="str">
            <v>C2: High Yield</v>
          </cell>
        </row>
        <row r="2491">
          <cell r="D2491" t="str">
            <v>Long</v>
          </cell>
          <cell r="K2491" t="str">
            <v>C2: High Yield</v>
          </cell>
        </row>
        <row r="2492">
          <cell r="D2492" t="str">
            <v>Long</v>
          </cell>
          <cell r="K2492" t="str">
            <v>C2: High Yield</v>
          </cell>
        </row>
        <row r="2493">
          <cell r="D2493" t="str">
            <v>Long</v>
          </cell>
          <cell r="K2493" t="str">
            <v>C2: High Yield</v>
          </cell>
        </row>
        <row r="2494">
          <cell r="D2494" t="str">
            <v>Long</v>
          </cell>
          <cell r="K2494" t="str">
            <v>C2: High Yield</v>
          </cell>
        </row>
        <row r="2495">
          <cell r="D2495" t="str">
            <v>Long</v>
          </cell>
          <cell r="K2495" t="str">
            <v>C2: High Yield</v>
          </cell>
        </row>
        <row r="2496">
          <cell r="D2496" t="str">
            <v>Long</v>
          </cell>
          <cell r="K2496" t="str">
            <v>C1: Bank Debt</v>
          </cell>
        </row>
        <row r="2497">
          <cell r="D2497" t="str">
            <v>Long</v>
          </cell>
          <cell r="K2497" t="str">
            <v>C1: Bank Debt</v>
          </cell>
        </row>
        <row r="2498">
          <cell r="D2498" t="str">
            <v>Long</v>
          </cell>
          <cell r="K2498" t="str">
            <v>C1: Bank Debt</v>
          </cell>
        </row>
        <row r="2499">
          <cell r="D2499" t="str">
            <v>Long</v>
          </cell>
          <cell r="K2499" t="str">
            <v>C1: Bank Debt</v>
          </cell>
        </row>
        <row r="2500">
          <cell r="D2500" t="str">
            <v>Long</v>
          </cell>
          <cell r="K2500" t="str">
            <v>C1: Bank Debt</v>
          </cell>
        </row>
        <row r="2501">
          <cell r="D2501" t="str">
            <v>Long</v>
          </cell>
          <cell r="K2501" t="str">
            <v>C1: Bank Debt</v>
          </cell>
        </row>
        <row r="2502">
          <cell r="D2502" t="str">
            <v>Long</v>
          </cell>
          <cell r="K2502" t="str">
            <v>C1: Bank Debt</v>
          </cell>
        </row>
        <row r="2503">
          <cell r="D2503" t="str">
            <v>Long</v>
          </cell>
          <cell r="K2503" t="str">
            <v>C1: Bank Debt</v>
          </cell>
        </row>
        <row r="2504">
          <cell r="D2504" t="str">
            <v>Long</v>
          </cell>
          <cell r="K2504" t="str">
            <v>C2a: BD-HY Equivalent</v>
          </cell>
        </row>
        <row r="2505">
          <cell r="D2505" t="str">
            <v>Long</v>
          </cell>
          <cell r="K2505" t="str">
            <v>C2a: BD-HY Equivalent</v>
          </cell>
        </row>
        <row r="2506">
          <cell r="D2506" t="str">
            <v>Long</v>
          </cell>
          <cell r="K2506" t="str">
            <v>C2a: BD-HY Equivalent</v>
          </cell>
        </row>
        <row r="2507">
          <cell r="D2507" t="str">
            <v>Long</v>
          </cell>
          <cell r="K2507" t="str">
            <v>C2a: BD-HY Equivalent</v>
          </cell>
        </row>
        <row r="2508">
          <cell r="D2508" t="str">
            <v>Long</v>
          </cell>
          <cell r="K2508" t="str">
            <v>C2a: BD-HY Equivalent</v>
          </cell>
        </row>
        <row r="2509">
          <cell r="D2509" t="str">
            <v>Long</v>
          </cell>
          <cell r="K2509" t="str">
            <v>C2a: BD-HY Equivalent</v>
          </cell>
        </row>
        <row r="2510">
          <cell r="D2510" t="str">
            <v>Long</v>
          </cell>
          <cell r="K2510" t="str">
            <v>C2a: BD-HY Equivalent</v>
          </cell>
        </row>
        <row r="2511">
          <cell r="D2511" t="str">
            <v>Long</v>
          </cell>
          <cell r="K2511" t="str">
            <v>C2a: BD-HY Equivalent</v>
          </cell>
        </row>
        <row r="2512">
          <cell r="D2512" t="str">
            <v>Long</v>
          </cell>
          <cell r="K2512" t="str">
            <v>C2a: BD-HY Equivalent</v>
          </cell>
        </row>
        <row r="2513">
          <cell r="D2513" t="str">
            <v>Long</v>
          </cell>
          <cell r="K2513" t="str">
            <v>C2: High Yield</v>
          </cell>
        </row>
        <row r="2514">
          <cell r="D2514" t="str">
            <v>Long</v>
          </cell>
          <cell r="K2514" t="str">
            <v>C2: High Yield</v>
          </cell>
        </row>
        <row r="2515">
          <cell r="D2515" t="str">
            <v>Long</v>
          </cell>
          <cell r="K2515" t="str">
            <v>C2: High Yield</v>
          </cell>
        </row>
        <row r="2516">
          <cell r="D2516" t="str">
            <v>Long</v>
          </cell>
          <cell r="K2516" t="str">
            <v>C2: High Yield</v>
          </cell>
        </row>
        <row r="2517">
          <cell r="D2517" t="str">
            <v>Long</v>
          </cell>
          <cell r="K2517" t="str">
            <v>C2: High Yield</v>
          </cell>
        </row>
        <row r="2518">
          <cell r="D2518" t="str">
            <v>Long</v>
          </cell>
          <cell r="K2518" t="str">
            <v>C2: High Yield</v>
          </cell>
        </row>
        <row r="2519">
          <cell r="D2519" t="str">
            <v>Long</v>
          </cell>
          <cell r="K2519" t="str">
            <v>C2: High Yield</v>
          </cell>
        </row>
        <row r="2520">
          <cell r="D2520" t="str">
            <v>Long</v>
          </cell>
          <cell r="K2520" t="str">
            <v>C2: High Yield</v>
          </cell>
        </row>
        <row r="2521">
          <cell r="D2521" t="str">
            <v>Long</v>
          </cell>
          <cell r="K2521" t="str">
            <v>C2: High Yield</v>
          </cell>
        </row>
        <row r="2522">
          <cell r="D2522" t="str">
            <v>Long</v>
          </cell>
          <cell r="K2522" t="str">
            <v>C2: High Yield</v>
          </cell>
        </row>
        <row r="2523">
          <cell r="D2523" t="str">
            <v>Long</v>
          </cell>
          <cell r="K2523" t="str">
            <v>C2: High Yield</v>
          </cell>
        </row>
        <row r="2524">
          <cell r="D2524" t="str">
            <v>Long</v>
          </cell>
          <cell r="K2524" t="str">
            <v>C2: High Yield</v>
          </cell>
        </row>
        <row r="2525">
          <cell r="D2525" t="str">
            <v>Long</v>
          </cell>
          <cell r="K2525" t="str">
            <v>C2a: BD-HY Equivalent</v>
          </cell>
        </row>
        <row r="2526">
          <cell r="D2526" t="str">
            <v>Long</v>
          </cell>
          <cell r="K2526" t="str">
            <v>C2a: BD-HY Equivalent</v>
          </cell>
        </row>
        <row r="2527">
          <cell r="D2527" t="str">
            <v>Long</v>
          </cell>
          <cell r="K2527" t="str">
            <v>C2a: BD-HY Equivalent</v>
          </cell>
        </row>
        <row r="2528">
          <cell r="D2528" t="str">
            <v>Long</v>
          </cell>
          <cell r="K2528" t="str">
            <v>C2a: BD-HY Equivalent</v>
          </cell>
        </row>
        <row r="2529">
          <cell r="D2529" t="str">
            <v>Long</v>
          </cell>
          <cell r="K2529" t="str">
            <v>C2a: BD-HY Equivalent</v>
          </cell>
        </row>
        <row r="2530">
          <cell r="D2530" t="str">
            <v>Long</v>
          </cell>
          <cell r="K2530" t="str">
            <v>C1: Bank Debt</v>
          </cell>
        </row>
        <row r="2531">
          <cell r="D2531" t="str">
            <v>Long</v>
          </cell>
          <cell r="K2531" t="str">
            <v>C1: Bank Debt</v>
          </cell>
        </row>
        <row r="2532">
          <cell r="D2532" t="str">
            <v>Long</v>
          </cell>
          <cell r="K2532" t="str">
            <v>C1: Bank Debt</v>
          </cell>
        </row>
        <row r="2533">
          <cell r="D2533" t="str">
            <v>Long</v>
          </cell>
          <cell r="K2533" t="str">
            <v>C1: Bank Debt</v>
          </cell>
        </row>
        <row r="2534">
          <cell r="D2534" t="str">
            <v>Long</v>
          </cell>
          <cell r="K2534" t="str">
            <v>C1: Bank Debt</v>
          </cell>
        </row>
        <row r="2535">
          <cell r="D2535" t="str">
            <v>Long</v>
          </cell>
          <cell r="K2535" t="str">
            <v>C1: Bank Debt</v>
          </cell>
        </row>
        <row r="2536">
          <cell r="D2536" t="str">
            <v>Long</v>
          </cell>
          <cell r="K2536" t="str">
            <v>C2: High Yield</v>
          </cell>
        </row>
        <row r="2537">
          <cell r="D2537" t="str">
            <v>Long</v>
          </cell>
          <cell r="K2537" t="str">
            <v>C2: High Yield</v>
          </cell>
        </row>
        <row r="2538">
          <cell r="D2538" t="str">
            <v>Long</v>
          </cell>
          <cell r="K2538" t="str">
            <v>C2: High Yield</v>
          </cell>
        </row>
        <row r="2539">
          <cell r="D2539" t="str">
            <v>Long</v>
          </cell>
          <cell r="K2539" t="str">
            <v>C2: High Yield</v>
          </cell>
        </row>
        <row r="2540">
          <cell r="D2540" t="str">
            <v>Long</v>
          </cell>
          <cell r="K2540" t="str">
            <v>C2: High Yield</v>
          </cell>
        </row>
        <row r="2541">
          <cell r="D2541" t="str">
            <v>Long</v>
          </cell>
          <cell r="K2541" t="str">
            <v>C2: High Yield</v>
          </cell>
        </row>
        <row r="2542">
          <cell r="D2542" t="str">
            <v>Long</v>
          </cell>
          <cell r="K2542" t="str">
            <v>C2: High Yield</v>
          </cell>
        </row>
        <row r="2543">
          <cell r="D2543" t="str">
            <v>Long</v>
          </cell>
          <cell r="K2543" t="str">
            <v>C2: High Yield</v>
          </cell>
        </row>
        <row r="2544">
          <cell r="D2544" t="str">
            <v>Long</v>
          </cell>
          <cell r="K2544" t="str">
            <v>C2: High Yield</v>
          </cell>
        </row>
        <row r="2545">
          <cell r="D2545" t="str">
            <v>Long</v>
          </cell>
          <cell r="K2545" t="str">
            <v>C1: Bank Debt</v>
          </cell>
        </row>
        <row r="2546">
          <cell r="D2546" t="str">
            <v>Long</v>
          </cell>
          <cell r="K2546" t="str">
            <v>C1: Bank Debt</v>
          </cell>
        </row>
        <row r="2547">
          <cell r="D2547" t="str">
            <v>Long</v>
          </cell>
          <cell r="K2547" t="str">
            <v>C1: Bank Debt</v>
          </cell>
        </row>
        <row r="2548">
          <cell r="D2548" t="str">
            <v>Long</v>
          </cell>
          <cell r="K2548" t="str">
            <v>C1: Bank Debt</v>
          </cell>
        </row>
        <row r="2549">
          <cell r="D2549" t="str">
            <v>Long</v>
          </cell>
          <cell r="K2549" t="str">
            <v>C1: Bank Debt</v>
          </cell>
        </row>
        <row r="2550">
          <cell r="D2550" t="str">
            <v>Long</v>
          </cell>
          <cell r="K2550" t="str">
            <v>C1: Bank Debt</v>
          </cell>
        </row>
        <row r="2551">
          <cell r="D2551" t="str">
            <v>Long</v>
          </cell>
          <cell r="K2551" t="str">
            <v>C1: Bank Debt</v>
          </cell>
        </row>
        <row r="2552">
          <cell r="D2552" t="str">
            <v>Long</v>
          </cell>
          <cell r="K2552" t="str">
            <v>C1: Bank Debt</v>
          </cell>
        </row>
        <row r="2553">
          <cell r="D2553" t="str">
            <v>Long</v>
          </cell>
          <cell r="K2553" t="str">
            <v>C1: Bank Debt</v>
          </cell>
        </row>
        <row r="2554">
          <cell r="D2554" t="str">
            <v>Long</v>
          </cell>
          <cell r="K2554" t="str">
            <v>C1: Bank Debt</v>
          </cell>
        </row>
        <row r="2555">
          <cell r="D2555" t="str">
            <v>Long</v>
          </cell>
          <cell r="K2555" t="str">
            <v>C1: Bank Debt</v>
          </cell>
        </row>
        <row r="2556">
          <cell r="D2556" t="str">
            <v>Long</v>
          </cell>
          <cell r="K2556" t="str">
            <v>C1: Bank Debt</v>
          </cell>
        </row>
        <row r="2557">
          <cell r="D2557" t="str">
            <v>Long</v>
          </cell>
          <cell r="K2557" t="str">
            <v>C1: Bank Debt</v>
          </cell>
        </row>
        <row r="2558">
          <cell r="D2558" t="str">
            <v>Long</v>
          </cell>
          <cell r="K2558" t="str">
            <v>C1: Bank Debt</v>
          </cell>
        </row>
        <row r="2559">
          <cell r="D2559" t="str">
            <v>Long</v>
          </cell>
          <cell r="K2559" t="str">
            <v>C1: Bank Debt</v>
          </cell>
        </row>
        <row r="2560">
          <cell r="D2560" t="str">
            <v>Long</v>
          </cell>
          <cell r="K2560" t="str">
            <v>C1: Bank Debt</v>
          </cell>
        </row>
        <row r="2561">
          <cell r="D2561" t="str">
            <v>Long</v>
          </cell>
          <cell r="K2561" t="str">
            <v>C2a: BD-HY Equivalent</v>
          </cell>
        </row>
        <row r="2562">
          <cell r="D2562" t="str">
            <v>Long</v>
          </cell>
          <cell r="K2562" t="str">
            <v>C2a: BD-HY Equivalent</v>
          </cell>
        </row>
        <row r="2563">
          <cell r="D2563" t="str">
            <v>Long</v>
          </cell>
          <cell r="K2563" t="str">
            <v>C2a: BD-HY Equivalent</v>
          </cell>
        </row>
        <row r="2564">
          <cell r="D2564" t="str">
            <v>Long</v>
          </cell>
          <cell r="K2564" t="str">
            <v>C2a: BD-HY Equivalent</v>
          </cell>
        </row>
        <row r="2565">
          <cell r="D2565" t="str">
            <v>Long</v>
          </cell>
          <cell r="K2565" t="str">
            <v>C1: Bank Debt</v>
          </cell>
        </row>
        <row r="2566">
          <cell r="D2566" t="str">
            <v>Long</v>
          </cell>
          <cell r="K2566" t="str">
            <v>C1: Bank Debt</v>
          </cell>
        </row>
        <row r="2567">
          <cell r="D2567" t="str">
            <v>Long</v>
          </cell>
          <cell r="K2567" t="str">
            <v>C1: Bank Debt</v>
          </cell>
        </row>
        <row r="2568">
          <cell r="D2568" t="str">
            <v>Long</v>
          </cell>
          <cell r="K2568" t="str">
            <v>C1: Bank Debt</v>
          </cell>
        </row>
        <row r="2569">
          <cell r="D2569" t="str">
            <v>Long</v>
          </cell>
          <cell r="K2569" t="str">
            <v>C1: Bank Debt</v>
          </cell>
        </row>
        <row r="2570">
          <cell r="D2570" t="str">
            <v>Long</v>
          </cell>
          <cell r="K2570" t="str">
            <v>C1: Bank Debt</v>
          </cell>
        </row>
        <row r="2571">
          <cell r="D2571" t="str">
            <v>Long</v>
          </cell>
          <cell r="K2571" t="str">
            <v>C1: Bank Debt</v>
          </cell>
        </row>
        <row r="2572">
          <cell r="D2572" t="str">
            <v>Long</v>
          </cell>
          <cell r="K2572" t="str">
            <v>C1: Bank Debt</v>
          </cell>
        </row>
        <row r="2573">
          <cell r="D2573" t="str">
            <v>Long</v>
          </cell>
          <cell r="K2573" t="str">
            <v>C1: Bank Debt</v>
          </cell>
        </row>
        <row r="2574">
          <cell r="D2574" t="str">
            <v>Long</v>
          </cell>
          <cell r="K2574" t="str">
            <v>C1: Bank Debt</v>
          </cell>
        </row>
        <row r="2575">
          <cell r="D2575" t="str">
            <v>Long</v>
          </cell>
          <cell r="K2575" t="str">
            <v>C1: Bank Debt</v>
          </cell>
        </row>
        <row r="2576">
          <cell r="D2576" t="str">
            <v>Long</v>
          </cell>
          <cell r="K2576" t="str">
            <v>C1: Bank Debt</v>
          </cell>
        </row>
        <row r="2577">
          <cell r="D2577" t="str">
            <v>Long</v>
          </cell>
          <cell r="K2577" t="str">
            <v>C1: Bank Debt</v>
          </cell>
        </row>
        <row r="2578">
          <cell r="D2578" t="str">
            <v>Long</v>
          </cell>
          <cell r="K2578" t="str">
            <v>C1: Bank Debt</v>
          </cell>
        </row>
        <row r="2579">
          <cell r="D2579" t="str">
            <v>Long</v>
          </cell>
          <cell r="K2579" t="str">
            <v>C1: Bank Debt</v>
          </cell>
        </row>
        <row r="2580">
          <cell r="D2580" t="str">
            <v>Long</v>
          </cell>
          <cell r="K2580" t="str">
            <v>C1: Bank Debt</v>
          </cell>
        </row>
        <row r="2581">
          <cell r="D2581" t="str">
            <v>Short</v>
          </cell>
          <cell r="K2581" t="str">
            <v>C3a: Outright Shorts</v>
          </cell>
        </row>
        <row r="2582">
          <cell r="D2582" t="str">
            <v>Short</v>
          </cell>
          <cell r="K2582" t="str">
            <v>C3a: Outright Shorts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1_Main"/>
      <sheetName val="4_Checks"/>
      <sheetName val="3_Template"/>
      <sheetName val="5_Report"/>
      <sheetName val="Data"/>
      <sheetName val="o1"/>
      <sheetName val="o2"/>
      <sheetName val="o3"/>
      <sheetName val="o4"/>
      <sheetName val="o5"/>
      <sheetName val="o6"/>
      <sheetName val="o7"/>
      <sheetName val="o8"/>
      <sheetName val="Appendix"/>
      <sheetName val="GPList"/>
      <sheetName val="Mappings"/>
      <sheetName val="Disclaimer"/>
      <sheetName val="Risk considerations"/>
      <sheetName val="InvSpec"/>
      <sheetName val="PftList"/>
      <sheetName val="2_DT_P"/>
    </sheetNames>
    <sheetDataSet>
      <sheetData sheetId="0" refreshError="1"/>
      <sheetData sheetId="1">
        <row r="4">
          <cell r="C4">
            <v>45016</v>
          </cell>
        </row>
        <row r="5">
          <cell r="C5" t="str">
            <v>PDF-III</v>
          </cell>
        </row>
        <row r="15">
          <cell r="C15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Summary_Circulatio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ulative IRR Graph"/>
      <sheetName val="Cont, Dist, MV"/>
      <sheetName val="Paid-in &amp; Disb by Inv Cat"/>
      <sheetName val="By Partnership"/>
      <sheetName val="Portfolio Driver Data"/>
      <sheetName val="Performance Driver"/>
      <sheetName val="Top 10 Company Holdings"/>
      <sheetName val="Quart. Cash Flow Summary"/>
      <sheetName val="Perf Summary - 3MO."/>
      <sheetName val="Perf Summary - 1YR"/>
      <sheetName val="Sheet1"/>
      <sheetName val="Sheet2"/>
      <sheetName val="Sheet3"/>
    </sheetNames>
    <sheetDataSet>
      <sheetData sheetId="0"/>
      <sheetData sheetId="1"/>
      <sheetData sheetId="2">
        <row r="2">
          <cell r="A2" t="str">
            <v>Secondary Purchase</v>
          </cell>
          <cell r="B2">
            <v>459568.05800000002</v>
          </cell>
          <cell r="D2">
            <v>51587.120951790101</v>
          </cell>
        </row>
        <row r="3">
          <cell r="A3" t="str">
            <v>Secondary Purchase</v>
          </cell>
          <cell r="B3">
            <v>383297.66840000002</v>
          </cell>
          <cell r="D3">
            <v>0</v>
          </cell>
        </row>
        <row r="4">
          <cell r="A4" t="str">
            <v>Primary Partnership</v>
          </cell>
          <cell r="B4">
            <v>0</v>
          </cell>
          <cell r="D4">
            <v>0</v>
          </cell>
        </row>
        <row r="5">
          <cell r="A5" t="str">
            <v>Primary Partnership</v>
          </cell>
          <cell r="B5">
            <v>4084044.926</v>
          </cell>
          <cell r="D5">
            <v>2347625.2998039806</v>
          </cell>
        </row>
        <row r="6">
          <cell r="A6" t="str">
            <v>Primary Partnership</v>
          </cell>
          <cell r="B6">
            <v>1133081.9918</v>
          </cell>
          <cell r="D6">
            <v>0</v>
          </cell>
        </row>
        <row r="7">
          <cell r="A7" t="str">
            <v>Primary Partnership</v>
          </cell>
          <cell r="B7">
            <v>2777021.2261999999</v>
          </cell>
          <cell r="D7">
            <v>116522.89122199999</v>
          </cell>
        </row>
        <row r="8">
          <cell r="A8" t="str">
            <v>Secondary Purchase</v>
          </cell>
          <cell r="B8">
            <v>4938225.34</v>
          </cell>
          <cell r="D8">
            <v>5180555.2578193769</v>
          </cell>
        </row>
        <row r="9">
          <cell r="A9" t="str">
            <v>Primary Partnership</v>
          </cell>
          <cell r="B9">
            <v>848443.9841</v>
          </cell>
          <cell r="D9">
            <v>783542.65934799029</v>
          </cell>
        </row>
        <row r="10">
          <cell r="A10" t="str">
            <v>Primary Partnership</v>
          </cell>
          <cell r="B10">
            <v>0</v>
          </cell>
          <cell r="D10">
            <v>0</v>
          </cell>
        </row>
        <row r="11">
          <cell r="A11" t="str">
            <v>Primary Partnership</v>
          </cell>
          <cell r="B11">
            <v>3192069.3717</v>
          </cell>
          <cell r="D11">
            <v>1130840.6366106621</v>
          </cell>
        </row>
        <row r="12">
          <cell r="A12" t="str">
            <v>Primary Partnership</v>
          </cell>
          <cell r="B12">
            <v>763037.02049999998</v>
          </cell>
          <cell r="D12">
            <v>0</v>
          </cell>
        </row>
        <row r="13">
          <cell r="A13" t="str">
            <v>Primary Partnership</v>
          </cell>
          <cell r="B13">
            <v>1069452.6568</v>
          </cell>
          <cell r="D13">
            <v>435957.43543126032</v>
          </cell>
        </row>
        <row r="14">
          <cell r="A14" t="str">
            <v>Secondary Fund-of-Funds</v>
          </cell>
          <cell r="B14">
            <v>0</v>
          </cell>
          <cell r="D14">
            <v>0</v>
          </cell>
        </row>
        <row r="15">
          <cell r="A15" t="str">
            <v>Primary Partnership</v>
          </cell>
          <cell r="B15">
            <v>4106958.0235000001</v>
          </cell>
          <cell r="D15">
            <v>194136.32622400002</v>
          </cell>
        </row>
        <row r="16">
          <cell r="A16" t="str">
            <v>Primary Partnership</v>
          </cell>
          <cell r="B16">
            <v>29466.778200000001</v>
          </cell>
          <cell r="D16">
            <v>0</v>
          </cell>
        </row>
        <row r="17">
          <cell r="A17" t="str">
            <v>Secondary Purchase</v>
          </cell>
          <cell r="B17">
            <v>4908858.1935000001</v>
          </cell>
          <cell r="D17">
            <v>3205173.3704156973</v>
          </cell>
        </row>
        <row r="18">
          <cell r="A18" t="str">
            <v>Primary Partnership</v>
          </cell>
          <cell r="B18">
            <v>1602602.8702</v>
          </cell>
          <cell r="D18">
            <v>656949.44279144623</v>
          </cell>
        </row>
        <row r="19">
          <cell r="A19" t="str">
            <v>Primary Partnership</v>
          </cell>
          <cell r="B19">
            <v>3003924.6671000002</v>
          </cell>
          <cell r="D19">
            <v>263604.24984394328</v>
          </cell>
        </row>
        <row r="20">
          <cell r="A20" t="str">
            <v>Primary Partnership</v>
          </cell>
          <cell r="B20">
            <v>1713673.9464</v>
          </cell>
          <cell r="D20">
            <v>0</v>
          </cell>
        </row>
        <row r="21">
          <cell r="A21" t="str">
            <v>Primary Partnership</v>
          </cell>
          <cell r="B21">
            <v>210819.08369999999</v>
          </cell>
          <cell r="D21">
            <v>0</v>
          </cell>
        </row>
        <row r="22">
          <cell r="A22" t="str">
            <v>Primary Partnership</v>
          </cell>
          <cell r="B22">
            <v>3672461.0770999999</v>
          </cell>
          <cell r="D22">
            <v>0</v>
          </cell>
        </row>
        <row r="23">
          <cell r="A23" t="str">
            <v>Primary Partnership</v>
          </cell>
          <cell r="B23">
            <v>6738365.8300999999</v>
          </cell>
          <cell r="D23">
            <v>7736366.7015079958</v>
          </cell>
        </row>
        <row r="24">
          <cell r="A24" t="str">
            <v>Primary Partnership</v>
          </cell>
          <cell r="B24">
            <v>533145.16280000005</v>
          </cell>
          <cell r="D24">
            <v>0</v>
          </cell>
        </row>
        <row r="25">
          <cell r="A25" t="str">
            <v>Secondary Purchase</v>
          </cell>
          <cell r="B25">
            <v>603908.37939999998</v>
          </cell>
          <cell r="D25">
            <v>126467.18169993199</v>
          </cell>
        </row>
        <row r="26">
          <cell r="A26" t="str">
            <v>Primary Partnership</v>
          </cell>
          <cell r="B26">
            <v>869788</v>
          </cell>
          <cell r="D26">
            <v>48370</v>
          </cell>
        </row>
        <row r="27">
          <cell r="A27" t="str">
            <v>Primary Partnership</v>
          </cell>
          <cell r="B27">
            <v>782305.91209999996</v>
          </cell>
          <cell r="D27">
            <v>2400.1845254864902</v>
          </cell>
        </row>
        <row r="28">
          <cell r="A28" t="str">
            <v>Primary Partnership</v>
          </cell>
          <cell r="B28">
            <v>0</v>
          </cell>
          <cell r="D28">
            <v>0</v>
          </cell>
        </row>
        <row r="29">
          <cell r="A29" t="str">
            <v>Primary Partnership</v>
          </cell>
          <cell r="B29">
            <v>624975.02610000002</v>
          </cell>
          <cell r="D29">
            <v>158.1075020821321</v>
          </cell>
        </row>
        <row r="30">
          <cell r="A30" t="str">
            <v>Primary Partnership</v>
          </cell>
          <cell r="B30">
            <v>46763.413699999997</v>
          </cell>
          <cell r="D30">
            <v>0</v>
          </cell>
        </row>
        <row r="31">
          <cell r="A31" t="str">
            <v>Secondary Purchase</v>
          </cell>
          <cell r="B31">
            <v>5227334.2878999999</v>
          </cell>
          <cell r="D31">
            <v>2116310.0730399229</v>
          </cell>
        </row>
        <row r="32">
          <cell r="A32" t="str">
            <v>Primary Partnership</v>
          </cell>
          <cell r="B32">
            <v>3002036.4605999999</v>
          </cell>
          <cell r="D32">
            <v>2303.9135218986321</v>
          </cell>
        </row>
        <row r="33">
          <cell r="A33" t="str">
            <v>Primary Partnership</v>
          </cell>
          <cell r="B33">
            <v>740100.86919999996</v>
          </cell>
          <cell r="D33">
            <v>77953.498365557549</v>
          </cell>
        </row>
        <row r="34">
          <cell r="A34" t="str">
            <v>Secondary Purchase</v>
          </cell>
          <cell r="B34">
            <v>1704339.6968</v>
          </cell>
          <cell r="D34">
            <v>188520.83852577468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"/>
      <sheetName val="Portfolio update"/>
      <sheetName val="Listed"/>
      <sheetName val="Cash Flow model"/>
      <sheetName val="AAP II"/>
      <sheetName val="APA III"/>
      <sheetName val="Apax III"/>
      <sheetName val="Apax IV"/>
      <sheetName val="Apax BI"/>
      <sheetName val="Bio"/>
      <sheetName val="Charter"/>
      <sheetName val="Cygnus"/>
      <sheetName val="DSV IV"/>
      <sheetName val="ECI"/>
      <sheetName val="GMMT"/>
      <sheetName val="Grosve"/>
      <sheetName val="KF"/>
      <sheetName val="IVP IV"/>
      <sheetName val="IVP V"/>
      <sheetName val="KIH"/>
      <sheetName val="North"/>
      <sheetName val="Orien"/>
      <sheetName val="Prelude"/>
      <sheetName val="Pruden"/>
      <sheetName val="Schroder"/>
      <sheetName val="Sequoia"/>
      <sheetName val="Sof Cap"/>
      <sheetName val="Tetra"/>
      <sheetName val="Transat"/>
      <sheetName val="TVI"/>
    </sheetNames>
    <sheetDataSet>
      <sheetData sheetId="0" refreshError="1">
        <row r="4">
          <cell r="B4">
            <v>1.4453</v>
          </cell>
        </row>
        <row r="5">
          <cell r="B5">
            <v>10.6747</v>
          </cell>
        </row>
        <row r="6">
          <cell r="B6">
            <v>157.26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ntrol"/>
      <sheetName val="Template"/>
      <sheetName val="Report"/>
      <sheetName val="Report_PLE"/>
      <sheetName val="Report_ELE"/>
      <sheetName val="SAATracker"/>
      <sheetName val="Checks"/>
      <sheetName val="Config"/>
      <sheetName val="PvtReport"/>
      <sheetName val="GPOverview"/>
      <sheetName val="Hedge Accounting"/>
      <sheetName val="InfraRE_SEI"/>
      <sheetName val="InfraRE_AC"/>
      <sheetName val="17Capital"/>
      <sheetName val="Broad Street Amor"/>
      <sheetName val="AGI"/>
      <sheetName val="AGI trade tickets"/>
      <sheetName val="Fasanara"/>
      <sheetName val="Oldrep"/>
      <sheetName val="o1"/>
      <sheetName val="RemovedPositions"/>
      <sheetName val="o2"/>
      <sheetName val="o3"/>
      <sheetName val="o4"/>
      <sheetName val="o5"/>
      <sheetName val="NACE"/>
      <sheetName val="Pvt_ratings"/>
    </sheetNames>
    <sheetDataSet>
      <sheetData sheetId="0">
        <row r="10">
          <cell r="D10">
            <v>0.98049178171819762</v>
          </cell>
        </row>
        <row r="11">
          <cell r="D11">
            <v>1.9508218281802402E-2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giss Group"/>
      <sheetName val="Geographic - old"/>
      <sheetName val="Industry - old"/>
      <sheetName val="Summary - D&amp;E"/>
      <sheetName val="NCREIF NPI"/>
      <sheetName val="With New Funds"/>
      <sheetName val="TRSL vs. NPI"/>
    </sheetNames>
    <sheetDataSet>
      <sheetData sheetId="0" refreshError="1">
        <row r="2">
          <cell r="I2">
            <v>30303000</v>
          </cell>
          <cell r="J2">
            <v>30303000</v>
          </cell>
          <cell r="L2">
            <v>1335138.6027461479</v>
          </cell>
          <cell r="M2">
            <v>1335138.6027461479</v>
          </cell>
          <cell r="N2" t="str">
            <v>1-3 Dorset Rise</v>
          </cell>
          <cell r="O2" t="str">
            <v>Rockpoint Real Estate Fund II, L.P.</v>
          </cell>
        </row>
        <row r="3">
          <cell r="I3">
            <v>184794651</v>
          </cell>
          <cell r="J3">
            <v>242211600</v>
          </cell>
          <cell r="L3">
            <v>23900108.20492271</v>
          </cell>
          <cell r="M3">
            <v>31326033.611695055</v>
          </cell>
          <cell r="N3" t="str">
            <v>1801 K Street</v>
          </cell>
          <cell r="O3" t="str">
            <v>Starwood Global Opportunity Fund VI - A, LP</v>
          </cell>
        </row>
        <row r="4">
          <cell r="I4">
            <v>22903000</v>
          </cell>
          <cell r="J4">
            <v>22903000</v>
          </cell>
          <cell r="L4">
            <v>1009097.4299143658</v>
          </cell>
          <cell r="M4">
            <v>1009097.4299143658</v>
          </cell>
          <cell r="N4" t="str">
            <v>200 Gray's Inn Road</v>
          </cell>
          <cell r="O4" t="str">
            <v>Rockpoint Real Estate Fund II, L.P.</v>
          </cell>
        </row>
        <row r="5">
          <cell r="I5">
            <v>114800000</v>
          </cell>
          <cell r="J5">
            <v>62600000</v>
          </cell>
          <cell r="L5">
            <v>9246389.78576901</v>
          </cell>
          <cell r="M5">
            <v>5042020.9110552268</v>
          </cell>
          <cell r="N5" t="str">
            <v>ASP Holdings</v>
          </cell>
          <cell r="O5" t="str">
            <v>Westbrook Real Estate Fund III, L.P.</v>
          </cell>
        </row>
        <row r="6">
          <cell r="I6">
            <v>40310000</v>
          </cell>
          <cell r="J6">
            <v>41910000</v>
          </cell>
          <cell r="L6">
            <v>1776043.1995742079</v>
          </cell>
          <cell r="M6">
            <v>1846538.5882945934</v>
          </cell>
          <cell r="N6" t="str">
            <v>Alpha-Pac</v>
          </cell>
          <cell r="O6" t="str">
            <v>Rockpoint Real Estate Fund II, L.P.</v>
          </cell>
        </row>
        <row r="7">
          <cell r="I7">
            <v>1223000</v>
          </cell>
          <cell r="J7">
            <v>1223000</v>
          </cell>
          <cell r="L7">
            <v>113083.32017310399</v>
          </cell>
          <cell r="M7">
            <v>113083.32017310399</v>
          </cell>
          <cell r="N7" t="str">
            <v>Amesbury Parc</v>
          </cell>
          <cell r="O7" t="str">
            <v>ING Realty Partners, L.P.</v>
          </cell>
        </row>
        <row r="8">
          <cell r="I8">
            <v>44328998</v>
          </cell>
          <cell r="J8">
            <v>6441147</v>
          </cell>
          <cell r="L8">
            <v>5586254.2053816672</v>
          </cell>
          <cell r="M8">
            <v>811700.83105039969</v>
          </cell>
          <cell r="N8" t="str">
            <v>Arnold Palmer Golf Management</v>
          </cell>
          <cell r="O8" t="str">
            <v>Olympus Real Estate Fund II, LP</v>
          </cell>
        </row>
        <row r="9">
          <cell r="I9">
            <v>61259000</v>
          </cell>
          <cell r="J9">
            <v>61259000</v>
          </cell>
          <cell r="L9">
            <v>2699048.1360138031</v>
          </cell>
          <cell r="M9">
            <v>2699048.1360138031</v>
          </cell>
          <cell r="N9" t="str">
            <v>Aspen Farms</v>
          </cell>
          <cell r="O9" t="str">
            <v>Rockpoint Real Estate Fund II, L.P.</v>
          </cell>
        </row>
        <row r="10">
          <cell r="I10">
            <v>6815841</v>
          </cell>
          <cell r="J10">
            <v>10060261</v>
          </cell>
          <cell r="L10">
            <v>586132.43324590439</v>
          </cell>
          <cell r="M10">
            <v>865138.32394547877</v>
          </cell>
          <cell r="N10" t="str">
            <v>Atrium</v>
          </cell>
          <cell r="O10" t="str">
            <v>DLJ Real Estate Capital Partners II, LP</v>
          </cell>
        </row>
        <row r="11">
          <cell r="I11">
            <v>17500000</v>
          </cell>
          <cell r="J11">
            <v>17500000</v>
          </cell>
          <cell r="L11">
            <v>5625000.9964287477</v>
          </cell>
          <cell r="M11">
            <v>5625000.9964287477</v>
          </cell>
          <cell r="N11" t="str">
            <v>Augusta Multi-Family Portfolio</v>
          </cell>
          <cell r="O11" t="str">
            <v>ING Realty Partners II, L.P.</v>
          </cell>
        </row>
        <row r="12">
          <cell r="I12">
            <v>18582750</v>
          </cell>
          <cell r="J12">
            <v>18582750</v>
          </cell>
          <cell r="L12">
            <v>2403369.0008972581</v>
          </cell>
          <cell r="M12">
            <v>2403369.0008972581</v>
          </cell>
          <cell r="N12" t="str">
            <v>BLB</v>
          </cell>
          <cell r="O12" t="str">
            <v>Starwood Global Opportunity Fund VI - A, LP</v>
          </cell>
        </row>
        <row r="13">
          <cell r="I13">
            <v>1418724</v>
          </cell>
          <cell r="J13">
            <v>6157486</v>
          </cell>
          <cell r="L13">
            <v>122004.04179386851</v>
          </cell>
          <cell r="M13">
            <v>529516.79064367712</v>
          </cell>
          <cell r="N13" t="str">
            <v>Bath Club</v>
          </cell>
          <cell r="O13" t="str">
            <v>DLJ Real Estate Capital Partners II, LP</v>
          </cell>
        </row>
        <row r="14">
          <cell r="I14">
            <v>9630000</v>
          </cell>
          <cell r="J14">
            <v>9630000</v>
          </cell>
          <cell r="L14">
            <v>890427.12450285477</v>
          </cell>
          <cell r="M14">
            <v>890427.12450285477</v>
          </cell>
          <cell r="N14" t="str">
            <v>Bellevue Galleria</v>
          </cell>
          <cell r="O14" t="str">
            <v>ING Realty Partners, L.P.</v>
          </cell>
        </row>
        <row r="15">
          <cell r="I15">
            <v>3379172</v>
          </cell>
          <cell r="J15">
            <v>4521152</v>
          </cell>
          <cell r="L15">
            <v>411191.5307860793</v>
          </cell>
          <cell r="M15">
            <v>550152.34850328544</v>
          </cell>
          <cell r="N15" t="str">
            <v>Berlin Residential Portfolio</v>
          </cell>
          <cell r="O15" t="str">
            <v>Doughty Hanson &amp; Co European Real Estate Number 1</v>
          </cell>
        </row>
        <row r="16">
          <cell r="I16">
            <v>76705000</v>
          </cell>
          <cell r="J16">
            <v>84535000</v>
          </cell>
          <cell r="L16">
            <v>9920513.3370369915</v>
          </cell>
          <cell r="M16">
            <v>10933193.33741506</v>
          </cell>
          <cell r="N16" t="str">
            <v>Bond Corp</v>
          </cell>
          <cell r="O16" t="str">
            <v>Starwood Global Opportunity Fund VI - A, LP</v>
          </cell>
        </row>
        <row r="17">
          <cell r="I17">
            <v>11400000</v>
          </cell>
          <cell r="J17">
            <v>11400000</v>
          </cell>
          <cell r="L17">
            <v>912000</v>
          </cell>
          <cell r="M17">
            <v>912000</v>
          </cell>
          <cell r="N17" t="str">
            <v>Bruton Holdings, LLC</v>
          </cell>
          <cell r="O17" t="str">
            <v>Westbrook Real Estate Fund IV, L.P.</v>
          </cell>
        </row>
        <row r="18">
          <cell r="I18">
            <v>38688000</v>
          </cell>
          <cell r="J18">
            <v>38688000</v>
          </cell>
          <cell r="L18">
            <v>5003648.0018680291</v>
          </cell>
          <cell r="M18">
            <v>5003648.0018680291</v>
          </cell>
          <cell r="N18" t="str">
            <v>Cabo Hacienda</v>
          </cell>
          <cell r="O18" t="str">
            <v>Starwood Global Opportunity Fund VI - A, LP</v>
          </cell>
        </row>
        <row r="19">
          <cell r="I19">
            <v>51942405</v>
          </cell>
          <cell r="J19">
            <v>32109000</v>
          </cell>
          <cell r="L19">
            <v>9969074.9583952427</v>
          </cell>
          <cell r="M19">
            <v>6162537.6768579129</v>
          </cell>
          <cell r="N19" t="str">
            <v>Calistoga Ranch</v>
          </cell>
          <cell r="O19" t="str">
            <v>Olympus Real Estate Fund III, L.P.</v>
          </cell>
        </row>
        <row r="20">
          <cell r="I20">
            <v>396000</v>
          </cell>
          <cell r="J20">
            <v>490500</v>
          </cell>
          <cell r="L20">
            <v>51216.000019120642</v>
          </cell>
          <cell r="M20">
            <v>63438.000023683526</v>
          </cell>
          <cell r="N20" t="str">
            <v>Carolina Joint Venture</v>
          </cell>
          <cell r="O20" t="str">
            <v>Starwood Global Opportunity Fund VI - A, LP</v>
          </cell>
        </row>
        <row r="21">
          <cell r="I21">
            <v>4300000</v>
          </cell>
          <cell r="J21">
            <v>7800000</v>
          </cell>
          <cell r="L21">
            <v>344000</v>
          </cell>
          <cell r="M21">
            <v>624000</v>
          </cell>
          <cell r="N21" t="str">
            <v>Cashiers Resort Community</v>
          </cell>
          <cell r="O21" t="str">
            <v>Westbrook Real Estate Fund IV, L.P.</v>
          </cell>
        </row>
        <row r="22">
          <cell r="I22">
            <v>130554000</v>
          </cell>
          <cell r="J22">
            <v>130554000</v>
          </cell>
          <cell r="L22">
            <v>16884984.006303728</v>
          </cell>
          <cell r="M22">
            <v>16884984.006303728</v>
          </cell>
          <cell r="N22" t="str">
            <v>Chardon Hotel Portfolio</v>
          </cell>
          <cell r="O22" t="str">
            <v>Starwood Global Opportunity Fund VI - A, LP</v>
          </cell>
        </row>
        <row r="23">
          <cell r="I23">
            <v>19600000</v>
          </cell>
          <cell r="J23">
            <v>19600000</v>
          </cell>
          <cell r="L23">
            <v>6300001.1160001978</v>
          </cell>
          <cell r="M23">
            <v>6300001.1160001978</v>
          </cell>
          <cell r="N23" t="str">
            <v>Cobblestone</v>
          </cell>
          <cell r="O23" t="str">
            <v>ING Realty Partners II, L.P.</v>
          </cell>
        </row>
        <row r="24">
          <cell r="I24">
            <v>45620061</v>
          </cell>
          <cell r="J24">
            <v>15700000</v>
          </cell>
          <cell r="L24">
            <v>8755655.5711188838</v>
          </cell>
          <cell r="M24">
            <v>3013231.2288351934</v>
          </cell>
          <cell r="N24" t="str">
            <v>Cougar Mountain</v>
          </cell>
          <cell r="O24" t="str">
            <v>Olympus Real Estate Fund III, L.P.</v>
          </cell>
        </row>
        <row r="25">
          <cell r="I25">
            <v>22900000</v>
          </cell>
          <cell r="J25">
            <v>22900000</v>
          </cell>
          <cell r="L25">
            <v>7360715.5896124756</v>
          </cell>
          <cell r="M25">
            <v>7360715.5896124756</v>
          </cell>
          <cell r="N25" t="str">
            <v>Creekside/Mallgate</v>
          </cell>
          <cell r="O25" t="str">
            <v>ING Realty Partners II, L.P.</v>
          </cell>
        </row>
        <row r="26">
          <cell r="I26">
            <v>58000000</v>
          </cell>
          <cell r="J26">
            <v>58000000</v>
          </cell>
          <cell r="L26">
            <v>18642860.445306707</v>
          </cell>
          <cell r="M26">
            <v>18642860.445306707</v>
          </cell>
          <cell r="N26" t="str">
            <v>DeBaliviere Place</v>
          </cell>
          <cell r="O26" t="str">
            <v>ING Realty Partners II, L.P.</v>
          </cell>
        </row>
        <row r="27">
          <cell r="I27">
            <v>1645000</v>
          </cell>
          <cell r="J27">
            <v>1645000</v>
          </cell>
          <cell r="L27">
            <v>152103.07578475558</v>
          </cell>
          <cell r="M27">
            <v>152103.07578475558</v>
          </cell>
          <cell r="N27" t="str">
            <v>Double Rinks</v>
          </cell>
          <cell r="O27" t="str">
            <v>ING Realty Partners, L.P.</v>
          </cell>
        </row>
        <row r="28">
          <cell r="I28">
            <v>45500000</v>
          </cell>
          <cell r="J28">
            <v>45500000</v>
          </cell>
          <cell r="L28">
            <v>14625002.590714745</v>
          </cell>
          <cell r="M28">
            <v>14625002.590714745</v>
          </cell>
          <cell r="N28" t="str">
            <v>El Camino Homes of Tustin</v>
          </cell>
          <cell r="O28" t="str">
            <v>ING Realty Partners II, L.P.</v>
          </cell>
        </row>
        <row r="29">
          <cell r="I29">
            <v>23200000</v>
          </cell>
          <cell r="J29">
            <v>23200000</v>
          </cell>
          <cell r="L29">
            <v>7457144.1781226834</v>
          </cell>
          <cell r="M29">
            <v>7457144.1781226834</v>
          </cell>
          <cell r="N29" t="str">
            <v>El Portal</v>
          </cell>
          <cell r="O29" t="str">
            <v>ING Realty Partners II, L.P.</v>
          </cell>
        </row>
        <row r="30">
          <cell r="I30">
            <v>19704224</v>
          </cell>
          <cell r="J30">
            <v>28619064</v>
          </cell>
          <cell r="L30">
            <v>2483088.0270242603</v>
          </cell>
          <cell r="M30">
            <v>3606518.844032682</v>
          </cell>
          <cell r="N30" t="str">
            <v>Equinox Resort &amp; Spa</v>
          </cell>
          <cell r="O30" t="str">
            <v>Olympus Real Estate Fund II, LP</v>
          </cell>
        </row>
        <row r="31">
          <cell r="I31">
            <v>26441999</v>
          </cell>
          <cell r="J31">
            <v>25882150</v>
          </cell>
          <cell r="L31">
            <v>3217571.0635191044</v>
          </cell>
          <cell r="M31">
            <v>3149446.3373083472</v>
          </cell>
          <cell r="N31" t="str">
            <v>Finnish Retail Portfolio</v>
          </cell>
          <cell r="O31" t="str">
            <v>Doughty Hanson &amp; Co European Real Estate Number 1</v>
          </cell>
        </row>
        <row r="32">
          <cell r="I32">
            <v>3700000</v>
          </cell>
          <cell r="J32">
            <v>5700000</v>
          </cell>
          <cell r="L32">
            <v>298010.82062147505</v>
          </cell>
          <cell r="M32">
            <v>459097.75068713725</v>
          </cell>
          <cell r="N32" t="str">
            <v>FireRock LLC</v>
          </cell>
          <cell r="O32" t="str">
            <v>Westbrook Real Estate Fund III, L.P.</v>
          </cell>
        </row>
        <row r="33">
          <cell r="I33">
            <v>61500000</v>
          </cell>
          <cell r="J33">
            <v>61500000</v>
          </cell>
          <cell r="L33">
            <v>4920000</v>
          </cell>
          <cell r="M33">
            <v>4920000</v>
          </cell>
          <cell r="N33" t="str">
            <v>French Portfolio Fund</v>
          </cell>
          <cell r="O33" t="str">
            <v>Westbrook Real Estate Fund IV, L.P.</v>
          </cell>
        </row>
        <row r="34">
          <cell r="I34">
            <v>74600000</v>
          </cell>
          <cell r="J34">
            <v>74600000</v>
          </cell>
          <cell r="L34">
            <v>5968000</v>
          </cell>
          <cell r="M34">
            <v>5968000</v>
          </cell>
          <cell r="N34" t="str">
            <v>French Portfolio Fund II</v>
          </cell>
          <cell r="O34" t="str">
            <v>Westbrook Real Estate Fund IV, L.P.</v>
          </cell>
        </row>
        <row r="35">
          <cell r="I35">
            <v>37600000</v>
          </cell>
          <cell r="J35">
            <v>30000000</v>
          </cell>
          <cell r="L35">
            <v>3008000</v>
          </cell>
          <cell r="M35">
            <v>2400000</v>
          </cell>
          <cell r="N35" t="str">
            <v>French Property Partners II, LLC</v>
          </cell>
          <cell r="O35" t="str">
            <v>Westbrook Real Estate Fund IV, L.P.</v>
          </cell>
        </row>
        <row r="36">
          <cell r="I36">
            <v>14200000</v>
          </cell>
          <cell r="J36">
            <v>14200000</v>
          </cell>
          <cell r="L36">
            <v>4564286.5228164699</v>
          </cell>
          <cell r="M36">
            <v>4564286.5228164699</v>
          </cell>
          <cell r="N36" t="str">
            <v>Gates at Bluffview</v>
          </cell>
          <cell r="O36" t="str">
            <v>ING Realty Partners II, L.P.</v>
          </cell>
        </row>
        <row r="37">
          <cell r="I37">
            <v>6549485</v>
          </cell>
          <cell r="J37">
            <v>15727545</v>
          </cell>
          <cell r="L37">
            <v>563226.98542374338</v>
          </cell>
          <cell r="M37">
            <v>1352499.8925054823</v>
          </cell>
          <cell r="N37" t="str">
            <v>Gecina &amp; Simco Residential Properties</v>
          </cell>
          <cell r="O37" t="str">
            <v>DLJ Real Estate Capital Partners II, LP</v>
          </cell>
        </row>
        <row r="38">
          <cell r="I38">
            <v>14726071</v>
          </cell>
          <cell r="J38">
            <v>15583190</v>
          </cell>
          <cell r="L38">
            <v>1266377.5207464418</v>
          </cell>
          <cell r="M38">
            <v>1340085.9956142236</v>
          </cell>
          <cell r="N38" t="str">
            <v>Giglio</v>
          </cell>
          <cell r="O38" t="str">
            <v>DLJ Real Estate Capital Partners II, LP</v>
          </cell>
        </row>
        <row r="39">
          <cell r="I39">
            <v>26601146</v>
          </cell>
          <cell r="J39">
            <v>37681000</v>
          </cell>
          <cell r="L39">
            <v>5105439.7356690699</v>
          </cell>
          <cell r="M39">
            <v>7231946.8747604415</v>
          </cell>
          <cell r="N39" t="str">
            <v>HRO Portfolio</v>
          </cell>
          <cell r="O39" t="str">
            <v>Olympus Real Estate Fund III, L.P.</v>
          </cell>
        </row>
        <row r="40">
          <cell r="I40">
            <v>76293963</v>
          </cell>
          <cell r="J40">
            <v>92208973</v>
          </cell>
          <cell r="L40">
            <v>6560946.2097433032</v>
          </cell>
          <cell r="M40">
            <v>7929567.2700692266</v>
          </cell>
          <cell r="N40" t="str">
            <v>Hardin Capital</v>
          </cell>
          <cell r="O40" t="str">
            <v>DLJ Real Estate Capital Partners II, LP</v>
          </cell>
        </row>
        <row r="41">
          <cell r="I41">
            <v>16800000</v>
          </cell>
          <cell r="J41">
            <v>16800000</v>
          </cell>
          <cell r="L41">
            <v>5400000.9565715976</v>
          </cell>
          <cell r="M41">
            <v>5400000.9565715976</v>
          </cell>
          <cell r="N41" t="str">
            <v>Hilltop Townhomes</v>
          </cell>
          <cell r="O41" t="str">
            <v>ING Realty Partners II, L.P.</v>
          </cell>
        </row>
        <row r="42">
          <cell r="I42">
            <v>10707523</v>
          </cell>
          <cell r="J42">
            <v>12185039</v>
          </cell>
          <cell r="L42">
            <v>1302935.3857386224</v>
          </cell>
          <cell r="M42">
            <v>1482725.6023363348</v>
          </cell>
          <cell r="N42" t="str">
            <v>Holtzbrinck Portfolio</v>
          </cell>
          <cell r="O42" t="str">
            <v>Doughty Hanson &amp; Co European Real Estate Number 1</v>
          </cell>
        </row>
        <row r="43">
          <cell r="I43">
            <v>262000</v>
          </cell>
          <cell r="J43">
            <v>262000</v>
          </cell>
          <cell r="L43">
            <v>24225.535474532498</v>
          </cell>
          <cell r="M43">
            <v>24225.535474532498</v>
          </cell>
          <cell r="N43" t="str">
            <v>Hotel Beausejour</v>
          </cell>
          <cell r="O43" t="str">
            <v>ING Realty Partners, L.P.</v>
          </cell>
        </row>
        <row r="44">
          <cell r="I44">
            <v>28300000</v>
          </cell>
          <cell r="J44">
            <v>28300000</v>
          </cell>
          <cell r="L44">
            <v>9096430.1827962045</v>
          </cell>
          <cell r="M44">
            <v>9096430.1827962045</v>
          </cell>
          <cell r="N44" t="str">
            <v>Hunter's Ridge</v>
          </cell>
          <cell r="O44" t="str">
            <v>ING Realty Partners II, L.P.</v>
          </cell>
        </row>
        <row r="45">
          <cell r="I45">
            <v>61396911</v>
          </cell>
          <cell r="J45">
            <v>45818265</v>
          </cell>
          <cell r="L45">
            <v>7737119.4420228926</v>
          </cell>
          <cell r="M45">
            <v>5773928.7393669859</v>
          </cell>
          <cell r="N45" t="str">
            <v>Hyphen Solutions/Southfork</v>
          </cell>
          <cell r="O45" t="str">
            <v>Olympus Real Estate Fund II, LP</v>
          </cell>
        </row>
        <row r="46">
          <cell r="I46">
            <v>11512912</v>
          </cell>
          <cell r="J46">
            <v>40815371</v>
          </cell>
          <cell r="L46">
            <v>990059.9389431139</v>
          </cell>
          <cell r="M46">
            <v>3509942.8989121555</v>
          </cell>
          <cell r="N46" t="str">
            <v>IBM Kawasaki</v>
          </cell>
          <cell r="O46" t="str">
            <v>DLJ Real Estate Capital Partners II, LP</v>
          </cell>
        </row>
        <row r="47">
          <cell r="I47">
            <v>26966603</v>
          </cell>
          <cell r="J47">
            <v>36696572</v>
          </cell>
          <cell r="L47">
            <v>3281407.0333414455</v>
          </cell>
          <cell r="M47">
            <v>4465389.6325139934</v>
          </cell>
          <cell r="N47" t="str">
            <v>IZD Office Centre</v>
          </cell>
          <cell r="O47" t="str">
            <v>Doughty Hanson &amp; Co European Real Estate Number 1</v>
          </cell>
        </row>
        <row r="48">
          <cell r="I48">
            <v>0</v>
          </cell>
          <cell r="J48">
            <v>64800000</v>
          </cell>
          <cell r="L48">
            <v>0</v>
          </cell>
          <cell r="M48">
            <v>5184000</v>
          </cell>
          <cell r="N48" t="str">
            <v>Independence Plaza Associates</v>
          </cell>
          <cell r="O48" t="str">
            <v>Westbrook Real Estate Fund IV, L.P.</v>
          </cell>
        </row>
        <row r="49">
          <cell r="I49">
            <v>13182330</v>
          </cell>
          <cell r="J49">
            <v>78187724</v>
          </cell>
          <cell r="L49">
            <v>1133622.5652491723</v>
          </cell>
          <cell r="M49">
            <v>6723801.3501311429</v>
          </cell>
          <cell r="N49" t="str">
            <v>Japanese Sub Performing Loan Portfolio</v>
          </cell>
          <cell r="O49" t="str">
            <v>DLJ Real Estate Capital Partners II, LP</v>
          </cell>
        </row>
        <row r="50">
          <cell r="I50">
            <v>7496150</v>
          </cell>
          <cell r="J50">
            <v>10250419</v>
          </cell>
          <cell r="L50">
            <v>644636.02356279828</v>
          </cell>
          <cell r="M50">
            <v>881491.07795502432</v>
          </cell>
          <cell r="N50" t="str">
            <v>Jusco Nishikasai</v>
          </cell>
          <cell r="O50" t="str">
            <v>DLJ Real Estate Capital Partners II, LP</v>
          </cell>
        </row>
        <row r="51">
          <cell r="I51">
            <v>2810700</v>
          </cell>
          <cell r="J51">
            <v>4480650</v>
          </cell>
          <cell r="L51">
            <v>363517.20013571309</v>
          </cell>
          <cell r="M51">
            <v>579497.40021634579</v>
          </cell>
          <cell r="N51" t="str">
            <v>Kawaguchi</v>
          </cell>
          <cell r="O51" t="str">
            <v>Starwood Global Opportunity Fund VI - A, LP</v>
          </cell>
        </row>
        <row r="52">
          <cell r="I52">
            <v>4110000</v>
          </cell>
          <cell r="J52">
            <v>4110000</v>
          </cell>
          <cell r="L52">
            <v>181085.02977548982</v>
          </cell>
          <cell r="M52">
            <v>181085.02977548982</v>
          </cell>
          <cell r="N52" t="str">
            <v>Kenedix Sumisei Portfolio</v>
          </cell>
          <cell r="O52" t="str">
            <v>Rockpoint Real Estate Fund II, L.P.</v>
          </cell>
        </row>
        <row r="53">
          <cell r="I53">
            <v>7123000</v>
          </cell>
          <cell r="J53">
            <v>7123000</v>
          </cell>
          <cell r="L53">
            <v>658620.1877293702</v>
          </cell>
          <cell r="M53">
            <v>658620.1877293702</v>
          </cell>
          <cell r="N53" t="str">
            <v>LAX/Continental Plaza</v>
          </cell>
          <cell r="O53" t="str">
            <v>ING Realty Partners, L.P.</v>
          </cell>
        </row>
        <row r="54">
          <cell r="I54">
            <v>49638000</v>
          </cell>
          <cell r="J54">
            <v>49638000</v>
          </cell>
          <cell r="L54">
            <v>6419848.0023967437</v>
          </cell>
          <cell r="M54">
            <v>6419848.0023967437</v>
          </cell>
          <cell r="N54" t="str">
            <v>Laketown Funding</v>
          </cell>
          <cell r="O54" t="str">
            <v>Starwood Global Opportunity Fund VI - A, LP</v>
          </cell>
        </row>
        <row r="55">
          <cell r="I55">
            <v>84145500</v>
          </cell>
          <cell r="J55">
            <v>101193750</v>
          </cell>
          <cell r="L55">
            <v>10882818.004062919</v>
          </cell>
          <cell r="M55">
            <v>13087725.004886085</v>
          </cell>
          <cell r="N55" t="str">
            <v>Les Docks</v>
          </cell>
          <cell r="O55" t="str">
            <v>Starwood Global Opportunity Fund VI - A, LP</v>
          </cell>
        </row>
        <row r="56">
          <cell r="I56">
            <v>20297782</v>
          </cell>
          <cell r="J56">
            <v>21376000</v>
          </cell>
          <cell r="L56">
            <v>3895663.095445151</v>
          </cell>
          <cell r="M56">
            <v>4102600.6845593057</v>
          </cell>
          <cell r="N56" t="str">
            <v>Lightspeed Miami Center</v>
          </cell>
          <cell r="O56" t="str">
            <v>Olympus Real Estate Fund III, L.P.</v>
          </cell>
        </row>
        <row r="57">
          <cell r="I57">
            <v>13547074</v>
          </cell>
          <cell r="J57">
            <v>38101306</v>
          </cell>
          <cell r="L57">
            <v>1648463.6164516914</v>
          </cell>
          <cell r="M57">
            <v>4636323.4363592109</v>
          </cell>
          <cell r="N57" t="str">
            <v>Liljeholmen Portfolio</v>
          </cell>
          <cell r="O57" t="str">
            <v>Doughty Hanson &amp; Co European Real Estate Number 1</v>
          </cell>
        </row>
        <row r="58">
          <cell r="I58">
            <v>52800000</v>
          </cell>
          <cell r="J58">
            <v>52800000</v>
          </cell>
          <cell r="L58">
            <v>16971431.577796452</v>
          </cell>
          <cell r="M58">
            <v>16971431.577796452</v>
          </cell>
          <cell r="N58" t="str">
            <v>Little Tokyo</v>
          </cell>
          <cell r="O58" t="str">
            <v>ING Realty Partners II, L.P.</v>
          </cell>
        </row>
        <row r="59">
          <cell r="I59">
            <v>45383000</v>
          </cell>
          <cell r="J59">
            <v>45383000</v>
          </cell>
          <cell r="L59">
            <v>1999557.6414357796</v>
          </cell>
          <cell r="M59">
            <v>1999557.6414357796</v>
          </cell>
          <cell r="N59" t="str">
            <v>MC Office Platform</v>
          </cell>
          <cell r="O59" t="str">
            <v>Rockpoint Real Estate Fund II, L.P.</v>
          </cell>
        </row>
        <row r="60">
          <cell r="I60">
            <v>23310000</v>
          </cell>
          <cell r="J60">
            <v>23310000</v>
          </cell>
          <cell r="L60">
            <v>1027029.6944201138</v>
          </cell>
          <cell r="M60">
            <v>1027029.6944201138</v>
          </cell>
          <cell r="N60" t="str">
            <v>MC Office Platform 2</v>
          </cell>
          <cell r="O60" t="str">
            <v>Rockpoint Real Estate Fund II, L.P.</v>
          </cell>
        </row>
        <row r="61">
          <cell r="I61">
            <v>12950000</v>
          </cell>
          <cell r="J61">
            <v>12950000</v>
          </cell>
          <cell r="L61">
            <v>570572.05245561874</v>
          </cell>
          <cell r="M61">
            <v>570572.05245561874</v>
          </cell>
          <cell r="N61" t="str">
            <v>MC Office Platform 3</v>
          </cell>
          <cell r="O61" t="str">
            <v>Rockpoint Real Estate Fund II, L.P.</v>
          </cell>
        </row>
        <row r="62">
          <cell r="I62">
            <v>9065000</v>
          </cell>
          <cell r="J62">
            <v>9065000</v>
          </cell>
          <cell r="L62">
            <v>399400.43671893317</v>
          </cell>
          <cell r="M62">
            <v>399400.43671893317</v>
          </cell>
          <cell r="N62" t="str">
            <v>MC Residential Platform</v>
          </cell>
          <cell r="O62" t="str">
            <v>Rockpoint Real Estate Fund II, L.P.</v>
          </cell>
        </row>
        <row r="63">
          <cell r="I63">
            <v>23386059</v>
          </cell>
          <cell r="J63">
            <v>11183946</v>
          </cell>
          <cell r="L63">
            <v>2011098.5079760931</v>
          </cell>
          <cell r="M63">
            <v>961770.30571440852</v>
          </cell>
          <cell r="N63" t="str">
            <v>MWB Business Exchange, Ltd.</v>
          </cell>
          <cell r="O63" t="str">
            <v>DLJ Real Estate Capital Partners II, LP</v>
          </cell>
        </row>
        <row r="64">
          <cell r="I64">
            <v>30429244</v>
          </cell>
          <cell r="J64">
            <v>30150881</v>
          </cell>
          <cell r="L64">
            <v>3702755.4149428084</v>
          </cell>
          <cell r="M64">
            <v>3668883.0615721587</v>
          </cell>
          <cell r="N64" t="str">
            <v>Maciachini Center</v>
          </cell>
          <cell r="O64" t="str">
            <v>Doughty Hanson &amp; Co European Real Estate Number 1</v>
          </cell>
        </row>
        <row r="65">
          <cell r="I65">
            <v>8828358</v>
          </cell>
          <cell r="J65">
            <v>12474000</v>
          </cell>
          <cell r="L65">
            <v>1694387.5175119115</v>
          </cell>
          <cell r="M65">
            <v>2394079.3852541531</v>
          </cell>
          <cell r="N65" t="str">
            <v>Marriot Ventura</v>
          </cell>
          <cell r="O65" t="str">
            <v>Olympus Real Estate Fund III, L.P.</v>
          </cell>
        </row>
        <row r="66">
          <cell r="I66">
            <v>9427662</v>
          </cell>
          <cell r="J66">
            <v>12876069</v>
          </cell>
          <cell r="L66">
            <v>1147196.6415186175</v>
          </cell>
          <cell r="M66">
            <v>1566812.9715259187</v>
          </cell>
          <cell r="N66" t="str">
            <v>Maximilianhofe</v>
          </cell>
          <cell r="O66" t="str">
            <v>Doughty Hanson &amp; Co European Real Estate Number 1</v>
          </cell>
        </row>
        <row r="67">
          <cell r="I67">
            <v>12185000</v>
          </cell>
          <cell r="J67">
            <v>30185000</v>
          </cell>
          <cell r="L67">
            <v>1126672.3273174751</v>
          </cell>
          <cell r="M67">
            <v>2791022.0927433721</v>
          </cell>
          <cell r="N67" t="str">
            <v>Metro Square/Hotel/Skateworld</v>
          </cell>
          <cell r="O67" t="str">
            <v>ING Realty Partners, L.P.</v>
          </cell>
        </row>
        <row r="68">
          <cell r="I68">
            <v>26772000</v>
          </cell>
          <cell r="J68">
            <v>26772000</v>
          </cell>
          <cell r="L68">
            <v>2475442.8844434507</v>
          </cell>
          <cell r="M68">
            <v>2475442.8844434507</v>
          </cell>
          <cell r="N68" t="str">
            <v>Midwest (Gateway+Georgetown)</v>
          </cell>
          <cell r="O68" t="str">
            <v>ING Realty Partners, L.P.</v>
          </cell>
        </row>
        <row r="69">
          <cell r="I69">
            <v>12687000</v>
          </cell>
          <cell r="J69">
            <v>12687000</v>
          </cell>
          <cell r="L69">
            <v>558984.37293470546</v>
          </cell>
          <cell r="M69">
            <v>558984.37293470546</v>
          </cell>
          <cell r="N69" t="str">
            <v>Mk Portfolio</v>
          </cell>
          <cell r="O69" t="str">
            <v>Rockpoint Real Estate Fund II, L.P.</v>
          </cell>
        </row>
        <row r="70">
          <cell r="I70">
            <v>21414900</v>
          </cell>
          <cell r="J70">
            <v>26295600</v>
          </cell>
          <cell r="L70">
            <v>2769660.4010340068</v>
          </cell>
          <cell r="M70">
            <v>3400897.6012696689</v>
          </cell>
          <cell r="N70" t="str">
            <v>Monrovia Nursery/Asuza</v>
          </cell>
          <cell r="O70" t="str">
            <v>Starwood Global Opportunity Fund VI - A, LP</v>
          </cell>
        </row>
        <row r="71">
          <cell r="I71">
            <v>2369096</v>
          </cell>
          <cell r="J71">
            <v>0</v>
          </cell>
          <cell r="L71">
            <v>203731.86567485059</v>
          </cell>
          <cell r="M71">
            <v>0</v>
          </cell>
          <cell r="N71" t="str">
            <v>Nanakai</v>
          </cell>
          <cell r="O71" t="str">
            <v>DLJ Real Estate Capital Partners II, LP</v>
          </cell>
        </row>
        <row r="72">
          <cell r="I72">
            <v>0</v>
          </cell>
          <cell r="J72">
            <v>1859729.2</v>
          </cell>
          <cell r="L72">
            <v>0</v>
          </cell>
          <cell r="M72">
            <v>240524.97662312933</v>
          </cell>
          <cell r="N72" t="str">
            <v>National Golf</v>
          </cell>
          <cell r="O72" t="str">
            <v>Starwood Global Opportunity Fund VI - A, LP</v>
          </cell>
        </row>
        <row r="73">
          <cell r="I73">
            <v>268669</v>
          </cell>
          <cell r="J73">
            <v>470957</v>
          </cell>
          <cell r="L73">
            <v>23104.355677860429</v>
          </cell>
          <cell r="M73">
            <v>40500.236487939117</v>
          </cell>
          <cell r="N73" t="str">
            <v>Neuilly</v>
          </cell>
          <cell r="O73" t="str">
            <v>DLJ Real Estate Capital Partners II, LP</v>
          </cell>
        </row>
        <row r="74">
          <cell r="I74">
            <v>2285436</v>
          </cell>
          <cell r="J74">
            <v>3600188</v>
          </cell>
          <cell r="L74">
            <v>196537.47258889797</v>
          </cell>
          <cell r="M74">
            <v>309600.37838070258</v>
          </cell>
          <cell r="N74" t="str">
            <v>NextCom (Humax Corporation)</v>
          </cell>
          <cell r="O74" t="str">
            <v>DLJ Real Estate Capital Partners II, LP</v>
          </cell>
        </row>
        <row r="75">
          <cell r="I75">
            <v>20030000</v>
          </cell>
          <cell r="J75">
            <v>20030000</v>
          </cell>
          <cell r="L75">
            <v>882514.14754332392</v>
          </cell>
          <cell r="M75">
            <v>882514.14754332392</v>
          </cell>
          <cell r="N75" t="str">
            <v>Nippo Portfolio</v>
          </cell>
          <cell r="O75" t="str">
            <v>Rockpoint Real Estate Fund II, L.P.</v>
          </cell>
        </row>
        <row r="76">
          <cell r="I76">
            <v>30740</v>
          </cell>
          <cell r="J76">
            <v>2602300</v>
          </cell>
          <cell r="L76">
            <v>3975.7066681509309</v>
          </cell>
          <cell r="M76">
            <v>336564.13345898397</v>
          </cell>
          <cell r="N76" t="str">
            <v>Northridge Land</v>
          </cell>
          <cell r="O76" t="str">
            <v>Starwood Global Opportunity Fund VI - A, LP</v>
          </cell>
        </row>
        <row r="77">
          <cell r="I77">
            <v>8683213</v>
          </cell>
          <cell r="J77">
            <v>11147478</v>
          </cell>
          <cell r="L77">
            <v>1056609.0289608177</v>
          </cell>
          <cell r="M77">
            <v>1356470.9174981746</v>
          </cell>
          <cell r="N77" t="str">
            <v>Nove Butovice</v>
          </cell>
          <cell r="O77" t="str">
            <v>Doughty Hanson &amp; Co European Real Estate Number 1</v>
          </cell>
        </row>
        <row r="78">
          <cell r="I78">
            <v>102776285</v>
          </cell>
          <cell r="J78">
            <v>92661992</v>
          </cell>
          <cell r="L78">
            <v>12951667.761467442</v>
          </cell>
          <cell r="M78">
            <v>11677084.207701748</v>
          </cell>
          <cell r="N78" t="str">
            <v>Olympus Hospitality Group</v>
          </cell>
          <cell r="O78" t="str">
            <v>Olympus Real Estate Fund II, LP</v>
          </cell>
        </row>
        <row r="79">
          <cell r="I79">
            <v>457785</v>
          </cell>
          <cell r="J79">
            <v>457785</v>
          </cell>
          <cell r="L79">
            <v>59206.860022103901</v>
          </cell>
          <cell r="M79">
            <v>59206.860022103901</v>
          </cell>
          <cell r="N79" t="str">
            <v>Orion Co-Invest II - UDR</v>
          </cell>
          <cell r="O79" t="str">
            <v>Starwood Global Opportunity Fund VI - A, LP</v>
          </cell>
        </row>
        <row r="80">
          <cell r="I80">
            <v>32000</v>
          </cell>
          <cell r="J80">
            <v>32000</v>
          </cell>
          <cell r="L80">
            <v>4138.6666682117693</v>
          </cell>
          <cell r="M80">
            <v>4138.6666682117693</v>
          </cell>
          <cell r="N80" t="str">
            <v>Orion Funding</v>
          </cell>
          <cell r="O80" t="str">
            <v>Starwood Global Opportunity Fund VI - A, LP</v>
          </cell>
        </row>
        <row r="81">
          <cell r="I81">
            <v>17582899</v>
          </cell>
          <cell r="J81">
            <v>17163529</v>
          </cell>
          <cell r="L81">
            <v>2139559.381844731</v>
          </cell>
          <cell r="M81">
            <v>2088528.7174495009</v>
          </cell>
          <cell r="N81" t="str">
            <v>Orti Antichi</v>
          </cell>
          <cell r="O81" t="str">
            <v>Doughty Hanson &amp; Co European Real Estate Number 1</v>
          </cell>
        </row>
        <row r="82">
          <cell r="I82">
            <v>994000</v>
          </cell>
          <cell r="J82">
            <v>994000</v>
          </cell>
          <cell r="L82">
            <v>91909.092601852302</v>
          </cell>
          <cell r="M82">
            <v>91909.092601852302</v>
          </cell>
          <cell r="N82" t="str">
            <v>PGP</v>
          </cell>
          <cell r="O82" t="str">
            <v>ING Realty Partners, L.P.</v>
          </cell>
        </row>
        <row r="83">
          <cell r="I83">
            <v>10300000</v>
          </cell>
          <cell r="J83">
            <v>7100000</v>
          </cell>
          <cell r="L83">
            <v>829597.6898381603</v>
          </cell>
          <cell r="M83">
            <v>571858.60173310072</v>
          </cell>
          <cell r="N83" t="str">
            <v>Pacific Century Japan Residential Property</v>
          </cell>
          <cell r="O83" t="str">
            <v>Westbrook Real Estate Fund III, L.P.</v>
          </cell>
        </row>
        <row r="84">
          <cell r="I84">
            <v>4384673</v>
          </cell>
          <cell r="J84">
            <v>6543538</v>
          </cell>
          <cell r="L84">
            <v>377062.64780496195</v>
          </cell>
          <cell r="M84">
            <v>562715.56950595521</v>
          </cell>
          <cell r="N84" t="str">
            <v>Pacific Century Japan Residential Property</v>
          </cell>
          <cell r="O84" t="str">
            <v>DLJ Real Estate Capital Partners II, LP</v>
          </cell>
        </row>
        <row r="85">
          <cell r="I85">
            <v>100000000</v>
          </cell>
          <cell r="J85">
            <v>100000000</v>
          </cell>
          <cell r="L85">
            <v>32142862.836735703</v>
          </cell>
          <cell r="M85">
            <v>32142862.836735703</v>
          </cell>
          <cell r="N85" t="str">
            <v>Plaza Orlando</v>
          </cell>
          <cell r="O85" t="str">
            <v>ING Realty Partners II, L.P.</v>
          </cell>
        </row>
        <row r="86">
          <cell r="I86">
            <v>2310000</v>
          </cell>
          <cell r="J86">
            <v>2310000</v>
          </cell>
          <cell r="L86">
            <v>298760.00011153711</v>
          </cell>
          <cell r="M86">
            <v>298760.00011153711</v>
          </cell>
          <cell r="N86" t="str">
            <v>Promenade Funding</v>
          </cell>
          <cell r="O86" t="str">
            <v>Starwood Global Opportunity Fund VI - A, LP</v>
          </cell>
        </row>
        <row r="87">
          <cell r="I87">
            <v>7583000</v>
          </cell>
          <cell r="J87">
            <v>7583000</v>
          </cell>
          <cell r="L87">
            <v>334104.08291667624</v>
          </cell>
          <cell r="M87">
            <v>334104.08291667624</v>
          </cell>
          <cell r="N87" t="str">
            <v>Qualication #2 Portfolio</v>
          </cell>
          <cell r="O87" t="str">
            <v>Rockpoint Real Estate Fund II, L.P.</v>
          </cell>
        </row>
        <row r="88">
          <cell r="I88">
            <v>43500000</v>
          </cell>
          <cell r="J88">
            <v>43500000</v>
          </cell>
          <cell r="L88">
            <v>13982145.333980031</v>
          </cell>
          <cell r="M88">
            <v>13982145.333980031</v>
          </cell>
          <cell r="N88" t="str">
            <v>Rainbo Condominium</v>
          </cell>
          <cell r="O88" t="str">
            <v>ING Realty Partners II, L.P.</v>
          </cell>
        </row>
        <row r="89">
          <cell r="I89">
            <v>82990710</v>
          </cell>
          <cell r="J89">
            <v>82699650</v>
          </cell>
          <cell r="L89">
            <v>9998880.7228915654</v>
          </cell>
          <cell r="M89">
            <v>9963813.2530120481</v>
          </cell>
          <cell r="N89" t="str">
            <v>Rancho Santa Fe</v>
          </cell>
          <cell r="O89" t="str">
            <v>Starwood Opportunity Fund IV, L.P.</v>
          </cell>
        </row>
        <row r="90">
          <cell r="I90">
            <v>17700000</v>
          </cell>
          <cell r="J90">
            <v>22300000</v>
          </cell>
          <cell r="L90">
            <v>1416000</v>
          </cell>
          <cell r="M90">
            <v>1784000</v>
          </cell>
          <cell r="N90" t="str">
            <v>Riverside Hotel Investors</v>
          </cell>
          <cell r="O90" t="str">
            <v>Westbrook Real Estate Fund IV, L.P.</v>
          </cell>
        </row>
        <row r="91">
          <cell r="I91">
            <v>27884000</v>
          </cell>
          <cell r="J91">
            <v>27884000</v>
          </cell>
          <cell r="L91">
            <v>1228558.3869245155</v>
          </cell>
          <cell r="M91">
            <v>1228558.3869245155</v>
          </cell>
          <cell r="N91" t="str">
            <v>Riverton Apartments</v>
          </cell>
          <cell r="O91" t="str">
            <v>Rockpoint Real Estate Fund II, L.P.</v>
          </cell>
        </row>
        <row r="92">
          <cell r="I92">
            <v>12485577</v>
          </cell>
          <cell r="J92">
            <v>10708199</v>
          </cell>
          <cell r="L92">
            <v>1573408.1565043861</v>
          </cell>
          <cell r="M92">
            <v>1349426.4340424244</v>
          </cell>
          <cell r="N92" t="str">
            <v>Rosario Resort &amp; Spa</v>
          </cell>
          <cell r="O92" t="str">
            <v>Olympus Real Estate Fund II, LP</v>
          </cell>
        </row>
        <row r="93">
          <cell r="I93">
            <v>1377929</v>
          </cell>
          <cell r="J93">
            <v>1656690</v>
          </cell>
          <cell r="L93">
            <v>167672.06132879044</v>
          </cell>
          <cell r="M93">
            <v>201592.84497444631</v>
          </cell>
          <cell r="N93" t="str">
            <v>Royal Scandinavia</v>
          </cell>
          <cell r="O93" t="str">
            <v>Doughty Hanson &amp; Co European Real Estate Number 1</v>
          </cell>
        </row>
        <row r="94">
          <cell r="I94">
            <v>22033796.399999999</v>
          </cell>
          <cell r="J94">
            <v>13902609.6</v>
          </cell>
          <cell r="L94">
            <v>2654674.2650602409</v>
          </cell>
          <cell r="M94">
            <v>1675013.2048192772</v>
          </cell>
          <cell r="N94" t="str">
            <v>SOF IV RTP Hotel "Radisson"</v>
          </cell>
          <cell r="O94" t="str">
            <v>Starwood Opportunity Fund IV, L.P.</v>
          </cell>
        </row>
        <row r="95">
          <cell r="I95">
            <v>5710000</v>
          </cell>
          <cell r="J95">
            <v>5710000</v>
          </cell>
          <cell r="L95">
            <v>738493.33360903757</v>
          </cell>
          <cell r="M95">
            <v>738493.33360903757</v>
          </cell>
          <cell r="N95" t="str">
            <v>SOF VI Funding</v>
          </cell>
          <cell r="O95" t="str">
            <v>Starwood Global Opportunity Fund VI - A, LP</v>
          </cell>
        </row>
        <row r="96">
          <cell r="I96">
            <v>8349532</v>
          </cell>
          <cell r="J96">
            <v>12190181</v>
          </cell>
          <cell r="L96">
            <v>1052191.8011313677</v>
          </cell>
          <cell r="M96">
            <v>1536182.9264810744</v>
          </cell>
          <cell r="N96" t="str">
            <v>Sandpiper Homes</v>
          </cell>
          <cell r="O96" t="str">
            <v>Olympus Real Estate Fund II, LP</v>
          </cell>
        </row>
        <row r="97">
          <cell r="I97">
            <v>22359261</v>
          </cell>
          <cell r="J97">
            <v>1191646</v>
          </cell>
          <cell r="L97">
            <v>2817670.6315463367</v>
          </cell>
          <cell r="M97">
            <v>150168.91378474745</v>
          </cell>
          <cell r="N97" t="str">
            <v>Santa Lucia Preserve</v>
          </cell>
          <cell r="O97" t="str">
            <v>Olympus Real Estate Fund II, LP</v>
          </cell>
        </row>
        <row r="98">
          <cell r="I98">
            <v>17111200</v>
          </cell>
          <cell r="J98">
            <v>26179200</v>
          </cell>
          <cell r="L98">
            <v>2061590.3614457832</v>
          </cell>
          <cell r="M98">
            <v>3154120.4819277111</v>
          </cell>
          <cell r="N98" t="str">
            <v>Scottsdale Waterfront</v>
          </cell>
          <cell r="O98" t="str">
            <v>Starwood Opportunity Fund IV, L.P.</v>
          </cell>
        </row>
        <row r="99">
          <cell r="I99">
            <v>819000</v>
          </cell>
          <cell r="J99">
            <v>819000</v>
          </cell>
          <cell r="L99">
            <v>75727.914326878308</v>
          </cell>
          <cell r="M99">
            <v>75727.914326878308</v>
          </cell>
          <cell r="N99" t="str">
            <v>See Forever</v>
          </cell>
          <cell r="O99" t="str">
            <v>ING Realty Partners, L.P.</v>
          </cell>
        </row>
        <row r="100">
          <cell r="I100">
            <v>16200000</v>
          </cell>
          <cell r="J100">
            <v>16200000</v>
          </cell>
          <cell r="L100">
            <v>5207143.7795511838</v>
          </cell>
          <cell r="M100">
            <v>5207143.7795511838</v>
          </cell>
          <cell r="N100" t="str">
            <v>Silver Spur Condominiums</v>
          </cell>
          <cell r="O100" t="str">
            <v>ING Realty Partners II, L.P.</v>
          </cell>
        </row>
        <row r="101">
          <cell r="I101">
            <v>9891213</v>
          </cell>
          <cell r="J101">
            <v>16376398</v>
          </cell>
          <cell r="L101">
            <v>850600.93735219503</v>
          </cell>
          <cell r="M101">
            <v>1408298.4047813562</v>
          </cell>
          <cell r="N101" t="str">
            <v>Simco Port (Cincinnatus)</v>
          </cell>
          <cell r="O101" t="str">
            <v>DLJ Real Estate Capital Partners II, LP</v>
          </cell>
        </row>
        <row r="102">
          <cell r="I102">
            <v>14090000</v>
          </cell>
          <cell r="J102">
            <v>14090000</v>
          </cell>
          <cell r="L102">
            <v>1302816.0108250491</v>
          </cell>
          <cell r="M102">
            <v>1302816.0108250491</v>
          </cell>
          <cell r="N102" t="str">
            <v>Soma Square/Yerba Buena</v>
          </cell>
          <cell r="O102" t="str">
            <v>ING Realty Partners, L.P.</v>
          </cell>
        </row>
        <row r="103">
          <cell r="I103">
            <v>43081320</v>
          </cell>
          <cell r="J103">
            <v>43081320</v>
          </cell>
          <cell r="L103">
            <v>5571850.7220801581</v>
          </cell>
          <cell r="M103">
            <v>5571850.7220801581</v>
          </cell>
          <cell r="N103" t="str">
            <v>St. Andrew's Villages/Aurora</v>
          </cell>
          <cell r="O103" t="str">
            <v>Starwood Global Opportunity Fund VI - A, LP</v>
          </cell>
        </row>
        <row r="104">
          <cell r="I104">
            <v>712400</v>
          </cell>
          <cell r="J104">
            <v>696800</v>
          </cell>
          <cell r="L104">
            <v>85831.325301204823</v>
          </cell>
          <cell r="M104">
            <v>83951.807228915655</v>
          </cell>
          <cell r="N104" t="str">
            <v>Starwood Ceruzzi</v>
          </cell>
          <cell r="O104" t="str">
            <v>Starwood Opportunity Fund IV, L.P.</v>
          </cell>
        </row>
        <row r="105">
          <cell r="I105">
            <v>935559.99999999255</v>
          </cell>
          <cell r="J105">
            <v>2823970</v>
          </cell>
          <cell r="L105">
            <v>112718.07228915572</v>
          </cell>
          <cell r="M105">
            <v>340237.34939759038</v>
          </cell>
          <cell r="N105" t="str">
            <v>Starwood Heller</v>
          </cell>
          <cell r="O105" t="str">
            <v>Starwood Opportunity Fund IV, L.P.</v>
          </cell>
        </row>
        <row r="106">
          <cell r="I106">
            <v>98000000</v>
          </cell>
          <cell r="J106">
            <v>98000000</v>
          </cell>
          <cell r="L106">
            <v>31500005.580000989</v>
          </cell>
          <cell r="M106">
            <v>31500005.580000989</v>
          </cell>
          <cell r="N106" t="str">
            <v>Sterling Michigan Portfolio/UDRT</v>
          </cell>
          <cell r="O106" t="str">
            <v>ING Realty Partners II, L.P.</v>
          </cell>
        </row>
        <row r="107">
          <cell r="I107">
            <v>20299500</v>
          </cell>
          <cell r="J107">
            <v>71233200</v>
          </cell>
          <cell r="L107">
            <v>2625402.0009801504</v>
          </cell>
          <cell r="M107">
            <v>9212827.2034394555</v>
          </cell>
          <cell r="N107" t="str">
            <v>Sycamore Creek</v>
          </cell>
          <cell r="O107" t="str">
            <v>Starwood Global Opportunity Fund VI - A, LP</v>
          </cell>
        </row>
        <row r="108">
          <cell r="I108">
            <v>46573146</v>
          </cell>
          <cell r="J108">
            <v>46573146</v>
          </cell>
          <cell r="L108">
            <v>4005086.2965988736</v>
          </cell>
          <cell r="M108">
            <v>4005086.2965988736</v>
          </cell>
          <cell r="N108" t="str">
            <v>Tempe Marketplace</v>
          </cell>
          <cell r="O108" t="str">
            <v>DLJ Real Estate Capital Partners II, LP</v>
          </cell>
        </row>
        <row r="109">
          <cell r="I109">
            <v>7500000</v>
          </cell>
          <cell r="J109">
            <v>56300000</v>
          </cell>
          <cell r="L109">
            <v>600000</v>
          </cell>
          <cell r="M109">
            <v>4504000</v>
          </cell>
          <cell r="N109" t="str">
            <v>Terrabrook Connerton Holdings</v>
          </cell>
          <cell r="O109" t="str">
            <v>Westbrook Real Estate Fund IV, L.P.</v>
          </cell>
        </row>
        <row r="110">
          <cell r="I110">
            <v>27200000</v>
          </cell>
          <cell r="J110">
            <v>25500000</v>
          </cell>
          <cell r="L110">
            <v>2190782.2488930058</v>
          </cell>
          <cell r="M110">
            <v>2053858.3583371928</v>
          </cell>
          <cell r="N110" t="str">
            <v>Terrabrook Stonehaven</v>
          </cell>
          <cell r="O110" t="str">
            <v>Westbrook Real Estate Fund III, L.P.</v>
          </cell>
        </row>
        <row r="111">
          <cell r="I111">
            <v>205276000</v>
          </cell>
          <cell r="J111">
            <v>252035000</v>
          </cell>
          <cell r="L111">
            <v>26549029.343244974</v>
          </cell>
          <cell r="M111">
            <v>32596526.67883604</v>
          </cell>
          <cell r="N111" t="str">
            <v>The Alexandria</v>
          </cell>
          <cell r="O111" t="str">
            <v>Starwood Global Opportunity Fund VI - A, LP</v>
          </cell>
        </row>
        <row r="112">
          <cell r="I112">
            <v>33000000</v>
          </cell>
          <cell r="J112">
            <v>33000000</v>
          </cell>
          <cell r="L112">
            <v>10607144.736122781</v>
          </cell>
          <cell r="M112">
            <v>10607144.736122781</v>
          </cell>
          <cell r="N112" t="str">
            <v>The Bristol Condos</v>
          </cell>
          <cell r="O112" t="str">
            <v>ING Realty Partners II, L.P.</v>
          </cell>
        </row>
        <row r="113">
          <cell r="I113">
            <v>41783700</v>
          </cell>
          <cell r="J113">
            <v>45315900</v>
          </cell>
          <cell r="L113">
            <v>5404025.2020175029</v>
          </cell>
          <cell r="M113">
            <v>5860856.4021880534</v>
          </cell>
          <cell r="N113" t="str">
            <v>The Villages on Mount Hope Bay</v>
          </cell>
          <cell r="O113" t="str">
            <v>Starwood Global Opportunity Fund VI - A, LP</v>
          </cell>
        </row>
        <row r="114">
          <cell r="I114">
            <v>3931000</v>
          </cell>
          <cell r="J114">
            <v>3931000</v>
          </cell>
          <cell r="L114">
            <v>363475.49599384447</v>
          </cell>
          <cell r="M114">
            <v>363475.49599384447</v>
          </cell>
          <cell r="N114" t="str">
            <v>Three Northborough</v>
          </cell>
          <cell r="O114" t="str">
            <v>ING Realty Partners, L.P.</v>
          </cell>
        </row>
        <row r="115">
          <cell r="I115">
            <v>50490</v>
          </cell>
          <cell r="J115">
            <v>50490</v>
          </cell>
          <cell r="L115">
            <v>6530.0400024378823</v>
          </cell>
          <cell r="M115">
            <v>6530.0400024378823</v>
          </cell>
          <cell r="N115" t="str">
            <v>Timberstone/Orion</v>
          </cell>
          <cell r="O115" t="str">
            <v>Starwood Global Opportunity Fund VI - A, LP</v>
          </cell>
        </row>
        <row r="116">
          <cell r="I116">
            <v>1700000</v>
          </cell>
          <cell r="J116">
            <v>6600000</v>
          </cell>
          <cell r="L116">
            <v>136923.89055581286</v>
          </cell>
          <cell r="M116">
            <v>531586.86921668518</v>
          </cell>
          <cell r="N116" t="str">
            <v>Trois Fontanots</v>
          </cell>
          <cell r="O116" t="str">
            <v>Westbrook Real Estate Fund III, L.P.</v>
          </cell>
        </row>
        <row r="117">
          <cell r="I117">
            <v>2100450</v>
          </cell>
          <cell r="J117">
            <v>2549325</v>
          </cell>
          <cell r="L117">
            <v>271658.20010141906</v>
          </cell>
          <cell r="M117">
            <v>329712.70012309274</v>
          </cell>
          <cell r="N117" t="str">
            <v>Troon at Anthem</v>
          </cell>
          <cell r="O117" t="str">
            <v>Starwood Global Opportunity Fund VI - A, LP</v>
          </cell>
        </row>
        <row r="118">
          <cell r="I118">
            <v>4816173</v>
          </cell>
          <cell r="J118">
            <v>4647988</v>
          </cell>
          <cell r="L118">
            <v>586051.71574592358</v>
          </cell>
          <cell r="M118">
            <v>565586.27403261128</v>
          </cell>
          <cell r="N118" t="str">
            <v>Tumba Centrum</v>
          </cell>
          <cell r="O118" t="str">
            <v>Doughty Hanson &amp; Co European Real Estate Number 1</v>
          </cell>
        </row>
        <row r="119">
          <cell r="I119">
            <v>5346000</v>
          </cell>
          <cell r="J119">
            <v>5346000</v>
          </cell>
          <cell r="L119">
            <v>235542.71756198749</v>
          </cell>
          <cell r="M119">
            <v>235542.71756198749</v>
          </cell>
          <cell r="N119" t="str">
            <v>UCJ Abeno Retail</v>
          </cell>
          <cell r="O119" t="str">
            <v>Rockpoint Real Estate Fund II, L.P.</v>
          </cell>
        </row>
        <row r="120">
          <cell r="I120">
            <v>2045564</v>
          </cell>
          <cell r="J120">
            <v>1889109</v>
          </cell>
          <cell r="L120">
            <v>175909.53261383669</v>
          </cell>
          <cell r="M120">
            <v>162455.08879047169</v>
          </cell>
          <cell r="N120" t="str">
            <v>UFJ Trust Loan Pool</v>
          </cell>
          <cell r="O120" t="str">
            <v>DLJ Real Estate Capital Partners II, LP</v>
          </cell>
        </row>
        <row r="121">
          <cell r="I121">
            <v>7441581</v>
          </cell>
          <cell r="J121">
            <v>8743759</v>
          </cell>
          <cell r="L121">
            <v>905522.1465076661</v>
          </cell>
          <cell r="M121">
            <v>1063976.5149671452</v>
          </cell>
          <cell r="N121" t="str">
            <v>Uferstadt</v>
          </cell>
          <cell r="O121" t="str">
            <v>Doughty Hanson &amp; Co European Real Estate Number 1</v>
          </cell>
        </row>
        <row r="122">
          <cell r="I122">
            <v>291644</v>
          </cell>
          <cell r="J122">
            <v>381338</v>
          </cell>
          <cell r="L122">
            <v>35488.440009734724</v>
          </cell>
          <cell r="M122">
            <v>46402.774397663663</v>
          </cell>
          <cell r="N122" t="str">
            <v>Vasby Centrum</v>
          </cell>
          <cell r="O122" t="str">
            <v>Doughty Hanson &amp; Co European Real Estate Number 1</v>
          </cell>
        </row>
        <row r="123">
          <cell r="I123">
            <v>43700000</v>
          </cell>
          <cell r="J123">
            <v>43700000</v>
          </cell>
          <cell r="L123">
            <v>14046431.059653502</v>
          </cell>
          <cell r="M123">
            <v>14046431.059653502</v>
          </cell>
          <cell r="N123" t="str">
            <v>Villa Bonita</v>
          </cell>
          <cell r="O123" t="str">
            <v>ING Realty Partners II, L.P.</v>
          </cell>
        </row>
        <row r="124">
          <cell r="I124">
            <v>110104000</v>
          </cell>
          <cell r="J124">
            <v>110104000</v>
          </cell>
          <cell r="L124">
            <v>4851140.174793317</v>
          </cell>
          <cell r="M124">
            <v>4851140.174793317</v>
          </cell>
          <cell r="N124" t="str">
            <v>Villas Parkmerced</v>
          </cell>
          <cell r="O124" t="str">
            <v>Rockpoint Real Estate Fund II, L.P.</v>
          </cell>
        </row>
        <row r="125">
          <cell r="I125">
            <v>71900000</v>
          </cell>
          <cell r="J125">
            <v>71900000</v>
          </cell>
          <cell r="L125">
            <v>23110718.379612971</v>
          </cell>
          <cell r="M125">
            <v>23110718.379612971</v>
          </cell>
          <cell r="N125" t="str">
            <v>Vinings Condominiums</v>
          </cell>
          <cell r="O125" t="str">
            <v>ING Realty Partners II, L.P.</v>
          </cell>
        </row>
        <row r="126">
          <cell r="I126">
            <v>28000000</v>
          </cell>
          <cell r="J126">
            <v>28000000</v>
          </cell>
          <cell r="L126">
            <v>9000001.5942859966</v>
          </cell>
          <cell r="M126">
            <v>9000001.5942859966</v>
          </cell>
          <cell r="N126" t="str">
            <v>Vista del Arroyo</v>
          </cell>
          <cell r="O126" t="str">
            <v>ING Realty Partners II, L.P.</v>
          </cell>
        </row>
        <row r="127">
          <cell r="I127">
            <v>19400000</v>
          </cell>
          <cell r="J127">
            <v>7000000</v>
          </cell>
          <cell r="L127">
            <v>1552000</v>
          </cell>
          <cell r="M127">
            <v>560000</v>
          </cell>
          <cell r="N127" t="str">
            <v>WB Airport Technology, LLC</v>
          </cell>
          <cell r="O127" t="str">
            <v>Westbrook Real Estate Fund IV, L.P.</v>
          </cell>
        </row>
        <row r="128">
          <cell r="I128">
            <v>800000</v>
          </cell>
          <cell r="J128">
            <v>800000</v>
          </cell>
          <cell r="L128">
            <v>64000</v>
          </cell>
          <cell r="M128">
            <v>64000</v>
          </cell>
          <cell r="N128" t="str">
            <v>WB Bernal, LLC</v>
          </cell>
          <cell r="O128" t="str">
            <v>Westbrook Real Estate Fund IV, L.P.</v>
          </cell>
        </row>
        <row r="129">
          <cell r="I129">
            <v>7600000</v>
          </cell>
          <cell r="J129">
            <v>8900000</v>
          </cell>
          <cell r="L129">
            <v>612130.33424951637</v>
          </cell>
          <cell r="M129">
            <v>716836.83879219671</v>
          </cell>
          <cell r="N129" t="str">
            <v>WB France LLC</v>
          </cell>
          <cell r="O129" t="str">
            <v>Westbrook Real Estate Fund III, L.P.</v>
          </cell>
        </row>
        <row r="130">
          <cell r="I130">
            <v>0</v>
          </cell>
          <cell r="J130">
            <v>9000000</v>
          </cell>
          <cell r="L130">
            <v>0</v>
          </cell>
          <cell r="M130">
            <v>720000</v>
          </cell>
          <cell r="N130" t="str">
            <v>WB Heywood</v>
          </cell>
          <cell r="O130" t="str">
            <v>Westbrook Real Estate Fund IV, L.P.</v>
          </cell>
        </row>
        <row r="131">
          <cell r="I131">
            <v>3400000</v>
          </cell>
          <cell r="J131">
            <v>2100000</v>
          </cell>
          <cell r="L131">
            <v>272000</v>
          </cell>
          <cell r="M131">
            <v>168000</v>
          </cell>
          <cell r="N131" t="str">
            <v>WB IV/PLC Homes LLC</v>
          </cell>
          <cell r="O131" t="str">
            <v>Westbrook Real Estate Fund IV, L.P.</v>
          </cell>
        </row>
        <row r="132">
          <cell r="I132">
            <v>25300000</v>
          </cell>
          <cell r="J132">
            <v>86500000</v>
          </cell>
          <cell r="L132">
            <v>2037749.6653306268</v>
          </cell>
          <cell r="M132">
            <v>6967009.7253398895</v>
          </cell>
          <cell r="N132" t="str">
            <v>WB Kukio Resorts</v>
          </cell>
          <cell r="O132" t="str">
            <v>Westbrook Real Estate Fund III, L.P.</v>
          </cell>
        </row>
        <row r="133">
          <cell r="I133">
            <v>900000</v>
          </cell>
          <cell r="J133">
            <v>200000</v>
          </cell>
          <cell r="L133">
            <v>72000</v>
          </cell>
          <cell r="M133">
            <v>16000</v>
          </cell>
          <cell r="N133" t="str">
            <v>WB NPL Portfolio Investors, LLC</v>
          </cell>
          <cell r="O133" t="str">
            <v>Westbrook Real Estate Fund IV, L.P.</v>
          </cell>
        </row>
        <row r="134">
          <cell r="I134">
            <v>5000000</v>
          </cell>
          <cell r="J134">
            <v>12800000</v>
          </cell>
          <cell r="L134">
            <v>402717.32516415545</v>
          </cell>
          <cell r="M134">
            <v>1030956.352420238</v>
          </cell>
          <cell r="N134" t="str">
            <v>WB Texas Resort Communities</v>
          </cell>
          <cell r="O134" t="str">
            <v>Westbrook Real Estate Fund III, L.P.</v>
          </cell>
        </row>
        <row r="135">
          <cell r="I135">
            <v>2000000</v>
          </cell>
          <cell r="J135">
            <v>28800000</v>
          </cell>
          <cell r="L135">
            <v>160000</v>
          </cell>
          <cell r="M135">
            <v>2304000</v>
          </cell>
          <cell r="N135" t="str">
            <v>WB Tustin, LLC</v>
          </cell>
          <cell r="O135" t="str">
            <v>Westbrook Real Estate Fund IV, L.P.</v>
          </cell>
        </row>
        <row r="136">
          <cell r="I136">
            <v>0</v>
          </cell>
          <cell r="J136">
            <v>7900000</v>
          </cell>
          <cell r="L136">
            <v>0</v>
          </cell>
          <cell r="M136">
            <v>632000</v>
          </cell>
          <cell r="N136" t="str">
            <v>WB Woodside III, L.P.</v>
          </cell>
          <cell r="O136" t="str">
            <v>Westbrook Real Estate Fund IV, L.P.</v>
          </cell>
        </row>
        <row r="137">
          <cell r="I137">
            <v>4700000</v>
          </cell>
          <cell r="J137">
            <v>2800000</v>
          </cell>
          <cell r="L137">
            <v>378554.28565430612</v>
          </cell>
          <cell r="M137">
            <v>225521.70209192706</v>
          </cell>
          <cell r="N137" t="str">
            <v>WJ Harbor Ridge LLC</v>
          </cell>
          <cell r="O137" t="str">
            <v>Westbrook Real Estate Fund III, L.P.</v>
          </cell>
        </row>
        <row r="138">
          <cell r="I138">
            <v>92329359</v>
          </cell>
          <cell r="J138">
            <v>118160409.2</v>
          </cell>
          <cell r="L138">
            <v>11941263.768458072</v>
          </cell>
          <cell r="M138">
            <v>15282079.595571978</v>
          </cell>
          <cell r="N138" t="str">
            <v>Wailea</v>
          </cell>
          <cell r="O138" t="str">
            <v>Starwood Global Opportunity Fund VI - A, LP</v>
          </cell>
        </row>
        <row r="139">
          <cell r="I139">
            <v>11246000</v>
          </cell>
          <cell r="J139">
            <v>11246000</v>
          </cell>
          <cell r="L139">
            <v>495494.46346840839</v>
          </cell>
          <cell r="M139">
            <v>495494.46346840839</v>
          </cell>
          <cell r="N139" t="str">
            <v>Walkki Beachcomber</v>
          </cell>
          <cell r="O139" t="str">
            <v>Rockpoint Real Estate Fund II, L.P.</v>
          </cell>
        </row>
        <row r="140">
          <cell r="I140">
            <v>29220000</v>
          </cell>
          <cell r="J140">
            <v>33408800</v>
          </cell>
          <cell r="L140">
            <v>3779120.0014108717</v>
          </cell>
          <cell r="M140">
            <v>4320871.468279792</v>
          </cell>
          <cell r="N140" t="str">
            <v>Wasserman Joint Venture</v>
          </cell>
          <cell r="O140" t="str">
            <v>Starwood Global Opportunity Fund VI - A, LP</v>
          </cell>
        </row>
        <row r="141">
          <cell r="I141">
            <v>23723269</v>
          </cell>
          <cell r="J141">
            <v>37792540</v>
          </cell>
          <cell r="L141">
            <v>2040097.0890484585</v>
          </cell>
          <cell r="M141">
            <v>3249992.6903727911</v>
          </cell>
          <cell r="N141" t="str">
            <v>West 48th Street</v>
          </cell>
          <cell r="O141" t="str">
            <v>DLJ Real Estate Capital Partners II, LP</v>
          </cell>
        </row>
        <row r="142">
          <cell r="I142">
            <v>62600000</v>
          </cell>
          <cell r="J142">
            <v>62600000</v>
          </cell>
          <cell r="L142">
            <v>20121432.135796551</v>
          </cell>
          <cell r="M142">
            <v>20121432.135796551</v>
          </cell>
          <cell r="N142" t="str">
            <v>West 60th St Condominiums</v>
          </cell>
          <cell r="O142" t="str">
            <v>ING Realty Partners II, L.P.</v>
          </cell>
        </row>
        <row r="143">
          <cell r="I143">
            <v>30200000</v>
          </cell>
          <cell r="J143">
            <v>9200000</v>
          </cell>
          <cell r="L143">
            <v>2432412.6439914992</v>
          </cell>
          <cell r="M143">
            <v>740999.8783020461</v>
          </cell>
          <cell r="N143" t="str">
            <v>Westbrook EAGL Parent</v>
          </cell>
          <cell r="O143" t="str">
            <v>Westbrook Real Estate Fund III, L.P.</v>
          </cell>
        </row>
        <row r="144">
          <cell r="I144">
            <v>27100000</v>
          </cell>
          <cell r="J144">
            <v>13500000</v>
          </cell>
          <cell r="L144">
            <v>2168000</v>
          </cell>
          <cell r="M144">
            <v>1080000</v>
          </cell>
          <cell r="N144" t="str">
            <v>Westbrook Evelyn Road</v>
          </cell>
          <cell r="O144" t="str">
            <v>Westbrook Real Estate Fund IV, L.P.</v>
          </cell>
        </row>
        <row r="145">
          <cell r="I145">
            <v>14800000</v>
          </cell>
          <cell r="J145">
            <v>14800000</v>
          </cell>
          <cell r="L145">
            <v>1184000</v>
          </cell>
          <cell r="M145">
            <v>1184000</v>
          </cell>
          <cell r="N145" t="str">
            <v>Westbrook Fund IV EAGL Parent</v>
          </cell>
          <cell r="O145" t="str">
            <v>Westbrook Real Estate Fund IV, L.P.</v>
          </cell>
        </row>
        <row r="146">
          <cell r="I146">
            <v>5900000</v>
          </cell>
          <cell r="J146">
            <v>11200000</v>
          </cell>
          <cell r="L146">
            <v>475206.44369370345</v>
          </cell>
          <cell r="M146">
            <v>902086.80836770823</v>
          </cell>
          <cell r="N146" t="str">
            <v>Western European Partners</v>
          </cell>
          <cell r="O146" t="str">
            <v>Westbrook Real Estate Fund III, L.P.</v>
          </cell>
        </row>
        <row r="147">
          <cell r="I147">
            <v>18936500</v>
          </cell>
          <cell r="J147">
            <v>18936500</v>
          </cell>
          <cell r="L147">
            <v>2449120.667581005</v>
          </cell>
          <cell r="M147">
            <v>2449120.667581005</v>
          </cell>
          <cell r="N147" t="str">
            <v>Westin Tokyo</v>
          </cell>
          <cell r="O147" t="str">
            <v>Starwood Global Opportunity Fund VI - A, LP</v>
          </cell>
        </row>
        <row r="148">
          <cell r="I148">
            <v>423000</v>
          </cell>
          <cell r="J148">
            <v>423000</v>
          </cell>
          <cell r="L148">
            <v>39112.219487508577</v>
          </cell>
          <cell r="M148">
            <v>39112.219487508577</v>
          </cell>
          <cell r="N148" t="str">
            <v>Williford Portfolio</v>
          </cell>
          <cell r="O148" t="str">
            <v>ING Realty Partners, L.P.</v>
          </cell>
        </row>
        <row r="149">
          <cell r="I149">
            <v>24042937</v>
          </cell>
          <cell r="J149">
            <v>26470596</v>
          </cell>
          <cell r="L149">
            <v>2067587.1350561122</v>
          </cell>
          <cell r="M149">
            <v>2276355.1618867437</v>
          </cell>
          <cell r="N149" t="str">
            <v>Windsor Capital Preferred Equity</v>
          </cell>
          <cell r="O149" t="str">
            <v>DLJ Real Estate Capital Partners II, LP</v>
          </cell>
        </row>
        <row r="150">
          <cell r="I150">
            <v>16556348</v>
          </cell>
          <cell r="J150">
            <v>11732682</v>
          </cell>
          <cell r="L150">
            <v>2086398.8092120276</v>
          </cell>
          <cell r="M150">
            <v>1478529.7913322062</v>
          </cell>
          <cell r="N150" t="str">
            <v>Wisconsin Hotels</v>
          </cell>
          <cell r="O150" t="str">
            <v>Olympus Real Estate Fund II, LP</v>
          </cell>
        </row>
        <row r="151">
          <cell r="I151">
            <v>11855011</v>
          </cell>
          <cell r="J151">
            <v>11855011</v>
          </cell>
          <cell r="L151">
            <v>1019478.9525734187</v>
          </cell>
          <cell r="M151">
            <v>1019478.9525734187</v>
          </cell>
          <cell r="N151" t="str">
            <v>Woodside Land</v>
          </cell>
          <cell r="O151" t="str">
            <v>DLJ Real Estate Capital Partners II, LP</v>
          </cell>
        </row>
        <row r="152">
          <cell r="I152">
            <v>36492200</v>
          </cell>
          <cell r="J152">
            <v>36492200</v>
          </cell>
          <cell r="L152">
            <v>4719657.8684286727</v>
          </cell>
          <cell r="M152">
            <v>4719657.8684286727</v>
          </cell>
          <cell r="N152" t="str">
            <v>Worcester Center</v>
          </cell>
          <cell r="O152" t="str">
            <v>Starwood Global Opportunity Fund VI - A, LP</v>
          </cell>
        </row>
        <row r="153">
          <cell r="I153">
            <v>17808347</v>
          </cell>
          <cell r="J153">
            <v>26588616</v>
          </cell>
          <cell r="L153">
            <v>1531439.7385733328</v>
          </cell>
          <cell r="M153">
            <v>2286504.364277422</v>
          </cell>
          <cell r="N153" t="str">
            <v>Yerba Buena</v>
          </cell>
          <cell r="O153" t="str">
            <v>DLJ Real Estate Capital Partners II, LP</v>
          </cell>
        </row>
        <row r="154">
          <cell r="I154">
            <v>20211128</v>
          </cell>
          <cell r="J154">
            <v>33311711</v>
          </cell>
          <cell r="L154">
            <v>1738068.3665133077</v>
          </cell>
          <cell r="M154">
            <v>2864661.0482865372</v>
          </cell>
          <cell r="N154" t="str">
            <v>York &amp; 83rd, LLC</v>
          </cell>
          <cell r="O154" t="str">
            <v>DLJ Real Estate Capital Partners II, LP</v>
          </cell>
        </row>
      </sheetData>
      <sheetData sheetId="1"/>
      <sheetData sheetId="2" refreshError="1">
        <row r="2">
          <cell r="D2">
            <v>5876141.1188029405</v>
          </cell>
        </row>
        <row r="3">
          <cell r="D3">
            <v>852372.18901835999</v>
          </cell>
        </row>
        <row r="4">
          <cell r="D4">
            <v>4175102.1197918905</v>
          </cell>
        </row>
        <row r="5">
          <cell r="D5">
            <v>1165034.4412434965</v>
          </cell>
        </row>
        <row r="6">
          <cell r="D6">
            <v>8600120.3938599136</v>
          </cell>
        </row>
        <row r="7">
          <cell r="D7">
            <v>983776.15341617574</v>
          </cell>
        </row>
        <row r="8">
          <cell r="D8">
            <v>2361384.7013802296</v>
          </cell>
        </row>
        <row r="9">
          <cell r="D9">
            <v>8623.6401943500878</v>
          </cell>
        </row>
        <row r="10">
          <cell r="D10">
            <v>5929427.0112224277</v>
          </cell>
        </row>
        <row r="11">
          <cell r="D11">
            <v>0</v>
          </cell>
        </row>
        <row r="12">
          <cell r="D12">
            <v>147141.07580513394</v>
          </cell>
        </row>
        <row r="13">
          <cell r="D13">
            <v>1316089.8654168637</v>
          </cell>
        </row>
        <row r="14">
          <cell r="D14">
            <v>1077472.7608891947</v>
          </cell>
        </row>
        <row r="15">
          <cell r="D15">
            <v>1852117.2120221867</v>
          </cell>
        </row>
        <row r="16">
          <cell r="D16">
            <v>2233707.0129423398</v>
          </cell>
        </row>
        <row r="17">
          <cell r="D17">
            <v>111794.29849077697</v>
          </cell>
        </row>
        <row r="18">
          <cell r="D18">
            <v>2651636.9265167476</v>
          </cell>
        </row>
        <row r="19">
          <cell r="D19">
            <v>3613526.8521305411</v>
          </cell>
        </row>
        <row r="20">
          <cell r="D20">
            <v>1824814.8084447694</v>
          </cell>
        </row>
        <row r="21">
          <cell r="D21">
            <v>244996.86116008082</v>
          </cell>
        </row>
        <row r="22">
          <cell r="D22">
            <v>1401269.3812615557</v>
          </cell>
        </row>
        <row r="23">
          <cell r="D23">
            <v>2398803.5430193059</v>
          </cell>
        </row>
        <row r="24">
          <cell r="D24">
            <v>2821431.3969987528</v>
          </cell>
        </row>
        <row r="25">
          <cell r="D25">
            <v>734507.11613707698</v>
          </cell>
        </row>
        <row r="26">
          <cell r="D26">
            <v>371435.18080577889</v>
          </cell>
        </row>
        <row r="27">
          <cell r="D27">
            <v>1149578.8794771465</v>
          </cell>
        </row>
        <row r="28">
          <cell r="D28">
            <v>749020.92966658552</v>
          </cell>
        </row>
        <row r="29">
          <cell r="D29">
            <v>5548909.8320759302</v>
          </cell>
        </row>
        <row r="30">
          <cell r="D30">
            <v>2244894.6215624237</v>
          </cell>
        </row>
        <row r="31">
          <cell r="D31">
            <v>3989260.6473594545</v>
          </cell>
        </row>
        <row r="32">
          <cell r="D32">
            <v>53270.13871988318</v>
          </cell>
        </row>
        <row r="33">
          <cell r="D33">
            <v>437420.90532976389</v>
          </cell>
        </row>
        <row r="34">
          <cell r="D34">
            <v>1589946.0939401314</v>
          </cell>
        </row>
        <row r="35">
          <cell r="D35">
            <v>4723551.1073253835</v>
          </cell>
        </row>
        <row r="36">
          <cell r="D36">
            <v>2712773.5458749086</v>
          </cell>
        </row>
        <row r="37">
          <cell r="D37">
            <v>3530602.2146507665</v>
          </cell>
        </row>
        <row r="38">
          <cell r="D38">
            <v>1495744.7067412995</v>
          </cell>
        </row>
        <row r="39">
          <cell r="D39">
            <v>324798.00438062788</v>
          </cell>
        </row>
        <row r="40">
          <cell r="D40">
            <v>884264.17619858845</v>
          </cell>
        </row>
        <row r="41">
          <cell r="D41">
            <v>64310.5378437576</v>
          </cell>
        </row>
        <row r="42">
          <cell r="D42">
            <v>583309.19931856892</v>
          </cell>
        </row>
        <row r="43">
          <cell r="D43">
            <v>2242984.5461182767</v>
          </cell>
        </row>
        <row r="44">
          <cell r="D44">
            <v>775448.77099050861</v>
          </cell>
        </row>
        <row r="45">
          <cell r="D45">
            <v>13319459.466589963</v>
          </cell>
        </row>
        <row r="46">
          <cell r="D46">
            <v>208928.60843878207</v>
          </cell>
        </row>
        <row r="47">
          <cell r="D47">
            <v>-78993013.993048191</v>
          </cell>
        </row>
        <row r="48">
          <cell r="D48">
            <v>5731124.8366564</v>
          </cell>
        </row>
        <row r="49">
          <cell r="D49">
            <v>5146516.2330971612</v>
          </cell>
        </row>
        <row r="50">
          <cell r="D50">
            <v>6496556.0079613505</v>
          </cell>
        </row>
        <row r="51">
          <cell r="D51">
            <v>6140254.3019879051</v>
          </cell>
        </row>
        <row r="52">
          <cell r="D52">
            <v>20786195.074983127</v>
          </cell>
        </row>
        <row r="53">
          <cell r="D53">
            <v>4197109.9220594717</v>
          </cell>
        </row>
        <row r="54">
          <cell r="D54">
            <v>4742997.6259024367</v>
          </cell>
        </row>
        <row r="55">
          <cell r="D55">
            <v>1512796.7679811418</v>
          </cell>
        </row>
        <row r="56">
          <cell r="D56">
            <v>8271818.2152935127</v>
          </cell>
        </row>
        <row r="57">
          <cell r="D57">
            <v>28286528.332185019</v>
          </cell>
        </row>
        <row r="58">
          <cell r="D58">
            <v>11335682.329463728</v>
          </cell>
        </row>
        <row r="59">
          <cell r="D59">
            <v>5149109.8406994576</v>
          </cell>
        </row>
        <row r="60">
          <cell r="D60">
            <v>3952951.1288084858</v>
          </cell>
        </row>
        <row r="61">
          <cell r="D61">
            <v>3597790.8158943732</v>
          </cell>
        </row>
        <row r="62">
          <cell r="D62">
            <v>4379832.7758560916</v>
          </cell>
        </row>
        <row r="63">
          <cell r="D63">
            <v>2601363.056965657</v>
          </cell>
        </row>
        <row r="64">
          <cell r="D64">
            <v>1351858.2957963438</v>
          </cell>
        </row>
        <row r="65">
          <cell r="D65">
            <v>3363981.4342819261</v>
          </cell>
        </row>
        <row r="66">
          <cell r="D66">
            <v>-41710084.543586686</v>
          </cell>
        </row>
        <row r="67">
          <cell r="D67">
            <v>1497993.8454971649</v>
          </cell>
        </row>
        <row r="68">
          <cell r="D68">
            <v>5270440.9238486737</v>
          </cell>
        </row>
        <row r="69">
          <cell r="D69">
            <v>3051307.9032808109</v>
          </cell>
        </row>
        <row r="70">
          <cell r="D70">
            <v>333946.32506403065</v>
          </cell>
        </row>
        <row r="71">
          <cell r="D71">
            <v>312893.59502565506</v>
          </cell>
        </row>
        <row r="72">
          <cell r="D72">
            <v>2918208.5580454399</v>
          </cell>
        </row>
        <row r="73">
          <cell r="D73">
            <v>2600945.6750300382</v>
          </cell>
        </row>
        <row r="74">
          <cell r="D74">
            <v>3191262.0579528399</v>
          </cell>
        </row>
        <row r="75">
          <cell r="D75">
            <v>967612.36197711516</v>
          </cell>
        </row>
        <row r="76">
          <cell r="D76">
            <v>3077972.1734810714</v>
          </cell>
        </row>
        <row r="77">
          <cell r="D77">
            <v>878420.87515057577</v>
          </cell>
        </row>
        <row r="78">
          <cell r="D78">
            <v>2923628.1432010457</v>
          </cell>
        </row>
        <row r="79">
          <cell r="D79">
            <v>2126430.6803750331</v>
          </cell>
        </row>
        <row r="80">
          <cell r="D80">
            <v>2575694.5302445004</v>
          </cell>
        </row>
        <row r="81">
          <cell r="D81">
            <v>12385634.367680542</v>
          </cell>
        </row>
        <row r="82">
          <cell r="D82">
            <v>147942.20137119084</v>
          </cell>
        </row>
        <row r="83">
          <cell r="D83">
            <v>3584779.1596764978</v>
          </cell>
        </row>
        <row r="84">
          <cell r="D84">
            <v>275073.74313099968</v>
          </cell>
        </row>
        <row r="85">
          <cell r="D85">
            <v>2925153.3227992067</v>
          </cell>
        </row>
        <row r="86">
          <cell r="D86">
            <v>11677084.207701748</v>
          </cell>
        </row>
        <row r="87">
          <cell r="D87">
            <v>1245946.5803583108</v>
          </cell>
        </row>
        <row r="88">
          <cell r="D88">
            <v>1614039.0245234051</v>
          </cell>
        </row>
        <row r="89">
          <cell r="D89">
            <v>1963406.8236239969</v>
          </cell>
        </row>
        <row r="90">
          <cell r="D90">
            <v>60116.788167039529</v>
          </cell>
        </row>
        <row r="91">
          <cell r="D91">
            <v>5050555.3508035168</v>
          </cell>
        </row>
        <row r="92">
          <cell r="D92">
            <v>1511545.0101007319</v>
          </cell>
        </row>
        <row r="93">
          <cell r="D93">
            <v>150168.91378474745</v>
          </cell>
        </row>
        <row r="94">
          <cell r="D94">
            <v>13349966.733942289</v>
          </cell>
        </row>
        <row r="95">
          <cell r="D95">
            <v>7379533.5968698971</v>
          </cell>
        </row>
        <row r="96">
          <cell r="D96">
            <v>1604881.4990776998</v>
          </cell>
        </row>
        <row r="97">
          <cell r="D97">
            <v>7745347.7369982842</v>
          </cell>
        </row>
        <row r="98">
          <cell r="D98">
            <v>2394079.3852541531</v>
          </cell>
        </row>
        <row r="99">
          <cell r="D99">
            <v>4817331.4550167741</v>
          </cell>
        </row>
        <row r="100">
          <cell r="D100">
            <v>8336862.3005186711</v>
          </cell>
        </row>
        <row r="101">
          <cell r="D101">
            <v>2572570.1523125437</v>
          </cell>
        </row>
        <row r="102">
          <cell r="D102">
            <v>12588972.993183875</v>
          </cell>
        </row>
        <row r="103">
          <cell r="D103">
            <v>15043432.021616215</v>
          </cell>
        </row>
        <row r="104">
          <cell r="D104">
            <v>2851024.0010643825</v>
          </cell>
        </row>
        <row r="105">
          <cell r="D105">
            <v>1821194.4006799127</v>
          </cell>
        </row>
        <row r="106">
          <cell r="D106">
            <v>401114.40014974942</v>
          </cell>
        </row>
        <row r="107">
          <cell r="D107">
            <v>992275.39077044965</v>
          </cell>
        </row>
        <row r="108">
          <cell r="D108">
            <v>2010720.7607506693</v>
          </cell>
        </row>
        <row r="109">
          <cell r="D109">
            <v>650148.96690938901</v>
          </cell>
        </row>
        <row r="110">
          <cell r="D110">
            <v>11924986.004451996</v>
          </cell>
        </row>
        <row r="111">
          <cell r="D111">
            <v>3695299.0680462453</v>
          </cell>
        </row>
        <row r="112">
          <cell r="D112">
            <v>2293419.50085621</v>
          </cell>
        </row>
        <row r="113">
          <cell r="D113">
            <v>14713994.672159892</v>
          </cell>
        </row>
        <row r="114">
          <cell r="D114">
            <v>443872.00016571226</v>
          </cell>
        </row>
        <row r="115">
          <cell r="D115">
            <v>27569.340010292555</v>
          </cell>
        </row>
        <row r="116">
          <cell r="D116">
            <v>4268.0000015933874</v>
          </cell>
        </row>
        <row r="117">
          <cell r="D117">
            <v>292164.00010907458</v>
          </cell>
        </row>
        <row r="118">
          <cell r="D118">
            <v>-100014989.88853894</v>
          </cell>
        </row>
        <row r="119">
          <cell r="D119">
            <v>1324632.0004945295</v>
          </cell>
        </row>
        <row r="120">
          <cell r="D120">
            <v>6751.2000025204488</v>
          </cell>
        </row>
        <row r="121">
          <cell r="D121">
            <v>25510088.05432377</v>
          </cell>
        </row>
        <row r="122">
          <cell r="D122">
            <v>3696864.0013801628</v>
          </cell>
        </row>
        <row r="123">
          <cell r="D123">
            <v>5021890.4685415057</v>
          </cell>
        </row>
        <row r="124">
          <cell r="D124">
            <v>5454083.6687028585</v>
          </cell>
        </row>
        <row r="125">
          <cell r="D125">
            <v>12495928.004665148</v>
          </cell>
        </row>
        <row r="126">
          <cell r="D126">
            <v>555810.00020750239</v>
          </cell>
        </row>
        <row r="127">
          <cell r="D127">
            <v>2468937.7675884035</v>
          </cell>
        </row>
        <row r="128">
          <cell r="D128">
            <v>4710184.2017584695</v>
          </cell>
        </row>
        <row r="129">
          <cell r="D129">
            <v>9582048.0035772994</v>
          </cell>
        </row>
        <row r="130">
          <cell r="D130">
            <v>25933661.343015235</v>
          </cell>
        </row>
        <row r="131">
          <cell r="D131">
            <v>4416668.6683155568</v>
          </cell>
        </row>
        <row r="132">
          <cell r="D132">
            <v>4309386.6682755044</v>
          </cell>
        </row>
        <row r="133">
          <cell r="D133">
            <v>1629234.6506024096</v>
          </cell>
        </row>
        <row r="134">
          <cell r="D134">
            <v>829187.95180722896</v>
          </cell>
        </row>
        <row r="135">
          <cell r="D135">
            <v>11978284.337349398</v>
          </cell>
        </row>
        <row r="136">
          <cell r="D136">
            <v>2918072.2891566264</v>
          </cell>
        </row>
        <row r="137">
          <cell r="D137">
            <v>264795.18072289159</v>
          </cell>
        </row>
        <row r="138">
          <cell r="D138">
            <v>1500331.8795180721</v>
          </cell>
        </row>
        <row r="139">
          <cell r="D139">
            <v>1172725.3012048192</v>
          </cell>
        </row>
        <row r="140">
          <cell r="D140">
            <v>359008.43373493978</v>
          </cell>
        </row>
        <row r="141">
          <cell r="D141">
            <v>5275596.9596504364</v>
          </cell>
        </row>
        <row r="142">
          <cell r="D142">
            <v>1949151.8537945126</v>
          </cell>
        </row>
        <row r="143">
          <cell r="D143">
            <v>6532075.0141626019</v>
          </cell>
        </row>
        <row r="144">
          <cell r="D144">
            <v>765162.91781189537</v>
          </cell>
        </row>
        <row r="145">
          <cell r="D145">
            <v>2867347.3551687868</v>
          </cell>
        </row>
        <row r="146">
          <cell r="D146">
            <v>8320139.9378914516</v>
          </cell>
        </row>
        <row r="147">
          <cell r="D147">
            <v>1562543.2216369233</v>
          </cell>
        </row>
        <row r="148">
          <cell r="D148">
            <v>829597.6898381603</v>
          </cell>
        </row>
        <row r="149">
          <cell r="D149">
            <v>950412.8873874069</v>
          </cell>
        </row>
        <row r="150">
          <cell r="D150">
            <v>-4574868.8138648057</v>
          </cell>
        </row>
        <row r="151">
          <cell r="D151">
            <v>563804.2552298177</v>
          </cell>
        </row>
        <row r="152">
          <cell r="D152">
            <v>1087336.7779432198</v>
          </cell>
        </row>
        <row r="153">
          <cell r="D153">
            <v>1836391.002748549</v>
          </cell>
        </row>
        <row r="154">
          <cell r="D154">
            <v>1047065.0454268042</v>
          </cell>
        </row>
        <row r="155">
          <cell r="D155">
            <v>974575.92689725629</v>
          </cell>
        </row>
        <row r="156">
          <cell r="D156">
            <v>3020379.9387311661</v>
          </cell>
        </row>
        <row r="157">
          <cell r="D157">
            <v>515478.17621011898</v>
          </cell>
        </row>
        <row r="158">
          <cell r="D158">
            <v>1112000</v>
          </cell>
        </row>
        <row r="159">
          <cell r="D159">
            <v>7872000</v>
          </cell>
        </row>
        <row r="160">
          <cell r="D160">
            <v>600000</v>
          </cell>
        </row>
        <row r="161">
          <cell r="D161">
            <v>1048000</v>
          </cell>
        </row>
        <row r="162">
          <cell r="D162">
            <v>264000</v>
          </cell>
        </row>
        <row r="163">
          <cell r="D163">
            <v>520000</v>
          </cell>
        </row>
        <row r="164">
          <cell r="D164">
            <v>32000</v>
          </cell>
        </row>
        <row r="165">
          <cell r="D165">
            <v>3976000</v>
          </cell>
        </row>
        <row r="166">
          <cell r="D166">
            <v>2528000</v>
          </cell>
        </row>
        <row r="167">
          <cell r="D167">
            <v>6912000</v>
          </cell>
        </row>
        <row r="168">
          <cell r="D168">
            <v>560000</v>
          </cell>
        </row>
        <row r="169">
          <cell r="D169">
            <v>5200000</v>
          </cell>
        </row>
        <row r="170">
          <cell r="D170">
            <v>1912000</v>
          </cell>
        </row>
        <row r="171">
          <cell r="D171">
            <v>7664000</v>
          </cell>
        </row>
        <row r="172">
          <cell r="D172">
            <v>984000</v>
          </cell>
        </row>
        <row r="173">
          <cell r="D173">
            <v>1232000</v>
          </cell>
        </row>
        <row r="174">
          <cell r="D174">
            <v>-3136000</v>
          </cell>
        </row>
        <row r="175">
          <cell r="D175">
            <v>48000</v>
          </cell>
        </row>
        <row r="176">
          <cell r="D176">
            <v>2632000</v>
          </cell>
        </row>
        <row r="177">
          <cell r="D177">
            <v>1496000</v>
          </cell>
        </row>
        <row r="178">
          <cell r="D178">
            <v>520000</v>
          </cell>
        </row>
        <row r="179">
          <cell r="D179">
            <v>3648000</v>
          </cell>
        </row>
        <row r="180">
          <cell r="D180">
            <v>1688000</v>
          </cell>
        </row>
        <row r="181">
          <cell r="D181">
            <v>2664000</v>
          </cell>
        </row>
        <row r="182">
          <cell r="D182">
            <v>680000</v>
          </cell>
        </row>
        <row r="183">
          <cell r="D183">
            <v>6776000</v>
          </cell>
        </row>
        <row r="184">
          <cell r="D184">
            <v>7000000</v>
          </cell>
        </row>
        <row r="185">
          <cell r="D185">
            <v>8152000</v>
          </cell>
        </row>
        <row r="186">
          <cell r="D186">
            <v>3741876.256595057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33104 snapshot data"/>
      <sheetName val="Summary of PE Invest. Perf."/>
      <sheetName val="BACK UP"/>
      <sheetName val="fund values"/>
    </sheetNames>
    <sheetDataSet>
      <sheetData sheetId="0"/>
      <sheetData sheetId="1" refreshError="1">
        <row r="2">
          <cell r="H2" t="str">
            <v>Apax Excelsior VI, L.P.</v>
          </cell>
        </row>
        <row r="3">
          <cell r="H3" t="str">
            <v>Apax Excelsior VI, L.P.</v>
          </cell>
        </row>
        <row r="4">
          <cell r="H4" t="str">
            <v>Warburg Pincus Private Equity VIII, L.P.</v>
          </cell>
        </row>
        <row r="5">
          <cell r="H5" t="str">
            <v>APA Excelsior V, LP</v>
          </cell>
        </row>
        <row r="6">
          <cell r="H6" t="str">
            <v>APA Excelsior V, LP</v>
          </cell>
        </row>
        <row r="7">
          <cell r="H7" t="str">
            <v>APA Excelsior V, LP</v>
          </cell>
        </row>
        <row r="8">
          <cell r="H8" t="str">
            <v>APA Excelsior V, LP</v>
          </cell>
        </row>
        <row r="9">
          <cell r="H9" t="str">
            <v>APA Excelsior V, LP</v>
          </cell>
        </row>
        <row r="10">
          <cell r="H10" t="str">
            <v>APA Excelsior V, LP</v>
          </cell>
        </row>
        <row r="11">
          <cell r="H11" t="str">
            <v>APA Excelsior V, LP</v>
          </cell>
        </row>
        <row r="12">
          <cell r="H12" t="str">
            <v>APA Excelsior V, LP</v>
          </cell>
        </row>
        <row r="13">
          <cell r="H13" t="str">
            <v>APA Excelsior V, LP</v>
          </cell>
        </row>
        <row r="14">
          <cell r="H14" t="str">
            <v>Apax Excelsior VI, L.P.</v>
          </cell>
        </row>
        <row r="15">
          <cell r="H15" t="str">
            <v>Apax Excelsior VI, L.P.</v>
          </cell>
        </row>
        <row r="16">
          <cell r="H16" t="str">
            <v>Apax Excelsior VI, L.P.</v>
          </cell>
        </row>
        <row r="17">
          <cell r="H17" t="str">
            <v>Apax Excelsior VI, L.P.</v>
          </cell>
        </row>
        <row r="18">
          <cell r="H18" t="str">
            <v>Apax Excelsior VI, L.P.</v>
          </cell>
        </row>
        <row r="19">
          <cell r="H19" t="str">
            <v>Apax Excelsior VI, L.P.</v>
          </cell>
        </row>
        <row r="20">
          <cell r="H20" t="str">
            <v>Apax Excelsior VI, L.P.</v>
          </cell>
        </row>
        <row r="21">
          <cell r="H21" t="str">
            <v>Apax Excelsior VI, L.P.</v>
          </cell>
        </row>
        <row r="22">
          <cell r="H22" t="str">
            <v>Apax Excelsior VI, L.P.</v>
          </cell>
        </row>
        <row r="23">
          <cell r="H23" t="str">
            <v>Apax Excelsior VI, L.P.</v>
          </cell>
        </row>
        <row r="24">
          <cell r="H24" t="str">
            <v>Apax Excelsior VI, L.P.</v>
          </cell>
        </row>
        <row r="25">
          <cell r="H25" t="str">
            <v>Apax Excelsior VI, L.P.</v>
          </cell>
        </row>
        <row r="26">
          <cell r="H26" t="str">
            <v>Apax Excelsior VI, L.P.</v>
          </cell>
        </row>
        <row r="27">
          <cell r="H27" t="str">
            <v>DLJ Strategic Partners, L.P.</v>
          </cell>
        </row>
        <row r="28">
          <cell r="H28" t="str">
            <v>DLJ Strategic Partners, L.P.</v>
          </cell>
        </row>
        <row r="29">
          <cell r="H29" t="str">
            <v>DLJ Strategic Partners, L.P.</v>
          </cell>
        </row>
        <row r="30">
          <cell r="H30" t="str">
            <v>DLJ Strategic Partners, L.P.</v>
          </cell>
        </row>
        <row r="31">
          <cell r="H31" t="str">
            <v>DLJ Strategic Partners, L.P.</v>
          </cell>
        </row>
        <row r="32">
          <cell r="H32" t="str">
            <v>DLJ Strategic Partners, L.P.</v>
          </cell>
        </row>
        <row r="33">
          <cell r="H33" t="str">
            <v>DLJ Strategic Partners, L.P.</v>
          </cell>
        </row>
        <row r="34">
          <cell r="H34" t="str">
            <v>DLJ Strategic Partners, L.P.</v>
          </cell>
        </row>
        <row r="35">
          <cell r="H35" t="str">
            <v>DLJ Strategic Partners, L.P.</v>
          </cell>
        </row>
        <row r="36">
          <cell r="H36" t="str">
            <v>DLJ Strategic Partners, L.P.</v>
          </cell>
        </row>
        <row r="37">
          <cell r="H37" t="str">
            <v>Endowment Venture Partners V, L.P.</v>
          </cell>
        </row>
        <row r="38">
          <cell r="H38" t="str">
            <v>Endowment Venture Partners V, L.P.</v>
          </cell>
        </row>
        <row r="39">
          <cell r="H39" t="str">
            <v>Endowment Venture Partners V, L.P.</v>
          </cell>
        </row>
        <row r="40">
          <cell r="H40" t="str">
            <v>Endowment Venture Partners V, L.P.</v>
          </cell>
        </row>
        <row r="41">
          <cell r="H41" t="str">
            <v>Endowment Venture Partners V, L.P.</v>
          </cell>
        </row>
        <row r="42">
          <cell r="H42" t="str">
            <v>Endowment Venture Partners V, L.P.</v>
          </cell>
        </row>
        <row r="43">
          <cell r="H43" t="str">
            <v>Endowment Venture Partners V, L.P.</v>
          </cell>
        </row>
        <row r="44">
          <cell r="H44" t="str">
            <v>Endowment Venture Partners V, L.P.</v>
          </cell>
        </row>
        <row r="45">
          <cell r="H45" t="str">
            <v>Endowment Venture Partners V, L.P.</v>
          </cell>
        </row>
        <row r="46">
          <cell r="H46" t="str">
            <v>Endowment Venture Partners V, L.P.</v>
          </cell>
        </row>
        <row r="47">
          <cell r="H47" t="str">
            <v>Endowment Venture Partners V, L.P.</v>
          </cell>
        </row>
        <row r="48">
          <cell r="H48" t="str">
            <v>Endowment Venture Partners V, L.P.</v>
          </cell>
        </row>
        <row r="49">
          <cell r="H49" t="str">
            <v>Endowment Venture Partners V, L.P.</v>
          </cell>
        </row>
        <row r="50">
          <cell r="H50" t="str">
            <v>Endowment Venture Partners V, L.P.</v>
          </cell>
        </row>
        <row r="51">
          <cell r="H51" t="str">
            <v>Endowment Venture Partners V, L.P.</v>
          </cell>
        </row>
        <row r="52">
          <cell r="H52" t="str">
            <v>Endowment Venture Partners V, L.P.</v>
          </cell>
        </row>
        <row r="53">
          <cell r="H53" t="str">
            <v>Endowment Venture Partners V, L.P.</v>
          </cell>
        </row>
        <row r="54">
          <cell r="H54" t="str">
            <v>Endowment Venture Partners V, L.P.</v>
          </cell>
        </row>
        <row r="55">
          <cell r="H55" t="str">
            <v>Endowment Venture Partners V, L.P.</v>
          </cell>
        </row>
        <row r="56">
          <cell r="H56" t="str">
            <v>Highland Capital Partners VI-B, L.P.</v>
          </cell>
        </row>
        <row r="57">
          <cell r="H57" t="str">
            <v>Highland Capital Partners VI-B, L.P.</v>
          </cell>
        </row>
        <row r="58">
          <cell r="H58" t="str">
            <v>KKR 1987/86 Fund, LP</v>
          </cell>
        </row>
        <row r="59">
          <cell r="H59" t="str">
            <v>New Enterprise Associates 11, L.P.</v>
          </cell>
        </row>
        <row r="60">
          <cell r="H60" t="str">
            <v>New Enterprise Associates 11, L.P.</v>
          </cell>
        </row>
        <row r="61">
          <cell r="H61" t="str">
            <v>New Enterprise Associates 11, L.P.</v>
          </cell>
        </row>
        <row r="62">
          <cell r="H62" t="str">
            <v>New Enterprise Associates 11, L.P.</v>
          </cell>
        </row>
        <row r="63">
          <cell r="H63" t="str">
            <v>New Enterprise Associates 11, L.P.</v>
          </cell>
        </row>
        <row r="64">
          <cell r="H64" t="str">
            <v>New Enterprise Associates 11, L.P.</v>
          </cell>
        </row>
        <row r="65">
          <cell r="H65" t="str">
            <v>TPG Parallel III, L.P.</v>
          </cell>
        </row>
        <row r="66">
          <cell r="H66" t="str">
            <v>TPG Parallel III, L.P.</v>
          </cell>
        </row>
        <row r="67">
          <cell r="H67" t="str">
            <v>TPG Parallel III, L.P.</v>
          </cell>
        </row>
        <row r="68">
          <cell r="H68" t="str">
            <v>Warburg Pincus Private Equity VIII, L.P.</v>
          </cell>
        </row>
        <row r="69">
          <cell r="H69" t="str">
            <v>Warburg Pincus Private Equity VIII, L.P.</v>
          </cell>
        </row>
        <row r="70">
          <cell r="H70" t="str">
            <v>Warburg Pincus Private Equity VIII, L.P.</v>
          </cell>
        </row>
        <row r="71">
          <cell r="H71" t="str">
            <v>Warburg Pincus Private Equity VIII, L.P.</v>
          </cell>
        </row>
        <row r="72">
          <cell r="H72" t="str">
            <v>Warburg Pincus Private Equity VIII, L.P.</v>
          </cell>
        </row>
        <row r="73">
          <cell r="H73" t="str">
            <v>Warburg Pincus Private Equity VIII, L.P.</v>
          </cell>
        </row>
        <row r="74">
          <cell r="H74" t="str">
            <v>Warburg Pincus Private Equity VIII, L.P.</v>
          </cell>
        </row>
        <row r="75">
          <cell r="H75" t="str">
            <v>Warburg Pincus Private Equity VIII, L.P.</v>
          </cell>
        </row>
        <row r="76">
          <cell r="H76" t="str">
            <v>Warburg Pincus Private Equity VIII, L.P.</v>
          </cell>
        </row>
        <row r="77">
          <cell r="H77" t="str">
            <v>Warburg Pincus Private Equity VIII, L.P.</v>
          </cell>
        </row>
        <row r="78">
          <cell r="H78" t="str">
            <v>Apax Excelsior VI, L.P.</v>
          </cell>
        </row>
        <row r="79">
          <cell r="H79" t="str">
            <v>DLJ Strategic Partners, L.P.</v>
          </cell>
        </row>
        <row r="80">
          <cell r="H80" t="str">
            <v>DLJ Strategic Partners, L.P.</v>
          </cell>
        </row>
        <row r="81">
          <cell r="H81" t="str">
            <v>DLJ Strategic Partners, L.P.</v>
          </cell>
        </row>
        <row r="82">
          <cell r="H82" t="str">
            <v>DLJ Strategic Partners, L.P.</v>
          </cell>
        </row>
        <row r="83">
          <cell r="H83" t="str">
            <v>Endowment Venture Partners V, L.P.</v>
          </cell>
        </row>
        <row r="84">
          <cell r="H84" t="str">
            <v>Highland Capital Partners VI-B, L.P.</v>
          </cell>
        </row>
        <row r="85">
          <cell r="H85" t="str">
            <v>Highland Capital Partners VI-B, L.P.</v>
          </cell>
        </row>
        <row r="86">
          <cell r="H86" t="str">
            <v>Kohlberg TE Investors IV, L.P.</v>
          </cell>
        </row>
        <row r="87">
          <cell r="H87" t="str">
            <v>Warburg Pincus Private Equity VIII, L.P.</v>
          </cell>
        </row>
        <row r="88">
          <cell r="H88" t="str">
            <v>DLJ Strategic Partners, L.P.</v>
          </cell>
        </row>
        <row r="89">
          <cell r="H89" t="str">
            <v>DLJ Strategic Partners, L.P.</v>
          </cell>
        </row>
        <row r="90">
          <cell r="H90" t="str">
            <v>APA Excelsior V, LP</v>
          </cell>
        </row>
        <row r="91">
          <cell r="H91" t="str">
            <v>APA Excelsior V, LP</v>
          </cell>
        </row>
        <row r="92">
          <cell r="H92" t="str">
            <v>DLJ Strategic Partners, L.P.</v>
          </cell>
        </row>
        <row r="93">
          <cell r="H93" t="str">
            <v>DLJ Strategic Partners, L.P.</v>
          </cell>
        </row>
        <row r="94">
          <cell r="H94" t="str">
            <v>KKR 1987/86 Fund, LP</v>
          </cell>
        </row>
        <row r="95">
          <cell r="H95" t="str">
            <v>TPG Parallel III, L.P.</v>
          </cell>
        </row>
        <row r="96">
          <cell r="H96" t="str">
            <v>TPG Parallel III, L.P.</v>
          </cell>
        </row>
        <row r="97">
          <cell r="H97" t="str">
            <v>Warburg Pincus Private Equity VIII, L.P.</v>
          </cell>
        </row>
        <row r="98">
          <cell r="H98" t="str">
            <v>GE Private Placement Partners II, L.P.</v>
          </cell>
        </row>
        <row r="99">
          <cell r="H99" t="str">
            <v>Highland Capital Partners VI-B, L.P.</v>
          </cell>
        </row>
        <row r="100">
          <cell r="H100" t="str">
            <v>APA Excelsior V, LP</v>
          </cell>
        </row>
        <row r="101">
          <cell r="H101" t="str">
            <v>DLJ Strategic Partners, L.P.</v>
          </cell>
        </row>
        <row r="102">
          <cell r="H102" t="str">
            <v>DLJ Strategic Partners, L.P.</v>
          </cell>
        </row>
        <row r="103">
          <cell r="H103" t="str">
            <v>DLJ Strategic Partners, L.P.</v>
          </cell>
        </row>
        <row r="104">
          <cell r="H104" t="str">
            <v>DLJ Strategic Partners, L.P.</v>
          </cell>
        </row>
        <row r="105">
          <cell r="H105" t="str">
            <v>DLJ Strategic Partners, L.P.</v>
          </cell>
        </row>
        <row r="106">
          <cell r="H106" t="str">
            <v>DLJ Strategic Partners, L.P.</v>
          </cell>
        </row>
        <row r="107">
          <cell r="H107" t="str">
            <v>DLJ Strategic Partners, L.P.</v>
          </cell>
        </row>
        <row r="108">
          <cell r="H108" t="str">
            <v>DLJ Strategic Partners, L.P.</v>
          </cell>
        </row>
        <row r="109">
          <cell r="H109" t="str">
            <v>Endowment Private Equity Partners IV, L.P.</v>
          </cell>
        </row>
        <row r="110">
          <cell r="H110" t="str">
            <v>Endowment Private Equity Partners IV, L.P.</v>
          </cell>
        </row>
        <row r="111">
          <cell r="H111" t="str">
            <v>Endowment Private Equity Partners IV, L.P.</v>
          </cell>
        </row>
        <row r="112">
          <cell r="H112" t="str">
            <v>Green Equity Investors IV, L.P.</v>
          </cell>
        </row>
        <row r="113">
          <cell r="H113" t="str">
            <v>DLJ Strategic Partners, L.P.</v>
          </cell>
        </row>
        <row r="114">
          <cell r="H114" t="str">
            <v>Apax Excelsior VI, L.P.</v>
          </cell>
        </row>
        <row r="115">
          <cell r="H115" t="str">
            <v>DLJ Strategic Partners, L.P.</v>
          </cell>
        </row>
        <row r="116">
          <cell r="H116" t="str">
            <v>DLJ Strategic Partners, L.P.</v>
          </cell>
        </row>
        <row r="117">
          <cell r="H117" t="str">
            <v>DLJ Strategic Partners, L.P.</v>
          </cell>
        </row>
        <row r="118">
          <cell r="H118" t="str">
            <v>DLJ Strategic Partners, L.P.</v>
          </cell>
        </row>
        <row r="119">
          <cell r="H119" t="str">
            <v>DLJ Strategic Partners, L.P.</v>
          </cell>
        </row>
        <row r="120">
          <cell r="H120" t="str">
            <v>Endowment Private Equity Partners IV, L.P.</v>
          </cell>
        </row>
        <row r="121">
          <cell r="H121" t="str">
            <v>Endowment Private Equity Partners IV, L.P.</v>
          </cell>
        </row>
        <row r="122">
          <cell r="H122" t="str">
            <v>Endowment Private Equity Partners IV, L.P.</v>
          </cell>
        </row>
        <row r="123">
          <cell r="H123" t="str">
            <v>Endowment Private Equity Partners IV, L.P.</v>
          </cell>
        </row>
        <row r="124">
          <cell r="H124" t="str">
            <v>Endowment Private Equity Partners IV, L.P.</v>
          </cell>
        </row>
        <row r="125">
          <cell r="H125" t="str">
            <v>Endowment Private Equity Partners IV, L.P.</v>
          </cell>
        </row>
        <row r="126">
          <cell r="H126" t="str">
            <v>Endowment Private Equity Partners IV, L.P.</v>
          </cell>
        </row>
        <row r="127">
          <cell r="H127" t="str">
            <v>Endowment Private Equity Partners IV, L.P.</v>
          </cell>
        </row>
        <row r="128">
          <cell r="H128" t="str">
            <v>Endowment Private Equity Partners IV, L.P.</v>
          </cell>
        </row>
        <row r="129">
          <cell r="H129" t="str">
            <v>Endowment Private Equity Partners IV, L.P.</v>
          </cell>
        </row>
        <row r="130">
          <cell r="H130" t="str">
            <v>Endowment Venture Partners V, L.P.</v>
          </cell>
        </row>
        <row r="131">
          <cell r="H131" t="str">
            <v>Endowment Venture Partners V, L.P.</v>
          </cell>
        </row>
        <row r="132">
          <cell r="H132" t="str">
            <v>Highland Capital Partners VI-B, L.P.</v>
          </cell>
        </row>
        <row r="133">
          <cell r="H133" t="str">
            <v>Highland Capital Partners VI-B, L.P.</v>
          </cell>
        </row>
        <row r="134">
          <cell r="H134" t="str">
            <v>Highland Capital Partners VI-B, L.P.</v>
          </cell>
        </row>
        <row r="135">
          <cell r="H135" t="str">
            <v>Highland Capital Partners VI-B, L.P.</v>
          </cell>
        </row>
        <row r="136">
          <cell r="H136" t="str">
            <v>Highland Capital Partners VI-B, L.P.</v>
          </cell>
        </row>
        <row r="137">
          <cell r="H137" t="str">
            <v>Highland Capital Partners VI-B, L.P.</v>
          </cell>
        </row>
        <row r="138">
          <cell r="H138" t="str">
            <v>Highland Capital Partners VI-B, L.P.</v>
          </cell>
        </row>
        <row r="139">
          <cell r="H139" t="str">
            <v>Highland Capital Partners VI-B, L.P.</v>
          </cell>
        </row>
        <row r="140">
          <cell r="H140" t="str">
            <v>Highland Capital Partners VI-B, L.P.</v>
          </cell>
        </row>
        <row r="141">
          <cell r="H141" t="str">
            <v>Highland Capital Partners VI-B, L.P.</v>
          </cell>
        </row>
        <row r="142">
          <cell r="H142" t="str">
            <v>Highland Capital Partners VI-B, L.P.</v>
          </cell>
        </row>
        <row r="143">
          <cell r="H143" t="str">
            <v>Highland Capital Partners VI-B, L.P.</v>
          </cell>
        </row>
        <row r="144">
          <cell r="H144" t="str">
            <v>Highland Capital Partners VI-B, L.P.</v>
          </cell>
        </row>
        <row r="145">
          <cell r="H145" t="str">
            <v>Highland Capital Partners VI-B, L.P.</v>
          </cell>
        </row>
        <row r="146">
          <cell r="H146" t="str">
            <v>Warburg Pincus Private Equity VIII, L.P.</v>
          </cell>
        </row>
        <row r="147">
          <cell r="H147" t="str">
            <v>Kohlberg TE Investors IV, L.P.</v>
          </cell>
        </row>
        <row r="148">
          <cell r="H148" t="str">
            <v>Warburg Pincus Private Equity VIII, L.P.</v>
          </cell>
        </row>
        <row r="149">
          <cell r="H149" t="str">
            <v>Warburg Pincus Private Equity VIII, L.P.</v>
          </cell>
        </row>
        <row r="150">
          <cell r="H150" t="str">
            <v>Apax Excelsior VI, L.P.</v>
          </cell>
        </row>
        <row r="151">
          <cell r="H151" t="str">
            <v>Warburg Pincus Private Equity VIII, L.P.</v>
          </cell>
        </row>
        <row r="152">
          <cell r="H152" t="str">
            <v>DLJ Strategic Partners, L.P.</v>
          </cell>
        </row>
        <row r="153">
          <cell r="H153" t="str">
            <v>TPG Parallel III, L.P.</v>
          </cell>
        </row>
        <row r="154">
          <cell r="H154" t="str">
            <v>Apax Excelsior VI, L.P.</v>
          </cell>
        </row>
        <row r="155">
          <cell r="H155" t="str">
            <v>DLJ Strategic Partners, L.P.</v>
          </cell>
        </row>
        <row r="156">
          <cell r="H156" t="str">
            <v>HarbourVest Int'l PEP III - Direct Fund, L.P.</v>
          </cell>
        </row>
        <row r="157">
          <cell r="H157" t="str">
            <v>HarbourVest Int'l PEP III - Partnership Fund, L.P.</v>
          </cell>
        </row>
        <row r="158">
          <cell r="H158" t="str">
            <v>Highland Capital Partners VI-B, L.P.</v>
          </cell>
        </row>
        <row r="159">
          <cell r="H159" t="str">
            <v>DLJ Strategic Partners, L.P.</v>
          </cell>
        </row>
        <row r="160">
          <cell r="H160" t="str">
            <v>APA Excelsior V, LP</v>
          </cell>
        </row>
        <row r="161">
          <cell r="H161" t="str">
            <v>GE Private Placement Partners II, L.P.</v>
          </cell>
        </row>
        <row r="162">
          <cell r="H162" t="str">
            <v>TPG Parallel III, L.P.</v>
          </cell>
        </row>
        <row r="163">
          <cell r="H163" t="str">
            <v>Apax Excelsior VI, L.P.</v>
          </cell>
        </row>
        <row r="164">
          <cell r="H164" t="str">
            <v>Apax Excelsior VI, L.P.</v>
          </cell>
        </row>
        <row r="165">
          <cell r="H165" t="str">
            <v>Apax Excelsior VI, L.P.</v>
          </cell>
        </row>
        <row r="166">
          <cell r="H166" t="str">
            <v>Apax Excelsior VI, L.P.</v>
          </cell>
        </row>
        <row r="167">
          <cell r="H167" t="str">
            <v>Apax Excelsior VI, L.P.</v>
          </cell>
        </row>
        <row r="168">
          <cell r="H168" t="str">
            <v>Endowment Venture Partners V, L.P.</v>
          </cell>
        </row>
        <row r="169">
          <cell r="H169" t="str">
            <v>Endowment Venture Partners V, L.P.</v>
          </cell>
        </row>
        <row r="170">
          <cell r="H170" t="str">
            <v>GE Private Placement Partners II, L.P.</v>
          </cell>
        </row>
        <row r="171">
          <cell r="H171" t="str">
            <v>Warburg Pincus Private Equity VIII, L.P.</v>
          </cell>
        </row>
        <row r="172">
          <cell r="H172" t="str">
            <v>Warburg Pincus Private Equity VIII, L.P.</v>
          </cell>
        </row>
        <row r="173">
          <cell r="H173" t="str">
            <v>Warburg Pincus Private Equity VIII, L.P.</v>
          </cell>
        </row>
        <row r="174">
          <cell r="H174" t="str">
            <v>APA Excelsior V, LP</v>
          </cell>
        </row>
        <row r="175">
          <cell r="H175" t="str">
            <v>Apax Excelsior VI, L.P.</v>
          </cell>
        </row>
        <row r="176">
          <cell r="H176" t="str">
            <v>DLJ Strategic Partners, L.P.</v>
          </cell>
        </row>
        <row r="177">
          <cell r="H177" t="str">
            <v>DLJ Strategic Partners, L.P.</v>
          </cell>
        </row>
        <row r="178">
          <cell r="H178" t="str">
            <v>DLJ Strategic Partners, L.P.</v>
          </cell>
        </row>
        <row r="179">
          <cell r="H179" t="str">
            <v>DLJ Strategic Partners, L.P.</v>
          </cell>
        </row>
        <row r="180">
          <cell r="H180" t="str">
            <v>DLJ Strategic Partners, L.P.</v>
          </cell>
        </row>
        <row r="181">
          <cell r="H181" t="str">
            <v>DLJ Strategic Partners, L.P.</v>
          </cell>
        </row>
        <row r="182">
          <cell r="H182" t="str">
            <v>DLJ Strategic Partners, L.P.</v>
          </cell>
        </row>
        <row r="183">
          <cell r="H183" t="str">
            <v>DLJ Strategic Partners, L.P.</v>
          </cell>
        </row>
        <row r="184">
          <cell r="H184" t="str">
            <v>DLJ Strategic Partners, L.P.</v>
          </cell>
        </row>
        <row r="185">
          <cell r="H185" t="str">
            <v>DLJ Strategic Partners, L.P.</v>
          </cell>
        </row>
        <row r="186">
          <cell r="H186" t="str">
            <v>DLJ Strategic Partners, L.P.</v>
          </cell>
        </row>
        <row r="187">
          <cell r="H187" t="str">
            <v>DLJ Strategic Partners, L.P.</v>
          </cell>
        </row>
        <row r="188">
          <cell r="H188" t="str">
            <v>DLJ Strategic Partners, L.P.</v>
          </cell>
        </row>
        <row r="189">
          <cell r="H189" t="str">
            <v>DLJ Strategic Partners, L.P.</v>
          </cell>
        </row>
        <row r="190">
          <cell r="H190" t="str">
            <v>DLJ Strategic Partners, L.P.</v>
          </cell>
        </row>
        <row r="191">
          <cell r="H191" t="str">
            <v>DLJ Strategic Partners, L.P.</v>
          </cell>
        </row>
        <row r="192">
          <cell r="H192" t="str">
            <v>DLJ Strategic Partners, L.P.</v>
          </cell>
        </row>
        <row r="193">
          <cell r="H193" t="str">
            <v>DLJ Strategic Partners, L.P.</v>
          </cell>
        </row>
        <row r="194">
          <cell r="H194" t="str">
            <v>DLJ Strategic Partners, L.P.</v>
          </cell>
        </row>
        <row r="195">
          <cell r="H195" t="str">
            <v>DLJ Strategic Partners, L.P.</v>
          </cell>
        </row>
        <row r="196">
          <cell r="H196" t="str">
            <v>DLJ Strategic Partners, L.P.</v>
          </cell>
        </row>
        <row r="197">
          <cell r="H197" t="str">
            <v>DLJ Strategic Partners, L.P.</v>
          </cell>
        </row>
        <row r="198">
          <cell r="H198" t="str">
            <v>DLJ Strategic Partners, L.P.</v>
          </cell>
        </row>
        <row r="199">
          <cell r="H199" t="str">
            <v>DLJ Strategic Partners, L.P.</v>
          </cell>
        </row>
        <row r="200">
          <cell r="H200" t="str">
            <v>DLJ Strategic Partners, L.P.</v>
          </cell>
        </row>
        <row r="201">
          <cell r="H201" t="str">
            <v>DLJ Strategic Partners, L.P.</v>
          </cell>
        </row>
        <row r="202">
          <cell r="H202" t="str">
            <v>DLJ Strategic Partners, L.P.</v>
          </cell>
        </row>
        <row r="203">
          <cell r="H203" t="str">
            <v>DLJ Strategic Partners, L.P.</v>
          </cell>
        </row>
        <row r="204">
          <cell r="H204" t="str">
            <v>DLJ Strategic Partners, L.P.</v>
          </cell>
        </row>
        <row r="205">
          <cell r="H205" t="str">
            <v>DLJ Strategic Partners, L.P.</v>
          </cell>
        </row>
        <row r="206">
          <cell r="H206" t="str">
            <v>DLJ Strategic Partners, L.P.</v>
          </cell>
        </row>
        <row r="207">
          <cell r="H207" t="str">
            <v>DLJ Strategic Partners, L.P.</v>
          </cell>
        </row>
        <row r="208">
          <cell r="H208" t="str">
            <v>DLJ Strategic Partners, L.P.</v>
          </cell>
        </row>
        <row r="209">
          <cell r="H209" t="str">
            <v>DLJ Strategic Partners, L.P.</v>
          </cell>
        </row>
        <row r="210">
          <cell r="H210" t="str">
            <v>DLJ Strategic Partners, L.P.</v>
          </cell>
        </row>
        <row r="211">
          <cell r="H211" t="str">
            <v>DLJ Strategic Partners, L.P.</v>
          </cell>
        </row>
        <row r="212">
          <cell r="H212" t="str">
            <v>DLJ Strategic Partners, L.P.</v>
          </cell>
        </row>
        <row r="213">
          <cell r="H213" t="str">
            <v>DLJ Strategic Partners, L.P.</v>
          </cell>
        </row>
        <row r="214">
          <cell r="H214" t="str">
            <v>DLJ Strategic Partners, L.P.</v>
          </cell>
        </row>
        <row r="215">
          <cell r="H215" t="str">
            <v>DLJ Strategic Partners, L.P.</v>
          </cell>
        </row>
        <row r="216">
          <cell r="H216" t="str">
            <v>DLJ Strategic Partners, L.P.</v>
          </cell>
        </row>
        <row r="217">
          <cell r="H217" t="str">
            <v>DLJ Strategic Partners, L.P.</v>
          </cell>
        </row>
        <row r="218">
          <cell r="H218" t="str">
            <v>DLJ Strategic Partners, L.P.</v>
          </cell>
        </row>
        <row r="219">
          <cell r="H219" t="str">
            <v>DLJ Strategic Partners, L.P.</v>
          </cell>
        </row>
        <row r="220">
          <cell r="H220" t="str">
            <v>Endowment Private Equity Partners IV, L.P.</v>
          </cell>
        </row>
        <row r="221">
          <cell r="H221" t="str">
            <v>Endowment Private Equity Partners IV, L.P.</v>
          </cell>
        </row>
        <row r="222">
          <cell r="H222" t="str">
            <v>Endowment Venture Partners V, L.P.</v>
          </cell>
        </row>
        <row r="223">
          <cell r="H223" t="str">
            <v>Endowment Venture Partners V, L.P.</v>
          </cell>
        </row>
        <row r="224">
          <cell r="H224" t="str">
            <v>Endowment Venture Partners V, L.P.</v>
          </cell>
        </row>
        <row r="225">
          <cell r="H225" t="str">
            <v>GE Private Placement Partners II, L.P.</v>
          </cell>
        </row>
        <row r="226">
          <cell r="H226" t="str">
            <v>Highland Capital Partners VI-B, L.P.</v>
          </cell>
        </row>
        <row r="227">
          <cell r="H227" t="str">
            <v>KKR 1987/86 Fund, LP</v>
          </cell>
        </row>
        <row r="228">
          <cell r="H228" t="str">
            <v>Kohlberg TE Investors IV, L.P.</v>
          </cell>
        </row>
        <row r="229">
          <cell r="H229" t="str">
            <v>DLJ Strategic Partners, L.P.</v>
          </cell>
        </row>
        <row r="230">
          <cell r="H230" t="str">
            <v>DLJ Strategic Partners, L.P.</v>
          </cell>
        </row>
        <row r="231">
          <cell r="H231" t="str">
            <v>DLJ Strategic Partners, L.P.</v>
          </cell>
        </row>
        <row r="232">
          <cell r="H232" t="str">
            <v>DLJ Strategic Partners, L.P.</v>
          </cell>
        </row>
        <row r="233">
          <cell r="H233" t="str">
            <v>Endowment Private Equity Partners IV, L.P.</v>
          </cell>
        </row>
        <row r="234">
          <cell r="H234" t="str">
            <v>KKR 1987/86 Fund, LP</v>
          </cell>
        </row>
        <row r="235">
          <cell r="H235" t="str">
            <v>KKR 1987/86 Fund, LP</v>
          </cell>
        </row>
        <row r="236">
          <cell r="H236" t="str">
            <v>Kohlberg TE Investors IV, L.P.</v>
          </cell>
        </row>
        <row r="237">
          <cell r="H237" t="str">
            <v>Warburg Pincus Private Equity VIII, L.P.</v>
          </cell>
        </row>
        <row r="238">
          <cell r="H238" t="str">
            <v>Warburg Pincus Private Equity VIII, L.P.</v>
          </cell>
        </row>
        <row r="239">
          <cell r="H239" t="str">
            <v>APA Excelsior V, LP</v>
          </cell>
        </row>
        <row r="240">
          <cell r="H240" t="str">
            <v>APA Excelsior V, LP</v>
          </cell>
        </row>
        <row r="241">
          <cell r="H241" t="str">
            <v>DLJ Strategic Partners, L.P.</v>
          </cell>
        </row>
        <row r="242">
          <cell r="H242" t="str">
            <v>DLJ Strategic Partners, L.P.</v>
          </cell>
        </row>
        <row r="243">
          <cell r="H243" t="str">
            <v>DLJ Strategic Partners, L.P.</v>
          </cell>
        </row>
        <row r="244">
          <cell r="H244" t="str">
            <v>DLJ Strategic Partners, L.P.</v>
          </cell>
        </row>
        <row r="245">
          <cell r="H245" t="str">
            <v>Endowment Venture Partners V, L.P.</v>
          </cell>
        </row>
        <row r="246">
          <cell r="H246" t="str">
            <v>New Enterprise Associates 11, L.P.</v>
          </cell>
        </row>
        <row r="247">
          <cell r="H247" t="str">
            <v>Warburg Pincus Private Equity VIII, L.P.</v>
          </cell>
        </row>
        <row r="248">
          <cell r="H248" t="str">
            <v>Endowment Private Equity Partners IV, L.P.</v>
          </cell>
        </row>
        <row r="249">
          <cell r="H249" t="str">
            <v>Kohlberg TE Investors IV, L.P.</v>
          </cell>
        </row>
        <row r="250">
          <cell r="H250" t="str">
            <v>Endowment Venture Partners V, L.P.</v>
          </cell>
        </row>
        <row r="251">
          <cell r="H251" t="str">
            <v>Green Equity Investors IV, L.P.</v>
          </cell>
        </row>
        <row r="252">
          <cell r="H252" t="str">
            <v>Apax Excelsior VI, L.P.</v>
          </cell>
        </row>
        <row r="253">
          <cell r="H253" t="str">
            <v>Apax Excelsior VI, L.P.</v>
          </cell>
        </row>
        <row r="254">
          <cell r="H254" t="str">
            <v>DLJ Strategic Partners, L.P.</v>
          </cell>
        </row>
        <row r="255">
          <cell r="H255" t="str">
            <v>Highland Capital Partners VI-B, L.P.</v>
          </cell>
        </row>
        <row r="256">
          <cell r="H256" t="str">
            <v>Kohlberg TE Investors IV, L.P.</v>
          </cell>
        </row>
        <row r="257">
          <cell r="H257" t="str">
            <v>Kohlberg TE Investors IV, L.P.</v>
          </cell>
        </row>
        <row r="258">
          <cell r="H258" t="str">
            <v>TPG Parallel III, L.P.</v>
          </cell>
        </row>
        <row r="259">
          <cell r="H259" t="str">
            <v>TPG Parallel III, L.P.</v>
          </cell>
        </row>
        <row r="260">
          <cell r="H260" t="str">
            <v>TPG Partners IV, L.P.</v>
          </cell>
        </row>
        <row r="261">
          <cell r="H261" t="str">
            <v>Endowment Venture Partners V, L.P.</v>
          </cell>
        </row>
        <row r="262">
          <cell r="H262" t="str">
            <v>Endowment Venture Partners V, L.P.</v>
          </cell>
        </row>
        <row r="263">
          <cell r="H263" t="str">
            <v>Apax Excelsior VI, L.P.</v>
          </cell>
        </row>
        <row r="264">
          <cell r="H264" t="str">
            <v>DLJ Strategic Partners, L.P.</v>
          </cell>
        </row>
        <row r="265">
          <cell r="H265" t="str">
            <v>Warburg Pincus International Partners, L.P.</v>
          </cell>
        </row>
        <row r="266">
          <cell r="H266" t="str">
            <v>APA Excelsior V, LP</v>
          </cell>
        </row>
        <row r="267">
          <cell r="H267" t="str">
            <v>Apax Excelsior VI, L.P.</v>
          </cell>
        </row>
        <row r="268">
          <cell r="H268" t="str">
            <v>Apax Excelsior VI, L.P.</v>
          </cell>
        </row>
        <row r="269">
          <cell r="H269" t="str">
            <v>Apax Excelsior VI, L.P.</v>
          </cell>
        </row>
        <row r="270">
          <cell r="H270" t="str">
            <v>Apax Globis Japan Fund, L.P.</v>
          </cell>
        </row>
        <row r="271">
          <cell r="H271" t="str">
            <v>Apax Globis Japan Fund, L.P.</v>
          </cell>
        </row>
        <row r="272">
          <cell r="H272" t="str">
            <v>Apax Globis Japan Fund, L.P.</v>
          </cell>
        </row>
        <row r="273">
          <cell r="H273" t="str">
            <v>Apax Globis Japan Fund, L.P.</v>
          </cell>
        </row>
        <row r="274">
          <cell r="H274" t="str">
            <v>Apax Globis Japan Fund, L.P.</v>
          </cell>
        </row>
        <row r="275">
          <cell r="H275" t="str">
            <v>Apax Globis Japan Fund, L.P.</v>
          </cell>
        </row>
        <row r="276">
          <cell r="H276" t="str">
            <v>Apax Globis Japan Fund, L.P.</v>
          </cell>
        </row>
        <row r="277">
          <cell r="H277" t="str">
            <v>Apax Globis Japan Fund, L.P.</v>
          </cell>
        </row>
        <row r="278">
          <cell r="H278" t="str">
            <v>Apax Globis Japan Fund, L.P.</v>
          </cell>
        </row>
        <row r="279">
          <cell r="H279" t="str">
            <v>Apax Globis Japan Fund, L.P.</v>
          </cell>
        </row>
        <row r="280">
          <cell r="H280" t="str">
            <v>Apax Globis Japan Fund, L.P.</v>
          </cell>
        </row>
        <row r="281">
          <cell r="H281" t="str">
            <v>Apax Globis Japan Fund, L.P.</v>
          </cell>
        </row>
        <row r="282">
          <cell r="H282" t="str">
            <v>Apax Globis Japan Fund, L.P.</v>
          </cell>
        </row>
        <row r="283">
          <cell r="H283" t="str">
            <v>Apax Globis Japan Fund, L.P.</v>
          </cell>
        </row>
        <row r="284">
          <cell r="H284" t="str">
            <v>Apax Globis Japan Fund, L.P.</v>
          </cell>
        </row>
        <row r="285">
          <cell r="H285" t="str">
            <v>Apax Globis Japan Fund, L.P.</v>
          </cell>
        </row>
        <row r="286">
          <cell r="H286" t="str">
            <v>Apax Globis Japan Fund, L.P.</v>
          </cell>
        </row>
        <row r="287">
          <cell r="H287" t="str">
            <v>Apax Globis Japan Fund, L.P.</v>
          </cell>
        </row>
        <row r="288">
          <cell r="H288" t="str">
            <v>Apax Globis Japan Fund, L.P.</v>
          </cell>
        </row>
        <row r="289">
          <cell r="H289" t="str">
            <v>Apax Globis Japan Fund, L.P.</v>
          </cell>
        </row>
        <row r="290">
          <cell r="H290" t="str">
            <v>Apax Globis Japan Fund, L.P.</v>
          </cell>
        </row>
        <row r="291">
          <cell r="H291" t="str">
            <v>Apax Globis Japan Fund, L.P.</v>
          </cell>
        </row>
        <row r="292">
          <cell r="H292" t="str">
            <v>Charterhouse Capital Partners VII</v>
          </cell>
        </row>
        <row r="293">
          <cell r="H293" t="str">
            <v>DLJ Strategic Partners, L.P.</v>
          </cell>
        </row>
        <row r="294">
          <cell r="H294" t="str">
            <v>DLJ Strategic Partners, L.P.</v>
          </cell>
        </row>
        <row r="295">
          <cell r="H295" t="str">
            <v>DLJ Strategic Partners, L.P.</v>
          </cell>
        </row>
        <row r="296">
          <cell r="H296" t="str">
            <v>DLJ Strategic Partners, L.P.</v>
          </cell>
        </row>
        <row r="297">
          <cell r="H297" t="str">
            <v>DLJ Strategic Partners, L.P.</v>
          </cell>
        </row>
        <row r="298">
          <cell r="H298" t="str">
            <v>DLJ Strategic Partners, L.P.</v>
          </cell>
        </row>
        <row r="299">
          <cell r="H299" t="str">
            <v>DLJ Strategic Partners, L.P.</v>
          </cell>
        </row>
        <row r="300">
          <cell r="H300" t="str">
            <v>GE Private Placement Partners II, L.P.</v>
          </cell>
        </row>
        <row r="301">
          <cell r="H301" t="str">
            <v>HarbourVest Int'l PEP III - Direct Fund, L.P.</v>
          </cell>
        </row>
        <row r="302">
          <cell r="H302" t="str">
            <v>HarbourVest Int'l PEP III - Direct Fund, L.P.</v>
          </cell>
        </row>
        <row r="303">
          <cell r="H303" t="str">
            <v>HarbourVest Int'l PEP III - Direct Fund, L.P.</v>
          </cell>
        </row>
        <row r="304">
          <cell r="H304" t="str">
            <v>HarbourVest Int'l PEP III - Direct Fund, L.P.</v>
          </cell>
        </row>
        <row r="305">
          <cell r="H305" t="str">
            <v>HarbourVest Int'l PEP III - Direct Fund, L.P.</v>
          </cell>
        </row>
        <row r="306">
          <cell r="H306" t="str">
            <v>HarbourVest Int'l PEP III - Direct Fund, L.P.</v>
          </cell>
        </row>
        <row r="307">
          <cell r="H307" t="str">
            <v>HarbourVest Int'l PEP III - Direct Fund, L.P.</v>
          </cell>
        </row>
        <row r="308">
          <cell r="H308" t="str">
            <v>HarbourVest Int'l PEP III - Direct Fund, L.P.</v>
          </cell>
        </row>
        <row r="309">
          <cell r="H309" t="str">
            <v>HarbourVest Int'l PEP III - Partnership Fund, L.P.</v>
          </cell>
        </row>
        <row r="310">
          <cell r="H310" t="str">
            <v>HarbourVest Int'l PEP III - Partnership Fund, L.P.</v>
          </cell>
        </row>
        <row r="311">
          <cell r="H311" t="str">
            <v>HarbourVest Int'l PEP III - Partnership Fund, L.P.</v>
          </cell>
        </row>
        <row r="312">
          <cell r="H312" t="str">
            <v>HarbourVest Int'l PEP III - Partnership Fund, L.P.</v>
          </cell>
        </row>
        <row r="313">
          <cell r="H313" t="str">
            <v>HarbourVest Int'l PEP III - Partnership Fund, L.P.</v>
          </cell>
        </row>
        <row r="314">
          <cell r="H314" t="str">
            <v>New Enterprise Associates 11, L.P.</v>
          </cell>
        </row>
        <row r="315">
          <cell r="H315" t="str">
            <v>South Africa Capital Growth Fund, Ltd.</v>
          </cell>
        </row>
        <row r="316">
          <cell r="H316" t="str">
            <v>South Africa Capital Growth Fund, Ltd.</v>
          </cell>
        </row>
        <row r="317">
          <cell r="H317" t="str">
            <v>South Africa Capital Growth Fund, Ltd.</v>
          </cell>
        </row>
        <row r="318">
          <cell r="H318" t="str">
            <v>South Africa Capital Growth Fund, Ltd.</v>
          </cell>
        </row>
        <row r="319">
          <cell r="H319" t="str">
            <v>South Africa Capital Growth Fund, Ltd.</v>
          </cell>
        </row>
        <row r="320">
          <cell r="H320" t="str">
            <v>TPG Parallel III, L.P.</v>
          </cell>
        </row>
        <row r="321">
          <cell r="H321" t="str">
            <v>TPG Parallel III, L.P.</v>
          </cell>
        </row>
        <row r="322">
          <cell r="H322" t="str">
            <v>TPG Parallel III, L.P.</v>
          </cell>
        </row>
        <row r="323">
          <cell r="H323" t="str">
            <v>TPG Parallel III, L.P.</v>
          </cell>
        </row>
        <row r="324">
          <cell r="H324" t="str">
            <v>TPG Parallel III, L.P.</v>
          </cell>
        </row>
        <row r="325">
          <cell r="H325" t="str">
            <v>TPG Parallel III, L.P.</v>
          </cell>
        </row>
        <row r="326">
          <cell r="H326" t="str">
            <v>TPG Parallel III, L.P.</v>
          </cell>
        </row>
        <row r="327">
          <cell r="H327" t="str">
            <v>TPG Partners IV, L.P.</v>
          </cell>
        </row>
        <row r="328">
          <cell r="H328" t="str">
            <v>TPG Partners IV, L.P.</v>
          </cell>
        </row>
        <row r="329">
          <cell r="H329" t="str">
            <v>Warburg Pincus International Partners, L.P.</v>
          </cell>
        </row>
        <row r="330">
          <cell r="H330" t="str">
            <v>Warburg Pincus International Partners, L.P.</v>
          </cell>
        </row>
        <row r="331">
          <cell r="H331" t="str">
            <v>Warburg Pincus International Partners, L.P.</v>
          </cell>
        </row>
        <row r="332">
          <cell r="H332" t="str">
            <v>Warburg Pincus International Partners, L.P.</v>
          </cell>
        </row>
        <row r="333">
          <cell r="H333" t="str">
            <v>Warburg Pincus International Partners, L.P.</v>
          </cell>
        </row>
        <row r="334">
          <cell r="H334" t="str">
            <v>Warburg Pincus International Partners, L.P.</v>
          </cell>
        </row>
        <row r="335">
          <cell r="H335" t="str">
            <v>Warburg Pincus International Partners, L.P.</v>
          </cell>
        </row>
        <row r="336">
          <cell r="H336" t="str">
            <v>Warburg Pincus International Partners, L.P.</v>
          </cell>
        </row>
        <row r="337">
          <cell r="H337" t="str">
            <v>Warburg Pincus International Partners, L.P.</v>
          </cell>
        </row>
        <row r="338">
          <cell r="H338" t="str">
            <v>Warburg Pincus International Partners, L.P.</v>
          </cell>
        </row>
        <row r="339">
          <cell r="H339" t="str">
            <v>Warburg Pincus International Partners, L.P.</v>
          </cell>
        </row>
        <row r="340">
          <cell r="H340" t="str">
            <v>Warburg Pincus International Partners, L.P.</v>
          </cell>
        </row>
        <row r="341">
          <cell r="H341" t="str">
            <v>Warburg Pincus International Partners, L.P.</v>
          </cell>
        </row>
        <row r="342">
          <cell r="H342" t="str">
            <v>Warburg Pincus International Partners, L.P.</v>
          </cell>
        </row>
        <row r="343">
          <cell r="H343" t="str">
            <v>Warburg Pincus International Partners, L.P.</v>
          </cell>
        </row>
        <row r="344">
          <cell r="H344" t="str">
            <v>Warburg Pincus International Partners, L.P.</v>
          </cell>
        </row>
        <row r="345">
          <cell r="H345" t="str">
            <v>Warburg Pincus International Partners, L.P.</v>
          </cell>
        </row>
        <row r="346">
          <cell r="H346" t="str">
            <v>Warburg Pincus International Partners, L.P.</v>
          </cell>
        </row>
        <row r="347">
          <cell r="H347" t="str">
            <v>Warburg Pincus International Partners, L.P.</v>
          </cell>
        </row>
        <row r="348">
          <cell r="H348" t="str">
            <v>Warburg Pincus Private Equity VIII, L.P.</v>
          </cell>
        </row>
        <row r="349">
          <cell r="H349" t="str">
            <v>Warburg Pincus Private Equity VIII, L.P.</v>
          </cell>
        </row>
        <row r="350">
          <cell r="H350" t="str">
            <v>Warburg Pincus Private Equity VIII, L.P.</v>
          </cell>
        </row>
        <row r="351">
          <cell r="H351" t="str">
            <v>Warburg Pincus Private Equity VIII, L.P.</v>
          </cell>
        </row>
        <row r="352">
          <cell r="H352" t="str">
            <v>Warburg Pincus Private Equity VIII, L.P.</v>
          </cell>
        </row>
        <row r="353">
          <cell r="H353" t="str">
            <v>Warburg Pincus Private Equity VIII, L.P.</v>
          </cell>
        </row>
        <row r="354">
          <cell r="H354" t="str">
            <v>Warburg Pincus Private Equity VIII, L.P.</v>
          </cell>
        </row>
        <row r="355">
          <cell r="H355" t="str">
            <v>Warburg Pincus Private Equity VIII, L.P.</v>
          </cell>
        </row>
        <row r="356">
          <cell r="H356" t="str">
            <v>Warburg Pincus Private Equity VIII, L.P.</v>
          </cell>
        </row>
        <row r="357">
          <cell r="H357" t="str">
            <v>Warburg Pincus Private Equity VIII, L.P.</v>
          </cell>
        </row>
        <row r="358">
          <cell r="H358" t="str">
            <v>Warburg Pincus Private Equity VIII, L.P.</v>
          </cell>
        </row>
        <row r="359">
          <cell r="H359" t="str">
            <v>Warburg Pincus Private Equity VIII, L.P.</v>
          </cell>
        </row>
        <row r="360">
          <cell r="H360" t="str">
            <v>Warburg Pincus Private Equity VIII, L.P.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Metrics"/>
      <sheetName val="HL IRR"/>
      <sheetName val="HL Value Creation"/>
      <sheetName val="HL Charts"/>
    </sheetNames>
    <sheetDataSet>
      <sheetData sheetId="0" refreshError="1">
        <row r="15">
          <cell r="D15" t="str">
            <v>XYZ Company</v>
          </cell>
        </row>
      </sheetData>
      <sheetData sheetId="1" refreshError="1"/>
      <sheetData sheetId="2" refreshError="1"/>
      <sheetData sheetId="3" refreshError="1"/>
      <sheetData sheetId="4" refreshError="1">
        <row r="10">
          <cell r="F10">
            <v>0</v>
          </cell>
          <cell r="G10">
            <v>0</v>
          </cell>
          <cell r="H10">
            <v>0</v>
          </cell>
          <cell r="K10" t="str">
            <v>YES</v>
          </cell>
        </row>
        <row r="11">
          <cell r="F11">
            <v>0</v>
          </cell>
          <cell r="G11">
            <v>0</v>
          </cell>
          <cell r="H11">
            <v>0</v>
          </cell>
          <cell r="K11" t="str">
            <v>YES</v>
          </cell>
        </row>
        <row r="12">
          <cell r="F12">
            <v>0</v>
          </cell>
          <cell r="G12">
            <v>0</v>
          </cell>
          <cell r="H12">
            <v>0</v>
          </cell>
          <cell r="K12" t="str">
            <v>YES</v>
          </cell>
        </row>
        <row r="13">
          <cell r="F13">
            <v>0</v>
          </cell>
          <cell r="G13">
            <v>0</v>
          </cell>
          <cell r="H13">
            <v>0</v>
          </cell>
          <cell r="K13" t="str">
            <v>YES</v>
          </cell>
        </row>
        <row r="14">
          <cell r="F14">
            <v>0</v>
          </cell>
          <cell r="G14">
            <v>0</v>
          </cell>
          <cell r="H14">
            <v>0</v>
          </cell>
          <cell r="K14" t="str">
            <v>YES</v>
          </cell>
        </row>
        <row r="15">
          <cell r="F15">
            <v>0</v>
          </cell>
          <cell r="G15">
            <v>0</v>
          </cell>
          <cell r="H15">
            <v>0</v>
          </cell>
          <cell r="K15" t="str">
            <v>YES</v>
          </cell>
        </row>
        <row r="16">
          <cell r="F16">
            <v>0</v>
          </cell>
          <cell r="G16">
            <v>0</v>
          </cell>
          <cell r="H16">
            <v>0</v>
          </cell>
          <cell r="K16" t="str">
            <v>YES</v>
          </cell>
        </row>
        <row r="17">
          <cell r="F17">
            <v>0</v>
          </cell>
          <cell r="G17">
            <v>0</v>
          </cell>
          <cell r="H17">
            <v>0</v>
          </cell>
          <cell r="K17" t="str">
            <v>YES</v>
          </cell>
        </row>
        <row r="18">
          <cell r="F18">
            <v>0</v>
          </cell>
          <cell r="G18">
            <v>0</v>
          </cell>
          <cell r="H18">
            <v>0</v>
          </cell>
          <cell r="K18" t="str">
            <v>YES</v>
          </cell>
        </row>
        <row r="19">
          <cell r="F19">
            <v>0</v>
          </cell>
          <cell r="G19">
            <v>0</v>
          </cell>
          <cell r="H19">
            <v>0</v>
          </cell>
          <cell r="K19" t="str">
            <v>YES</v>
          </cell>
        </row>
        <row r="20">
          <cell r="F20">
            <v>0</v>
          </cell>
          <cell r="G20">
            <v>0</v>
          </cell>
          <cell r="H20">
            <v>0</v>
          </cell>
          <cell r="K20" t="str">
            <v>YES</v>
          </cell>
        </row>
        <row r="21">
          <cell r="F21">
            <v>0</v>
          </cell>
          <cell r="G21">
            <v>0</v>
          </cell>
          <cell r="H21">
            <v>0</v>
          </cell>
          <cell r="K21" t="str">
            <v>YES</v>
          </cell>
        </row>
        <row r="22">
          <cell r="F22">
            <v>0</v>
          </cell>
          <cell r="G22">
            <v>0</v>
          </cell>
          <cell r="H22">
            <v>0</v>
          </cell>
          <cell r="K22" t="str">
            <v>YES</v>
          </cell>
        </row>
        <row r="23">
          <cell r="F23">
            <v>0</v>
          </cell>
          <cell r="G23">
            <v>0</v>
          </cell>
          <cell r="H23">
            <v>0</v>
          </cell>
          <cell r="K23" t="str">
            <v>YES</v>
          </cell>
        </row>
        <row r="24">
          <cell r="F24">
            <v>0</v>
          </cell>
          <cell r="G24">
            <v>0</v>
          </cell>
          <cell r="H24">
            <v>0</v>
          </cell>
          <cell r="K24" t="str">
            <v>YES</v>
          </cell>
        </row>
        <row r="25">
          <cell r="F25">
            <v>0</v>
          </cell>
          <cell r="G25">
            <v>0</v>
          </cell>
          <cell r="H25">
            <v>0</v>
          </cell>
          <cell r="K25" t="str">
            <v>YES</v>
          </cell>
        </row>
        <row r="26">
          <cell r="F26">
            <v>0</v>
          </cell>
          <cell r="G26">
            <v>0</v>
          </cell>
          <cell r="H26">
            <v>0</v>
          </cell>
          <cell r="K26" t="str">
            <v>YES</v>
          </cell>
        </row>
        <row r="27">
          <cell r="F27">
            <v>0</v>
          </cell>
          <cell r="G27">
            <v>0</v>
          </cell>
          <cell r="H27">
            <v>0</v>
          </cell>
          <cell r="K27" t="str">
            <v>YES</v>
          </cell>
        </row>
        <row r="28">
          <cell r="F28">
            <v>0</v>
          </cell>
          <cell r="G28">
            <v>0</v>
          </cell>
          <cell r="H28">
            <v>0</v>
          </cell>
          <cell r="K28" t="str">
            <v>YES</v>
          </cell>
        </row>
        <row r="29">
          <cell r="F29">
            <v>0</v>
          </cell>
          <cell r="G29">
            <v>0</v>
          </cell>
          <cell r="H29">
            <v>0</v>
          </cell>
          <cell r="K29" t="str">
            <v>YES</v>
          </cell>
        </row>
        <row r="30">
          <cell r="F30">
            <v>0</v>
          </cell>
          <cell r="G30">
            <v>0</v>
          </cell>
          <cell r="H30">
            <v>0</v>
          </cell>
          <cell r="K30" t="str">
            <v>YES</v>
          </cell>
        </row>
        <row r="31">
          <cell r="F31">
            <v>0</v>
          </cell>
          <cell r="G31">
            <v>0</v>
          </cell>
          <cell r="H31">
            <v>0</v>
          </cell>
          <cell r="K31" t="str">
            <v>YES</v>
          </cell>
        </row>
        <row r="32">
          <cell r="F32">
            <v>0</v>
          </cell>
          <cell r="G32">
            <v>0</v>
          </cell>
          <cell r="H32">
            <v>0</v>
          </cell>
          <cell r="K32" t="str">
            <v>YES</v>
          </cell>
        </row>
        <row r="33">
          <cell r="F33">
            <v>0</v>
          </cell>
          <cell r="G33">
            <v>0</v>
          </cell>
          <cell r="H33">
            <v>0</v>
          </cell>
          <cell r="K33" t="str">
            <v>YES</v>
          </cell>
        </row>
        <row r="34">
          <cell r="F34">
            <v>0</v>
          </cell>
          <cell r="G34">
            <v>0</v>
          </cell>
          <cell r="H34">
            <v>0</v>
          </cell>
          <cell r="K34" t="str">
            <v>YES</v>
          </cell>
        </row>
        <row r="35">
          <cell r="F35">
            <v>0</v>
          </cell>
          <cell r="G35">
            <v>0</v>
          </cell>
          <cell r="H35">
            <v>0</v>
          </cell>
          <cell r="K35" t="str">
            <v>YES</v>
          </cell>
        </row>
        <row r="36">
          <cell r="F36">
            <v>0</v>
          </cell>
          <cell r="G36">
            <v>0</v>
          </cell>
          <cell r="H36">
            <v>0</v>
          </cell>
          <cell r="K36" t="str">
            <v>YES</v>
          </cell>
        </row>
        <row r="37">
          <cell r="F37">
            <v>0</v>
          </cell>
          <cell r="G37">
            <v>0</v>
          </cell>
          <cell r="H37">
            <v>0</v>
          </cell>
          <cell r="K37" t="str">
            <v>YES</v>
          </cell>
        </row>
        <row r="38">
          <cell r="F38">
            <v>0</v>
          </cell>
          <cell r="G38">
            <v>0</v>
          </cell>
          <cell r="H38">
            <v>0</v>
          </cell>
          <cell r="K38" t="str">
            <v>YES</v>
          </cell>
        </row>
        <row r="39">
          <cell r="F39">
            <v>0</v>
          </cell>
          <cell r="G39">
            <v>0</v>
          </cell>
          <cell r="H39">
            <v>0</v>
          </cell>
          <cell r="K39" t="str">
            <v>YES</v>
          </cell>
        </row>
        <row r="40">
          <cell r="F40">
            <v>0</v>
          </cell>
          <cell r="G40">
            <v>0</v>
          </cell>
          <cell r="H40">
            <v>0</v>
          </cell>
          <cell r="K40" t="str">
            <v>YES</v>
          </cell>
        </row>
        <row r="41">
          <cell r="F41">
            <v>0</v>
          </cell>
          <cell r="G41">
            <v>0</v>
          </cell>
          <cell r="H41">
            <v>0</v>
          </cell>
          <cell r="K41" t="str">
            <v>YES</v>
          </cell>
        </row>
        <row r="42">
          <cell r="F42">
            <v>0</v>
          </cell>
          <cell r="G42">
            <v>0</v>
          </cell>
          <cell r="H42">
            <v>0</v>
          </cell>
          <cell r="K42" t="str">
            <v>YES</v>
          </cell>
        </row>
        <row r="43">
          <cell r="F43">
            <v>0</v>
          </cell>
          <cell r="G43">
            <v>0</v>
          </cell>
          <cell r="H43">
            <v>0</v>
          </cell>
          <cell r="K43" t="str">
            <v>YES</v>
          </cell>
        </row>
        <row r="44">
          <cell r="F44">
            <v>0</v>
          </cell>
          <cell r="G44">
            <v>0</v>
          </cell>
          <cell r="H44">
            <v>0</v>
          </cell>
          <cell r="K44" t="str">
            <v>YES</v>
          </cell>
        </row>
        <row r="45">
          <cell r="F45">
            <v>0</v>
          </cell>
          <cell r="G45">
            <v>0</v>
          </cell>
          <cell r="H45">
            <v>0</v>
          </cell>
          <cell r="K45" t="str">
            <v>YES</v>
          </cell>
        </row>
        <row r="46">
          <cell r="F46">
            <v>0</v>
          </cell>
          <cell r="G46">
            <v>0</v>
          </cell>
          <cell r="H46">
            <v>0</v>
          </cell>
          <cell r="K46" t="str">
            <v>YES</v>
          </cell>
        </row>
        <row r="47">
          <cell r="F47">
            <v>0</v>
          </cell>
          <cell r="G47">
            <v>0</v>
          </cell>
          <cell r="H47">
            <v>0</v>
          </cell>
          <cell r="K47" t="str">
            <v>YES</v>
          </cell>
        </row>
        <row r="48">
          <cell r="F48">
            <v>0</v>
          </cell>
          <cell r="G48">
            <v>0</v>
          </cell>
          <cell r="H48">
            <v>0</v>
          </cell>
          <cell r="K48" t="str">
            <v>YES</v>
          </cell>
        </row>
        <row r="49">
          <cell r="F49">
            <v>0</v>
          </cell>
          <cell r="G49">
            <v>0</v>
          </cell>
          <cell r="H49">
            <v>0</v>
          </cell>
          <cell r="K49" t="str">
            <v>YES</v>
          </cell>
        </row>
        <row r="50">
          <cell r="F50">
            <v>0</v>
          </cell>
          <cell r="G50">
            <v>0</v>
          </cell>
          <cell r="H50">
            <v>0</v>
          </cell>
          <cell r="K50" t="str">
            <v>YES</v>
          </cell>
        </row>
        <row r="51">
          <cell r="F51">
            <v>0</v>
          </cell>
          <cell r="G51">
            <v>0</v>
          </cell>
          <cell r="H51">
            <v>0</v>
          </cell>
          <cell r="K51" t="str">
            <v>YES</v>
          </cell>
        </row>
        <row r="52">
          <cell r="F52">
            <v>0</v>
          </cell>
          <cell r="G52">
            <v>0</v>
          </cell>
          <cell r="H52">
            <v>0</v>
          </cell>
          <cell r="K52" t="str">
            <v>YES</v>
          </cell>
        </row>
        <row r="53">
          <cell r="F53">
            <v>0</v>
          </cell>
          <cell r="G53">
            <v>0</v>
          </cell>
          <cell r="H53">
            <v>0</v>
          </cell>
          <cell r="K53" t="str">
            <v>YES</v>
          </cell>
        </row>
        <row r="54">
          <cell r="F54">
            <v>0</v>
          </cell>
          <cell r="G54">
            <v>0</v>
          </cell>
          <cell r="H54">
            <v>0</v>
          </cell>
          <cell r="K54" t="str">
            <v>YES</v>
          </cell>
        </row>
        <row r="55">
          <cell r="F55">
            <v>0</v>
          </cell>
          <cell r="G55">
            <v>0</v>
          </cell>
          <cell r="H55">
            <v>0</v>
          </cell>
          <cell r="K55" t="str">
            <v>YES</v>
          </cell>
        </row>
        <row r="56">
          <cell r="F56">
            <v>0</v>
          </cell>
          <cell r="G56">
            <v>0</v>
          </cell>
          <cell r="H56">
            <v>0</v>
          </cell>
          <cell r="K56" t="str">
            <v>YES</v>
          </cell>
        </row>
        <row r="57">
          <cell r="F57">
            <v>0</v>
          </cell>
          <cell r="G57">
            <v>0</v>
          </cell>
          <cell r="H57">
            <v>0</v>
          </cell>
          <cell r="K57" t="str">
            <v>YES</v>
          </cell>
        </row>
        <row r="58">
          <cell r="F58">
            <v>0</v>
          </cell>
          <cell r="G58">
            <v>0</v>
          </cell>
          <cell r="H58">
            <v>0</v>
          </cell>
          <cell r="K58" t="str">
            <v>YES</v>
          </cell>
        </row>
        <row r="59">
          <cell r="F59">
            <v>0</v>
          </cell>
          <cell r="G59">
            <v>0</v>
          </cell>
          <cell r="H59">
            <v>0</v>
          </cell>
          <cell r="K59" t="str">
            <v>YES</v>
          </cell>
        </row>
        <row r="60">
          <cell r="F60">
            <v>0</v>
          </cell>
          <cell r="G60">
            <v>0</v>
          </cell>
          <cell r="H60">
            <v>0</v>
          </cell>
          <cell r="K60" t="str">
            <v>YES</v>
          </cell>
        </row>
        <row r="61">
          <cell r="F61">
            <v>0</v>
          </cell>
          <cell r="G61">
            <v>0</v>
          </cell>
          <cell r="H61">
            <v>0</v>
          </cell>
          <cell r="K61" t="str">
            <v>YES</v>
          </cell>
        </row>
        <row r="62">
          <cell r="F62">
            <v>0</v>
          </cell>
          <cell r="G62">
            <v>0</v>
          </cell>
          <cell r="H62">
            <v>0</v>
          </cell>
          <cell r="K62" t="str">
            <v>YES</v>
          </cell>
        </row>
        <row r="63">
          <cell r="F63">
            <v>0</v>
          </cell>
          <cell r="G63">
            <v>0</v>
          </cell>
          <cell r="H63">
            <v>0</v>
          </cell>
          <cell r="K63" t="str">
            <v>YES</v>
          </cell>
        </row>
      </sheetData>
      <sheetData sheetId="5" refreshError="1"/>
      <sheetData sheetId="6" refreshError="1">
        <row r="9">
          <cell r="H9">
            <v>0</v>
          </cell>
          <cell r="J9" t="e">
            <v>#N/A</v>
          </cell>
        </row>
        <row r="10">
          <cell r="H10">
            <v>0</v>
          </cell>
          <cell r="J10" t="e">
            <v>#N/A</v>
          </cell>
        </row>
        <row r="11">
          <cell r="H11">
            <v>0</v>
          </cell>
          <cell r="J11" t="e">
            <v>#N/A</v>
          </cell>
        </row>
        <row r="12">
          <cell r="H12">
            <v>0</v>
          </cell>
          <cell r="J12" t="e">
            <v>#N/A</v>
          </cell>
        </row>
        <row r="13">
          <cell r="H13">
            <v>0</v>
          </cell>
          <cell r="J13" t="e">
            <v>#N/A</v>
          </cell>
        </row>
        <row r="14">
          <cell r="H14">
            <v>0</v>
          </cell>
          <cell r="J14" t="e">
            <v>#N/A</v>
          </cell>
        </row>
        <row r="15">
          <cell r="H15">
            <v>0</v>
          </cell>
          <cell r="J15" t="e">
            <v>#N/A</v>
          </cell>
        </row>
        <row r="16">
          <cell r="H16">
            <v>0</v>
          </cell>
          <cell r="J16" t="e">
            <v>#N/A</v>
          </cell>
        </row>
        <row r="17">
          <cell r="H17">
            <v>0</v>
          </cell>
          <cell r="J17" t="e">
            <v>#N/A</v>
          </cell>
        </row>
        <row r="18">
          <cell r="H18">
            <v>0</v>
          </cell>
          <cell r="J18" t="e">
            <v>#N/A</v>
          </cell>
        </row>
        <row r="19">
          <cell r="H19">
            <v>0</v>
          </cell>
          <cell r="J19" t="e">
            <v>#N/A</v>
          </cell>
        </row>
        <row r="20">
          <cell r="H20">
            <v>0</v>
          </cell>
          <cell r="J20" t="e">
            <v>#N/A</v>
          </cell>
        </row>
        <row r="21">
          <cell r="H21">
            <v>0</v>
          </cell>
          <cell r="J21" t="e">
            <v>#N/A</v>
          </cell>
        </row>
        <row r="22">
          <cell r="H22">
            <v>0</v>
          </cell>
          <cell r="J22" t="e">
            <v>#N/A</v>
          </cell>
        </row>
        <row r="23">
          <cell r="H23">
            <v>0</v>
          </cell>
          <cell r="J23" t="e">
            <v>#N/A</v>
          </cell>
        </row>
        <row r="24">
          <cell r="H24">
            <v>0</v>
          </cell>
          <cell r="J24" t="e">
            <v>#N/A</v>
          </cell>
        </row>
        <row r="25">
          <cell r="H25">
            <v>0</v>
          </cell>
          <cell r="J25" t="e">
            <v>#N/A</v>
          </cell>
        </row>
        <row r="26">
          <cell r="H26">
            <v>0</v>
          </cell>
          <cell r="J26" t="e">
            <v>#N/A</v>
          </cell>
        </row>
        <row r="27">
          <cell r="H27">
            <v>0</v>
          </cell>
          <cell r="J27" t="e">
            <v>#N/A</v>
          </cell>
        </row>
        <row r="28">
          <cell r="H28">
            <v>0</v>
          </cell>
          <cell r="J28" t="e">
            <v>#N/A</v>
          </cell>
        </row>
        <row r="29">
          <cell r="H29">
            <v>0</v>
          </cell>
          <cell r="J29" t="e">
            <v>#N/A</v>
          </cell>
        </row>
        <row r="30">
          <cell r="H30">
            <v>0</v>
          </cell>
          <cell r="J30" t="e">
            <v>#N/A</v>
          </cell>
        </row>
        <row r="31">
          <cell r="H31">
            <v>0</v>
          </cell>
          <cell r="J31" t="e">
            <v>#N/A</v>
          </cell>
        </row>
        <row r="32">
          <cell r="H32">
            <v>0</v>
          </cell>
          <cell r="J32" t="e">
            <v>#N/A</v>
          </cell>
        </row>
        <row r="33">
          <cell r="H33">
            <v>0</v>
          </cell>
          <cell r="J33" t="e">
            <v>#N/A</v>
          </cell>
        </row>
        <row r="34">
          <cell r="H34">
            <v>0</v>
          </cell>
          <cell r="J34" t="e">
            <v>#N/A</v>
          </cell>
        </row>
        <row r="35">
          <cell r="H35">
            <v>0</v>
          </cell>
          <cell r="J35" t="e">
            <v>#N/A</v>
          </cell>
        </row>
        <row r="36">
          <cell r="H36">
            <v>0</v>
          </cell>
          <cell r="J36" t="e">
            <v>#N/A</v>
          </cell>
        </row>
        <row r="37">
          <cell r="H37">
            <v>0</v>
          </cell>
          <cell r="J37" t="e">
            <v>#N/A</v>
          </cell>
        </row>
        <row r="38">
          <cell r="H38">
            <v>0</v>
          </cell>
          <cell r="J38" t="e">
            <v>#N/A</v>
          </cell>
        </row>
        <row r="39">
          <cell r="H39">
            <v>0</v>
          </cell>
          <cell r="J39" t="e">
            <v>#N/A</v>
          </cell>
        </row>
        <row r="40">
          <cell r="H40">
            <v>0</v>
          </cell>
          <cell r="J40" t="e">
            <v>#N/A</v>
          </cell>
        </row>
        <row r="41">
          <cell r="H41">
            <v>0</v>
          </cell>
          <cell r="J41" t="e">
            <v>#N/A</v>
          </cell>
        </row>
        <row r="42">
          <cell r="H42">
            <v>0</v>
          </cell>
          <cell r="J42" t="e">
            <v>#N/A</v>
          </cell>
        </row>
        <row r="43">
          <cell r="H43">
            <v>0</v>
          </cell>
          <cell r="J43" t="e">
            <v>#N/A</v>
          </cell>
        </row>
        <row r="44">
          <cell r="H44">
            <v>0</v>
          </cell>
          <cell r="J44" t="e">
            <v>#N/A</v>
          </cell>
        </row>
        <row r="45">
          <cell r="H45">
            <v>0</v>
          </cell>
          <cell r="J45" t="e">
            <v>#N/A</v>
          </cell>
        </row>
        <row r="46">
          <cell r="H46">
            <v>0</v>
          </cell>
          <cell r="J46" t="e">
            <v>#N/A</v>
          </cell>
        </row>
        <row r="47">
          <cell r="H47">
            <v>0</v>
          </cell>
          <cell r="J47" t="e">
            <v>#N/A</v>
          </cell>
        </row>
        <row r="48">
          <cell r="H48">
            <v>0</v>
          </cell>
          <cell r="J48" t="e">
            <v>#N/A</v>
          </cell>
        </row>
        <row r="49">
          <cell r="H49">
            <v>0</v>
          </cell>
          <cell r="J49" t="e">
            <v>#N/A</v>
          </cell>
        </row>
        <row r="50">
          <cell r="H50">
            <v>0</v>
          </cell>
          <cell r="J50" t="e">
            <v>#N/A</v>
          </cell>
        </row>
        <row r="51">
          <cell r="H51">
            <v>0</v>
          </cell>
          <cell r="J51" t="e">
            <v>#N/A</v>
          </cell>
        </row>
        <row r="52">
          <cell r="H52">
            <v>0</v>
          </cell>
          <cell r="J52" t="e">
            <v>#N/A</v>
          </cell>
        </row>
        <row r="53">
          <cell r="H53">
            <v>0</v>
          </cell>
          <cell r="J53" t="e">
            <v>#N/A</v>
          </cell>
        </row>
        <row r="54">
          <cell r="H54">
            <v>0</v>
          </cell>
          <cell r="J54" t="e">
            <v>#N/A</v>
          </cell>
        </row>
        <row r="55">
          <cell r="H55">
            <v>0</v>
          </cell>
          <cell r="J55" t="e">
            <v>#N/A</v>
          </cell>
        </row>
        <row r="56">
          <cell r="H56">
            <v>0</v>
          </cell>
          <cell r="J56" t="e">
            <v>#N/A</v>
          </cell>
        </row>
        <row r="57">
          <cell r="H57">
            <v>0</v>
          </cell>
          <cell r="J57" t="e">
            <v>#N/A</v>
          </cell>
        </row>
        <row r="58">
          <cell r="H58">
            <v>0</v>
          </cell>
          <cell r="J58" t="e">
            <v>#N/A</v>
          </cell>
        </row>
        <row r="59">
          <cell r="H59">
            <v>0</v>
          </cell>
          <cell r="J59" t="e">
            <v>#N/A</v>
          </cell>
        </row>
        <row r="60">
          <cell r="H60">
            <v>0</v>
          </cell>
          <cell r="J60" t="e">
            <v>#N/A</v>
          </cell>
        </row>
        <row r="61">
          <cell r="H61">
            <v>0</v>
          </cell>
          <cell r="J61" t="e">
            <v>#N/A</v>
          </cell>
        </row>
        <row r="62">
          <cell r="H62">
            <v>0</v>
          </cell>
          <cell r="J62" t="e">
            <v>#N/A</v>
          </cell>
        </row>
        <row r="63">
          <cell r="H63">
            <v>0</v>
          </cell>
          <cell r="J63" t="e">
            <v>#N/A</v>
          </cell>
        </row>
        <row r="64">
          <cell r="H64">
            <v>0</v>
          </cell>
          <cell r="J64" t="e">
            <v>#N/A</v>
          </cell>
        </row>
        <row r="65">
          <cell r="H65">
            <v>0</v>
          </cell>
          <cell r="J65" t="e">
            <v>#N/A</v>
          </cell>
        </row>
        <row r="66">
          <cell r="H66">
            <v>0</v>
          </cell>
          <cell r="J66" t="e">
            <v>#N/A</v>
          </cell>
        </row>
        <row r="67">
          <cell r="H67">
            <v>0</v>
          </cell>
          <cell r="J67" t="e">
            <v>#N/A</v>
          </cell>
        </row>
        <row r="68">
          <cell r="H68">
            <v>0</v>
          </cell>
          <cell r="J68" t="e">
            <v>#N/A</v>
          </cell>
        </row>
        <row r="69">
          <cell r="H69">
            <v>0</v>
          </cell>
          <cell r="J69" t="e">
            <v>#N/A</v>
          </cell>
        </row>
        <row r="70">
          <cell r="H70">
            <v>0</v>
          </cell>
          <cell r="J70" t="e">
            <v>#N/A</v>
          </cell>
        </row>
        <row r="71">
          <cell r="H71">
            <v>0</v>
          </cell>
          <cell r="J71" t="e">
            <v>#N/A</v>
          </cell>
        </row>
        <row r="72">
          <cell r="H72">
            <v>0</v>
          </cell>
          <cell r="J72" t="e">
            <v>#N/A</v>
          </cell>
        </row>
        <row r="73">
          <cell r="H73">
            <v>0</v>
          </cell>
          <cell r="J73" t="e">
            <v>#N/A</v>
          </cell>
        </row>
        <row r="74">
          <cell r="H74">
            <v>0</v>
          </cell>
          <cell r="J74" t="e">
            <v>#N/A</v>
          </cell>
        </row>
        <row r="75">
          <cell r="H75">
            <v>0</v>
          </cell>
          <cell r="J75" t="e">
            <v>#N/A</v>
          </cell>
        </row>
        <row r="76">
          <cell r="H76">
            <v>0</v>
          </cell>
          <cell r="J76" t="e">
            <v>#N/A</v>
          </cell>
        </row>
        <row r="77">
          <cell r="H77">
            <v>0</v>
          </cell>
          <cell r="J77" t="e">
            <v>#N/A</v>
          </cell>
        </row>
        <row r="78">
          <cell r="H78">
            <v>0</v>
          </cell>
          <cell r="J78" t="e">
            <v>#N/A</v>
          </cell>
        </row>
        <row r="79">
          <cell r="H79">
            <v>0</v>
          </cell>
          <cell r="J79" t="e">
            <v>#N/A</v>
          </cell>
        </row>
        <row r="80">
          <cell r="H80">
            <v>0</v>
          </cell>
          <cell r="J80" t="e">
            <v>#N/A</v>
          </cell>
        </row>
        <row r="81">
          <cell r="H81">
            <v>0</v>
          </cell>
          <cell r="J81" t="e">
            <v>#N/A</v>
          </cell>
        </row>
        <row r="82">
          <cell r="H82">
            <v>0</v>
          </cell>
          <cell r="J82" t="e">
            <v>#N/A</v>
          </cell>
        </row>
        <row r="83">
          <cell r="H83">
            <v>0</v>
          </cell>
          <cell r="J83" t="e">
            <v>#N/A</v>
          </cell>
        </row>
        <row r="84">
          <cell r="H84">
            <v>0</v>
          </cell>
          <cell r="J84" t="e">
            <v>#N/A</v>
          </cell>
        </row>
        <row r="85">
          <cell r="H85">
            <v>0</v>
          </cell>
          <cell r="J85" t="e">
            <v>#N/A</v>
          </cell>
        </row>
        <row r="86">
          <cell r="H86">
            <v>0</v>
          </cell>
          <cell r="J86" t="e">
            <v>#N/A</v>
          </cell>
        </row>
        <row r="87">
          <cell r="H87">
            <v>0</v>
          </cell>
          <cell r="J87" t="e">
            <v>#N/A</v>
          </cell>
        </row>
        <row r="88">
          <cell r="H88">
            <v>0</v>
          </cell>
          <cell r="J88" t="e">
            <v>#N/A</v>
          </cell>
        </row>
        <row r="89">
          <cell r="H89">
            <v>0</v>
          </cell>
          <cell r="J89" t="e">
            <v>#N/A</v>
          </cell>
        </row>
        <row r="90">
          <cell r="H90">
            <v>0</v>
          </cell>
          <cell r="J90" t="e">
            <v>#N/A</v>
          </cell>
        </row>
        <row r="91">
          <cell r="H91">
            <v>0</v>
          </cell>
          <cell r="J91" t="e">
            <v>#N/A</v>
          </cell>
        </row>
        <row r="92">
          <cell r="H92">
            <v>0</v>
          </cell>
          <cell r="J92" t="e">
            <v>#N/A</v>
          </cell>
        </row>
        <row r="93">
          <cell r="H93">
            <v>0</v>
          </cell>
          <cell r="J93" t="e">
            <v>#N/A</v>
          </cell>
        </row>
        <row r="94">
          <cell r="H94">
            <v>0</v>
          </cell>
          <cell r="J94" t="e">
            <v>#N/A</v>
          </cell>
        </row>
        <row r="95">
          <cell r="H95">
            <v>0</v>
          </cell>
          <cell r="J95" t="e">
            <v>#N/A</v>
          </cell>
        </row>
        <row r="96">
          <cell r="H96">
            <v>0</v>
          </cell>
          <cell r="J96" t="e">
            <v>#N/A</v>
          </cell>
        </row>
        <row r="97">
          <cell r="H97">
            <v>0</v>
          </cell>
          <cell r="J97" t="e">
            <v>#N/A</v>
          </cell>
        </row>
        <row r="98">
          <cell r="H98">
            <v>0</v>
          </cell>
          <cell r="J98" t="e">
            <v>#N/A</v>
          </cell>
        </row>
        <row r="99">
          <cell r="H99">
            <v>0</v>
          </cell>
          <cell r="J99" t="e">
            <v>#N/A</v>
          </cell>
        </row>
        <row r="100">
          <cell r="H100">
            <v>0</v>
          </cell>
          <cell r="J100" t="e">
            <v>#N/A</v>
          </cell>
        </row>
        <row r="101">
          <cell r="H101">
            <v>0</v>
          </cell>
          <cell r="J101" t="e">
            <v>#N/A</v>
          </cell>
        </row>
        <row r="102">
          <cell r="H102">
            <v>0</v>
          </cell>
          <cell r="J102" t="e">
            <v>#N/A</v>
          </cell>
        </row>
        <row r="103">
          <cell r="H103">
            <v>0</v>
          </cell>
          <cell r="J103" t="e">
            <v>#N/A</v>
          </cell>
        </row>
        <row r="104">
          <cell r="H104">
            <v>0</v>
          </cell>
          <cell r="J104" t="e">
            <v>#N/A</v>
          </cell>
        </row>
        <row r="105">
          <cell r="H105">
            <v>0</v>
          </cell>
          <cell r="J105" t="e">
            <v>#N/A</v>
          </cell>
        </row>
        <row r="106">
          <cell r="H106">
            <v>0</v>
          </cell>
          <cell r="J106" t="e">
            <v>#N/A</v>
          </cell>
        </row>
        <row r="107">
          <cell r="H107">
            <v>0</v>
          </cell>
          <cell r="J107" t="e">
            <v>#N/A</v>
          </cell>
        </row>
        <row r="108">
          <cell r="H108">
            <v>0</v>
          </cell>
          <cell r="J108" t="e">
            <v>#N/A</v>
          </cell>
        </row>
        <row r="109">
          <cell r="H109">
            <v>0</v>
          </cell>
          <cell r="J109" t="e">
            <v>#N/A</v>
          </cell>
        </row>
        <row r="110">
          <cell r="H110">
            <v>0</v>
          </cell>
          <cell r="J110" t="e">
            <v>#N/A</v>
          </cell>
        </row>
        <row r="111">
          <cell r="H111">
            <v>0</v>
          </cell>
          <cell r="J111" t="e">
            <v>#N/A</v>
          </cell>
        </row>
        <row r="112">
          <cell r="H112">
            <v>0</v>
          </cell>
          <cell r="J112" t="e">
            <v>#N/A</v>
          </cell>
        </row>
        <row r="113">
          <cell r="H113">
            <v>0</v>
          </cell>
          <cell r="J113" t="e">
            <v>#N/A</v>
          </cell>
        </row>
        <row r="114">
          <cell r="H114">
            <v>0</v>
          </cell>
          <cell r="J114" t="e">
            <v>#N/A</v>
          </cell>
        </row>
        <row r="115">
          <cell r="H115">
            <v>0</v>
          </cell>
          <cell r="J115" t="e">
            <v>#N/A</v>
          </cell>
        </row>
        <row r="116">
          <cell r="H116">
            <v>0</v>
          </cell>
          <cell r="J116" t="e">
            <v>#N/A</v>
          </cell>
        </row>
        <row r="117">
          <cell r="H117">
            <v>0</v>
          </cell>
          <cell r="J117" t="e">
            <v>#N/A</v>
          </cell>
        </row>
        <row r="118">
          <cell r="H118">
            <v>0</v>
          </cell>
          <cell r="J118" t="e">
            <v>#N/A</v>
          </cell>
        </row>
        <row r="119">
          <cell r="H119">
            <v>0</v>
          </cell>
          <cell r="J119" t="e">
            <v>#N/A</v>
          </cell>
        </row>
        <row r="120">
          <cell r="H120">
            <v>0</v>
          </cell>
          <cell r="J120" t="e">
            <v>#N/A</v>
          </cell>
        </row>
        <row r="121">
          <cell r="H121">
            <v>0</v>
          </cell>
          <cell r="J121" t="e">
            <v>#N/A</v>
          </cell>
        </row>
        <row r="122">
          <cell r="H122">
            <v>0</v>
          </cell>
          <cell r="J122" t="e">
            <v>#N/A</v>
          </cell>
        </row>
        <row r="123">
          <cell r="H123">
            <v>0</v>
          </cell>
          <cell r="J123" t="e">
            <v>#N/A</v>
          </cell>
        </row>
        <row r="124">
          <cell r="H124">
            <v>0</v>
          </cell>
          <cell r="J124" t="e">
            <v>#N/A</v>
          </cell>
        </row>
        <row r="125">
          <cell r="H125">
            <v>0</v>
          </cell>
          <cell r="J125" t="e">
            <v>#N/A</v>
          </cell>
        </row>
        <row r="126">
          <cell r="H126">
            <v>0</v>
          </cell>
          <cell r="J126" t="e">
            <v>#N/A</v>
          </cell>
        </row>
        <row r="127">
          <cell r="H127">
            <v>0</v>
          </cell>
          <cell r="J127" t="e">
            <v>#N/A</v>
          </cell>
        </row>
        <row r="128">
          <cell r="H128">
            <v>0</v>
          </cell>
          <cell r="J128" t="e">
            <v>#N/A</v>
          </cell>
        </row>
        <row r="129">
          <cell r="H129">
            <v>0</v>
          </cell>
          <cell r="J129" t="e">
            <v>#N/A</v>
          </cell>
        </row>
        <row r="130">
          <cell r="H130">
            <v>0</v>
          </cell>
          <cell r="J130" t="e">
            <v>#N/A</v>
          </cell>
        </row>
        <row r="131">
          <cell r="H131">
            <v>0</v>
          </cell>
          <cell r="J131" t="e">
            <v>#N/A</v>
          </cell>
        </row>
        <row r="132">
          <cell r="H132">
            <v>0</v>
          </cell>
          <cell r="J132" t="e">
            <v>#N/A</v>
          </cell>
        </row>
        <row r="133">
          <cell r="H133">
            <v>0</v>
          </cell>
          <cell r="J133" t="e">
            <v>#N/A</v>
          </cell>
        </row>
        <row r="134">
          <cell r="H134">
            <v>0</v>
          </cell>
          <cell r="J134" t="e">
            <v>#N/A</v>
          </cell>
        </row>
        <row r="135">
          <cell r="H135">
            <v>0</v>
          </cell>
          <cell r="J135" t="e">
            <v>#N/A</v>
          </cell>
        </row>
        <row r="136">
          <cell r="H136">
            <v>0</v>
          </cell>
          <cell r="J136" t="e">
            <v>#N/A</v>
          </cell>
        </row>
        <row r="137">
          <cell r="H137">
            <v>0</v>
          </cell>
          <cell r="J137" t="e">
            <v>#N/A</v>
          </cell>
        </row>
        <row r="138">
          <cell r="H138">
            <v>0</v>
          </cell>
          <cell r="J138" t="e">
            <v>#N/A</v>
          </cell>
        </row>
        <row r="139">
          <cell r="H139">
            <v>0</v>
          </cell>
          <cell r="J139" t="e">
            <v>#N/A</v>
          </cell>
        </row>
        <row r="140">
          <cell r="H140">
            <v>0</v>
          </cell>
          <cell r="J140" t="e">
            <v>#N/A</v>
          </cell>
        </row>
        <row r="141">
          <cell r="H141">
            <v>0</v>
          </cell>
          <cell r="J141" t="e">
            <v>#N/A</v>
          </cell>
        </row>
        <row r="142">
          <cell r="H142">
            <v>0</v>
          </cell>
          <cell r="J142" t="e">
            <v>#N/A</v>
          </cell>
        </row>
        <row r="143">
          <cell r="H143">
            <v>0</v>
          </cell>
          <cell r="J143" t="e">
            <v>#N/A</v>
          </cell>
        </row>
        <row r="144">
          <cell r="H144">
            <v>0</v>
          </cell>
          <cell r="J144" t="e">
            <v>#N/A</v>
          </cell>
        </row>
        <row r="145">
          <cell r="H145">
            <v>0</v>
          </cell>
          <cell r="J145" t="e">
            <v>#N/A</v>
          </cell>
        </row>
        <row r="146">
          <cell r="H146">
            <v>0</v>
          </cell>
          <cell r="J146" t="e">
            <v>#N/A</v>
          </cell>
        </row>
        <row r="147">
          <cell r="H147">
            <v>0</v>
          </cell>
          <cell r="J147" t="e">
            <v>#N/A</v>
          </cell>
        </row>
        <row r="148">
          <cell r="H148">
            <v>0</v>
          </cell>
          <cell r="J148" t="e">
            <v>#N/A</v>
          </cell>
        </row>
        <row r="149">
          <cell r="H149">
            <v>0</v>
          </cell>
          <cell r="J149" t="e">
            <v>#N/A</v>
          </cell>
        </row>
        <row r="150">
          <cell r="H150">
            <v>0</v>
          </cell>
          <cell r="J150" t="e">
            <v>#N/A</v>
          </cell>
        </row>
        <row r="151">
          <cell r="H151">
            <v>0</v>
          </cell>
          <cell r="J151" t="e">
            <v>#N/A</v>
          </cell>
        </row>
        <row r="152">
          <cell r="H152">
            <v>0</v>
          </cell>
          <cell r="J152" t="e">
            <v>#N/A</v>
          </cell>
        </row>
        <row r="153">
          <cell r="H153">
            <v>0</v>
          </cell>
          <cell r="J153" t="e">
            <v>#N/A</v>
          </cell>
        </row>
        <row r="154">
          <cell r="H154">
            <v>0</v>
          </cell>
          <cell r="J154" t="e">
            <v>#N/A</v>
          </cell>
        </row>
        <row r="155">
          <cell r="H155">
            <v>0</v>
          </cell>
          <cell r="J155" t="e">
            <v>#N/A</v>
          </cell>
        </row>
        <row r="156">
          <cell r="H156">
            <v>0</v>
          </cell>
          <cell r="J156" t="e">
            <v>#N/A</v>
          </cell>
        </row>
        <row r="157">
          <cell r="H157">
            <v>0</v>
          </cell>
          <cell r="J157" t="e">
            <v>#N/A</v>
          </cell>
        </row>
        <row r="158">
          <cell r="H158">
            <v>0</v>
          </cell>
          <cell r="J158" t="e">
            <v>#N/A</v>
          </cell>
        </row>
        <row r="159">
          <cell r="H159">
            <v>0</v>
          </cell>
          <cell r="J159" t="e">
            <v>#N/A</v>
          </cell>
        </row>
        <row r="160">
          <cell r="H160">
            <v>0</v>
          </cell>
          <cell r="J160" t="e">
            <v>#N/A</v>
          </cell>
        </row>
        <row r="161">
          <cell r="H161">
            <v>0</v>
          </cell>
          <cell r="J161" t="e">
            <v>#N/A</v>
          </cell>
        </row>
        <row r="162">
          <cell r="H162">
            <v>0</v>
          </cell>
          <cell r="J162" t="e">
            <v>#N/A</v>
          </cell>
        </row>
        <row r="163">
          <cell r="H163">
            <v>0</v>
          </cell>
          <cell r="J163" t="e">
            <v>#N/A</v>
          </cell>
        </row>
        <row r="164">
          <cell r="H164">
            <v>0</v>
          </cell>
          <cell r="J164" t="e">
            <v>#N/A</v>
          </cell>
        </row>
        <row r="165">
          <cell r="H165">
            <v>0</v>
          </cell>
          <cell r="J165" t="e">
            <v>#N/A</v>
          </cell>
        </row>
        <row r="166">
          <cell r="H166">
            <v>0</v>
          </cell>
          <cell r="J166" t="e">
            <v>#N/A</v>
          </cell>
        </row>
        <row r="167">
          <cell r="H167">
            <v>0</v>
          </cell>
          <cell r="J167" t="e">
            <v>#N/A</v>
          </cell>
        </row>
        <row r="168">
          <cell r="H168">
            <v>0</v>
          </cell>
          <cell r="J168" t="e">
            <v>#N/A</v>
          </cell>
        </row>
        <row r="169">
          <cell r="H169">
            <v>0</v>
          </cell>
          <cell r="J169" t="e">
            <v>#N/A</v>
          </cell>
        </row>
        <row r="170">
          <cell r="H170">
            <v>0</v>
          </cell>
          <cell r="J170" t="e">
            <v>#N/A</v>
          </cell>
        </row>
        <row r="171">
          <cell r="H171">
            <v>0</v>
          </cell>
          <cell r="J171" t="e">
            <v>#N/A</v>
          </cell>
        </row>
        <row r="172">
          <cell r="H172">
            <v>0</v>
          </cell>
          <cell r="J172" t="e">
            <v>#N/A</v>
          </cell>
        </row>
        <row r="173">
          <cell r="H173">
            <v>0</v>
          </cell>
          <cell r="J173" t="e">
            <v>#N/A</v>
          </cell>
        </row>
        <row r="174">
          <cell r="H174">
            <v>0</v>
          </cell>
          <cell r="J174" t="e">
            <v>#N/A</v>
          </cell>
        </row>
        <row r="175">
          <cell r="H175">
            <v>0</v>
          </cell>
          <cell r="J175" t="e">
            <v>#N/A</v>
          </cell>
        </row>
        <row r="176">
          <cell r="H176">
            <v>0</v>
          </cell>
          <cell r="J176" t="e">
            <v>#N/A</v>
          </cell>
        </row>
        <row r="177">
          <cell r="H177">
            <v>0</v>
          </cell>
          <cell r="J177" t="e">
            <v>#N/A</v>
          </cell>
        </row>
        <row r="178">
          <cell r="H178">
            <v>0</v>
          </cell>
          <cell r="J178" t="e">
            <v>#N/A</v>
          </cell>
        </row>
        <row r="179">
          <cell r="H179">
            <v>0</v>
          </cell>
          <cell r="J179" t="e">
            <v>#N/A</v>
          </cell>
        </row>
        <row r="180">
          <cell r="H180">
            <v>0</v>
          </cell>
          <cell r="J180" t="e">
            <v>#N/A</v>
          </cell>
        </row>
        <row r="181">
          <cell r="H181">
            <v>0</v>
          </cell>
          <cell r="J181" t="e">
            <v>#N/A</v>
          </cell>
        </row>
        <row r="182">
          <cell r="H182">
            <v>0</v>
          </cell>
          <cell r="J182" t="e">
            <v>#N/A</v>
          </cell>
        </row>
        <row r="183">
          <cell r="H183">
            <v>0</v>
          </cell>
          <cell r="J183" t="e">
            <v>#N/A</v>
          </cell>
        </row>
        <row r="184">
          <cell r="H184">
            <v>0</v>
          </cell>
          <cell r="J184" t="e">
            <v>#N/A</v>
          </cell>
        </row>
        <row r="185">
          <cell r="H185">
            <v>0</v>
          </cell>
          <cell r="J185" t="e">
            <v>#N/A</v>
          </cell>
        </row>
        <row r="186">
          <cell r="H186">
            <v>0</v>
          </cell>
          <cell r="J186" t="e">
            <v>#N/A</v>
          </cell>
        </row>
        <row r="187">
          <cell r="H187">
            <v>0</v>
          </cell>
          <cell r="J187" t="e">
            <v>#N/A</v>
          </cell>
        </row>
        <row r="188">
          <cell r="H188">
            <v>0</v>
          </cell>
          <cell r="J188" t="e">
            <v>#N/A</v>
          </cell>
        </row>
        <row r="189">
          <cell r="H189">
            <v>0</v>
          </cell>
          <cell r="J189" t="e">
            <v>#N/A</v>
          </cell>
        </row>
        <row r="190">
          <cell r="H190">
            <v>0</v>
          </cell>
          <cell r="J190" t="e">
            <v>#N/A</v>
          </cell>
        </row>
        <row r="191">
          <cell r="H191">
            <v>0</v>
          </cell>
          <cell r="J191" t="e">
            <v>#N/A</v>
          </cell>
        </row>
        <row r="192">
          <cell r="H192">
            <v>0</v>
          </cell>
          <cell r="J192" t="e">
            <v>#N/A</v>
          </cell>
        </row>
        <row r="193">
          <cell r="H193">
            <v>0</v>
          </cell>
          <cell r="J193" t="e">
            <v>#N/A</v>
          </cell>
        </row>
        <row r="194">
          <cell r="H194">
            <v>0</v>
          </cell>
          <cell r="J194" t="e">
            <v>#N/A</v>
          </cell>
        </row>
        <row r="195">
          <cell r="H195">
            <v>0</v>
          </cell>
          <cell r="J195" t="e">
            <v>#N/A</v>
          </cell>
        </row>
        <row r="196">
          <cell r="H196">
            <v>0</v>
          </cell>
          <cell r="J196" t="e">
            <v>#N/A</v>
          </cell>
        </row>
        <row r="197">
          <cell r="H197">
            <v>0</v>
          </cell>
          <cell r="J197" t="e">
            <v>#N/A</v>
          </cell>
        </row>
        <row r="198">
          <cell r="H198">
            <v>0</v>
          </cell>
          <cell r="J198" t="e">
            <v>#N/A</v>
          </cell>
        </row>
        <row r="199">
          <cell r="H199">
            <v>0</v>
          </cell>
          <cell r="J199" t="e">
            <v>#N/A</v>
          </cell>
        </row>
        <row r="200">
          <cell r="H200">
            <v>0</v>
          </cell>
          <cell r="J200" t="e">
            <v>#N/A</v>
          </cell>
        </row>
        <row r="201">
          <cell r="H201">
            <v>0</v>
          </cell>
          <cell r="J201" t="e">
            <v>#N/A</v>
          </cell>
        </row>
        <row r="202">
          <cell r="H202">
            <v>0</v>
          </cell>
          <cell r="J202" t="e">
            <v>#N/A</v>
          </cell>
        </row>
        <row r="203">
          <cell r="H203">
            <v>0</v>
          </cell>
          <cell r="J203" t="e">
            <v>#N/A</v>
          </cell>
        </row>
        <row r="204">
          <cell r="H204">
            <v>0</v>
          </cell>
          <cell r="J204" t="e">
            <v>#N/A</v>
          </cell>
        </row>
        <row r="205">
          <cell r="H205">
            <v>0</v>
          </cell>
          <cell r="J205" t="e">
            <v>#N/A</v>
          </cell>
        </row>
        <row r="206">
          <cell r="H206">
            <v>0</v>
          </cell>
          <cell r="J206" t="e">
            <v>#N/A</v>
          </cell>
        </row>
        <row r="207">
          <cell r="H207">
            <v>0</v>
          </cell>
          <cell r="J207" t="e">
            <v>#N/A</v>
          </cell>
        </row>
        <row r="208">
          <cell r="H208">
            <v>0</v>
          </cell>
          <cell r="J208" t="e">
            <v>#N/A</v>
          </cell>
        </row>
        <row r="209">
          <cell r="H209">
            <v>0</v>
          </cell>
          <cell r="J209" t="e">
            <v>#N/A</v>
          </cell>
        </row>
        <row r="210">
          <cell r="H210">
            <v>0</v>
          </cell>
          <cell r="J210" t="e">
            <v>#N/A</v>
          </cell>
        </row>
        <row r="211">
          <cell r="H211">
            <v>0</v>
          </cell>
          <cell r="J211" t="e">
            <v>#N/A</v>
          </cell>
        </row>
        <row r="212">
          <cell r="H212">
            <v>0</v>
          </cell>
          <cell r="J212" t="e">
            <v>#N/A</v>
          </cell>
        </row>
        <row r="213">
          <cell r="H213">
            <v>0</v>
          </cell>
          <cell r="J213" t="e">
            <v>#N/A</v>
          </cell>
        </row>
        <row r="214">
          <cell r="H214">
            <v>0</v>
          </cell>
          <cell r="J214" t="e">
            <v>#N/A</v>
          </cell>
        </row>
        <row r="215">
          <cell r="H215">
            <v>0</v>
          </cell>
          <cell r="J215" t="e">
            <v>#N/A</v>
          </cell>
        </row>
        <row r="216">
          <cell r="H216">
            <v>0</v>
          </cell>
          <cell r="J216" t="e">
            <v>#N/A</v>
          </cell>
        </row>
        <row r="217">
          <cell r="H217">
            <v>0</v>
          </cell>
          <cell r="J217" t="e">
            <v>#N/A</v>
          </cell>
        </row>
        <row r="218">
          <cell r="H218">
            <v>0</v>
          </cell>
          <cell r="J218" t="e">
            <v>#N/A</v>
          </cell>
        </row>
        <row r="219">
          <cell r="H219">
            <v>0</v>
          </cell>
          <cell r="J219" t="e">
            <v>#N/A</v>
          </cell>
        </row>
        <row r="220">
          <cell r="H220">
            <v>0</v>
          </cell>
          <cell r="J220" t="e">
            <v>#N/A</v>
          </cell>
        </row>
        <row r="221">
          <cell r="H221">
            <v>0</v>
          </cell>
          <cell r="J221" t="e">
            <v>#N/A</v>
          </cell>
        </row>
        <row r="222">
          <cell r="H222">
            <v>0</v>
          </cell>
          <cell r="J222" t="e">
            <v>#N/A</v>
          </cell>
        </row>
        <row r="223">
          <cell r="H223">
            <v>0</v>
          </cell>
          <cell r="J223" t="e">
            <v>#N/A</v>
          </cell>
        </row>
        <row r="224">
          <cell r="H224">
            <v>0</v>
          </cell>
          <cell r="J224" t="e">
            <v>#N/A</v>
          </cell>
        </row>
        <row r="225">
          <cell r="H225">
            <v>0</v>
          </cell>
          <cell r="J225" t="e">
            <v>#N/A</v>
          </cell>
        </row>
        <row r="226">
          <cell r="H226">
            <v>0</v>
          </cell>
          <cell r="J226" t="e">
            <v>#N/A</v>
          </cell>
        </row>
        <row r="227">
          <cell r="H227">
            <v>0</v>
          </cell>
          <cell r="J227" t="e">
            <v>#N/A</v>
          </cell>
        </row>
        <row r="228">
          <cell r="H228">
            <v>0</v>
          </cell>
          <cell r="J228" t="e">
            <v>#N/A</v>
          </cell>
        </row>
        <row r="229">
          <cell r="H229">
            <v>0</v>
          </cell>
          <cell r="J229" t="e">
            <v>#N/A</v>
          </cell>
        </row>
        <row r="230">
          <cell r="H230">
            <v>0</v>
          </cell>
          <cell r="J230" t="e">
            <v>#N/A</v>
          </cell>
        </row>
        <row r="231">
          <cell r="H231">
            <v>0</v>
          </cell>
          <cell r="J231" t="e">
            <v>#N/A</v>
          </cell>
        </row>
        <row r="232">
          <cell r="H232">
            <v>0</v>
          </cell>
          <cell r="J232" t="e">
            <v>#N/A</v>
          </cell>
        </row>
        <row r="233">
          <cell r="H233">
            <v>0</v>
          </cell>
          <cell r="J233" t="e">
            <v>#N/A</v>
          </cell>
        </row>
        <row r="234">
          <cell r="H234">
            <v>0</v>
          </cell>
          <cell r="J234" t="e">
            <v>#N/A</v>
          </cell>
        </row>
        <row r="235">
          <cell r="H235">
            <v>0</v>
          </cell>
          <cell r="J235" t="e">
            <v>#N/A</v>
          </cell>
        </row>
        <row r="236">
          <cell r="H236">
            <v>0</v>
          </cell>
          <cell r="J236" t="e">
            <v>#N/A</v>
          </cell>
        </row>
        <row r="237">
          <cell r="H237">
            <v>0</v>
          </cell>
          <cell r="J237" t="e">
            <v>#N/A</v>
          </cell>
        </row>
        <row r="238">
          <cell r="H238">
            <v>0</v>
          </cell>
          <cell r="J238" t="e">
            <v>#N/A</v>
          </cell>
        </row>
        <row r="239">
          <cell r="H239">
            <v>0</v>
          </cell>
          <cell r="J239" t="e">
            <v>#N/A</v>
          </cell>
        </row>
        <row r="240">
          <cell r="H240">
            <v>0</v>
          </cell>
          <cell r="J240" t="e">
            <v>#N/A</v>
          </cell>
        </row>
        <row r="241">
          <cell r="H241">
            <v>0</v>
          </cell>
          <cell r="J241" t="e">
            <v>#N/A</v>
          </cell>
        </row>
        <row r="242">
          <cell r="H242">
            <v>0</v>
          </cell>
          <cell r="J242" t="e">
            <v>#N/A</v>
          </cell>
        </row>
        <row r="243">
          <cell r="H243">
            <v>0</v>
          </cell>
          <cell r="J243" t="e">
            <v>#N/A</v>
          </cell>
        </row>
        <row r="244">
          <cell r="H244">
            <v>0</v>
          </cell>
          <cell r="J244" t="e">
            <v>#N/A</v>
          </cell>
        </row>
        <row r="245">
          <cell r="H245">
            <v>0</v>
          </cell>
          <cell r="J245" t="e">
            <v>#N/A</v>
          </cell>
        </row>
        <row r="246">
          <cell r="H246">
            <v>0</v>
          </cell>
          <cell r="J246" t="e">
            <v>#N/A</v>
          </cell>
        </row>
        <row r="247">
          <cell r="H247">
            <v>0</v>
          </cell>
          <cell r="J247" t="e">
            <v>#N/A</v>
          </cell>
        </row>
        <row r="248">
          <cell r="H248">
            <v>0</v>
          </cell>
          <cell r="J248" t="e">
            <v>#N/A</v>
          </cell>
        </row>
        <row r="249">
          <cell r="H249">
            <v>0</v>
          </cell>
          <cell r="J249" t="e">
            <v>#N/A</v>
          </cell>
        </row>
        <row r="250">
          <cell r="H250">
            <v>0</v>
          </cell>
          <cell r="J250" t="e">
            <v>#N/A</v>
          </cell>
        </row>
        <row r="251">
          <cell r="H251">
            <v>0</v>
          </cell>
          <cell r="J251" t="e">
            <v>#N/A</v>
          </cell>
        </row>
        <row r="252">
          <cell r="H252">
            <v>0</v>
          </cell>
          <cell r="J252" t="e">
            <v>#N/A</v>
          </cell>
        </row>
        <row r="253">
          <cell r="H253">
            <v>0</v>
          </cell>
          <cell r="J253" t="e">
            <v>#N/A</v>
          </cell>
        </row>
        <row r="254">
          <cell r="H254">
            <v>0</v>
          </cell>
          <cell r="J254" t="e">
            <v>#N/A</v>
          </cell>
        </row>
        <row r="255">
          <cell r="H255">
            <v>0</v>
          </cell>
          <cell r="J255" t="e">
            <v>#N/A</v>
          </cell>
        </row>
        <row r="256">
          <cell r="H256">
            <v>0</v>
          </cell>
          <cell r="J256" t="e">
            <v>#N/A</v>
          </cell>
        </row>
        <row r="257">
          <cell r="H257">
            <v>0</v>
          </cell>
          <cell r="J257" t="e">
            <v>#N/A</v>
          </cell>
        </row>
        <row r="258">
          <cell r="H258">
            <v>0</v>
          </cell>
          <cell r="J258" t="e">
            <v>#N/A</v>
          </cell>
        </row>
        <row r="259">
          <cell r="H259">
            <v>0</v>
          </cell>
          <cell r="J259" t="e">
            <v>#N/A</v>
          </cell>
        </row>
        <row r="260">
          <cell r="H260">
            <v>0</v>
          </cell>
          <cell r="J260" t="e">
            <v>#N/A</v>
          </cell>
        </row>
        <row r="261">
          <cell r="H261">
            <v>0</v>
          </cell>
          <cell r="J261" t="e">
            <v>#N/A</v>
          </cell>
        </row>
        <row r="262">
          <cell r="H262">
            <v>0</v>
          </cell>
          <cell r="J262" t="e">
            <v>#N/A</v>
          </cell>
        </row>
        <row r="263">
          <cell r="H263">
            <v>0</v>
          </cell>
          <cell r="J263" t="e">
            <v>#N/A</v>
          </cell>
        </row>
        <row r="264">
          <cell r="H264">
            <v>0</v>
          </cell>
          <cell r="J264" t="e">
            <v>#N/A</v>
          </cell>
        </row>
        <row r="265">
          <cell r="H265">
            <v>0</v>
          </cell>
          <cell r="J265" t="e">
            <v>#N/A</v>
          </cell>
        </row>
        <row r="266">
          <cell r="H266">
            <v>0</v>
          </cell>
          <cell r="J266" t="e">
            <v>#N/A</v>
          </cell>
        </row>
        <row r="267">
          <cell r="H267">
            <v>0</v>
          </cell>
          <cell r="J267" t="e">
            <v>#N/A</v>
          </cell>
        </row>
        <row r="268">
          <cell r="H268">
            <v>0</v>
          </cell>
          <cell r="J268" t="e">
            <v>#N/A</v>
          </cell>
        </row>
        <row r="269">
          <cell r="H269">
            <v>0</v>
          </cell>
          <cell r="J269" t="e">
            <v>#N/A</v>
          </cell>
        </row>
        <row r="270">
          <cell r="H270">
            <v>0</v>
          </cell>
          <cell r="J270" t="e">
            <v>#N/A</v>
          </cell>
        </row>
        <row r="271">
          <cell r="H271">
            <v>0</v>
          </cell>
          <cell r="J271" t="e">
            <v>#N/A</v>
          </cell>
        </row>
        <row r="272">
          <cell r="H272">
            <v>0</v>
          </cell>
          <cell r="J272" t="e">
            <v>#N/A</v>
          </cell>
        </row>
        <row r="273">
          <cell r="H273">
            <v>0</v>
          </cell>
          <cell r="J273" t="e">
            <v>#N/A</v>
          </cell>
        </row>
        <row r="274">
          <cell r="H274">
            <v>0</v>
          </cell>
          <cell r="J274" t="e">
            <v>#N/A</v>
          </cell>
        </row>
        <row r="275">
          <cell r="H275">
            <v>0</v>
          </cell>
          <cell r="J275" t="e">
            <v>#N/A</v>
          </cell>
        </row>
        <row r="276">
          <cell r="H276">
            <v>0</v>
          </cell>
          <cell r="J276" t="e">
            <v>#N/A</v>
          </cell>
        </row>
        <row r="277">
          <cell r="H277">
            <v>0</v>
          </cell>
          <cell r="J277" t="e">
            <v>#N/A</v>
          </cell>
        </row>
        <row r="278">
          <cell r="H278">
            <v>0</v>
          </cell>
          <cell r="J278" t="e">
            <v>#N/A</v>
          </cell>
        </row>
        <row r="279">
          <cell r="H279">
            <v>0</v>
          </cell>
          <cell r="J279" t="e">
            <v>#N/A</v>
          </cell>
        </row>
        <row r="280">
          <cell r="H280">
            <v>0</v>
          </cell>
          <cell r="J280" t="e">
            <v>#N/A</v>
          </cell>
        </row>
        <row r="281">
          <cell r="H281">
            <v>0</v>
          </cell>
          <cell r="J281" t="e">
            <v>#N/A</v>
          </cell>
        </row>
        <row r="282">
          <cell r="H282">
            <v>0</v>
          </cell>
          <cell r="J282" t="e">
            <v>#N/A</v>
          </cell>
        </row>
        <row r="283">
          <cell r="H283">
            <v>0</v>
          </cell>
          <cell r="J283" t="e">
            <v>#N/A</v>
          </cell>
        </row>
        <row r="284">
          <cell r="H284">
            <v>0</v>
          </cell>
          <cell r="J284" t="e">
            <v>#N/A</v>
          </cell>
        </row>
        <row r="285">
          <cell r="H285">
            <v>0</v>
          </cell>
          <cell r="J285" t="e">
            <v>#N/A</v>
          </cell>
        </row>
        <row r="286">
          <cell r="H286">
            <v>0</v>
          </cell>
          <cell r="J286" t="e">
            <v>#N/A</v>
          </cell>
        </row>
        <row r="287">
          <cell r="H287">
            <v>0</v>
          </cell>
          <cell r="J287" t="e">
            <v>#N/A</v>
          </cell>
        </row>
        <row r="288">
          <cell r="H288">
            <v>0</v>
          </cell>
          <cell r="J288" t="e">
            <v>#N/A</v>
          </cell>
        </row>
        <row r="289">
          <cell r="H289">
            <v>0</v>
          </cell>
          <cell r="J289" t="e">
            <v>#N/A</v>
          </cell>
        </row>
        <row r="290">
          <cell r="H290">
            <v>0</v>
          </cell>
          <cell r="J290" t="e">
            <v>#N/A</v>
          </cell>
        </row>
        <row r="291">
          <cell r="H291">
            <v>0</v>
          </cell>
          <cell r="J291" t="e">
            <v>#N/A</v>
          </cell>
        </row>
        <row r="292">
          <cell r="H292">
            <v>0</v>
          </cell>
          <cell r="J292" t="e">
            <v>#N/A</v>
          </cell>
        </row>
        <row r="293">
          <cell r="H293">
            <v>0</v>
          </cell>
          <cell r="J293" t="e">
            <v>#N/A</v>
          </cell>
        </row>
        <row r="294">
          <cell r="H294">
            <v>0</v>
          </cell>
          <cell r="J294" t="e">
            <v>#N/A</v>
          </cell>
        </row>
        <row r="295">
          <cell r="H295">
            <v>0</v>
          </cell>
          <cell r="J295" t="e">
            <v>#N/A</v>
          </cell>
        </row>
        <row r="296">
          <cell r="H296">
            <v>0</v>
          </cell>
          <cell r="J296" t="e">
            <v>#N/A</v>
          </cell>
        </row>
        <row r="297">
          <cell r="H297">
            <v>0</v>
          </cell>
          <cell r="J297" t="e">
            <v>#N/A</v>
          </cell>
        </row>
        <row r="298">
          <cell r="H298">
            <v>0</v>
          </cell>
          <cell r="J298" t="e">
            <v>#N/A</v>
          </cell>
        </row>
        <row r="299">
          <cell r="H299">
            <v>0</v>
          </cell>
          <cell r="J299" t="e">
            <v>#N/A</v>
          </cell>
        </row>
        <row r="300">
          <cell r="H300">
            <v>0</v>
          </cell>
          <cell r="J300" t="e">
            <v>#N/A</v>
          </cell>
        </row>
        <row r="301">
          <cell r="H301">
            <v>0</v>
          </cell>
          <cell r="J301" t="e">
            <v>#N/A</v>
          </cell>
        </row>
        <row r="302">
          <cell r="H302">
            <v>0</v>
          </cell>
          <cell r="J302" t="e">
            <v>#N/A</v>
          </cell>
        </row>
        <row r="303">
          <cell r="H303">
            <v>0</v>
          </cell>
          <cell r="J303" t="e">
            <v>#N/A</v>
          </cell>
        </row>
        <row r="304">
          <cell r="H304">
            <v>0</v>
          </cell>
          <cell r="J304" t="e">
            <v>#N/A</v>
          </cell>
        </row>
        <row r="305">
          <cell r="H305">
            <v>0</v>
          </cell>
          <cell r="J305" t="e">
            <v>#N/A</v>
          </cell>
        </row>
        <row r="306">
          <cell r="H306">
            <v>0</v>
          </cell>
          <cell r="J306" t="e">
            <v>#N/A</v>
          </cell>
        </row>
        <row r="307">
          <cell r="H307">
            <v>0</v>
          </cell>
          <cell r="J307" t="e">
            <v>#N/A</v>
          </cell>
        </row>
        <row r="308">
          <cell r="H308">
            <v>0</v>
          </cell>
          <cell r="J308" t="e">
            <v>#N/A</v>
          </cell>
        </row>
        <row r="309">
          <cell r="H309">
            <v>0</v>
          </cell>
          <cell r="J309" t="e">
            <v>#N/A</v>
          </cell>
        </row>
        <row r="310">
          <cell r="H310">
            <v>0</v>
          </cell>
          <cell r="J310" t="e">
            <v>#N/A</v>
          </cell>
        </row>
        <row r="311">
          <cell r="H311">
            <v>0</v>
          </cell>
          <cell r="J311" t="e">
            <v>#N/A</v>
          </cell>
        </row>
        <row r="312">
          <cell r="H312">
            <v>0</v>
          </cell>
          <cell r="J312" t="e">
            <v>#N/A</v>
          </cell>
        </row>
        <row r="313">
          <cell r="H313">
            <v>0</v>
          </cell>
          <cell r="J313" t="e">
            <v>#N/A</v>
          </cell>
        </row>
        <row r="314">
          <cell r="H314">
            <v>0</v>
          </cell>
          <cell r="J314" t="e">
            <v>#N/A</v>
          </cell>
        </row>
        <row r="315">
          <cell r="H315">
            <v>0</v>
          </cell>
          <cell r="J315" t="e">
            <v>#N/A</v>
          </cell>
        </row>
        <row r="316">
          <cell r="H316">
            <v>0</v>
          </cell>
          <cell r="J316" t="e">
            <v>#N/A</v>
          </cell>
        </row>
        <row r="317">
          <cell r="H317">
            <v>0</v>
          </cell>
          <cell r="J317" t="e">
            <v>#N/A</v>
          </cell>
        </row>
        <row r="318">
          <cell r="H318">
            <v>0</v>
          </cell>
          <cell r="J318" t="e">
            <v>#N/A</v>
          </cell>
        </row>
        <row r="319">
          <cell r="H319">
            <v>0</v>
          </cell>
          <cell r="J319" t="e">
            <v>#N/A</v>
          </cell>
        </row>
        <row r="320">
          <cell r="H320">
            <v>0</v>
          </cell>
          <cell r="J320" t="e">
            <v>#N/A</v>
          </cell>
        </row>
        <row r="321">
          <cell r="H321">
            <v>0</v>
          </cell>
          <cell r="J321" t="e">
            <v>#N/A</v>
          </cell>
        </row>
        <row r="322">
          <cell r="H322">
            <v>0</v>
          </cell>
          <cell r="J322" t="e">
            <v>#N/A</v>
          </cell>
        </row>
        <row r="323">
          <cell r="H323">
            <v>0</v>
          </cell>
          <cell r="J323" t="e">
            <v>#N/A</v>
          </cell>
        </row>
        <row r="324">
          <cell r="H324">
            <v>0</v>
          </cell>
          <cell r="J324" t="e">
            <v>#N/A</v>
          </cell>
        </row>
        <row r="325">
          <cell r="H325">
            <v>0</v>
          </cell>
          <cell r="J325" t="e">
            <v>#N/A</v>
          </cell>
        </row>
        <row r="326">
          <cell r="H326">
            <v>0</v>
          </cell>
          <cell r="J326" t="e">
            <v>#N/A</v>
          </cell>
        </row>
        <row r="327">
          <cell r="H327">
            <v>0</v>
          </cell>
          <cell r="J327" t="e">
            <v>#N/A</v>
          </cell>
        </row>
        <row r="328">
          <cell r="H328">
            <v>0</v>
          </cell>
          <cell r="J328" t="e">
            <v>#N/A</v>
          </cell>
        </row>
        <row r="329">
          <cell r="H329">
            <v>0</v>
          </cell>
          <cell r="J329" t="e">
            <v>#N/A</v>
          </cell>
        </row>
        <row r="330">
          <cell r="H330">
            <v>0</v>
          </cell>
          <cell r="J330" t="e">
            <v>#N/A</v>
          </cell>
        </row>
        <row r="331">
          <cell r="H331">
            <v>0</v>
          </cell>
          <cell r="J331" t="e">
            <v>#N/A</v>
          </cell>
        </row>
        <row r="332">
          <cell r="H332">
            <v>0</v>
          </cell>
          <cell r="J332" t="e">
            <v>#N/A</v>
          </cell>
        </row>
        <row r="333">
          <cell r="H333">
            <v>0</v>
          </cell>
          <cell r="J333" t="e">
            <v>#N/A</v>
          </cell>
        </row>
        <row r="334">
          <cell r="H334">
            <v>0</v>
          </cell>
          <cell r="J334" t="e">
            <v>#N/A</v>
          </cell>
        </row>
        <row r="335">
          <cell r="H335">
            <v>0</v>
          </cell>
          <cell r="J335" t="e">
            <v>#N/A</v>
          </cell>
        </row>
        <row r="336">
          <cell r="H336">
            <v>0</v>
          </cell>
          <cell r="J336" t="e">
            <v>#N/A</v>
          </cell>
        </row>
        <row r="337">
          <cell r="H337">
            <v>0</v>
          </cell>
          <cell r="J337" t="e">
            <v>#N/A</v>
          </cell>
        </row>
        <row r="338">
          <cell r="H338">
            <v>0</v>
          </cell>
          <cell r="J338" t="e">
            <v>#N/A</v>
          </cell>
        </row>
        <row r="339">
          <cell r="H339">
            <v>0</v>
          </cell>
          <cell r="J339" t="e">
            <v>#N/A</v>
          </cell>
        </row>
        <row r="340">
          <cell r="H340">
            <v>0</v>
          </cell>
          <cell r="J340" t="e">
            <v>#N/A</v>
          </cell>
        </row>
        <row r="341">
          <cell r="H341">
            <v>0</v>
          </cell>
          <cell r="J341" t="e">
            <v>#N/A</v>
          </cell>
        </row>
        <row r="342">
          <cell r="H342">
            <v>0</v>
          </cell>
          <cell r="J342" t="e">
            <v>#N/A</v>
          </cell>
        </row>
        <row r="343">
          <cell r="H343">
            <v>0</v>
          </cell>
          <cell r="J343" t="e">
            <v>#N/A</v>
          </cell>
        </row>
        <row r="344">
          <cell r="H344">
            <v>0</v>
          </cell>
          <cell r="J344" t="e">
            <v>#N/A</v>
          </cell>
        </row>
        <row r="345">
          <cell r="H345">
            <v>0</v>
          </cell>
          <cell r="J345" t="e">
            <v>#N/A</v>
          </cell>
        </row>
        <row r="346">
          <cell r="H346">
            <v>0</v>
          </cell>
          <cell r="J346" t="e">
            <v>#N/A</v>
          </cell>
        </row>
        <row r="347">
          <cell r="H347">
            <v>0</v>
          </cell>
          <cell r="J347" t="e">
            <v>#N/A</v>
          </cell>
        </row>
        <row r="348">
          <cell r="H348">
            <v>0</v>
          </cell>
          <cell r="J348" t="e">
            <v>#N/A</v>
          </cell>
        </row>
        <row r="349">
          <cell r="H349">
            <v>0</v>
          </cell>
          <cell r="J349" t="e">
            <v>#N/A</v>
          </cell>
        </row>
        <row r="350">
          <cell r="H350">
            <v>0</v>
          </cell>
          <cell r="J350" t="e">
            <v>#N/A</v>
          </cell>
        </row>
        <row r="351">
          <cell r="H351">
            <v>0</v>
          </cell>
          <cell r="J351" t="e">
            <v>#N/A</v>
          </cell>
        </row>
        <row r="352">
          <cell r="H352">
            <v>0</v>
          </cell>
          <cell r="J352" t="e">
            <v>#N/A</v>
          </cell>
        </row>
        <row r="353">
          <cell r="H353">
            <v>0</v>
          </cell>
          <cell r="J353" t="e">
            <v>#N/A</v>
          </cell>
        </row>
        <row r="354">
          <cell r="H354">
            <v>0</v>
          </cell>
          <cell r="J354" t="e">
            <v>#N/A</v>
          </cell>
        </row>
        <row r="355">
          <cell r="H355">
            <v>0</v>
          </cell>
          <cell r="J355" t="e">
            <v>#N/A</v>
          </cell>
        </row>
        <row r="356">
          <cell r="H356">
            <v>0</v>
          </cell>
          <cell r="J356" t="e">
            <v>#N/A</v>
          </cell>
        </row>
        <row r="357">
          <cell r="H357">
            <v>0</v>
          </cell>
          <cell r="J357" t="e">
            <v>#N/A</v>
          </cell>
        </row>
        <row r="358">
          <cell r="H358">
            <v>0</v>
          </cell>
          <cell r="J358" t="e">
            <v>#N/A</v>
          </cell>
        </row>
        <row r="359">
          <cell r="H359">
            <v>0</v>
          </cell>
          <cell r="J359" t="e">
            <v>#N/A</v>
          </cell>
        </row>
        <row r="360">
          <cell r="H360">
            <v>0</v>
          </cell>
          <cell r="J360" t="e">
            <v>#N/A</v>
          </cell>
        </row>
        <row r="361">
          <cell r="H361">
            <v>0</v>
          </cell>
          <cell r="J361" t="e">
            <v>#N/A</v>
          </cell>
        </row>
        <row r="362">
          <cell r="H362">
            <v>0</v>
          </cell>
          <cell r="J362" t="e">
            <v>#N/A</v>
          </cell>
        </row>
        <row r="363">
          <cell r="H363">
            <v>0</v>
          </cell>
          <cell r="J363" t="e">
            <v>#N/A</v>
          </cell>
        </row>
        <row r="364">
          <cell r="H364">
            <v>0</v>
          </cell>
          <cell r="J364" t="e">
            <v>#N/A</v>
          </cell>
        </row>
        <row r="365">
          <cell r="H365">
            <v>0</v>
          </cell>
          <cell r="J365" t="e">
            <v>#N/A</v>
          </cell>
        </row>
        <row r="366">
          <cell r="H366">
            <v>0</v>
          </cell>
          <cell r="J366" t="e">
            <v>#N/A</v>
          </cell>
        </row>
        <row r="367">
          <cell r="H367">
            <v>0</v>
          </cell>
          <cell r="J367" t="e">
            <v>#N/A</v>
          </cell>
        </row>
        <row r="368">
          <cell r="H368">
            <v>0</v>
          </cell>
          <cell r="J368" t="e">
            <v>#N/A</v>
          </cell>
        </row>
        <row r="369">
          <cell r="H369">
            <v>0</v>
          </cell>
          <cell r="J369" t="e">
            <v>#N/A</v>
          </cell>
        </row>
        <row r="370">
          <cell r="H370">
            <v>0</v>
          </cell>
          <cell r="J370" t="e">
            <v>#N/A</v>
          </cell>
        </row>
        <row r="371">
          <cell r="H371">
            <v>0</v>
          </cell>
          <cell r="J371" t="e">
            <v>#N/A</v>
          </cell>
        </row>
        <row r="372">
          <cell r="H372">
            <v>0</v>
          </cell>
          <cell r="J372" t="e">
            <v>#N/A</v>
          </cell>
        </row>
        <row r="373">
          <cell r="H373">
            <v>0</v>
          </cell>
          <cell r="J373" t="e">
            <v>#N/A</v>
          </cell>
        </row>
        <row r="374">
          <cell r="H374">
            <v>0</v>
          </cell>
          <cell r="J374" t="e">
            <v>#N/A</v>
          </cell>
        </row>
        <row r="375">
          <cell r="H375">
            <v>0</v>
          </cell>
          <cell r="J375" t="e">
            <v>#N/A</v>
          </cell>
        </row>
        <row r="376">
          <cell r="H376">
            <v>0</v>
          </cell>
          <cell r="J376" t="e">
            <v>#N/A</v>
          </cell>
        </row>
        <row r="377">
          <cell r="H377">
            <v>0</v>
          </cell>
          <cell r="J377" t="e">
            <v>#N/A</v>
          </cell>
        </row>
        <row r="378">
          <cell r="H378">
            <v>0</v>
          </cell>
          <cell r="J378" t="e">
            <v>#N/A</v>
          </cell>
        </row>
        <row r="379">
          <cell r="H379">
            <v>0</v>
          </cell>
          <cell r="J379" t="e">
            <v>#N/A</v>
          </cell>
        </row>
        <row r="380">
          <cell r="H380">
            <v>0</v>
          </cell>
          <cell r="J380" t="e">
            <v>#N/A</v>
          </cell>
        </row>
        <row r="381">
          <cell r="H381">
            <v>0</v>
          </cell>
          <cell r="J381" t="e">
            <v>#N/A</v>
          </cell>
        </row>
        <row r="382">
          <cell r="H382">
            <v>0</v>
          </cell>
          <cell r="J382" t="e">
            <v>#N/A</v>
          </cell>
        </row>
        <row r="383">
          <cell r="H383">
            <v>0</v>
          </cell>
          <cell r="J383" t="e">
            <v>#N/A</v>
          </cell>
        </row>
        <row r="384">
          <cell r="H384">
            <v>0</v>
          </cell>
          <cell r="J384" t="e">
            <v>#N/A</v>
          </cell>
        </row>
        <row r="385">
          <cell r="H385">
            <v>0</v>
          </cell>
          <cell r="J385" t="e">
            <v>#N/A</v>
          </cell>
        </row>
        <row r="386">
          <cell r="H386">
            <v>0</v>
          </cell>
          <cell r="J386" t="e">
            <v>#N/A</v>
          </cell>
        </row>
        <row r="387">
          <cell r="H387">
            <v>0</v>
          </cell>
          <cell r="J387" t="e">
            <v>#N/A</v>
          </cell>
        </row>
        <row r="388">
          <cell r="H388">
            <v>0</v>
          </cell>
          <cell r="J388" t="e">
            <v>#N/A</v>
          </cell>
        </row>
        <row r="389">
          <cell r="H389">
            <v>0</v>
          </cell>
          <cell r="J389" t="e">
            <v>#N/A</v>
          </cell>
        </row>
        <row r="390">
          <cell r="H390">
            <v>0</v>
          </cell>
          <cell r="J390" t="e">
            <v>#N/A</v>
          </cell>
        </row>
        <row r="391">
          <cell r="H391">
            <v>0</v>
          </cell>
          <cell r="J391" t="e">
            <v>#N/A</v>
          </cell>
        </row>
        <row r="392">
          <cell r="H392">
            <v>0</v>
          </cell>
          <cell r="J392" t="e">
            <v>#N/A</v>
          </cell>
        </row>
        <row r="393">
          <cell r="H393">
            <v>0</v>
          </cell>
          <cell r="J393" t="e">
            <v>#N/A</v>
          </cell>
        </row>
        <row r="394">
          <cell r="H394">
            <v>0</v>
          </cell>
          <cell r="J394" t="e">
            <v>#N/A</v>
          </cell>
        </row>
        <row r="395">
          <cell r="H395">
            <v>0</v>
          </cell>
          <cell r="J395" t="e">
            <v>#N/A</v>
          </cell>
        </row>
        <row r="396">
          <cell r="H396">
            <v>0</v>
          </cell>
          <cell r="J396" t="e">
            <v>#N/A</v>
          </cell>
        </row>
        <row r="397">
          <cell r="H397">
            <v>0</v>
          </cell>
          <cell r="J397" t="e">
            <v>#N/A</v>
          </cell>
        </row>
      </sheetData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. Cash Flow Summary"/>
      <sheetName val="S&amp;P 500"/>
      <sheetName val="Cost vs. MV 3-31-05"/>
      <sheetName val="Burgiss Group"/>
      <sheetName val="Cumulative IRR Graph"/>
      <sheetName val="1 year performance"/>
      <sheetName val="Sheet2"/>
      <sheetName val="Sheet3"/>
    </sheetNames>
    <sheetDataSet>
      <sheetData sheetId="0"/>
      <sheetData sheetId="1"/>
      <sheetData sheetId="2"/>
      <sheetData sheetId="3">
        <row r="2">
          <cell r="I2" t="str">
            <v>carribean</v>
          </cell>
        </row>
        <row r="3">
          <cell r="I3" t="str">
            <v>carribean</v>
          </cell>
        </row>
        <row r="4">
          <cell r="I4" t="str">
            <v>carribean</v>
          </cell>
        </row>
        <row r="5">
          <cell r="I5" t="str">
            <v>carribean</v>
          </cell>
        </row>
        <row r="6">
          <cell r="I6" t="str">
            <v>carribean</v>
          </cell>
        </row>
        <row r="7">
          <cell r="I7" t="str">
            <v>north america</v>
          </cell>
        </row>
        <row r="8">
          <cell r="I8" t="str">
            <v>north america</v>
          </cell>
        </row>
        <row r="9">
          <cell r="I9" t="str">
            <v>north america</v>
          </cell>
        </row>
        <row r="10">
          <cell r="I10" t="str">
            <v>north america</v>
          </cell>
        </row>
        <row r="11">
          <cell r="I11" t="str">
            <v>north america</v>
          </cell>
        </row>
        <row r="12">
          <cell r="I12" t="str">
            <v>north america</v>
          </cell>
        </row>
        <row r="13">
          <cell r="I13" t="str">
            <v>north america</v>
          </cell>
        </row>
        <row r="14">
          <cell r="I14" t="str">
            <v>north america</v>
          </cell>
        </row>
        <row r="15">
          <cell r="I15" t="str">
            <v>north america</v>
          </cell>
        </row>
        <row r="16">
          <cell r="I16" t="str">
            <v>north america</v>
          </cell>
        </row>
        <row r="17">
          <cell r="I17" t="str">
            <v>north america</v>
          </cell>
        </row>
        <row r="18">
          <cell r="I18" t="str">
            <v>north america</v>
          </cell>
        </row>
        <row r="19">
          <cell r="I19" t="str">
            <v>north america</v>
          </cell>
        </row>
        <row r="20">
          <cell r="I20" t="str">
            <v>north america</v>
          </cell>
        </row>
        <row r="21">
          <cell r="I21" t="str">
            <v>north america</v>
          </cell>
        </row>
        <row r="22">
          <cell r="I22" t="str">
            <v>north america</v>
          </cell>
        </row>
        <row r="23">
          <cell r="I23" t="str">
            <v>north america</v>
          </cell>
        </row>
        <row r="24">
          <cell r="I24" t="str">
            <v>north america</v>
          </cell>
        </row>
        <row r="25">
          <cell r="I25" t="str">
            <v>north america</v>
          </cell>
        </row>
        <row r="26">
          <cell r="I26" t="str">
            <v>north america</v>
          </cell>
        </row>
        <row r="27">
          <cell r="I27" t="str">
            <v>north america</v>
          </cell>
        </row>
        <row r="28">
          <cell r="I28" t="str">
            <v>north america</v>
          </cell>
        </row>
        <row r="29">
          <cell r="I29" t="str">
            <v>north america</v>
          </cell>
        </row>
        <row r="30">
          <cell r="I30" t="str">
            <v>north america</v>
          </cell>
        </row>
        <row r="31">
          <cell r="I31" t="str">
            <v>north america</v>
          </cell>
        </row>
        <row r="32">
          <cell r="I32" t="str">
            <v>north america</v>
          </cell>
        </row>
        <row r="33">
          <cell r="I33" t="str">
            <v>north america</v>
          </cell>
        </row>
        <row r="34">
          <cell r="I34" t="str">
            <v>north america</v>
          </cell>
        </row>
        <row r="35">
          <cell r="I35" t="str">
            <v>north america</v>
          </cell>
        </row>
        <row r="36">
          <cell r="I36" t="str">
            <v>north america</v>
          </cell>
        </row>
        <row r="37">
          <cell r="I37" t="str">
            <v>north america</v>
          </cell>
        </row>
        <row r="38">
          <cell r="I38" t="str">
            <v>north america</v>
          </cell>
        </row>
        <row r="39">
          <cell r="I39" t="str">
            <v>north america</v>
          </cell>
        </row>
        <row r="40">
          <cell r="I40" t="str">
            <v>north america</v>
          </cell>
        </row>
        <row r="41">
          <cell r="I41" t="str">
            <v>north america</v>
          </cell>
        </row>
        <row r="42">
          <cell r="I42" t="str">
            <v>north america</v>
          </cell>
        </row>
        <row r="43">
          <cell r="I43" t="str">
            <v>north america</v>
          </cell>
        </row>
        <row r="44">
          <cell r="I44" t="str">
            <v>north america</v>
          </cell>
        </row>
        <row r="45">
          <cell r="I45" t="str">
            <v>north america</v>
          </cell>
        </row>
        <row r="46">
          <cell r="I46" t="str">
            <v>north america</v>
          </cell>
        </row>
        <row r="47">
          <cell r="I47" t="str">
            <v>north america</v>
          </cell>
        </row>
        <row r="48">
          <cell r="I48" t="str">
            <v>north america</v>
          </cell>
        </row>
        <row r="49">
          <cell r="I49" t="str">
            <v>north america</v>
          </cell>
        </row>
        <row r="50">
          <cell r="I50" t="str">
            <v>north america</v>
          </cell>
        </row>
        <row r="51">
          <cell r="I51" t="str">
            <v>north america</v>
          </cell>
        </row>
        <row r="52">
          <cell r="I52" t="str">
            <v>north america</v>
          </cell>
        </row>
        <row r="53">
          <cell r="I53" t="str">
            <v>north america</v>
          </cell>
        </row>
        <row r="54">
          <cell r="I54" t="str">
            <v>north america</v>
          </cell>
        </row>
        <row r="55">
          <cell r="I55" t="str">
            <v>north america</v>
          </cell>
        </row>
        <row r="56">
          <cell r="I56" t="str">
            <v>north america</v>
          </cell>
        </row>
        <row r="57">
          <cell r="I57" t="str">
            <v>north america</v>
          </cell>
        </row>
        <row r="58">
          <cell r="I58" t="str">
            <v>north america</v>
          </cell>
        </row>
        <row r="59">
          <cell r="I59" t="str">
            <v>north america</v>
          </cell>
        </row>
        <row r="60">
          <cell r="I60" t="str">
            <v>north america</v>
          </cell>
        </row>
        <row r="61">
          <cell r="I61" t="str">
            <v>north america</v>
          </cell>
        </row>
        <row r="62">
          <cell r="I62" t="str">
            <v>north america</v>
          </cell>
        </row>
        <row r="63">
          <cell r="I63" t="str">
            <v>north america</v>
          </cell>
        </row>
        <row r="64">
          <cell r="I64" t="str">
            <v>north america</v>
          </cell>
        </row>
        <row r="65">
          <cell r="I65" t="str">
            <v>north america</v>
          </cell>
        </row>
        <row r="66">
          <cell r="I66" t="str">
            <v>north america</v>
          </cell>
        </row>
        <row r="67">
          <cell r="I67" t="str">
            <v>north america</v>
          </cell>
        </row>
        <row r="68">
          <cell r="I68" t="str">
            <v>north america</v>
          </cell>
        </row>
        <row r="69">
          <cell r="I69" t="str">
            <v>north america</v>
          </cell>
        </row>
        <row r="70">
          <cell r="I70" t="str">
            <v>north america</v>
          </cell>
        </row>
        <row r="71">
          <cell r="I71" t="str">
            <v>north america</v>
          </cell>
        </row>
        <row r="72">
          <cell r="I72" t="str">
            <v>north america</v>
          </cell>
        </row>
        <row r="73">
          <cell r="I73" t="str">
            <v>north america</v>
          </cell>
        </row>
        <row r="74">
          <cell r="I74" t="str">
            <v>north america</v>
          </cell>
        </row>
        <row r="75">
          <cell r="I75" t="str">
            <v>north america</v>
          </cell>
        </row>
        <row r="76">
          <cell r="I76" t="str">
            <v>north america</v>
          </cell>
        </row>
        <row r="77">
          <cell r="I77" t="str">
            <v>north america</v>
          </cell>
        </row>
        <row r="78">
          <cell r="I78" t="str">
            <v>north america</v>
          </cell>
        </row>
        <row r="79">
          <cell r="I79" t="str">
            <v>north america</v>
          </cell>
        </row>
        <row r="80">
          <cell r="I80" t="str">
            <v>north america</v>
          </cell>
        </row>
        <row r="81">
          <cell r="I81" t="str">
            <v>north america</v>
          </cell>
        </row>
        <row r="82">
          <cell r="I82" t="str">
            <v>north america</v>
          </cell>
        </row>
        <row r="83">
          <cell r="I83" t="str">
            <v>north america</v>
          </cell>
        </row>
        <row r="84">
          <cell r="I84" t="str">
            <v>north america</v>
          </cell>
        </row>
        <row r="85">
          <cell r="I85" t="str">
            <v>north america</v>
          </cell>
        </row>
        <row r="86">
          <cell r="I86" t="str">
            <v>north america</v>
          </cell>
        </row>
        <row r="87">
          <cell r="I87" t="str">
            <v>north america</v>
          </cell>
        </row>
        <row r="88">
          <cell r="I88" t="str">
            <v>north america</v>
          </cell>
        </row>
        <row r="89">
          <cell r="I89" t="str">
            <v>north america</v>
          </cell>
        </row>
        <row r="90">
          <cell r="I90" t="str">
            <v>north america</v>
          </cell>
        </row>
        <row r="91">
          <cell r="I91" t="str">
            <v>north america</v>
          </cell>
        </row>
        <row r="92">
          <cell r="I92" t="str">
            <v>north america</v>
          </cell>
        </row>
        <row r="93">
          <cell r="I93" t="str">
            <v>north america</v>
          </cell>
        </row>
        <row r="94">
          <cell r="I94" t="str">
            <v>north america</v>
          </cell>
        </row>
        <row r="95">
          <cell r="I95" t="str">
            <v>north america</v>
          </cell>
        </row>
        <row r="96">
          <cell r="I96" t="str">
            <v>north america</v>
          </cell>
        </row>
        <row r="97">
          <cell r="I97" t="str">
            <v>north america</v>
          </cell>
        </row>
        <row r="98">
          <cell r="I98" t="str">
            <v>north america</v>
          </cell>
        </row>
        <row r="99">
          <cell r="I99" t="str">
            <v>north america</v>
          </cell>
        </row>
        <row r="100">
          <cell r="I100" t="str">
            <v>north america</v>
          </cell>
        </row>
        <row r="101">
          <cell r="I101" t="str">
            <v>north america</v>
          </cell>
        </row>
        <row r="102">
          <cell r="I102" t="str">
            <v>north america</v>
          </cell>
        </row>
        <row r="103">
          <cell r="I103" t="str">
            <v>north america</v>
          </cell>
        </row>
        <row r="104">
          <cell r="I104" t="str">
            <v>north america</v>
          </cell>
        </row>
        <row r="105">
          <cell r="I105" t="str">
            <v>north america</v>
          </cell>
        </row>
        <row r="106">
          <cell r="I106" t="str">
            <v>north america</v>
          </cell>
        </row>
        <row r="107">
          <cell r="I107" t="str">
            <v>north america</v>
          </cell>
        </row>
        <row r="108">
          <cell r="I108" t="str">
            <v>north america</v>
          </cell>
        </row>
        <row r="109">
          <cell r="I109" t="str">
            <v>north america</v>
          </cell>
        </row>
        <row r="110">
          <cell r="I110" t="str">
            <v>north america</v>
          </cell>
        </row>
        <row r="111">
          <cell r="I111" t="str">
            <v>north america</v>
          </cell>
        </row>
        <row r="112">
          <cell r="I112" t="str">
            <v>north america</v>
          </cell>
        </row>
        <row r="113">
          <cell r="I113" t="str">
            <v>north america</v>
          </cell>
        </row>
        <row r="114">
          <cell r="I114" t="str">
            <v>north america</v>
          </cell>
        </row>
        <row r="115">
          <cell r="I115" t="str">
            <v>north america</v>
          </cell>
        </row>
        <row r="116">
          <cell r="I116" t="str">
            <v>north america</v>
          </cell>
        </row>
        <row r="117">
          <cell r="I117" t="str">
            <v>north america</v>
          </cell>
        </row>
        <row r="118">
          <cell r="I118" t="str">
            <v>north america</v>
          </cell>
        </row>
        <row r="119">
          <cell r="I119" t="str">
            <v>north america</v>
          </cell>
        </row>
        <row r="120">
          <cell r="I120" t="str">
            <v>north america</v>
          </cell>
        </row>
        <row r="121">
          <cell r="I121" t="str">
            <v>north america</v>
          </cell>
        </row>
        <row r="122">
          <cell r="I122" t="str">
            <v>north america</v>
          </cell>
        </row>
        <row r="123">
          <cell r="I123" t="str">
            <v>north america</v>
          </cell>
        </row>
        <row r="124">
          <cell r="I124" t="str">
            <v>north america</v>
          </cell>
        </row>
        <row r="125">
          <cell r="I125" t="str">
            <v>north america</v>
          </cell>
        </row>
        <row r="126">
          <cell r="I126" t="str">
            <v>north america</v>
          </cell>
        </row>
        <row r="127">
          <cell r="I127" t="str">
            <v>north america</v>
          </cell>
        </row>
        <row r="128">
          <cell r="I128" t="str">
            <v>north america</v>
          </cell>
        </row>
        <row r="129">
          <cell r="I129" t="str">
            <v>north america</v>
          </cell>
        </row>
        <row r="130">
          <cell r="I130" t="str">
            <v>north america</v>
          </cell>
        </row>
        <row r="131">
          <cell r="I131" t="str">
            <v>north america</v>
          </cell>
        </row>
        <row r="132">
          <cell r="I132" t="str">
            <v>north america</v>
          </cell>
        </row>
        <row r="133">
          <cell r="I133" t="str">
            <v>north america</v>
          </cell>
        </row>
        <row r="134">
          <cell r="I134" t="str">
            <v>north america</v>
          </cell>
        </row>
        <row r="135">
          <cell r="I135" t="str">
            <v>north america</v>
          </cell>
        </row>
        <row r="136">
          <cell r="I136" t="str">
            <v>north america</v>
          </cell>
        </row>
        <row r="137">
          <cell r="I137" t="str">
            <v>north america</v>
          </cell>
        </row>
        <row r="138">
          <cell r="I138" t="str">
            <v>north america</v>
          </cell>
        </row>
        <row r="139">
          <cell r="I139" t="str">
            <v>north america</v>
          </cell>
        </row>
        <row r="140">
          <cell r="I140" t="str">
            <v>north america</v>
          </cell>
        </row>
        <row r="141">
          <cell r="I141" t="str">
            <v>north america</v>
          </cell>
        </row>
        <row r="142">
          <cell r="I142" t="str">
            <v>north america</v>
          </cell>
        </row>
        <row r="143">
          <cell r="I143" t="str">
            <v>north america</v>
          </cell>
        </row>
        <row r="144">
          <cell r="I144" t="str">
            <v>north america</v>
          </cell>
        </row>
        <row r="145">
          <cell r="I145" t="str">
            <v>north america</v>
          </cell>
        </row>
        <row r="146">
          <cell r="I146" t="str">
            <v>north america</v>
          </cell>
        </row>
        <row r="147">
          <cell r="I147" t="str">
            <v>north america</v>
          </cell>
        </row>
        <row r="148">
          <cell r="I148" t="str">
            <v>north america</v>
          </cell>
        </row>
        <row r="149">
          <cell r="I149" t="str">
            <v>north america</v>
          </cell>
        </row>
        <row r="150">
          <cell r="I150" t="str">
            <v>north america</v>
          </cell>
        </row>
        <row r="151">
          <cell r="I151" t="str">
            <v>north america</v>
          </cell>
        </row>
        <row r="152">
          <cell r="I152" t="str">
            <v>north america</v>
          </cell>
        </row>
        <row r="153">
          <cell r="I153" t="str">
            <v>north america</v>
          </cell>
        </row>
        <row r="154">
          <cell r="I154" t="str">
            <v>north america</v>
          </cell>
        </row>
        <row r="155">
          <cell r="I155" t="str">
            <v>north america</v>
          </cell>
        </row>
        <row r="156">
          <cell r="I156" t="str">
            <v>north america</v>
          </cell>
        </row>
        <row r="157">
          <cell r="I157" t="str">
            <v>north america</v>
          </cell>
        </row>
        <row r="158">
          <cell r="I158" t="str">
            <v>north america</v>
          </cell>
        </row>
        <row r="159">
          <cell r="I159" t="str">
            <v>north america</v>
          </cell>
        </row>
        <row r="160">
          <cell r="I160" t="str">
            <v>north america</v>
          </cell>
        </row>
        <row r="161">
          <cell r="I161" t="str">
            <v>north america</v>
          </cell>
        </row>
        <row r="162">
          <cell r="I162" t="str">
            <v>north america</v>
          </cell>
        </row>
        <row r="163">
          <cell r="I163" t="str">
            <v>north america</v>
          </cell>
        </row>
        <row r="164">
          <cell r="I164" t="str">
            <v>north america</v>
          </cell>
        </row>
        <row r="165">
          <cell r="I165" t="str">
            <v>north america</v>
          </cell>
        </row>
        <row r="166">
          <cell r="I166" t="str">
            <v>north america</v>
          </cell>
        </row>
        <row r="167">
          <cell r="I167" t="str">
            <v>north america</v>
          </cell>
        </row>
        <row r="168">
          <cell r="I168" t="str">
            <v>north america</v>
          </cell>
        </row>
        <row r="169">
          <cell r="I169" t="str">
            <v>north america</v>
          </cell>
        </row>
        <row r="170">
          <cell r="I170" t="str">
            <v>north america</v>
          </cell>
        </row>
        <row r="171">
          <cell r="I171" t="str">
            <v>north america</v>
          </cell>
        </row>
        <row r="172">
          <cell r="I172" t="str">
            <v>north america</v>
          </cell>
        </row>
        <row r="173">
          <cell r="I173" t="str">
            <v>north america</v>
          </cell>
        </row>
        <row r="174">
          <cell r="I174" t="str">
            <v>north america</v>
          </cell>
        </row>
        <row r="175">
          <cell r="I175" t="str">
            <v>north america</v>
          </cell>
        </row>
        <row r="176">
          <cell r="I176" t="str">
            <v>north america</v>
          </cell>
        </row>
        <row r="177">
          <cell r="I177" t="str">
            <v>north america</v>
          </cell>
        </row>
        <row r="178">
          <cell r="I178" t="str">
            <v>north america</v>
          </cell>
        </row>
        <row r="179">
          <cell r="I179" t="str">
            <v>north america</v>
          </cell>
        </row>
        <row r="180">
          <cell r="I180" t="str">
            <v>north america</v>
          </cell>
        </row>
        <row r="181">
          <cell r="I181" t="str">
            <v>north america</v>
          </cell>
        </row>
        <row r="182">
          <cell r="I182" t="str">
            <v>north america</v>
          </cell>
        </row>
        <row r="183">
          <cell r="I183" t="str">
            <v>north america</v>
          </cell>
        </row>
        <row r="184">
          <cell r="I184" t="str">
            <v>north america</v>
          </cell>
        </row>
        <row r="185">
          <cell r="I185" t="str">
            <v>north america</v>
          </cell>
        </row>
        <row r="186">
          <cell r="I186" t="str">
            <v>north america</v>
          </cell>
        </row>
        <row r="187">
          <cell r="I187" t="str">
            <v>north america</v>
          </cell>
        </row>
        <row r="188">
          <cell r="I188" t="str">
            <v>north america</v>
          </cell>
        </row>
        <row r="189">
          <cell r="I189" t="str">
            <v>north america</v>
          </cell>
        </row>
        <row r="190">
          <cell r="I190" t="str">
            <v>north america</v>
          </cell>
        </row>
        <row r="191">
          <cell r="I191" t="str">
            <v>north america</v>
          </cell>
        </row>
        <row r="192">
          <cell r="I192" t="str">
            <v>north america</v>
          </cell>
        </row>
        <row r="193">
          <cell r="I193" t="str">
            <v>north america</v>
          </cell>
        </row>
        <row r="194">
          <cell r="I194" t="str">
            <v>north america</v>
          </cell>
        </row>
        <row r="195">
          <cell r="I195" t="str">
            <v>north america</v>
          </cell>
        </row>
        <row r="196">
          <cell r="I196" t="str">
            <v>north america</v>
          </cell>
        </row>
        <row r="197">
          <cell r="I197" t="str">
            <v>north america</v>
          </cell>
        </row>
        <row r="198">
          <cell r="I198" t="str">
            <v>north america</v>
          </cell>
        </row>
        <row r="199">
          <cell r="I199" t="str">
            <v>north america</v>
          </cell>
        </row>
        <row r="200">
          <cell r="I200" t="str">
            <v>north america</v>
          </cell>
        </row>
        <row r="201">
          <cell r="I201" t="str">
            <v>north america</v>
          </cell>
        </row>
        <row r="202">
          <cell r="I202" t="str">
            <v>north america</v>
          </cell>
        </row>
        <row r="203">
          <cell r="I203" t="str">
            <v>north america</v>
          </cell>
        </row>
        <row r="204">
          <cell r="I204" t="str">
            <v>north america</v>
          </cell>
        </row>
        <row r="205">
          <cell r="I205" t="str">
            <v>north america</v>
          </cell>
        </row>
        <row r="206">
          <cell r="I206" t="str">
            <v>north america</v>
          </cell>
        </row>
        <row r="207">
          <cell r="I207" t="str">
            <v>north america</v>
          </cell>
        </row>
        <row r="208">
          <cell r="I208" t="str">
            <v>north america</v>
          </cell>
        </row>
        <row r="209">
          <cell r="I209" t="str">
            <v>north america</v>
          </cell>
        </row>
        <row r="210">
          <cell r="I210" t="str">
            <v>north america</v>
          </cell>
        </row>
        <row r="211">
          <cell r="I211" t="str">
            <v>north america</v>
          </cell>
        </row>
        <row r="212">
          <cell r="I212" t="str">
            <v>north america</v>
          </cell>
        </row>
        <row r="213">
          <cell r="I213" t="str">
            <v>north america</v>
          </cell>
        </row>
        <row r="214">
          <cell r="I214" t="str">
            <v>north america</v>
          </cell>
        </row>
        <row r="215">
          <cell r="I215" t="str">
            <v>north america</v>
          </cell>
        </row>
        <row r="216">
          <cell r="I216" t="str">
            <v>north america</v>
          </cell>
        </row>
        <row r="217">
          <cell r="I217" t="str">
            <v>north america</v>
          </cell>
        </row>
        <row r="218">
          <cell r="I218" t="str">
            <v>north america</v>
          </cell>
        </row>
        <row r="219">
          <cell r="I219" t="str">
            <v>north america</v>
          </cell>
        </row>
        <row r="220">
          <cell r="I220" t="str">
            <v>north america</v>
          </cell>
        </row>
        <row r="221">
          <cell r="I221" t="str">
            <v>north america</v>
          </cell>
        </row>
        <row r="222">
          <cell r="I222" t="str">
            <v>north america</v>
          </cell>
        </row>
        <row r="223">
          <cell r="I223" t="str">
            <v>north america</v>
          </cell>
        </row>
        <row r="224">
          <cell r="I224" t="str">
            <v>north america</v>
          </cell>
        </row>
        <row r="225">
          <cell r="I225" t="str">
            <v>north america</v>
          </cell>
        </row>
        <row r="226">
          <cell r="I226" t="str">
            <v>north america</v>
          </cell>
        </row>
        <row r="227">
          <cell r="I227" t="str">
            <v>north america</v>
          </cell>
        </row>
        <row r="228">
          <cell r="I228" t="str">
            <v>north america</v>
          </cell>
        </row>
        <row r="229">
          <cell r="I229" t="str">
            <v>north america</v>
          </cell>
        </row>
        <row r="230">
          <cell r="I230" t="str">
            <v>north america</v>
          </cell>
        </row>
        <row r="231">
          <cell r="I231" t="str">
            <v>north america</v>
          </cell>
        </row>
        <row r="232">
          <cell r="I232" t="str">
            <v>north america</v>
          </cell>
        </row>
        <row r="233">
          <cell r="I233" t="str">
            <v>north america</v>
          </cell>
        </row>
        <row r="234">
          <cell r="I234" t="str">
            <v>north america</v>
          </cell>
        </row>
        <row r="235">
          <cell r="I235" t="str">
            <v>north america</v>
          </cell>
        </row>
        <row r="236">
          <cell r="I236" t="str">
            <v>north america</v>
          </cell>
        </row>
        <row r="237">
          <cell r="I237" t="str">
            <v>north america</v>
          </cell>
        </row>
        <row r="238">
          <cell r="I238" t="str">
            <v>north america</v>
          </cell>
        </row>
        <row r="239">
          <cell r="I239" t="str">
            <v>north america</v>
          </cell>
        </row>
        <row r="240">
          <cell r="I240" t="str">
            <v>north america</v>
          </cell>
        </row>
        <row r="241">
          <cell r="I241" t="str">
            <v>north america</v>
          </cell>
        </row>
        <row r="242">
          <cell r="I242" t="str">
            <v>north america</v>
          </cell>
        </row>
        <row r="243">
          <cell r="I243" t="str">
            <v>north america</v>
          </cell>
        </row>
        <row r="244">
          <cell r="I244" t="str">
            <v>north america</v>
          </cell>
        </row>
        <row r="245">
          <cell r="I245" t="str">
            <v>north america</v>
          </cell>
        </row>
        <row r="246">
          <cell r="I246" t="str">
            <v>north america</v>
          </cell>
        </row>
        <row r="247">
          <cell r="I247" t="str">
            <v>north america</v>
          </cell>
        </row>
        <row r="248">
          <cell r="I248" t="str">
            <v>north america</v>
          </cell>
        </row>
        <row r="249">
          <cell r="I249" t="str">
            <v>north america</v>
          </cell>
        </row>
        <row r="250">
          <cell r="I250" t="str">
            <v>north america</v>
          </cell>
        </row>
        <row r="251">
          <cell r="I251" t="str">
            <v>north america</v>
          </cell>
        </row>
        <row r="252">
          <cell r="I252" t="str">
            <v>north america</v>
          </cell>
        </row>
        <row r="253">
          <cell r="I253" t="str">
            <v>north america</v>
          </cell>
        </row>
        <row r="254">
          <cell r="I254" t="str">
            <v>north america</v>
          </cell>
        </row>
        <row r="255">
          <cell r="I255" t="str">
            <v>north america</v>
          </cell>
        </row>
        <row r="256">
          <cell r="I256" t="str">
            <v>north america</v>
          </cell>
        </row>
        <row r="257">
          <cell r="I257" t="str">
            <v>north america</v>
          </cell>
        </row>
        <row r="258">
          <cell r="I258" t="str">
            <v>north america</v>
          </cell>
        </row>
        <row r="259">
          <cell r="I259" t="str">
            <v>north america</v>
          </cell>
        </row>
        <row r="260">
          <cell r="I260" t="str">
            <v>north america</v>
          </cell>
        </row>
        <row r="261">
          <cell r="I261" t="str">
            <v>north america</v>
          </cell>
        </row>
        <row r="262">
          <cell r="I262" t="str">
            <v>north america</v>
          </cell>
        </row>
        <row r="263">
          <cell r="I263" t="str">
            <v>north america</v>
          </cell>
        </row>
        <row r="264">
          <cell r="I264" t="str">
            <v>north america</v>
          </cell>
        </row>
        <row r="265">
          <cell r="I265" t="str">
            <v>north america</v>
          </cell>
        </row>
        <row r="266">
          <cell r="I266" t="str">
            <v>north america</v>
          </cell>
        </row>
        <row r="267">
          <cell r="I267" t="str">
            <v>north america</v>
          </cell>
        </row>
        <row r="268">
          <cell r="I268" t="str">
            <v>north america</v>
          </cell>
        </row>
        <row r="269">
          <cell r="I269" t="str">
            <v>north america</v>
          </cell>
        </row>
        <row r="270">
          <cell r="I270" t="str">
            <v>north america</v>
          </cell>
        </row>
        <row r="271">
          <cell r="I271" t="str">
            <v>north america</v>
          </cell>
        </row>
        <row r="272">
          <cell r="I272" t="str">
            <v>north america</v>
          </cell>
        </row>
        <row r="273">
          <cell r="I273" t="str">
            <v>north america</v>
          </cell>
        </row>
        <row r="274">
          <cell r="I274" t="str">
            <v>north america</v>
          </cell>
        </row>
        <row r="275">
          <cell r="I275" t="str">
            <v>north america</v>
          </cell>
        </row>
        <row r="276">
          <cell r="I276" t="str">
            <v>north america</v>
          </cell>
        </row>
        <row r="277">
          <cell r="I277" t="str">
            <v>north america</v>
          </cell>
        </row>
        <row r="278">
          <cell r="I278" t="str">
            <v>north america</v>
          </cell>
        </row>
        <row r="279">
          <cell r="I279" t="str">
            <v>north america</v>
          </cell>
        </row>
        <row r="280">
          <cell r="I280" t="str">
            <v>north america</v>
          </cell>
        </row>
        <row r="281">
          <cell r="I281" t="str">
            <v>north america</v>
          </cell>
        </row>
        <row r="282">
          <cell r="I282" t="str">
            <v>north america</v>
          </cell>
        </row>
        <row r="283">
          <cell r="I283" t="str">
            <v>north america</v>
          </cell>
        </row>
        <row r="284">
          <cell r="I284" t="str">
            <v>north america</v>
          </cell>
        </row>
        <row r="285">
          <cell r="I285" t="str">
            <v>north america</v>
          </cell>
        </row>
        <row r="286">
          <cell r="I286" t="str">
            <v>north america</v>
          </cell>
        </row>
        <row r="287">
          <cell r="I287" t="str">
            <v>north america</v>
          </cell>
        </row>
        <row r="288">
          <cell r="I288" t="str">
            <v>north america</v>
          </cell>
        </row>
        <row r="289">
          <cell r="I289" t="str">
            <v>north america</v>
          </cell>
        </row>
        <row r="290">
          <cell r="I290" t="str">
            <v>north america</v>
          </cell>
        </row>
        <row r="291">
          <cell r="I291" t="str">
            <v>north america</v>
          </cell>
        </row>
        <row r="292">
          <cell r="I292" t="str">
            <v>north america</v>
          </cell>
        </row>
        <row r="293">
          <cell r="I293" t="str">
            <v>north america</v>
          </cell>
        </row>
        <row r="294">
          <cell r="I294" t="str">
            <v>north america</v>
          </cell>
        </row>
        <row r="295">
          <cell r="I295" t="str">
            <v>north america</v>
          </cell>
        </row>
        <row r="296">
          <cell r="I296" t="str">
            <v>north america</v>
          </cell>
        </row>
        <row r="297">
          <cell r="I297" t="str">
            <v>north america</v>
          </cell>
        </row>
        <row r="298">
          <cell r="I298" t="str">
            <v>north america</v>
          </cell>
        </row>
        <row r="299">
          <cell r="I299" t="str">
            <v>north america</v>
          </cell>
        </row>
        <row r="300">
          <cell r="I300" t="str">
            <v>north america</v>
          </cell>
        </row>
        <row r="301">
          <cell r="I301" t="str">
            <v>north america</v>
          </cell>
        </row>
        <row r="302">
          <cell r="I302" t="str">
            <v>north america</v>
          </cell>
        </row>
        <row r="303">
          <cell r="I303" t="str">
            <v>north america</v>
          </cell>
        </row>
        <row r="304">
          <cell r="I304" t="str">
            <v>north america</v>
          </cell>
        </row>
        <row r="305">
          <cell r="I305" t="str">
            <v>north america</v>
          </cell>
        </row>
        <row r="306">
          <cell r="I306" t="str">
            <v>north america</v>
          </cell>
        </row>
        <row r="307">
          <cell r="I307" t="str">
            <v>north america</v>
          </cell>
        </row>
        <row r="308">
          <cell r="I308" t="str">
            <v>north america</v>
          </cell>
        </row>
        <row r="309">
          <cell r="I309" t="str">
            <v>north america</v>
          </cell>
        </row>
        <row r="310">
          <cell r="I310" t="str">
            <v>north america</v>
          </cell>
        </row>
        <row r="311">
          <cell r="I311" t="str">
            <v>north america</v>
          </cell>
        </row>
        <row r="312">
          <cell r="I312" t="str">
            <v>north america</v>
          </cell>
        </row>
        <row r="313">
          <cell r="I313" t="str">
            <v>north america</v>
          </cell>
        </row>
        <row r="314">
          <cell r="I314" t="str">
            <v>north america</v>
          </cell>
        </row>
        <row r="315">
          <cell r="I315" t="str">
            <v>north america</v>
          </cell>
        </row>
        <row r="316">
          <cell r="I316" t="str">
            <v>north america</v>
          </cell>
        </row>
        <row r="317">
          <cell r="I317" t="str">
            <v>north america</v>
          </cell>
        </row>
        <row r="318">
          <cell r="I318" t="str">
            <v>north america</v>
          </cell>
        </row>
        <row r="319">
          <cell r="I319" t="str">
            <v>north america</v>
          </cell>
        </row>
        <row r="320">
          <cell r="I320" t="str">
            <v>north america</v>
          </cell>
        </row>
        <row r="321">
          <cell r="I321" t="str">
            <v>north america</v>
          </cell>
        </row>
        <row r="322">
          <cell r="I322" t="str">
            <v>north america</v>
          </cell>
        </row>
        <row r="323">
          <cell r="I323" t="str">
            <v>north america</v>
          </cell>
        </row>
        <row r="324">
          <cell r="I324" t="str">
            <v>north america</v>
          </cell>
        </row>
        <row r="325">
          <cell r="I325" t="str">
            <v>north america</v>
          </cell>
        </row>
        <row r="326">
          <cell r="I326" t="str">
            <v>north america</v>
          </cell>
        </row>
        <row r="327">
          <cell r="I327" t="str">
            <v>north america</v>
          </cell>
        </row>
        <row r="328">
          <cell r="I328" t="str">
            <v>north america</v>
          </cell>
        </row>
        <row r="329">
          <cell r="I329" t="str">
            <v>north america</v>
          </cell>
        </row>
        <row r="330">
          <cell r="I330" t="str">
            <v>north america</v>
          </cell>
        </row>
        <row r="331">
          <cell r="I331" t="str">
            <v>north america</v>
          </cell>
        </row>
        <row r="332">
          <cell r="I332" t="str">
            <v>north america</v>
          </cell>
        </row>
        <row r="333">
          <cell r="I333" t="str">
            <v>north america</v>
          </cell>
        </row>
        <row r="334">
          <cell r="I334" t="str">
            <v>north america</v>
          </cell>
        </row>
        <row r="335">
          <cell r="I335" t="str">
            <v>north america</v>
          </cell>
        </row>
        <row r="336">
          <cell r="I336" t="str">
            <v>north america</v>
          </cell>
        </row>
        <row r="337">
          <cell r="I337" t="str">
            <v>north america</v>
          </cell>
        </row>
        <row r="338">
          <cell r="I338" t="str">
            <v>north america</v>
          </cell>
        </row>
        <row r="339">
          <cell r="I339" t="str">
            <v>north america</v>
          </cell>
        </row>
        <row r="340">
          <cell r="I340" t="str">
            <v>north america</v>
          </cell>
        </row>
        <row r="341">
          <cell r="I341" t="str">
            <v>north america</v>
          </cell>
        </row>
        <row r="342">
          <cell r="I342" t="str">
            <v>north america</v>
          </cell>
        </row>
        <row r="343">
          <cell r="I343" t="str">
            <v>north america</v>
          </cell>
        </row>
        <row r="344">
          <cell r="I344" t="str">
            <v>north america</v>
          </cell>
        </row>
        <row r="345">
          <cell r="I345" t="str">
            <v>north america</v>
          </cell>
        </row>
        <row r="346">
          <cell r="I346" t="str">
            <v>north america</v>
          </cell>
        </row>
        <row r="347">
          <cell r="I347" t="str">
            <v>north america</v>
          </cell>
        </row>
        <row r="348">
          <cell r="I348" t="str">
            <v>north america</v>
          </cell>
        </row>
        <row r="349">
          <cell r="I349" t="str">
            <v>north america</v>
          </cell>
        </row>
        <row r="350">
          <cell r="I350" t="str">
            <v>north america</v>
          </cell>
        </row>
        <row r="351">
          <cell r="I351" t="str">
            <v>north america</v>
          </cell>
        </row>
        <row r="352">
          <cell r="I352" t="str">
            <v>north america</v>
          </cell>
        </row>
        <row r="353">
          <cell r="I353" t="str">
            <v>north america</v>
          </cell>
        </row>
        <row r="354">
          <cell r="I354" t="str">
            <v>north america</v>
          </cell>
        </row>
        <row r="355">
          <cell r="I355" t="str">
            <v>north america</v>
          </cell>
        </row>
        <row r="356">
          <cell r="I356" t="str">
            <v>north america</v>
          </cell>
        </row>
        <row r="357">
          <cell r="I357" t="str">
            <v>north america</v>
          </cell>
        </row>
        <row r="358">
          <cell r="I358" t="str">
            <v>north america</v>
          </cell>
        </row>
        <row r="359">
          <cell r="I359" t="str">
            <v>north america</v>
          </cell>
        </row>
        <row r="360">
          <cell r="I360" t="str">
            <v>north america</v>
          </cell>
        </row>
        <row r="361">
          <cell r="I361" t="str">
            <v>north america</v>
          </cell>
        </row>
        <row r="362">
          <cell r="I362" t="str">
            <v>north america</v>
          </cell>
        </row>
        <row r="363">
          <cell r="I363" t="str">
            <v>north america</v>
          </cell>
        </row>
        <row r="364">
          <cell r="I364" t="str">
            <v>north america</v>
          </cell>
        </row>
        <row r="365">
          <cell r="I365" t="str">
            <v>north america</v>
          </cell>
        </row>
        <row r="366">
          <cell r="I366" t="str">
            <v>north america</v>
          </cell>
        </row>
        <row r="367">
          <cell r="I367" t="str">
            <v>north america</v>
          </cell>
        </row>
        <row r="368">
          <cell r="I368" t="str">
            <v>north america</v>
          </cell>
        </row>
        <row r="369">
          <cell r="I369" t="str">
            <v>north america</v>
          </cell>
        </row>
        <row r="370">
          <cell r="I370" t="str">
            <v>north america</v>
          </cell>
        </row>
        <row r="371">
          <cell r="I371" t="str">
            <v>north america</v>
          </cell>
        </row>
        <row r="372">
          <cell r="I372" t="str">
            <v>north america</v>
          </cell>
        </row>
        <row r="373">
          <cell r="I373" t="str">
            <v>north america</v>
          </cell>
        </row>
        <row r="374">
          <cell r="I374" t="str">
            <v>north america</v>
          </cell>
        </row>
        <row r="375">
          <cell r="I375" t="str">
            <v>north america</v>
          </cell>
        </row>
        <row r="376">
          <cell r="I376" t="str">
            <v>north america</v>
          </cell>
        </row>
        <row r="377">
          <cell r="I377" t="str">
            <v>north america</v>
          </cell>
        </row>
        <row r="378">
          <cell r="I378" t="str">
            <v>north america</v>
          </cell>
        </row>
        <row r="379">
          <cell r="I379" t="str">
            <v>north america</v>
          </cell>
        </row>
        <row r="380">
          <cell r="I380" t="str">
            <v>north america</v>
          </cell>
        </row>
        <row r="381">
          <cell r="I381" t="str">
            <v>north america</v>
          </cell>
        </row>
        <row r="382">
          <cell r="I382" t="str">
            <v>north america</v>
          </cell>
        </row>
        <row r="383">
          <cell r="I383" t="str">
            <v>north america</v>
          </cell>
        </row>
        <row r="384">
          <cell r="I384" t="str">
            <v>north america</v>
          </cell>
        </row>
        <row r="385">
          <cell r="I385" t="str">
            <v>north america</v>
          </cell>
        </row>
        <row r="386">
          <cell r="I386" t="str">
            <v>north america</v>
          </cell>
        </row>
        <row r="387">
          <cell r="I387" t="str">
            <v>north america</v>
          </cell>
        </row>
        <row r="388">
          <cell r="I388" t="str">
            <v>north america</v>
          </cell>
        </row>
        <row r="389">
          <cell r="I389" t="str">
            <v>north america</v>
          </cell>
        </row>
        <row r="390">
          <cell r="I390" t="str">
            <v>north america</v>
          </cell>
        </row>
        <row r="391">
          <cell r="I391" t="str">
            <v>north america</v>
          </cell>
        </row>
        <row r="392">
          <cell r="I392" t="str">
            <v>north america</v>
          </cell>
        </row>
        <row r="393">
          <cell r="I393" t="str">
            <v>north america</v>
          </cell>
        </row>
        <row r="394">
          <cell r="I394" t="str">
            <v>north america</v>
          </cell>
        </row>
        <row r="395">
          <cell r="I395" t="str">
            <v>north america</v>
          </cell>
        </row>
        <row r="396">
          <cell r="I396" t="str">
            <v>north america</v>
          </cell>
        </row>
        <row r="397">
          <cell r="I397" t="str">
            <v>north america</v>
          </cell>
        </row>
        <row r="398">
          <cell r="I398" t="str">
            <v>north america</v>
          </cell>
        </row>
        <row r="399">
          <cell r="I399" t="str">
            <v>north america</v>
          </cell>
        </row>
        <row r="400">
          <cell r="I400" t="str">
            <v>north america</v>
          </cell>
        </row>
        <row r="401">
          <cell r="I401" t="str">
            <v>north america</v>
          </cell>
        </row>
        <row r="402">
          <cell r="I402" t="str">
            <v>north america</v>
          </cell>
        </row>
        <row r="403">
          <cell r="I403" t="str">
            <v>north america</v>
          </cell>
        </row>
        <row r="404">
          <cell r="I404" t="str">
            <v>north america</v>
          </cell>
        </row>
        <row r="405">
          <cell r="I405" t="str">
            <v>north america</v>
          </cell>
        </row>
        <row r="406">
          <cell r="I406" t="str">
            <v>north america</v>
          </cell>
        </row>
        <row r="407">
          <cell r="I407" t="str">
            <v>north america</v>
          </cell>
        </row>
        <row r="408">
          <cell r="I408" t="str">
            <v>north america</v>
          </cell>
        </row>
        <row r="409">
          <cell r="I409" t="str">
            <v>north america</v>
          </cell>
        </row>
        <row r="410">
          <cell r="I410" t="str">
            <v>north america</v>
          </cell>
        </row>
        <row r="411">
          <cell r="I411" t="str">
            <v>north america</v>
          </cell>
        </row>
        <row r="412">
          <cell r="I412" t="str">
            <v>north america</v>
          </cell>
        </row>
        <row r="413">
          <cell r="I413" t="str">
            <v>north america</v>
          </cell>
        </row>
        <row r="414">
          <cell r="I414" t="str">
            <v>north america</v>
          </cell>
        </row>
        <row r="415">
          <cell r="I415" t="str">
            <v>north america</v>
          </cell>
        </row>
        <row r="416">
          <cell r="I416" t="str">
            <v>north america</v>
          </cell>
        </row>
        <row r="417">
          <cell r="I417" t="str">
            <v>north america</v>
          </cell>
        </row>
        <row r="418">
          <cell r="I418" t="str">
            <v>north america</v>
          </cell>
        </row>
        <row r="419">
          <cell r="I419" t="str">
            <v>north america</v>
          </cell>
        </row>
        <row r="420">
          <cell r="I420" t="str">
            <v>north america</v>
          </cell>
        </row>
        <row r="421">
          <cell r="I421" t="str">
            <v>north america</v>
          </cell>
        </row>
        <row r="422">
          <cell r="I422" t="str">
            <v>north america</v>
          </cell>
        </row>
        <row r="423">
          <cell r="I423" t="str">
            <v>north america</v>
          </cell>
        </row>
        <row r="424">
          <cell r="I424" t="str">
            <v>north america</v>
          </cell>
        </row>
        <row r="425">
          <cell r="I425" t="str">
            <v>north america</v>
          </cell>
        </row>
        <row r="426">
          <cell r="I426" t="str">
            <v>north america</v>
          </cell>
        </row>
        <row r="427">
          <cell r="I427" t="str">
            <v>north america</v>
          </cell>
        </row>
        <row r="428">
          <cell r="I428" t="str">
            <v>north america</v>
          </cell>
        </row>
        <row r="429">
          <cell r="I429" t="str">
            <v>north america</v>
          </cell>
        </row>
        <row r="430">
          <cell r="I430" t="str">
            <v>north america</v>
          </cell>
        </row>
        <row r="431">
          <cell r="I431" t="str">
            <v>north america</v>
          </cell>
        </row>
        <row r="432">
          <cell r="I432" t="str">
            <v>north america</v>
          </cell>
        </row>
        <row r="433">
          <cell r="I433" t="str">
            <v>north america</v>
          </cell>
        </row>
        <row r="434">
          <cell r="I434" t="str">
            <v>north america</v>
          </cell>
        </row>
        <row r="435">
          <cell r="I435" t="str">
            <v>north america</v>
          </cell>
        </row>
        <row r="436">
          <cell r="I436" t="str">
            <v>north america</v>
          </cell>
        </row>
        <row r="437">
          <cell r="I437" t="str">
            <v>north america</v>
          </cell>
        </row>
        <row r="438">
          <cell r="I438" t="str">
            <v>north america</v>
          </cell>
        </row>
        <row r="439">
          <cell r="I439" t="str">
            <v>north america</v>
          </cell>
        </row>
        <row r="440">
          <cell r="I440" t="str">
            <v>north america</v>
          </cell>
        </row>
        <row r="441">
          <cell r="I441" t="str">
            <v>north america</v>
          </cell>
        </row>
        <row r="442">
          <cell r="I442" t="str">
            <v>north america</v>
          </cell>
        </row>
        <row r="443">
          <cell r="I443" t="str">
            <v>north america</v>
          </cell>
        </row>
        <row r="444">
          <cell r="I444" t="str">
            <v>north america</v>
          </cell>
        </row>
        <row r="445">
          <cell r="I445" t="str">
            <v>north america</v>
          </cell>
        </row>
        <row r="446">
          <cell r="I446" t="str">
            <v>north america</v>
          </cell>
        </row>
        <row r="447">
          <cell r="I447" t="str">
            <v>north america</v>
          </cell>
        </row>
        <row r="448">
          <cell r="I448" t="str">
            <v>north america</v>
          </cell>
        </row>
        <row r="449">
          <cell r="I449" t="str">
            <v>north america</v>
          </cell>
        </row>
        <row r="450">
          <cell r="I450" t="str">
            <v>north america</v>
          </cell>
        </row>
        <row r="451">
          <cell r="I451" t="str">
            <v>north america</v>
          </cell>
        </row>
        <row r="452">
          <cell r="I452" t="str">
            <v>north america</v>
          </cell>
        </row>
        <row r="453">
          <cell r="I453" t="str">
            <v>north america</v>
          </cell>
        </row>
        <row r="454">
          <cell r="I454" t="str">
            <v>north america</v>
          </cell>
        </row>
        <row r="455">
          <cell r="I455" t="str">
            <v>north america</v>
          </cell>
        </row>
        <row r="456">
          <cell r="I456" t="str">
            <v>north america</v>
          </cell>
        </row>
        <row r="457">
          <cell r="I457" t="str">
            <v>north america</v>
          </cell>
        </row>
        <row r="458">
          <cell r="I458" t="str">
            <v>north america</v>
          </cell>
        </row>
        <row r="459">
          <cell r="I459" t="str">
            <v>north america</v>
          </cell>
        </row>
        <row r="460">
          <cell r="I460" t="str">
            <v>north america</v>
          </cell>
        </row>
        <row r="461">
          <cell r="I461" t="str">
            <v>north america</v>
          </cell>
        </row>
        <row r="462">
          <cell r="I462" t="str">
            <v>north america</v>
          </cell>
        </row>
        <row r="463">
          <cell r="I463" t="str">
            <v>north america</v>
          </cell>
        </row>
        <row r="464">
          <cell r="I464" t="str">
            <v>north america</v>
          </cell>
        </row>
        <row r="465">
          <cell r="I465" t="str">
            <v>north america</v>
          </cell>
        </row>
        <row r="466">
          <cell r="I466" t="str">
            <v>north america</v>
          </cell>
        </row>
        <row r="467">
          <cell r="I467" t="str">
            <v>north america</v>
          </cell>
        </row>
        <row r="468">
          <cell r="I468" t="str">
            <v>north america</v>
          </cell>
        </row>
        <row r="469">
          <cell r="I469" t="str">
            <v>north america</v>
          </cell>
        </row>
        <row r="470">
          <cell r="I470" t="str">
            <v>north america</v>
          </cell>
        </row>
        <row r="471">
          <cell r="I471" t="str">
            <v>north america</v>
          </cell>
        </row>
        <row r="472">
          <cell r="I472" t="str">
            <v>north america</v>
          </cell>
        </row>
        <row r="473">
          <cell r="I473" t="str">
            <v>north america</v>
          </cell>
        </row>
        <row r="474">
          <cell r="I474" t="str">
            <v>north america</v>
          </cell>
        </row>
        <row r="475">
          <cell r="I475" t="str">
            <v>north america</v>
          </cell>
        </row>
        <row r="476">
          <cell r="I476" t="str">
            <v>north america</v>
          </cell>
        </row>
        <row r="477">
          <cell r="I477" t="str">
            <v>north america</v>
          </cell>
        </row>
        <row r="478">
          <cell r="I478" t="str">
            <v>north america</v>
          </cell>
        </row>
        <row r="479">
          <cell r="I479" t="str">
            <v>north america</v>
          </cell>
        </row>
        <row r="480">
          <cell r="I480" t="str">
            <v>north america</v>
          </cell>
        </row>
        <row r="481">
          <cell r="I481" t="str">
            <v>north america</v>
          </cell>
        </row>
        <row r="482">
          <cell r="I482" t="str">
            <v>north america</v>
          </cell>
        </row>
        <row r="483">
          <cell r="I483" t="str">
            <v>north america</v>
          </cell>
        </row>
        <row r="484">
          <cell r="I484" t="str">
            <v>north america</v>
          </cell>
        </row>
        <row r="485">
          <cell r="I485" t="str">
            <v>north america</v>
          </cell>
        </row>
        <row r="486">
          <cell r="I486" t="str">
            <v>north america</v>
          </cell>
        </row>
        <row r="487">
          <cell r="I487" t="str">
            <v>north america</v>
          </cell>
        </row>
        <row r="488">
          <cell r="I488" t="str">
            <v>north america</v>
          </cell>
        </row>
        <row r="489">
          <cell r="I489" t="str">
            <v>north america</v>
          </cell>
        </row>
        <row r="490">
          <cell r="I490" t="str">
            <v>north america</v>
          </cell>
        </row>
        <row r="491">
          <cell r="I491" t="str">
            <v>north america</v>
          </cell>
        </row>
        <row r="492">
          <cell r="I492" t="str">
            <v>north america</v>
          </cell>
        </row>
        <row r="493">
          <cell r="I493" t="str">
            <v>north america</v>
          </cell>
        </row>
        <row r="494">
          <cell r="I494" t="str">
            <v>north america</v>
          </cell>
        </row>
        <row r="495">
          <cell r="I495" t="str">
            <v>north america</v>
          </cell>
        </row>
        <row r="496">
          <cell r="I496" t="str">
            <v>north america</v>
          </cell>
        </row>
        <row r="497">
          <cell r="I497" t="str">
            <v>north america</v>
          </cell>
        </row>
        <row r="498">
          <cell r="I498" t="str">
            <v>north america</v>
          </cell>
        </row>
        <row r="499">
          <cell r="I499" t="str">
            <v>north america</v>
          </cell>
        </row>
        <row r="500">
          <cell r="I500" t="str">
            <v>north america</v>
          </cell>
        </row>
        <row r="501">
          <cell r="I501" t="str">
            <v>north america</v>
          </cell>
        </row>
        <row r="502">
          <cell r="I502" t="str">
            <v>north america</v>
          </cell>
        </row>
        <row r="503">
          <cell r="I503" t="str">
            <v>north america</v>
          </cell>
        </row>
        <row r="504">
          <cell r="I504" t="str">
            <v>north america</v>
          </cell>
        </row>
        <row r="505">
          <cell r="I505" t="str">
            <v>north america</v>
          </cell>
        </row>
        <row r="506">
          <cell r="I506" t="str">
            <v>north america</v>
          </cell>
        </row>
        <row r="507">
          <cell r="I507" t="str">
            <v>north america</v>
          </cell>
        </row>
        <row r="508">
          <cell r="I508" t="str">
            <v>north america</v>
          </cell>
        </row>
        <row r="509">
          <cell r="I509" t="str">
            <v>north america</v>
          </cell>
        </row>
        <row r="510">
          <cell r="I510" t="str">
            <v>north america</v>
          </cell>
        </row>
        <row r="511">
          <cell r="I511" t="str">
            <v>north america</v>
          </cell>
        </row>
        <row r="512">
          <cell r="I512" t="str">
            <v>north america</v>
          </cell>
        </row>
        <row r="513">
          <cell r="I513" t="str">
            <v>north america</v>
          </cell>
        </row>
        <row r="514">
          <cell r="I514" t="str">
            <v>north america</v>
          </cell>
        </row>
        <row r="515">
          <cell r="I515" t="str">
            <v>other</v>
          </cell>
        </row>
        <row r="516">
          <cell r="I516" t="str">
            <v>other</v>
          </cell>
        </row>
        <row r="517">
          <cell r="I517" t="str">
            <v>other</v>
          </cell>
        </row>
        <row r="518">
          <cell r="I518" t="str">
            <v>other</v>
          </cell>
        </row>
        <row r="519">
          <cell r="I519" t="str">
            <v>other</v>
          </cell>
        </row>
        <row r="520">
          <cell r="I520" t="str">
            <v>other</v>
          </cell>
        </row>
        <row r="521">
          <cell r="I521" t="str">
            <v>other</v>
          </cell>
        </row>
        <row r="522">
          <cell r="I522" t="str">
            <v>other</v>
          </cell>
        </row>
        <row r="523">
          <cell r="I523" t="str">
            <v>other</v>
          </cell>
        </row>
        <row r="524">
          <cell r="I524" t="str">
            <v>other</v>
          </cell>
        </row>
        <row r="525">
          <cell r="I525" t="str">
            <v>other</v>
          </cell>
        </row>
        <row r="526">
          <cell r="I526" t="str">
            <v>other</v>
          </cell>
        </row>
        <row r="527">
          <cell r="I527" t="str">
            <v>other</v>
          </cell>
        </row>
        <row r="528">
          <cell r="I528" t="str">
            <v>other</v>
          </cell>
        </row>
        <row r="529">
          <cell r="I529" t="str">
            <v>other</v>
          </cell>
        </row>
        <row r="530">
          <cell r="I530" t="str">
            <v>other</v>
          </cell>
        </row>
        <row r="531">
          <cell r="I531" t="str">
            <v>other</v>
          </cell>
        </row>
        <row r="532">
          <cell r="I532" t="str">
            <v>other</v>
          </cell>
        </row>
        <row r="533">
          <cell r="I533" t="str">
            <v>other</v>
          </cell>
        </row>
        <row r="534">
          <cell r="I534" t="str">
            <v>other</v>
          </cell>
        </row>
        <row r="535">
          <cell r="I535" t="str">
            <v>other</v>
          </cell>
        </row>
        <row r="536">
          <cell r="I536" t="str">
            <v>other</v>
          </cell>
        </row>
        <row r="537">
          <cell r="I537" t="str">
            <v>other</v>
          </cell>
        </row>
        <row r="538">
          <cell r="I538" t="str">
            <v>other</v>
          </cell>
        </row>
        <row r="539">
          <cell r="I539" t="str">
            <v>other</v>
          </cell>
        </row>
        <row r="540">
          <cell r="I540" t="str">
            <v>other</v>
          </cell>
        </row>
        <row r="541">
          <cell r="I541" t="str">
            <v>other</v>
          </cell>
        </row>
        <row r="542">
          <cell r="I542" t="str">
            <v>other</v>
          </cell>
        </row>
        <row r="543">
          <cell r="I543" t="str">
            <v>other</v>
          </cell>
        </row>
        <row r="544">
          <cell r="I544" t="str">
            <v>other</v>
          </cell>
        </row>
        <row r="545">
          <cell r="I545" t="str">
            <v>other</v>
          </cell>
        </row>
        <row r="546">
          <cell r="I546" t="str">
            <v>other</v>
          </cell>
        </row>
        <row r="547">
          <cell r="I547" t="str">
            <v>other</v>
          </cell>
        </row>
        <row r="548">
          <cell r="I548" t="str">
            <v>other</v>
          </cell>
        </row>
        <row r="549">
          <cell r="I549" t="str">
            <v>other</v>
          </cell>
        </row>
        <row r="550">
          <cell r="I550" t="str">
            <v>western europe</v>
          </cell>
        </row>
        <row r="551">
          <cell r="I551" t="str">
            <v>western europe</v>
          </cell>
        </row>
        <row r="552">
          <cell r="I552" t="str">
            <v>western europe</v>
          </cell>
        </row>
        <row r="553">
          <cell r="I553" t="str">
            <v>western europe</v>
          </cell>
        </row>
        <row r="554">
          <cell r="I554" t="str">
            <v>western europe</v>
          </cell>
        </row>
        <row r="555">
          <cell r="I555" t="str">
            <v>western europe</v>
          </cell>
        </row>
        <row r="556">
          <cell r="I556" t="str">
            <v>western europe</v>
          </cell>
        </row>
        <row r="557">
          <cell r="I557" t="str">
            <v>western europe</v>
          </cell>
        </row>
        <row r="558">
          <cell r="I558" t="str">
            <v>western europe</v>
          </cell>
        </row>
        <row r="559">
          <cell r="I559" t="str">
            <v>western europe</v>
          </cell>
        </row>
        <row r="560">
          <cell r="I560" t="str">
            <v>western europe</v>
          </cell>
        </row>
        <row r="561">
          <cell r="I561" t="str">
            <v>western europe</v>
          </cell>
        </row>
        <row r="562">
          <cell r="I562" t="str">
            <v>western europe</v>
          </cell>
        </row>
        <row r="563">
          <cell r="I563" t="str">
            <v>western europe</v>
          </cell>
        </row>
        <row r="564">
          <cell r="I564" t="str">
            <v>western europe</v>
          </cell>
        </row>
        <row r="565">
          <cell r="I565" t="str">
            <v>western europe</v>
          </cell>
        </row>
        <row r="566">
          <cell r="I566" t="str">
            <v>western europe</v>
          </cell>
        </row>
        <row r="567">
          <cell r="I567" t="str">
            <v>western europe</v>
          </cell>
        </row>
        <row r="568">
          <cell r="I568" t="str">
            <v>western europe</v>
          </cell>
        </row>
        <row r="569">
          <cell r="I569" t="str">
            <v>western europe</v>
          </cell>
        </row>
        <row r="570">
          <cell r="I570" t="str">
            <v>western europe</v>
          </cell>
        </row>
        <row r="571">
          <cell r="I571" t="str">
            <v>western europe</v>
          </cell>
        </row>
        <row r="572">
          <cell r="I572" t="str">
            <v>western europe</v>
          </cell>
        </row>
        <row r="573">
          <cell r="I573" t="str">
            <v>western europe</v>
          </cell>
        </row>
        <row r="574">
          <cell r="I574" t="str">
            <v>western europe</v>
          </cell>
        </row>
        <row r="575">
          <cell r="I575" t="str">
            <v>western europe</v>
          </cell>
        </row>
        <row r="576">
          <cell r="I576" t="str">
            <v>western europe</v>
          </cell>
        </row>
        <row r="577">
          <cell r="I577" t="str">
            <v>western europe</v>
          </cell>
        </row>
        <row r="578">
          <cell r="I578" t="str">
            <v>western europe</v>
          </cell>
        </row>
        <row r="579">
          <cell r="I579" t="str">
            <v>western europe</v>
          </cell>
        </row>
        <row r="580">
          <cell r="I580" t="str">
            <v>western europe</v>
          </cell>
        </row>
        <row r="581">
          <cell r="I581" t="str">
            <v>western europe</v>
          </cell>
        </row>
        <row r="582">
          <cell r="I582" t="str">
            <v>western europe</v>
          </cell>
        </row>
        <row r="583">
          <cell r="I583" t="str">
            <v>western europe</v>
          </cell>
        </row>
        <row r="584">
          <cell r="I584" t="str">
            <v>western europe</v>
          </cell>
        </row>
        <row r="585">
          <cell r="I585" t="str">
            <v>western europe</v>
          </cell>
        </row>
        <row r="586">
          <cell r="I586" t="str">
            <v>western europe</v>
          </cell>
        </row>
        <row r="587">
          <cell r="I587" t="str">
            <v>western europe</v>
          </cell>
        </row>
        <row r="588">
          <cell r="I588" t="str">
            <v>western europe</v>
          </cell>
        </row>
        <row r="589">
          <cell r="I589" t="str">
            <v>western europe</v>
          </cell>
        </row>
        <row r="590">
          <cell r="I590" t="str">
            <v>western europe</v>
          </cell>
        </row>
        <row r="591">
          <cell r="I591" t="str">
            <v>western europe</v>
          </cell>
        </row>
        <row r="592">
          <cell r="I592" t="str">
            <v>western europe</v>
          </cell>
        </row>
        <row r="593">
          <cell r="I593" t="str">
            <v>western europe</v>
          </cell>
        </row>
        <row r="594">
          <cell r="I594" t="str">
            <v>western europe</v>
          </cell>
        </row>
        <row r="595">
          <cell r="I595" t="str">
            <v>western europe</v>
          </cell>
        </row>
        <row r="596">
          <cell r="I596" t="str">
            <v>western europe</v>
          </cell>
        </row>
        <row r="597">
          <cell r="I597" t="str">
            <v>western europe</v>
          </cell>
        </row>
        <row r="598">
          <cell r="I598" t="str">
            <v>western europe</v>
          </cell>
        </row>
        <row r="599">
          <cell r="I599" t="str">
            <v>western europe</v>
          </cell>
        </row>
        <row r="600">
          <cell r="I600" t="str">
            <v>western europe</v>
          </cell>
        </row>
        <row r="601">
          <cell r="I601" t="str">
            <v>western europe</v>
          </cell>
        </row>
        <row r="602">
          <cell r="I602" t="str">
            <v>western europe</v>
          </cell>
        </row>
        <row r="603">
          <cell r="I603" t="str">
            <v>western europe</v>
          </cell>
        </row>
        <row r="604">
          <cell r="I604" t="str">
            <v>western europe</v>
          </cell>
        </row>
        <row r="605">
          <cell r="I605" t="str">
            <v>western europe</v>
          </cell>
        </row>
        <row r="606">
          <cell r="I606" t="str">
            <v>western europe</v>
          </cell>
        </row>
        <row r="607">
          <cell r="I607" t="str">
            <v>western europe</v>
          </cell>
        </row>
        <row r="608">
          <cell r="I608" t="str">
            <v>western europe</v>
          </cell>
        </row>
        <row r="609">
          <cell r="I609" t="str">
            <v>western europe</v>
          </cell>
        </row>
        <row r="610">
          <cell r="I610" t="str">
            <v>western europe</v>
          </cell>
        </row>
        <row r="611">
          <cell r="I611" t="str">
            <v>western europe</v>
          </cell>
        </row>
        <row r="612">
          <cell r="I612" t="str">
            <v>western europe</v>
          </cell>
        </row>
        <row r="613">
          <cell r="I613" t="str">
            <v>western europe</v>
          </cell>
        </row>
        <row r="614">
          <cell r="I614" t="str">
            <v>western europe</v>
          </cell>
        </row>
        <row r="615">
          <cell r="I615" t="str">
            <v>western europe</v>
          </cell>
        </row>
        <row r="616">
          <cell r="I616" t="str">
            <v>western europe</v>
          </cell>
        </row>
        <row r="617">
          <cell r="I617" t="str">
            <v>western europe</v>
          </cell>
        </row>
        <row r="618">
          <cell r="I618" t="str">
            <v>western europe</v>
          </cell>
        </row>
        <row r="619">
          <cell r="I619" t="str">
            <v>western europe</v>
          </cell>
        </row>
        <row r="620">
          <cell r="I620" t="str">
            <v>western europe</v>
          </cell>
        </row>
        <row r="621">
          <cell r="I621" t="str">
            <v>western europe</v>
          </cell>
        </row>
        <row r="622">
          <cell r="I622" t="str">
            <v>western europe</v>
          </cell>
        </row>
        <row r="623">
          <cell r="I623" t="str">
            <v>western europe</v>
          </cell>
        </row>
        <row r="624">
          <cell r="I624" t="str">
            <v>western europe</v>
          </cell>
        </row>
        <row r="625">
          <cell r="I625" t="str">
            <v>western europe</v>
          </cell>
        </row>
        <row r="626">
          <cell r="I626" t="str">
            <v>western europe</v>
          </cell>
        </row>
        <row r="627">
          <cell r="I627" t="str">
            <v>western europe</v>
          </cell>
        </row>
        <row r="628">
          <cell r="I628" t="str">
            <v>western europe</v>
          </cell>
        </row>
        <row r="629">
          <cell r="I629" t="str">
            <v>western europe</v>
          </cell>
        </row>
        <row r="630">
          <cell r="I630" t="str">
            <v>western europe</v>
          </cell>
        </row>
        <row r="631">
          <cell r="I631" t="str">
            <v>western europe</v>
          </cell>
        </row>
        <row r="632">
          <cell r="I632" t="str">
            <v>western europe</v>
          </cell>
        </row>
        <row r="633">
          <cell r="I633" t="str">
            <v>western europe</v>
          </cell>
        </row>
        <row r="634">
          <cell r="I634" t="str">
            <v>western europe</v>
          </cell>
        </row>
        <row r="635">
          <cell r="I635" t="str">
            <v>western europe</v>
          </cell>
        </row>
        <row r="636">
          <cell r="I636" t="str">
            <v>western europe</v>
          </cell>
        </row>
        <row r="637">
          <cell r="I637" t="str">
            <v>western europe</v>
          </cell>
        </row>
        <row r="638">
          <cell r="I638" t="str">
            <v>western europe</v>
          </cell>
        </row>
        <row r="639">
          <cell r="I639" t="str">
            <v>western europe</v>
          </cell>
        </row>
        <row r="640">
          <cell r="I640" t="str">
            <v>western europe</v>
          </cell>
        </row>
        <row r="641">
          <cell r="I641" t="str">
            <v>western europe</v>
          </cell>
        </row>
        <row r="642">
          <cell r="I642" t="str">
            <v>western europe</v>
          </cell>
        </row>
        <row r="643">
          <cell r="I643" t="str">
            <v>western europe</v>
          </cell>
        </row>
        <row r="644">
          <cell r="I644" t="str">
            <v>western europe</v>
          </cell>
        </row>
        <row r="645">
          <cell r="I645" t="str">
            <v>western europe</v>
          </cell>
        </row>
        <row r="646">
          <cell r="I646" t="str">
            <v>western europe</v>
          </cell>
        </row>
        <row r="647">
          <cell r="I647" t="str">
            <v>western europe</v>
          </cell>
        </row>
        <row r="648">
          <cell r="I648" t="str">
            <v>western europe</v>
          </cell>
        </row>
        <row r="649">
          <cell r="I649" t="str">
            <v>western europe</v>
          </cell>
        </row>
        <row r="650">
          <cell r="I650" t="str">
            <v>western europe</v>
          </cell>
        </row>
        <row r="651">
          <cell r="I651" t="str">
            <v>western europe</v>
          </cell>
        </row>
        <row r="652">
          <cell r="I652" t="str">
            <v>western europe</v>
          </cell>
        </row>
        <row r="653">
          <cell r="I653" t="str">
            <v>western europe</v>
          </cell>
        </row>
        <row r="654">
          <cell r="I654" t="str">
            <v>western europe</v>
          </cell>
        </row>
        <row r="655">
          <cell r="I655" t="str">
            <v>western europe</v>
          </cell>
        </row>
        <row r="656">
          <cell r="I656" t="str">
            <v>western europe</v>
          </cell>
        </row>
        <row r="657">
          <cell r="I657" t="str">
            <v>western europe</v>
          </cell>
        </row>
        <row r="658">
          <cell r="I658" t="str">
            <v>western europe</v>
          </cell>
        </row>
        <row r="659">
          <cell r="I659" t="str">
            <v>western europe</v>
          </cell>
        </row>
        <row r="660">
          <cell r="I660" t="str">
            <v>western europe</v>
          </cell>
        </row>
        <row r="661">
          <cell r="I661" t="str">
            <v>western europe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ersification "/>
      <sheetName val="State Breakdown Pie chart"/>
      <sheetName val="State Breakdown"/>
      <sheetName val="Port. Strat. Div. TE"/>
      <sheetName val="Burgiss Group"/>
      <sheetName val="Und. Inv. Div. Geography"/>
      <sheetName val="IRR tp 10"/>
      <sheetName val="Sheet1 (2)"/>
      <sheetName val="Summary of PE Invest. Perf."/>
      <sheetName val="portfolio summary - ok"/>
      <sheetName val="Top 10 Company Holdings"/>
      <sheetName val="Quart. Cash Flow Summary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>
        <row r="2">
          <cell r="D2">
            <v>333395.51219512196</v>
          </cell>
          <cell r="F2" t="str">
            <v>Telecommunications Services</v>
          </cell>
          <cell r="H2" t="str">
            <v>north america</v>
          </cell>
        </row>
        <row r="3">
          <cell r="D3">
            <v>3236827.9086495233</v>
          </cell>
          <cell r="F3" t="str">
            <v>Materials</v>
          </cell>
          <cell r="H3" t="str">
            <v>north america</v>
          </cell>
        </row>
        <row r="4">
          <cell r="D4">
            <v>88458.31891223733</v>
          </cell>
          <cell r="F4" t="str">
            <v>Materials</v>
          </cell>
          <cell r="H4" t="str">
            <v>north america</v>
          </cell>
        </row>
        <row r="5">
          <cell r="D5">
            <v>634334.37619961612</v>
          </cell>
          <cell r="F5" t="str">
            <v>Industrials</v>
          </cell>
          <cell r="H5" t="str">
            <v>north america</v>
          </cell>
        </row>
        <row r="6">
          <cell r="D6">
            <v>137244.51428571428</v>
          </cell>
          <cell r="F6" t="str">
            <v>Information Technology</v>
          </cell>
          <cell r="H6" t="str">
            <v>north america</v>
          </cell>
        </row>
        <row r="7">
          <cell r="D7">
            <v>56710.48717948718</v>
          </cell>
          <cell r="F7" t="str">
            <v>Consumer Discretionary</v>
          </cell>
          <cell r="H7" t="str">
            <v>north america</v>
          </cell>
        </row>
        <row r="8">
          <cell r="D8">
            <v>0</v>
          </cell>
          <cell r="F8" t="str">
            <v>Industrials</v>
          </cell>
          <cell r="H8" t="str">
            <v>north america</v>
          </cell>
        </row>
        <row r="9">
          <cell r="D9">
            <v>587169.00005871686</v>
          </cell>
          <cell r="F9" t="str">
            <v>Information Technology</v>
          </cell>
          <cell r="H9" t="str">
            <v>north america</v>
          </cell>
        </row>
        <row r="10">
          <cell r="D10">
            <v>1730531.5203955499</v>
          </cell>
          <cell r="F10" t="str">
            <v>Industrials</v>
          </cell>
          <cell r="H10" t="str">
            <v>north america</v>
          </cell>
        </row>
        <row r="11">
          <cell r="D11">
            <v>256897.68976897691</v>
          </cell>
          <cell r="F11" t="str">
            <v>Consumer Discretionary</v>
          </cell>
          <cell r="H11" t="str">
            <v>north america</v>
          </cell>
        </row>
        <row r="12">
          <cell r="D12">
            <v>0</v>
          </cell>
          <cell r="F12" t="str">
            <v>Telecommunications Services</v>
          </cell>
          <cell r="H12" t="str">
            <v>other</v>
          </cell>
        </row>
        <row r="13">
          <cell r="D13">
            <v>61683.701116579352</v>
          </cell>
          <cell r="F13" t="str">
            <v>Materials</v>
          </cell>
          <cell r="H13" t="str">
            <v>other</v>
          </cell>
        </row>
        <row r="14">
          <cell r="D14">
            <v>218463.95238095237</v>
          </cell>
          <cell r="F14" t="str">
            <v>Materials</v>
          </cell>
          <cell r="H14" t="str">
            <v>other</v>
          </cell>
        </row>
        <row r="15">
          <cell r="D15">
            <v>1764192.1397379912</v>
          </cell>
          <cell r="F15" t="str">
            <v>Materials</v>
          </cell>
          <cell r="H15" t="str">
            <v>other</v>
          </cell>
        </row>
        <row r="16">
          <cell r="D16">
            <v>218971.24852494054</v>
          </cell>
          <cell r="F16" t="str">
            <v>Industrials</v>
          </cell>
          <cell r="H16" t="str">
            <v>western europe</v>
          </cell>
        </row>
        <row r="17">
          <cell r="D17">
            <v>372083.33333333337</v>
          </cell>
          <cell r="F17" t="str">
            <v>Industrials</v>
          </cell>
          <cell r="H17" t="str">
            <v>north america</v>
          </cell>
        </row>
        <row r="18">
          <cell r="D18">
            <v>64435.097781818185</v>
          </cell>
          <cell r="F18" t="str">
            <v>Healthcare</v>
          </cell>
          <cell r="H18" t="str">
            <v>north america</v>
          </cell>
        </row>
        <row r="19">
          <cell r="D19">
            <v>102153.77922354128</v>
          </cell>
          <cell r="F19" t="str">
            <v>Healthcare</v>
          </cell>
          <cell r="H19" t="str">
            <v>north america</v>
          </cell>
        </row>
        <row r="20">
          <cell r="D20">
            <v>41437.520942286239</v>
          </cell>
          <cell r="F20" t="str">
            <v>Energy &amp; Utilities</v>
          </cell>
          <cell r="H20" t="str">
            <v>north america</v>
          </cell>
        </row>
        <row r="21">
          <cell r="D21">
            <v>1233614.4942461206</v>
          </cell>
          <cell r="F21" t="str">
            <v>Consumer Discretionary</v>
          </cell>
          <cell r="H21" t="str">
            <v>north america</v>
          </cell>
        </row>
        <row r="22">
          <cell r="D22">
            <v>255892.79970081494</v>
          </cell>
          <cell r="F22" t="str">
            <v>Consumer Discretionary</v>
          </cell>
          <cell r="H22" t="str">
            <v>north america</v>
          </cell>
        </row>
        <row r="23">
          <cell r="D23">
            <v>1231408.6828661123</v>
          </cell>
          <cell r="F23" t="str">
            <v>Materials</v>
          </cell>
          <cell r="H23" t="str">
            <v>western europe</v>
          </cell>
        </row>
        <row r="24">
          <cell r="D24">
            <v>51509.176059692014</v>
          </cell>
          <cell r="F24" t="str">
            <v>Industrials</v>
          </cell>
          <cell r="H24" t="str">
            <v>western europe</v>
          </cell>
        </row>
        <row r="25">
          <cell r="D25">
            <v>121828.05207175741</v>
          </cell>
          <cell r="F25" t="str">
            <v>Consumer Discretionary</v>
          </cell>
          <cell r="H25" t="str">
            <v>western europe</v>
          </cell>
        </row>
        <row r="26">
          <cell r="D26">
            <v>145516.60869565216</v>
          </cell>
          <cell r="F26" t="str">
            <v>Materials</v>
          </cell>
          <cell r="H26" t="str">
            <v>western europe</v>
          </cell>
        </row>
        <row r="27">
          <cell r="D27">
            <v>153393.57391304348</v>
          </cell>
          <cell r="F27" t="str">
            <v>Consumer Discretionary</v>
          </cell>
          <cell r="H27" t="str">
            <v>western europe</v>
          </cell>
        </row>
        <row r="28">
          <cell r="D28">
            <v>828900.62365863996</v>
          </cell>
          <cell r="F28" t="str">
            <v>Financial</v>
          </cell>
          <cell r="H28" t="str">
            <v>western europe</v>
          </cell>
        </row>
        <row r="29">
          <cell r="D29">
            <v>1757189.7015174255</v>
          </cell>
          <cell r="F29" t="str">
            <v>Energy &amp; Utilities</v>
          </cell>
          <cell r="H29" t="str">
            <v>western europe</v>
          </cell>
        </row>
        <row r="30">
          <cell r="D30">
            <v>1035743.1395318616</v>
          </cell>
          <cell r="F30" t="str">
            <v>Financial</v>
          </cell>
          <cell r="H30" t="str">
            <v>western europe</v>
          </cell>
        </row>
        <row r="31">
          <cell r="D31">
            <v>223718.15711707773</v>
          </cell>
          <cell r="F31" t="str">
            <v>Financial</v>
          </cell>
          <cell r="H31" t="str">
            <v>western europe</v>
          </cell>
        </row>
        <row r="32">
          <cell r="D32">
            <v>396273.30023849144</v>
          </cell>
          <cell r="F32" t="str">
            <v>Financial</v>
          </cell>
          <cell r="H32" t="str">
            <v>western europe</v>
          </cell>
        </row>
        <row r="33">
          <cell r="D33">
            <v>80190.295724393742</v>
          </cell>
          <cell r="F33" t="str">
            <v>Financial</v>
          </cell>
          <cell r="H33" t="str">
            <v>western europe</v>
          </cell>
        </row>
        <row r="34">
          <cell r="D34">
            <v>258605.73090909093</v>
          </cell>
          <cell r="F34" t="str">
            <v>Information Technology</v>
          </cell>
          <cell r="H34" t="str">
            <v>California</v>
          </cell>
        </row>
        <row r="35">
          <cell r="D35">
            <v>49664.995151515155</v>
          </cell>
          <cell r="F35" t="str">
            <v>Information Technology</v>
          </cell>
          <cell r="H35" t="str">
            <v>California</v>
          </cell>
        </row>
        <row r="36">
          <cell r="D36">
            <v>31518.762424242424</v>
          </cell>
          <cell r="F36" t="str">
            <v>Information Technology</v>
          </cell>
          <cell r="H36" t="str">
            <v>California</v>
          </cell>
        </row>
        <row r="37">
          <cell r="D37">
            <v>0</v>
          </cell>
          <cell r="F37" t="str">
            <v>Information Technology</v>
          </cell>
          <cell r="H37" t="str">
            <v>California</v>
          </cell>
        </row>
        <row r="38">
          <cell r="D38">
            <v>125499.86</v>
          </cell>
          <cell r="F38" t="str">
            <v>Information Technology</v>
          </cell>
          <cell r="H38" t="str">
            <v>California</v>
          </cell>
        </row>
        <row r="39">
          <cell r="D39">
            <v>44761.1</v>
          </cell>
          <cell r="F39" t="str">
            <v>Information Technology</v>
          </cell>
          <cell r="H39" t="str">
            <v>California</v>
          </cell>
        </row>
        <row r="40">
          <cell r="D40">
            <v>61599.41</v>
          </cell>
          <cell r="F40" t="str">
            <v>Information Technology</v>
          </cell>
          <cell r="H40" t="str">
            <v>California</v>
          </cell>
        </row>
        <row r="41">
          <cell r="D41">
            <v>0</v>
          </cell>
          <cell r="F41" t="str">
            <v>Information Technology</v>
          </cell>
          <cell r="H41" t="str">
            <v>California</v>
          </cell>
        </row>
        <row r="42">
          <cell r="D42">
            <v>40000</v>
          </cell>
          <cell r="F42" t="str">
            <v>Information Technology</v>
          </cell>
          <cell r="H42" t="str">
            <v>California</v>
          </cell>
        </row>
        <row r="43">
          <cell r="D43">
            <v>404304.59826946846</v>
          </cell>
          <cell r="F43" t="str">
            <v>Information Technology</v>
          </cell>
          <cell r="H43" t="str">
            <v>California</v>
          </cell>
        </row>
        <row r="44">
          <cell r="D44">
            <v>512978.98640296661</v>
          </cell>
          <cell r="F44" t="str">
            <v>Healthcare</v>
          </cell>
          <cell r="H44" t="str">
            <v>California</v>
          </cell>
        </row>
        <row r="45">
          <cell r="D45">
            <v>107536.14</v>
          </cell>
          <cell r="F45" t="str">
            <v>Healthcare</v>
          </cell>
          <cell r="H45" t="str">
            <v>California</v>
          </cell>
        </row>
        <row r="46">
          <cell r="D46">
            <v>157866.89727866199</v>
          </cell>
          <cell r="F46" t="str">
            <v>Healthcare</v>
          </cell>
          <cell r="H46" t="str">
            <v>California</v>
          </cell>
        </row>
        <row r="47">
          <cell r="D47">
            <v>105213.81109616403</v>
          </cell>
          <cell r="F47" t="str">
            <v>Healthcare</v>
          </cell>
          <cell r="H47" t="str">
            <v>California</v>
          </cell>
        </row>
        <row r="48">
          <cell r="D48">
            <v>65198.145786381079</v>
          </cell>
          <cell r="F48" t="str">
            <v>Healthcare</v>
          </cell>
          <cell r="H48" t="str">
            <v>California</v>
          </cell>
        </row>
        <row r="49">
          <cell r="D49">
            <v>5823.5352352999407</v>
          </cell>
          <cell r="F49" t="str">
            <v>Healthcare</v>
          </cell>
          <cell r="H49" t="str">
            <v>California</v>
          </cell>
        </row>
        <row r="50">
          <cell r="D50">
            <v>178315.44788141854</v>
          </cell>
          <cell r="F50" t="str">
            <v>Healthcare</v>
          </cell>
          <cell r="H50" t="str">
            <v>California</v>
          </cell>
        </row>
        <row r="51">
          <cell r="D51">
            <v>656191.58721437131</v>
          </cell>
          <cell r="F51" t="str">
            <v>Healthcare</v>
          </cell>
          <cell r="H51" t="str">
            <v>California</v>
          </cell>
        </row>
        <row r="52">
          <cell r="D52">
            <v>205893.78086127128</v>
          </cell>
          <cell r="F52" t="str">
            <v>Healthcare</v>
          </cell>
          <cell r="H52" t="str">
            <v>California</v>
          </cell>
        </row>
        <row r="53">
          <cell r="D53">
            <v>302798.75668508938</v>
          </cell>
          <cell r="F53" t="str">
            <v>Healthcare</v>
          </cell>
          <cell r="H53" t="str">
            <v>California</v>
          </cell>
        </row>
        <row r="54">
          <cell r="D54">
            <v>195954.08749031436</v>
          </cell>
          <cell r="F54" t="str">
            <v>Healthcare</v>
          </cell>
          <cell r="H54" t="str">
            <v>California</v>
          </cell>
        </row>
        <row r="55">
          <cell r="D55">
            <v>249696.96187270555</v>
          </cell>
          <cell r="F55" t="str">
            <v>Healthcare</v>
          </cell>
          <cell r="H55" t="str">
            <v>California</v>
          </cell>
        </row>
        <row r="56">
          <cell r="D56">
            <v>187500</v>
          </cell>
          <cell r="F56" t="str">
            <v>Healthcare</v>
          </cell>
          <cell r="H56" t="str">
            <v>California</v>
          </cell>
        </row>
        <row r="57">
          <cell r="D57">
            <v>190072.46249999999</v>
          </cell>
          <cell r="F57" t="str">
            <v>Healthcare</v>
          </cell>
          <cell r="H57" t="str">
            <v>California</v>
          </cell>
        </row>
        <row r="58">
          <cell r="D58">
            <v>334499.96249999997</v>
          </cell>
          <cell r="F58" t="str">
            <v>Healthcare</v>
          </cell>
          <cell r="H58" t="str">
            <v>California</v>
          </cell>
        </row>
        <row r="59">
          <cell r="D59">
            <v>682610.55</v>
          </cell>
          <cell r="F59" t="str">
            <v>Healthcare</v>
          </cell>
          <cell r="H59" t="str">
            <v>California</v>
          </cell>
        </row>
        <row r="60">
          <cell r="D60">
            <v>196875</v>
          </cell>
          <cell r="F60" t="str">
            <v>Healthcare</v>
          </cell>
          <cell r="H60" t="str">
            <v>California</v>
          </cell>
        </row>
        <row r="61">
          <cell r="D61">
            <v>375013.57500000001</v>
          </cell>
          <cell r="F61" t="str">
            <v>Healthcare</v>
          </cell>
          <cell r="H61" t="str">
            <v>California</v>
          </cell>
        </row>
        <row r="62">
          <cell r="D62">
            <v>375000</v>
          </cell>
          <cell r="F62" t="str">
            <v>Healthcare</v>
          </cell>
          <cell r="H62" t="str">
            <v>California</v>
          </cell>
        </row>
        <row r="63">
          <cell r="D63">
            <v>470331.87772925763</v>
          </cell>
          <cell r="F63" t="str">
            <v>Energy &amp; Utilities</v>
          </cell>
          <cell r="H63" t="str">
            <v>California</v>
          </cell>
        </row>
        <row r="64">
          <cell r="D64">
            <v>98911.968348170136</v>
          </cell>
          <cell r="F64" t="str">
            <v>Information Technology</v>
          </cell>
          <cell r="H64" t="str">
            <v>California</v>
          </cell>
        </row>
        <row r="65">
          <cell r="D65">
            <v>458046.95845697331</v>
          </cell>
          <cell r="F65" t="str">
            <v>Consumer Discretionary</v>
          </cell>
          <cell r="H65" t="str">
            <v>California</v>
          </cell>
        </row>
        <row r="66">
          <cell r="D66">
            <v>4060208.8402571715</v>
          </cell>
          <cell r="F66" t="str">
            <v>Information Technology</v>
          </cell>
          <cell r="H66" t="str">
            <v>California</v>
          </cell>
        </row>
        <row r="67">
          <cell r="D67">
            <v>413650.46535677352</v>
          </cell>
          <cell r="F67" t="str">
            <v>Information Technology</v>
          </cell>
          <cell r="H67" t="str">
            <v>California</v>
          </cell>
        </row>
        <row r="68">
          <cell r="D68">
            <v>128128.51602895554</v>
          </cell>
          <cell r="F68" t="str">
            <v>Consumer Discretionary</v>
          </cell>
          <cell r="H68" t="str">
            <v>California</v>
          </cell>
        </row>
        <row r="69">
          <cell r="D69">
            <v>54198.900210196582</v>
          </cell>
          <cell r="F69" t="str">
            <v>Financial</v>
          </cell>
          <cell r="H69" t="str">
            <v>California</v>
          </cell>
        </row>
        <row r="70">
          <cell r="D70">
            <v>1250474.8675752217</v>
          </cell>
          <cell r="F70" t="str">
            <v>Healthcare</v>
          </cell>
          <cell r="H70" t="str">
            <v>California</v>
          </cell>
        </row>
        <row r="71">
          <cell r="D71">
            <v>23434.514285714286</v>
          </cell>
          <cell r="F71" t="str">
            <v>Financial</v>
          </cell>
          <cell r="H71" t="str">
            <v>California</v>
          </cell>
        </row>
        <row r="72">
          <cell r="D72">
            <v>215268.48571428572</v>
          </cell>
          <cell r="F72" t="str">
            <v>Healthcare</v>
          </cell>
          <cell r="H72" t="str">
            <v>California</v>
          </cell>
        </row>
        <row r="73">
          <cell r="D73">
            <v>0</v>
          </cell>
          <cell r="F73" t="str">
            <v>Financial</v>
          </cell>
          <cell r="H73" t="str">
            <v>California</v>
          </cell>
        </row>
        <row r="74">
          <cell r="D74">
            <v>63985.571428571428</v>
          </cell>
          <cell r="F74" t="str">
            <v>Financial</v>
          </cell>
          <cell r="H74" t="str">
            <v>California</v>
          </cell>
        </row>
        <row r="75">
          <cell r="D75">
            <v>11818.542857142857</v>
          </cell>
          <cell r="F75" t="str">
            <v>Information Technology</v>
          </cell>
          <cell r="H75" t="str">
            <v>California</v>
          </cell>
        </row>
        <row r="76">
          <cell r="D76">
            <v>36814.857142857145</v>
          </cell>
          <cell r="F76" t="str">
            <v>Healthcare</v>
          </cell>
          <cell r="H76" t="str">
            <v>California</v>
          </cell>
        </row>
        <row r="77">
          <cell r="D77">
            <v>298507.15384615381</v>
          </cell>
          <cell r="F77" t="str">
            <v>Consumer Discretionary</v>
          </cell>
          <cell r="H77" t="str">
            <v>California</v>
          </cell>
        </row>
        <row r="78">
          <cell r="D78">
            <v>0</v>
          </cell>
          <cell r="F78" t="str">
            <v>Information Technology</v>
          </cell>
          <cell r="H78" t="str">
            <v>California</v>
          </cell>
        </row>
        <row r="79">
          <cell r="D79">
            <v>0</v>
          </cell>
          <cell r="F79" t="str">
            <v>Healthcare</v>
          </cell>
          <cell r="H79" t="str">
            <v>California</v>
          </cell>
        </row>
        <row r="80">
          <cell r="D80">
            <v>1362451.2485981323</v>
          </cell>
          <cell r="F80" t="str">
            <v>Healthcare</v>
          </cell>
          <cell r="H80" t="str">
            <v>California</v>
          </cell>
        </row>
        <row r="81">
          <cell r="D81">
            <v>1188549.6171428573</v>
          </cell>
          <cell r="F81" t="str">
            <v>Materials</v>
          </cell>
          <cell r="H81" t="str">
            <v>California</v>
          </cell>
        </row>
        <row r="82">
          <cell r="D82">
            <v>1301761.8179957019</v>
          </cell>
          <cell r="F82" t="str">
            <v>Industrials</v>
          </cell>
          <cell r="H82" t="str">
            <v>California</v>
          </cell>
        </row>
        <row r="83">
          <cell r="D83">
            <v>0</v>
          </cell>
          <cell r="F83" t="str">
            <v>Consumer Discretionary</v>
          </cell>
          <cell r="H83" t="str">
            <v>California</v>
          </cell>
        </row>
        <row r="84">
          <cell r="D84">
            <v>193933.63440019393</v>
          </cell>
          <cell r="F84" t="str">
            <v>Information Technology</v>
          </cell>
          <cell r="H84" t="str">
            <v>California</v>
          </cell>
        </row>
        <row r="85">
          <cell r="D85">
            <v>105600.00000010559</v>
          </cell>
          <cell r="F85" t="str">
            <v>Information Technology</v>
          </cell>
          <cell r="H85" t="str">
            <v>California</v>
          </cell>
        </row>
        <row r="86">
          <cell r="D86">
            <v>105600.00000010559</v>
          </cell>
          <cell r="F86" t="str">
            <v>Information Technology</v>
          </cell>
          <cell r="H86" t="str">
            <v>California</v>
          </cell>
        </row>
        <row r="87">
          <cell r="D87">
            <v>187254.92280018725</v>
          </cell>
          <cell r="F87" t="str">
            <v>Information Technology</v>
          </cell>
          <cell r="H87" t="str">
            <v>California</v>
          </cell>
        </row>
        <row r="88">
          <cell r="D88">
            <v>142532.26680014253</v>
          </cell>
          <cell r="F88" t="str">
            <v>Information Technology</v>
          </cell>
          <cell r="H88" t="str">
            <v>California</v>
          </cell>
        </row>
        <row r="89">
          <cell r="D89">
            <v>749101.92720074905</v>
          </cell>
          <cell r="F89" t="str">
            <v>Information Technology</v>
          </cell>
          <cell r="H89" t="str">
            <v>California</v>
          </cell>
        </row>
        <row r="90">
          <cell r="D90">
            <v>150142.17240015013</v>
          </cell>
          <cell r="F90" t="str">
            <v>Information Technology</v>
          </cell>
          <cell r="H90" t="str">
            <v>California</v>
          </cell>
        </row>
        <row r="91">
          <cell r="D91">
            <v>102206.53080010221</v>
          </cell>
          <cell r="F91" t="str">
            <v>Information Technology</v>
          </cell>
          <cell r="H91" t="str">
            <v>California</v>
          </cell>
        </row>
        <row r="92">
          <cell r="D92">
            <v>100157.34960010015</v>
          </cell>
          <cell r="F92" t="str">
            <v>Consumer Discretionary</v>
          </cell>
          <cell r="H92" t="str">
            <v>California</v>
          </cell>
        </row>
        <row r="93">
          <cell r="D93">
            <v>214379.88000021438</v>
          </cell>
          <cell r="F93" t="str">
            <v>Information Technology</v>
          </cell>
          <cell r="H93" t="str">
            <v>California</v>
          </cell>
        </row>
        <row r="94">
          <cell r="D94">
            <v>133876.78920013388</v>
          </cell>
          <cell r="F94" t="str">
            <v>Information Technology</v>
          </cell>
          <cell r="H94" t="str">
            <v>California</v>
          </cell>
        </row>
        <row r="95">
          <cell r="D95">
            <v>158400.00000015838</v>
          </cell>
          <cell r="F95" t="str">
            <v>Industrials</v>
          </cell>
          <cell r="H95" t="str">
            <v>California</v>
          </cell>
        </row>
        <row r="96">
          <cell r="D96">
            <v>100094.78160010009</v>
          </cell>
          <cell r="F96" t="str">
            <v>Information Technology</v>
          </cell>
          <cell r="H96" t="str">
            <v>California</v>
          </cell>
        </row>
        <row r="97">
          <cell r="D97">
            <v>257673.29280025765</v>
          </cell>
          <cell r="F97" t="str">
            <v>Financial</v>
          </cell>
          <cell r="H97" t="str">
            <v>California</v>
          </cell>
        </row>
        <row r="98">
          <cell r="D98">
            <v>371975.85480037198</v>
          </cell>
          <cell r="F98" t="str">
            <v>Information Technology</v>
          </cell>
          <cell r="H98" t="str">
            <v>California</v>
          </cell>
        </row>
        <row r="99">
          <cell r="D99">
            <v>87582.950400087575</v>
          </cell>
          <cell r="F99" t="str">
            <v>Information Technology</v>
          </cell>
          <cell r="H99" t="str">
            <v>California</v>
          </cell>
        </row>
        <row r="100">
          <cell r="D100">
            <v>125118.48360012511</v>
          </cell>
          <cell r="F100" t="str">
            <v>Information Technology</v>
          </cell>
          <cell r="H100" t="str">
            <v>California</v>
          </cell>
        </row>
        <row r="101">
          <cell r="D101">
            <v>144511.8444001445</v>
          </cell>
          <cell r="F101" t="str">
            <v>Healthcare</v>
          </cell>
          <cell r="H101" t="str">
            <v>California</v>
          </cell>
        </row>
        <row r="102">
          <cell r="D102">
            <v>125137.71600012513</v>
          </cell>
          <cell r="F102" t="str">
            <v>Information Technology</v>
          </cell>
          <cell r="H102" t="str">
            <v>California</v>
          </cell>
        </row>
        <row r="103">
          <cell r="D103">
            <v>957542.34840095753</v>
          </cell>
          <cell r="F103" t="str">
            <v>Information Technology</v>
          </cell>
          <cell r="H103" t="str">
            <v>California</v>
          </cell>
        </row>
        <row r="104">
          <cell r="D104">
            <v>125118.48360012511</v>
          </cell>
          <cell r="F104" t="str">
            <v>Information Technology</v>
          </cell>
          <cell r="H104" t="str">
            <v>California</v>
          </cell>
        </row>
        <row r="105">
          <cell r="D105">
            <v>106350.68400010634</v>
          </cell>
          <cell r="F105" t="str">
            <v>Information Technology</v>
          </cell>
          <cell r="H105" t="str">
            <v>California</v>
          </cell>
        </row>
        <row r="106">
          <cell r="D106">
            <v>0</v>
          </cell>
          <cell r="F106" t="str">
            <v>Information Technology</v>
          </cell>
          <cell r="H106" t="str">
            <v>California</v>
          </cell>
        </row>
        <row r="107">
          <cell r="D107">
            <v>83412.318000083411</v>
          </cell>
          <cell r="F107" t="str">
            <v>Information Technology</v>
          </cell>
          <cell r="H107" t="str">
            <v>California</v>
          </cell>
        </row>
        <row r="108">
          <cell r="D108">
            <v>62559.235200062554</v>
          </cell>
          <cell r="F108" t="str">
            <v>Financial</v>
          </cell>
          <cell r="H108" t="str">
            <v>California</v>
          </cell>
        </row>
        <row r="109">
          <cell r="D109">
            <v>52800.000000052794</v>
          </cell>
          <cell r="F109" t="str">
            <v>Information Technology</v>
          </cell>
          <cell r="H109" t="str">
            <v>California</v>
          </cell>
        </row>
        <row r="110">
          <cell r="D110">
            <v>309546.54720030952</v>
          </cell>
          <cell r="F110" t="str">
            <v>Information Technology</v>
          </cell>
          <cell r="H110" t="str">
            <v>California</v>
          </cell>
        </row>
        <row r="111">
          <cell r="D111">
            <v>206086.87440020608</v>
          </cell>
          <cell r="F111" t="str">
            <v>Information Technology</v>
          </cell>
          <cell r="H111" t="str">
            <v>California</v>
          </cell>
        </row>
        <row r="112">
          <cell r="D112">
            <v>339855.67440033983</v>
          </cell>
          <cell r="F112" t="str">
            <v>Information Technology</v>
          </cell>
          <cell r="H112" t="str">
            <v>California</v>
          </cell>
        </row>
        <row r="113">
          <cell r="D113">
            <v>87582.950400087575</v>
          </cell>
          <cell r="F113" t="str">
            <v>Information Technology</v>
          </cell>
          <cell r="H113" t="str">
            <v>California</v>
          </cell>
        </row>
        <row r="114">
          <cell r="D114">
            <v>197061.62520019704</v>
          </cell>
          <cell r="F114" t="str">
            <v>Information Technology</v>
          </cell>
          <cell r="H114" t="str">
            <v>California</v>
          </cell>
        </row>
        <row r="115">
          <cell r="D115">
            <v>87582.937200087574</v>
          </cell>
          <cell r="F115" t="str">
            <v>Information Technology</v>
          </cell>
          <cell r="H115" t="str">
            <v>California</v>
          </cell>
        </row>
        <row r="116">
          <cell r="D116">
            <v>247894.8252002479</v>
          </cell>
          <cell r="F116" t="str">
            <v>Information Technology</v>
          </cell>
          <cell r="H116" t="str">
            <v>California</v>
          </cell>
        </row>
        <row r="117">
          <cell r="D117">
            <v>31279.630800031278</v>
          </cell>
          <cell r="F117" t="str">
            <v>Information Technology</v>
          </cell>
          <cell r="H117" t="str">
            <v>California</v>
          </cell>
        </row>
        <row r="118">
          <cell r="D118">
            <v>155775.02160015577</v>
          </cell>
          <cell r="F118" t="str">
            <v>Telecommunications Services</v>
          </cell>
          <cell r="H118" t="str">
            <v>California</v>
          </cell>
        </row>
        <row r="119">
          <cell r="D119">
            <v>169472.97840016946</v>
          </cell>
          <cell r="F119" t="str">
            <v>Information Technology</v>
          </cell>
          <cell r="H119" t="str">
            <v>California</v>
          </cell>
        </row>
        <row r="120">
          <cell r="D120">
            <v>161715.64200016172</v>
          </cell>
          <cell r="F120" t="str">
            <v>Information Technology</v>
          </cell>
          <cell r="H120" t="str">
            <v>California</v>
          </cell>
        </row>
        <row r="121">
          <cell r="D121">
            <v>225166.03560022515</v>
          </cell>
          <cell r="F121" t="str">
            <v>Information Technology</v>
          </cell>
          <cell r="H121" t="str">
            <v>California</v>
          </cell>
        </row>
        <row r="122">
          <cell r="D122">
            <v>170824.07760017083</v>
          </cell>
          <cell r="F122" t="str">
            <v>Information Technology</v>
          </cell>
          <cell r="H122" t="str">
            <v>California</v>
          </cell>
        </row>
        <row r="123">
          <cell r="D123">
            <v>105378.84700188777</v>
          </cell>
          <cell r="F123" t="str">
            <v>Healthcare</v>
          </cell>
          <cell r="H123" t="str">
            <v>California</v>
          </cell>
        </row>
        <row r="124">
          <cell r="D124">
            <v>142786.23453156187</v>
          </cell>
          <cell r="F124" t="str">
            <v>Healthcare</v>
          </cell>
          <cell r="H124" t="str">
            <v>California</v>
          </cell>
        </row>
        <row r="125">
          <cell r="D125">
            <v>76266.431856619107</v>
          </cell>
          <cell r="F125" t="str">
            <v>Information Technology</v>
          </cell>
          <cell r="H125" t="str">
            <v>California</v>
          </cell>
        </row>
        <row r="126">
          <cell r="D126">
            <v>0</v>
          </cell>
          <cell r="F126" t="str">
            <v>Information Technology</v>
          </cell>
          <cell r="H126" t="str">
            <v>California</v>
          </cell>
        </row>
        <row r="127">
          <cell r="D127">
            <v>142068.31057420684</v>
          </cell>
          <cell r="F127" t="str">
            <v>Consumer Discretionary</v>
          </cell>
          <cell r="H127" t="str">
            <v>California</v>
          </cell>
        </row>
        <row r="128">
          <cell r="D128">
            <v>166526.72389665269</v>
          </cell>
          <cell r="F128" t="str">
            <v>Information Technology</v>
          </cell>
          <cell r="H128" t="str">
            <v>California</v>
          </cell>
        </row>
        <row r="129">
          <cell r="D129">
            <v>0</v>
          </cell>
          <cell r="F129" t="str">
            <v>Information Technology</v>
          </cell>
          <cell r="H129" t="str">
            <v>California</v>
          </cell>
        </row>
        <row r="130">
          <cell r="D130">
            <v>383832.64263838326</v>
          </cell>
          <cell r="F130" t="str">
            <v>Information Technology</v>
          </cell>
          <cell r="H130" t="str">
            <v>California</v>
          </cell>
        </row>
        <row r="131">
          <cell r="D131">
            <v>202619.17370026192</v>
          </cell>
          <cell r="F131" t="str">
            <v>Information Technology</v>
          </cell>
          <cell r="H131" t="str">
            <v>California</v>
          </cell>
        </row>
        <row r="132">
          <cell r="D132">
            <v>216816.51026168166</v>
          </cell>
          <cell r="F132" t="str">
            <v>Information Technology</v>
          </cell>
          <cell r="H132" t="str">
            <v>California</v>
          </cell>
        </row>
        <row r="133">
          <cell r="D133">
            <v>466053.05344660534</v>
          </cell>
          <cell r="F133" t="str">
            <v>Information Technology</v>
          </cell>
          <cell r="H133" t="str">
            <v>California</v>
          </cell>
        </row>
        <row r="134">
          <cell r="D134">
            <v>0</v>
          </cell>
          <cell r="F134" t="str">
            <v>Information Technology</v>
          </cell>
          <cell r="H134" t="str">
            <v>California</v>
          </cell>
        </row>
        <row r="135">
          <cell r="D135">
            <v>582714.6059382715</v>
          </cell>
          <cell r="F135" t="str">
            <v>Information Technology</v>
          </cell>
          <cell r="H135" t="str">
            <v>California</v>
          </cell>
        </row>
        <row r="136">
          <cell r="D136">
            <v>21024.231159986455</v>
          </cell>
          <cell r="F136" t="str">
            <v>Consumer Discretionary</v>
          </cell>
          <cell r="H136" t="str">
            <v>California</v>
          </cell>
        </row>
        <row r="137">
          <cell r="D137">
            <v>158520.10643605521</v>
          </cell>
          <cell r="F137" t="str">
            <v>Industrials</v>
          </cell>
          <cell r="H137" t="str">
            <v>California</v>
          </cell>
        </row>
        <row r="138">
          <cell r="D138">
            <v>641930.85537840321</v>
          </cell>
          <cell r="F138" t="str">
            <v>Energy &amp; Utilities</v>
          </cell>
          <cell r="H138" t="str">
            <v>California</v>
          </cell>
        </row>
        <row r="139">
          <cell r="D139">
            <v>588051.55013212189</v>
          </cell>
          <cell r="F139" t="str">
            <v>Industrials</v>
          </cell>
          <cell r="H139" t="str">
            <v>California</v>
          </cell>
        </row>
        <row r="140">
          <cell r="D140">
            <v>803853.87804878061</v>
          </cell>
          <cell r="F140" t="str">
            <v>Consumer Discretionary</v>
          </cell>
          <cell r="H140" t="str">
            <v>California</v>
          </cell>
        </row>
        <row r="141">
          <cell r="D141">
            <v>15236.10000152361</v>
          </cell>
          <cell r="F141" t="str">
            <v>Information Technology</v>
          </cell>
          <cell r="H141" t="str">
            <v>California</v>
          </cell>
        </row>
        <row r="142">
          <cell r="D142">
            <v>110573.10001105731</v>
          </cell>
          <cell r="F142" t="str">
            <v>Consumer Discretionary</v>
          </cell>
          <cell r="H142" t="str">
            <v>California</v>
          </cell>
        </row>
        <row r="143">
          <cell r="D143">
            <v>400721.83666666667</v>
          </cell>
          <cell r="F143" t="str">
            <v>Industrials</v>
          </cell>
          <cell r="H143" t="str">
            <v>California</v>
          </cell>
        </row>
        <row r="144">
          <cell r="D144">
            <v>1594874.97</v>
          </cell>
          <cell r="F144" t="str">
            <v>Information Technology</v>
          </cell>
          <cell r="H144" t="str">
            <v>California</v>
          </cell>
        </row>
        <row r="145">
          <cell r="D145">
            <v>177425.60908333861</v>
          </cell>
          <cell r="F145" t="str">
            <v>Industrials</v>
          </cell>
          <cell r="H145" t="str">
            <v>California</v>
          </cell>
        </row>
        <row r="146">
          <cell r="D146">
            <v>33812.442198281846</v>
          </cell>
          <cell r="F146" t="str">
            <v>Information Technology</v>
          </cell>
          <cell r="H146" t="str">
            <v>California</v>
          </cell>
        </row>
        <row r="147">
          <cell r="D147">
            <v>598803.19175709668</v>
          </cell>
          <cell r="F147" t="str">
            <v>Industrials</v>
          </cell>
          <cell r="H147" t="str">
            <v>California</v>
          </cell>
        </row>
        <row r="148">
          <cell r="D148">
            <v>718036.54056156427</v>
          </cell>
          <cell r="F148" t="str">
            <v>Consumer Discretionary</v>
          </cell>
          <cell r="H148" t="str">
            <v>California</v>
          </cell>
        </row>
        <row r="149">
          <cell r="D149">
            <v>172665.35622891295</v>
          </cell>
          <cell r="F149" t="str">
            <v>Information Technology</v>
          </cell>
          <cell r="H149" t="str">
            <v>California</v>
          </cell>
        </row>
        <row r="150">
          <cell r="D150">
            <v>3323081.2534130332</v>
          </cell>
          <cell r="F150" t="str">
            <v>Information Technology</v>
          </cell>
          <cell r="H150" t="str">
            <v>California</v>
          </cell>
        </row>
        <row r="151">
          <cell r="D151">
            <v>59056.429258597534</v>
          </cell>
          <cell r="F151" t="str">
            <v>Information Technology</v>
          </cell>
          <cell r="H151" t="str">
            <v>California</v>
          </cell>
        </row>
        <row r="152">
          <cell r="D152">
            <v>177422.41379310345</v>
          </cell>
          <cell r="F152" t="str">
            <v>Industrials</v>
          </cell>
          <cell r="H152" t="str">
            <v>California</v>
          </cell>
        </row>
        <row r="153">
          <cell r="D153">
            <v>598806.03448275861</v>
          </cell>
          <cell r="F153" t="str">
            <v>Industrials</v>
          </cell>
          <cell r="H153" t="str">
            <v>California</v>
          </cell>
        </row>
        <row r="154">
          <cell r="D154">
            <v>718034.48275862064</v>
          </cell>
          <cell r="F154" t="str">
            <v>Consumer Discretionary</v>
          </cell>
          <cell r="H154" t="str">
            <v>California</v>
          </cell>
        </row>
        <row r="155">
          <cell r="D155">
            <v>171724.13793103449</v>
          </cell>
          <cell r="F155" t="str">
            <v>Information Technology</v>
          </cell>
          <cell r="H155" t="str">
            <v>California</v>
          </cell>
        </row>
        <row r="156">
          <cell r="D156">
            <v>56133.620689655174</v>
          </cell>
          <cell r="F156" t="str">
            <v>Information Technology</v>
          </cell>
          <cell r="H156" t="str">
            <v>California</v>
          </cell>
        </row>
        <row r="157">
          <cell r="D157">
            <v>557138.28433512687</v>
          </cell>
          <cell r="F157" t="str">
            <v>Industrials</v>
          </cell>
          <cell r="H157" t="str">
            <v>California</v>
          </cell>
        </row>
        <row r="158">
          <cell r="D158">
            <v>136327.09560534623</v>
          </cell>
          <cell r="F158" t="str">
            <v>Industrials</v>
          </cell>
          <cell r="H158" t="str">
            <v>California</v>
          </cell>
        </row>
        <row r="159">
          <cell r="D159">
            <v>1086961.1001475856</v>
          </cell>
          <cell r="F159" t="str">
            <v>Consumer Discretionary</v>
          </cell>
          <cell r="H159" t="str">
            <v>California</v>
          </cell>
        </row>
        <row r="160">
          <cell r="D160">
            <v>51028.657087141277</v>
          </cell>
          <cell r="F160" t="str">
            <v>Telecommunications Services</v>
          </cell>
          <cell r="H160" t="str">
            <v>California</v>
          </cell>
        </row>
        <row r="161">
          <cell r="D161">
            <v>93330.686088310918</v>
          </cell>
          <cell r="F161" t="str">
            <v>Information Technology</v>
          </cell>
          <cell r="H161" t="str">
            <v>California</v>
          </cell>
        </row>
        <row r="162">
          <cell r="D162">
            <v>90014.539162476372</v>
          </cell>
          <cell r="F162" t="str">
            <v>Industrials</v>
          </cell>
          <cell r="H162" t="str">
            <v>California</v>
          </cell>
        </row>
        <row r="163">
          <cell r="D163">
            <v>169453.34892275557</v>
          </cell>
          <cell r="F163" t="str">
            <v>Telecommunications Services</v>
          </cell>
          <cell r="H163" t="str">
            <v>California</v>
          </cell>
        </row>
        <row r="164">
          <cell r="D164">
            <v>140733.68738042156</v>
          </cell>
          <cell r="F164" t="str">
            <v>Information Technology</v>
          </cell>
          <cell r="H164" t="str">
            <v>California</v>
          </cell>
        </row>
        <row r="165">
          <cell r="D165">
            <v>102057.3369590933</v>
          </cell>
          <cell r="F165" t="str">
            <v>Information Technology</v>
          </cell>
          <cell r="H165" t="str">
            <v>California</v>
          </cell>
        </row>
        <row r="166">
          <cell r="D166">
            <v>76537.824871077566</v>
          </cell>
          <cell r="F166" t="str">
            <v>Information Technology</v>
          </cell>
          <cell r="H166" t="str">
            <v>California</v>
          </cell>
        </row>
        <row r="167">
          <cell r="D167">
            <v>65558.735964214706</v>
          </cell>
          <cell r="F167" t="str">
            <v>Information Technology</v>
          </cell>
          <cell r="H167" t="str">
            <v>California</v>
          </cell>
        </row>
        <row r="168">
          <cell r="D168">
            <v>244937.58136005103</v>
          </cell>
          <cell r="F168" t="str">
            <v>Information Technology</v>
          </cell>
          <cell r="H168" t="str">
            <v>California</v>
          </cell>
        </row>
        <row r="169">
          <cell r="D169">
            <v>403967.88189742935</v>
          </cell>
          <cell r="F169" t="str">
            <v>Information Technology</v>
          </cell>
          <cell r="H169" t="str">
            <v>California</v>
          </cell>
        </row>
        <row r="170">
          <cell r="D170">
            <v>170180.66286663132</v>
          </cell>
          <cell r="F170" t="str">
            <v>Healthcare</v>
          </cell>
          <cell r="H170" t="str">
            <v>California</v>
          </cell>
        </row>
        <row r="171">
          <cell r="D171">
            <v>163291.72090670068</v>
          </cell>
          <cell r="F171" t="str">
            <v>Information Technology</v>
          </cell>
          <cell r="H171" t="str">
            <v>California</v>
          </cell>
        </row>
        <row r="172">
          <cell r="D172">
            <v>208614.60568641534</v>
          </cell>
          <cell r="F172" t="str">
            <v>Information Technology</v>
          </cell>
          <cell r="H172" t="str">
            <v>California</v>
          </cell>
        </row>
        <row r="173">
          <cell r="D173">
            <v>87947.911258042979</v>
          </cell>
          <cell r="F173" t="str">
            <v>Information Technology</v>
          </cell>
          <cell r="H173" t="str">
            <v>California</v>
          </cell>
        </row>
        <row r="174">
          <cell r="D174">
            <v>75777.564090860717</v>
          </cell>
          <cell r="F174" t="str">
            <v>Consumer Discretionary</v>
          </cell>
          <cell r="H174" t="str">
            <v>California</v>
          </cell>
        </row>
        <row r="175">
          <cell r="D175">
            <v>61234.406732418131</v>
          </cell>
          <cell r="F175" t="str">
            <v>Information Technology</v>
          </cell>
          <cell r="H175" t="str">
            <v>California</v>
          </cell>
        </row>
        <row r="176">
          <cell r="D176">
            <v>111080.14479997364</v>
          </cell>
          <cell r="F176" t="str">
            <v>Telecommunications Services</v>
          </cell>
          <cell r="H176" t="str">
            <v>California</v>
          </cell>
        </row>
        <row r="177">
          <cell r="D177">
            <v>18225.733864661339</v>
          </cell>
          <cell r="F177" t="str">
            <v>Telecommunications Services</v>
          </cell>
          <cell r="H177" t="str">
            <v>California</v>
          </cell>
        </row>
        <row r="178">
          <cell r="D178">
            <v>33334.60731970636</v>
          </cell>
          <cell r="F178" t="str">
            <v>Information Technology</v>
          </cell>
          <cell r="H178" t="str">
            <v>California</v>
          </cell>
        </row>
        <row r="179">
          <cell r="D179">
            <v>32150.190272964101</v>
          </cell>
          <cell r="F179" t="str">
            <v>Industrials</v>
          </cell>
          <cell r="H179" t="str">
            <v>California</v>
          </cell>
        </row>
        <row r="180">
          <cell r="D180">
            <v>60523.082836918111</v>
          </cell>
          <cell r="F180" t="str">
            <v>Telecommunications Services</v>
          </cell>
          <cell r="H180" t="str">
            <v>California</v>
          </cell>
        </row>
        <row r="181">
          <cell r="D181">
            <v>50265.377895558224</v>
          </cell>
          <cell r="F181" t="str">
            <v>Information Technology</v>
          </cell>
          <cell r="H181" t="str">
            <v>California</v>
          </cell>
        </row>
        <row r="182">
          <cell r="D182">
            <v>36451.475867296918</v>
          </cell>
          <cell r="F182" t="str">
            <v>Information Technology</v>
          </cell>
          <cell r="H182" t="str">
            <v>California</v>
          </cell>
        </row>
        <row r="183">
          <cell r="D183">
            <v>27336.757545826797</v>
          </cell>
          <cell r="F183" t="str">
            <v>Information Technology</v>
          </cell>
          <cell r="H183" t="str">
            <v>California</v>
          </cell>
        </row>
        <row r="184">
          <cell r="D184">
            <v>23415.393278857646</v>
          </cell>
          <cell r="F184" t="str">
            <v>Healthcare</v>
          </cell>
          <cell r="H184" t="str">
            <v>California</v>
          </cell>
        </row>
        <row r="185">
          <cell r="D185">
            <v>87483.532315943521</v>
          </cell>
          <cell r="F185" t="str">
            <v>Information Technology</v>
          </cell>
          <cell r="H185" t="str">
            <v>California</v>
          </cell>
        </row>
        <row r="186">
          <cell r="D186">
            <v>144283.85000922935</v>
          </cell>
          <cell r="F186" t="str">
            <v>Information Technology</v>
          </cell>
          <cell r="H186" t="str">
            <v>California</v>
          </cell>
        </row>
        <row r="187">
          <cell r="D187">
            <v>60782.855112612138</v>
          </cell>
          <cell r="F187" t="str">
            <v>Healthcare</v>
          </cell>
          <cell r="H187" t="str">
            <v>California</v>
          </cell>
        </row>
        <row r="188">
          <cell r="D188">
            <v>58322.354877295678</v>
          </cell>
          <cell r="F188" t="str">
            <v>Information Technology</v>
          </cell>
          <cell r="H188" t="str">
            <v>California</v>
          </cell>
        </row>
        <row r="189">
          <cell r="D189">
            <v>74510.177232941089</v>
          </cell>
          <cell r="F189" t="str">
            <v>Information Technology</v>
          </cell>
          <cell r="H189" t="str">
            <v>California</v>
          </cell>
        </row>
        <row r="190">
          <cell r="D190">
            <v>31412.059733507336</v>
          </cell>
          <cell r="F190" t="str">
            <v>Information Technology</v>
          </cell>
          <cell r="H190" t="str">
            <v>California</v>
          </cell>
        </row>
        <row r="191">
          <cell r="D191">
            <v>27065.217759382685</v>
          </cell>
          <cell r="F191" t="str">
            <v>Consumer Discretionary</v>
          </cell>
          <cell r="H191" t="str">
            <v>California</v>
          </cell>
        </row>
        <row r="192">
          <cell r="D192">
            <v>21870.887147972997</v>
          </cell>
          <cell r="F192" t="str">
            <v>Information Technology</v>
          </cell>
          <cell r="H192" t="str">
            <v>California</v>
          </cell>
        </row>
        <row r="193">
          <cell r="D193">
            <v>39674.121804050439</v>
          </cell>
          <cell r="F193" t="str">
            <v>Telecommunications Services</v>
          </cell>
          <cell r="H193" t="str">
            <v>California</v>
          </cell>
        </row>
        <row r="194">
          <cell r="D194">
            <v>39063.306773204655</v>
          </cell>
          <cell r="F194" t="str">
            <v>Information Technology</v>
          </cell>
          <cell r="H194" t="str">
            <v>California</v>
          </cell>
        </row>
        <row r="195">
          <cell r="D195">
            <v>328825.80811269127</v>
          </cell>
          <cell r="F195" t="str">
            <v>Information Technology</v>
          </cell>
          <cell r="H195" t="str">
            <v>California</v>
          </cell>
        </row>
        <row r="196">
          <cell r="D196">
            <v>39063.306773204655</v>
          </cell>
          <cell r="F196" t="str">
            <v>Industrials</v>
          </cell>
          <cell r="H196" t="str">
            <v>California</v>
          </cell>
        </row>
        <row r="197">
          <cell r="D197">
            <v>237109.38920000559</v>
          </cell>
          <cell r="F197" t="str">
            <v>Information Technology</v>
          </cell>
          <cell r="H197" t="str">
            <v>California</v>
          </cell>
        </row>
        <row r="198">
          <cell r="D198">
            <v>46875.968127845583</v>
          </cell>
          <cell r="F198" t="str">
            <v>Information Technology</v>
          </cell>
          <cell r="H198" t="str">
            <v>California</v>
          </cell>
        </row>
        <row r="199">
          <cell r="D199">
            <v>86509.21760128015</v>
          </cell>
          <cell r="F199" t="str">
            <v>Information Technology</v>
          </cell>
          <cell r="H199" t="str">
            <v>California</v>
          </cell>
        </row>
        <row r="200">
          <cell r="D200">
            <v>243349.48298057105</v>
          </cell>
          <cell r="F200" t="str">
            <v>Information Technology</v>
          </cell>
          <cell r="H200" t="str">
            <v>California</v>
          </cell>
        </row>
        <row r="201">
          <cell r="D201">
            <v>76384.124899493632</v>
          </cell>
          <cell r="F201" t="str">
            <v>Consumer Discretionary</v>
          </cell>
          <cell r="H201" t="str">
            <v>California</v>
          </cell>
        </row>
        <row r="202">
          <cell r="D202">
            <v>278912.01036068122</v>
          </cell>
          <cell r="F202" t="str">
            <v>Information Technology</v>
          </cell>
          <cell r="H202" t="str">
            <v>California</v>
          </cell>
        </row>
        <row r="203">
          <cell r="D203">
            <v>115236.84121341901</v>
          </cell>
          <cell r="F203" t="str">
            <v>Information Technology</v>
          </cell>
          <cell r="H203" t="str">
            <v>California</v>
          </cell>
        </row>
        <row r="204">
          <cell r="D204">
            <v>73148.833708889259</v>
          </cell>
          <cell r="F204" t="str">
            <v>Healthcare</v>
          </cell>
          <cell r="H204" t="str">
            <v>California</v>
          </cell>
        </row>
        <row r="205">
          <cell r="D205">
            <v>103127.12988126029</v>
          </cell>
          <cell r="F205" t="str">
            <v>Telecommunications Services</v>
          </cell>
          <cell r="H205" t="str">
            <v>California</v>
          </cell>
        </row>
        <row r="206">
          <cell r="D206">
            <v>309480.42763015843</v>
          </cell>
          <cell r="F206" t="str">
            <v>Consumer Discretionary</v>
          </cell>
          <cell r="H206" t="str">
            <v>California</v>
          </cell>
        </row>
        <row r="207">
          <cell r="D207">
            <v>85687.432986191197</v>
          </cell>
          <cell r="F207" t="str">
            <v>Information Technology</v>
          </cell>
          <cell r="H207" t="str">
            <v>California</v>
          </cell>
        </row>
        <row r="208">
          <cell r="D208">
            <v>62500.989023498958</v>
          </cell>
          <cell r="F208" t="str">
            <v>Information Technology</v>
          </cell>
          <cell r="H208" t="str">
            <v>California</v>
          </cell>
        </row>
        <row r="209">
          <cell r="D209">
            <v>89387.926768881123</v>
          </cell>
          <cell r="F209" t="str">
            <v>Energy &amp; Utilities</v>
          </cell>
          <cell r="H209" t="str">
            <v>California</v>
          </cell>
        </row>
        <row r="210">
          <cell r="D210">
            <v>16175.625965543566</v>
          </cell>
          <cell r="F210" t="str">
            <v>Financial</v>
          </cell>
          <cell r="H210" t="str">
            <v>California</v>
          </cell>
        </row>
        <row r="211">
          <cell r="D211">
            <v>97647.487874851256</v>
          </cell>
          <cell r="F211" t="str">
            <v>Information Technology</v>
          </cell>
          <cell r="H211" t="str">
            <v>California</v>
          </cell>
        </row>
        <row r="212">
          <cell r="D212">
            <v>54564.627197409543</v>
          </cell>
          <cell r="F212" t="str">
            <v>Consumer Discretionary</v>
          </cell>
          <cell r="H212" t="str">
            <v>California</v>
          </cell>
        </row>
        <row r="213">
          <cell r="D213">
            <v>61949.015013222393</v>
          </cell>
          <cell r="F213" t="str">
            <v>Information Technology</v>
          </cell>
          <cell r="H213" t="str">
            <v>California</v>
          </cell>
        </row>
        <row r="214">
          <cell r="D214">
            <v>78167.962013512515</v>
          </cell>
          <cell r="F214" t="str">
            <v>Industrials</v>
          </cell>
          <cell r="H214" t="str">
            <v>California</v>
          </cell>
        </row>
        <row r="215">
          <cell r="D215">
            <v>113067.34017748003</v>
          </cell>
          <cell r="F215" t="str">
            <v>Information Technology</v>
          </cell>
          <cell r="H215" t="str">
            <v>California</v>
          </cell>
        </row>
        <row r="216">
          <cell r="D216">
            <v>62501.290837127446</v>
          </cell>
          <cell r="F216" t="str">
            <v>Information Technology</v>
          </cell>
          <cell r="H216" t="str">
            <v>California</v>
          </cell>
        </row>
        <row r="217">
          <cell r="D217">
            <v>90225.114658081249</v>
          </cell>
          <cell r="F217" t="str">
            <v>Information Technology</v>
          </cell>
          <cell r="H217" t="str">
            <v>California</v>
          </cell>
        </row>
        <row r="218">
          <cell r="D218">
            <v>169444.71392289459</v>
          </cell>
          <cell r="F218" t="str">
            <v>Information Technology</v>
          </cell>
          <cell r="H218" t="str">
            <v>California</v>
          </cell>
        </row>
        <row r="219">
          <cell r="D219">
            <v>5078.2298805166047</v>
          </cell>
          <cell r="F219" t="str">
            <v>Telecommunications Services</v>
          </cell>
          <cell r="H219" t="str">
            <v>California</v>
          </cell>
        </row>
        <row r="220">
          <cell r="D220">
            <v>516055.5799541134</v>
          </cell>
          <cell r="F220" t="str">
            <v>Financial</v>
          </cell>
          <cell r="H220" t="str">
            <v>California</v>
          </cell>
        </row>
        <row r="221">
          <cell r="D221">
            <v>123979.84307788205</v>
          </cell>
          <cell r="F221" t="str">
            <v>Information Technology</v>
          </cell>
          <cell r="H221" t="str">
            <v>California</v>
          </cell>
        </row>
        <row r="222">
          <cell r="D222">
            <v>146471.23181227688</v>
          </cell>
          <cell r="F222" t="str">
            <v>Information Technology</v>
          </cell>
          <cell r="H222" t="str">
            <v>California</v>
          </cell>
        </row>
        <row r="223">
          <cell r="D223">
            <v>893222.42422169226</v>
          </cell>
          <cell r="F223" t="str">
            <v>Industrials</v>
          </cell>
          <cell r="H223" t="str">
            <v>California</v>
          </cell>
        </row>
        <row r="224">
          <cell r="D224">
            <v>86400.661706547005</v>
          </cell>
          <cell r="F224" t="str">
            <v>Information Technology</v>
          </cell>
          <cell r="H224" t="str">
            <v>California</v>
          </cell>
        </row>
        <row r="225">
          <cell r="D225">
            <v>846453.12153526722</v>
          </cell>
          <cell r="F225" t="str">
            <v>Healthcare</v>
          </cell>
          <cell r="H225" t="str">
            <v>California</v>
          </cell>
        </row>
        <row r="226">
          <cell r="D226">
            <v>24270.899318186061</v>
          </cell>
          <cell r="F226" t="str">
            <v>Financial</v>
          </cell>
          <cell r="H226" t="str">
            <v>California</v>
          </cell>
        </row>
        <row r="227">
          <cell r="D227">
            <v>29172.09408816163</v>
          </cell>
          <cell r="F227" t="str">
            <v>Information Technology</v>
          </cell>
          <cell r="H227" t="str">
            <v>California</v>
          </cell>
        </row>
        <row r="228">
          <cell r="D228">
            <v>419414.93223318277</v>
          </cell>
          <cell r="F228" t="str">
            <v>Consumer Discretionary</v>
          </cell>
          <cell r="H228" t="str">
            <v>California</v>
          </cell>
        </row>
        <row r="229">
          <cell r="D229">
            <v>60033.163371572686</v>
          </cell>
          <cell r="F229" t="str">
            <v>Consumer Discretionary</v>
          </cell>
          <cell r="H229" t="str">
            <v>California</v>
          </cell>
        </row>
        <row r="230">
          <cell r="D230">
            <v>0</v>
          </cell>
          <cell r="F230" t="str">
            <v>Information Technology</v>
          </cell>
          <cell r="H230" t="str">
            <v>California</v>
          </cell>
        </row>
        <row r="231">
          <cell r="D231">
            <v>508131.61254257197</v>
          </cell>
          <cell r="F231" t="str">
            <v>Consumer Discretionary</v>
          </cell>
          <cell r="H231" t="str">
            <v>California</v>
          </cell>
        </row>
        <row r="232">
          <cell r="D232">
            <v>349284.8071277315</v>
          </cell>
          <cell r="F232" t="str">
            <v>Consumer Discretionary</v>
          </cell>
          <cell r="H232" t="str">
            <v>California</v>
          </cell>
        </row>
        <row r="233">
          <cell r="D233">
            <v>54575.600041093821</v>
          </cell>
          <cell r="F233" t="str">
            <v>Information Technology</v>
          </cell>
          <cell r="H233" t="str">
            <v>California</v>
          </cell>
        </row>
        <row r="234">
          <cell r="D234">
            <v>117479.11020037414</v>
          </cell>
          <cell r="F234" t="str">
            <v>Materials</v>
          </cell>
          <cell r="H234" t="str">
            <v>California</v>
          </cell>
        </row>
        <row r="235">
          <cell r="D235">
            <v>5034.5942000160339</v>
          </cell>
          <cell r="F235" t="str">
            <v>Financial</v>
          </cell>
          <cell r="H235" t="str">
            <v>California</v>
          </cell>
        </row>
        <row r="236">
          <cell r="D236">
            <v>6051.2655000192717</v>
          </cell>
          <cell r="F236" t="str">
            <v>Information Technology</v>
          </cell>
          <cell r="H236" t="str">
            <v>California</v>
          </cell>
        </row>
        <row r="237">
          <cell r="D237">
            <v>87000.648700277074</v>
          </cell>
          <cell r="F237" t="str">
            <v>Consumer Discretionary</v>
          </cell>
          <cell r="H237" t="str">
            <v>California</v>
          </cell>
        </row>
        <row r="238">
          <cell r="D238">
            <v>12452.880800039658</v>
          </cell>
          <cell r="F238" t="str">
            <v>Consumer Discretionary</v>
          </cell>
          <cell r="H238" t="str">
            <v>California</v>
          </cell>
        </row>
        <row r="239">
          <cell r="D239">
            <v>0</v>
          </cell>
          <cell r="F239" t="str">
            <v>Information Technology</v>
          </cell>
          <cell r="H239" t="str">
            <v>California</v>
          </cell>
        </row>
        <row r="240">
          <cell r="D240">
            <v>105403.44780033568</v>
          </cell>
          <cell r="F240" t="str">
            <v>Consumer Discretionary</v>
          </cell>
          <cell r="H240" t="str">
            <v>California</v>
          </cell>
        </row>
        <row r="241">
          <cell r="D241">
            <v>72453.321200230741</v>
          </cell>
          <cell r="F241" t="str">
            <v>Consumer Discretionary</v>
          </cell>
          <cell r="H241" t="str">
            <v>California</v>
          </cell>
        </row>
        <row r="242">
          <cell r="D242">
            <v>11320.800100036053</v>
          </cell>
          <cell r="F242" t="str">
            <v>Information Technology</v>
          </cell>
          <cell r="H242" t="str">
            <v>California</v>
          </cell>
        </row>
        <row r="243">
          <cell r="D243">
            <v>728610.30223390274</v>
          </cell>
          <cell r="F243" t="str">
            <v>Healthcare</v>
          </cell>
          <cell r="H243" t="str">
            <v>California</v>
          </cell>
        </row>
        <row r="244">
          <cell r="D244">
            <v>282238.7998247919</v>
          </cell>
          <cell r="F244" t="str">
            <v>Materials</v>
          </cell>
          <cell r="H244" t="str">
            <v>California</v>
          </cell>
        </row>
        <row r="245">
          <cell r="D245">
            <v>260116.66666666669</v>
          </cell>
          <cell r="F245" t="str">
            <v>Industrials</v>
          </cell>
          <cell r="H245" t="str">
            <v>north america</v>
          </cell>
        </row>
        <row r="246">
          <cell r="D246">
            <v>178696.7292001787</v>
          </cell>
          <cell r="F246" t="str">
            <v>Information Technology</v>
          </cell>
          <cell r="H246" t="str">
            <v>north america</v>
          </cell>
        </row>
        <row r="247">
          <cell r="D247">
            <v>479894.28233154584</v>
          </cell>
          <cell r="F247" t="str">
            <v>Healthcare</v>
          </cell>
          <cell r="H247" t="str">
            <v>north america</v>
          </cell>
        </row>
        <row r="248">
          <cell r="D248">
            <v>161272.25712367991</v>
          </cell>
          <cell r="F248" t="str">
            <v>Healthcare</v>
          </cell>
          <cell r="H248" t="str">
            <v>north america</v>
          </cell>
        </row>
        <row r="249">
          <cell r="D249">
            <v>168482.97259582553</v>
          </cell>
          <cell r="F249" t="str">
            <v>Materials</v>
          </cell>
          <cell r="H249" t="str">
            <v>north america</v>
          </cell>
        </row>
        <row r="250">
          <cell r="D250">
            <v>1.1111111111111112E-2</v>
          </cell>
          <cell r="F250" t="str">
            <v>Consumer Discretionary</v>
          </cell>
          <cell r="H250" t="str">
            <v>north america</v>
          </cell>
        </row>
        <row r="251">
          <cell r="D251">
            <v>477195.42407076701</v>
          </cell>
          <cell r="F251" t="str">
            <v>Consumer Discretionary</v>
          </cell>
          <cell r="H251" t="str">
            <v>north america</v>
          </cell>
        </row>
        <row r="252">
          <cell r="D252">
            <v>148440.56573817768</v>
          </cell>
          <cell r="F252"/>
          <cell r="H252" t="str">
            <v>north america</v>
          </cell>
        </row>
        <row r="253">
          <cell r="D253">
            <v>213285.77355133719</v>
          </cell>
          <cell r="F253" t="str">
            <v>Telecommunications Services</v>
          </cell>
          <cell r="H253" t="str">
            <v>north america</v>
          </cell>
        </row>
        <row r="254">
          <cell r="D254">
            <v>4432682.6719229082</v>
          </cell>
          <cell r="F254" t="str">
            <v>Consumer Staples</v>
          </cell>
          <cell r="H254" t="str">
            <v>carribean</v>
          </cell>
        </row>
        <row r="255">
          <cell r="D255">
            <v>290756.24434831837</v>
          </cell>
          <cell r="F255" t="str">
            <v>Information Technology</v>
          </cell>
          <cell r="H255" t="str">
            <v>other</v>
          </cell>
        </row>
        <row r="256">
          <cell r="D256">
            <v>555676.72413793101</v>
          </cell>
          <cell r="F256" t="str">
            <v>Information Technology</v>
          </cell>
          <cell r="H256" t="str">
            <v>other</v>
          </cell>
        </row>
        <row r="257">
          <cell r="D257">
            <v>0</v>
          </cell>
          <cell r="F257" t="str">
            <v>Telecommunications Services</v>
          </cell>
          <cell r="H257" t="str">
            <v>north america</v>
          </cell>
        </row>
        <row r="258">
          <cell r="D258">
            <v>0</v>
          </cell>
          <cell r="F258" t="str">
            <v>Information Technology</v>
          </cell>
          <cell r="H258" t="str">
            <v>north america</v>
          </cell>
        </row>
        <row r="259">
          <cell r="D259">
            <v>0</v>
          </cell>
          <cell r="F259" t="str">
            <v>Information Technology</v>
          </cell>
          <cell r="H259" t="str">
            <v>north america</v>
          </cell>
        </row>
        <row r="260">
          <cell r="D260">
            <v>197640.75861818183</v>
          </cell>
          <cell r="F260" t="str">
            <v>Industrials</v>
          </cell>
          <cell r="H260" t="str">
            <v>north america</v>
          </cell>
        </row>
        <row r="261">
          <cell r="D261">
            <v>0</v>
          </cell>
          <cell r="F261" t="str">
            <v>Information Technology</v>
          </cell>
          <cell r="H261" t="str">
            <v>north america</v>
          </cell>
        </row>
        <row r="262">
          <cell r="D262">
            <v>4332.8558034440384</v>
          </cell>
          <cell r="F262" t="str">
            <v>Consumer Discretionary</v>
          </cell>
          <cell r="H262" t="str">
            <v>north america</v>
          </cell>
        </row>
        <row r="263">
          <cell r="D263">
            <v>956095.63991916936</v>
          </cell>
          <cell r="F263" t="str">
            <v>Healthcare</v>
          </cell>
          <cell r="H263" t="str">
            <v>north america</v>
          </cell>
        </row>
        <row r="264">
          <cell r="D264">
            <v>158607.20000000001</v>
          </cell>
          <cell r="F264" t="str">
            <v>Healthcare</v>
          </cell>
          <cell r="H264" t="str">
            <v>north america</v>
          </cell>
        </row>
        <row r="265">
          <cell r="D265">
            <v>85000</v>
          </cell>
          <cell r="F265" t="str">
            <v>Energy &amp; Utilities</v>
          </cell>
          <cell r="H265" t="str">
            <v>north america</v>
          </cell>
        </row>
        <row r="266">
          <cell r="D266">
            <v>21989.713759779108</v>
          </cell>
          <cell r="F266" t="str">
            <v>Consumer Discretionary</v>
          </cell>
          <cell r="H266" t="str">
            <v>north america</v>
          </cell>
        </row>
        <row r="267">
          <cell r="D267">
            <v>27269.080533824206</v>
          </cell>
          <cell r="F267" t="str">
            <v>Consumer Discretionary</v>
          </cell>
          <cell r="H267" t="str">
            <v>north america</v>
          </cell>
        </row>
        <row r="268">
          <cell r="D268">
            <v>0</v>
          </cell>
          <cell r="F268" t="str">
            <v>Information Technology</v>
          </cell>
          <cell r="H268" t="str">
            <v>north america</v>
          </cell>
        </row>
        <row r="269">
          <cell r="D269">
            <v>0</v>
          </cell>
          <cell r="F269" t="str">
            <v>Telecommunications Services</v>
          </cell>
          <cell r="H269" t="str">
            <v>north america</v>
          </cell>
        </row>
        <row r="270">
          <cell r="D270">
            <v>0</v>
          </cell>
          <cell r="F270" t="str">
            <v>Information Technology</v>
          </cell>
          <cell r="H270" t="str">
            <v>north america</v>
          </cell>
        </row>
        <row r="271">
          <cell r="D271">
            <v>99341.127600099338</v>
          </cell>
          <cell r="F271" t="str">
            <v>Information Technology</v>
          </cell>
          <cell r="H271" t="str">
            <v>north america</v>
          </cell>
        </row>
        <row r="272">
          <cell r="D272">
            <v>522224.45233916544</v>
          </cell>
          <cell r="F272" t="str">
            <v>Industrials</v>
          </cell>
          <cell r="H272" t="str">
            <v>north america</v>
          </cell>
        </row>
        <row r="273">
          <cell r="D273">
            <v>632316.15807903954</v>
          </cell>
          <cell r="F273" t="str">
            <v>Industrials</v>
          </cell>
          <cell r="H273" t="str">
            <v>north america</v>
          </cell>
        </row>
        <row r="274">
          <cell r="D274">
            <v>1594874.6016666668</v>
          </cell>
          <cell r="F274" t="str">
            <v>Information Technology</v>
          </cell>
          <cell r="H274" t="str">
            <v>north america</v>
          </cell>
        </row>
        <row r="275">
          <cell r="D275">
            <v>1693.6766349777179</v>
          </cell>
          <cell r="F275" t="str">
            <v>Financial</v>
          </cell>
          <cell r="H275" t="str">
            <v>north america</v>
          </cell>
        </row>
        <row r="276">
          <cell r="D276">
            <v>476094.7441241268</v>
          </cell>
          <cell r="F276" t="str">
            <v>Information Technology</v>
          </cell>
          <cell r="H276" t="str">
            <v>north america</v>
          </cell>
        </row>
        <row r="277">
          <cell r="D277">
            <v>2397905.8507019319</v>
          </cell>
          <cell r="F277" t="str">
            <v>Consumer Discretionary</v>
          </cell>
          <cell r="H277" t="str">
            <v>north america</v>
          </cell>
        </row>
        <row r="278">
          <cell r="D278">
            <v>607777.77777777775</v>
          </cell>
          <cell r="F278" t="str">
            <v>Industrials</v>
          </cell>
          <cell r="H278" t="str">
            <v>north america</v>
          </cell>
        </row>
        <row r="279">
          <cell r="D279">
            <v>107673.22505454546</v>
          </cell>
          <cell r="F279" t="str">
            <v>Consumer Discretionary</v>
          </cell>
          <cell r="H279" t="str">
            <v>north america</v>
          </cell>
        </row>
        <row r="280">
          <cell r="D280">
            <v>220087.33624454148</v>
          </cell>
          <cell r="F280" t="str">
            <v>Energy &amp; Utilities</v>
          </cell>
          <cell r="H280" t="str">
            <v>north america</v>
          </cell>
        </row>
        <row r="281">
          <cell r="D281">
            <v>618199.8021760633</v>
          </cell>
          <cell r="F281" t="str">
            <v>Financial</v>
          </cell>
          <cell r="H281" t="str">
            <v>north america</v>
          </cell>
        </row>
        <row r="282">
          <cell r="D282">
            <v>608802.28200000001</v>
          </cell>
          <cell r="F282" t="str">
            <v>Information Technology</v>
          </cell>
          <cell r="H282" t="str">
            <v>north america</v>
          </cell>
        </row>
        <row r="283">
          <cell r="D283">
            <v>122100.02564102564</v>
          </cell>
          <cell r="F283" t="str">
            <v>Financial</v>
          </cell>
          <cell r="H283" t="str">
            <v>north america</v>
          </cell>
        </row>
        <row r="284">
          <cell r="D284">
            <v>35339.435897435898</v>
          </cell>
          <cell r="F284" t="str">
            <v>Healthcare</v>
          </cell>
          <cell r="H284" t="str">
            <v>north america</v>
          </cell>
        </row>
        <row r="285">
          <cell r="D285">
            <v>0</v>
          </cell>
          <cell r="F285" t="str">
            <v>Materials</v>
          </cell>
          <cell r="H285" t="str">
            <v>north america</v>
          </cell>
        </row>
        <row r="286">
          <cell r="D286">
            <v>0</v>
          </cell>
          <cell r="F286" t="str">
            <v>Financial</v>
          </cell>
          <cell r="H286" t="str">
            <v>north america</v>
          </cell>
        </row>
        <row r="287">
          <cell r="D287">
            <v>0</v>
          </cell>
          <cell r="F287" t="str">
            <v>Information Technology</v>
          </cell>
          <cell r="H287" t="str">
            <v>north america</v>
          </cell>
        </row>
        <row r="288">
          <cell r="D288">
            <v>125118.48360012511</v>
          </cell>
          <cell r="F288" t="str">
            <v>Industrials</v>
          </cell>
          <cell r="H288" t="str">
            <v>north america</v>
          </cell>
        </row>
        <row r="289">
          <cell r="D289">
            <v>77292.74520007729</v>
          </cell>
          <cell r="F289" t="str">
            <v>Information Technology</v>
          </cell>
          <cell r="H289" t="str">
            <v>north america</v>
          </cell>
        </row>
        <row r="290">
          <cell r="D290">
            <v>256053.58867985712</v>
          </cell>
          <cell r="F290" t="str">
            <v>Consumer Discretionary</v>
          </cell>
          <cell r="H290" t="str">
            <v>north america</v>
          </cell>
        </row>
        <row r="291">
          <cell r="D291">
            <v>68888.925183926956</v>
          </cell>
          <cell r="F291" t="str">
            <v>Consumer Discretionary</v>
          </cell>
          <cell r="H291" t="str">
            <v>north america</v>
          </cell>
        </row>
        <row r="292">
          <cell r="D292">
            <v>100936.59768803787</v>
          </cell>
          <cell r="F292" t="str">
            <v>Information Technology</v>
          </cell>
          <cell r="H292" t="str">
            <v>north america</v>
          </cell>
        </row>
        <row r="293">
          <cell r="D293">
            <v>235178.14058769913</v>
          </cell>
          <cell r="F293" t="str">
            <v>Industrials</v>
          </cell>
          <cell r="H293" t="str">
            <v>north america</v>
          </cell>
        </row>
        <row r="294">
          <cell r="D294">
            <v>36051.18519041218</v>
          </cell>
          <cell r="F294" t="str">
            <v>Information Technology</v>
          </cell>
          <cell r="H294" t="str">
            <v>north america</v>
          </cell>
        </row>
        <row r="295">
          <cell r="D295">
            <v>83997.785672032085</v>
          </cell>
          <cell r="F295" t="str">
            <v>Industrials</v>
          </cell>
          <cell r="H295" t="str">
            <v>north america</v>
          </cell>
        </row>
        <row r="296">
          <cell r="D296">
            <v>135805.55441089391</v>
          </cell>
          <cell r="F296" t="str">
            <v>Healthcare</v>
          </cell>
          <cell r="H296" t="str">
            <v>north america</v>
          </cell>
        </row>
        <row r="297">
          <cell r="D297">
            <v>163737.08969289655</v>
          </cell>
          <cell r="F297" t="str">
            <v>Industrials</v>
          </cell>
          <cell r="H297" t="str">
            <v>north america</v>
          </cell>
        </row>
        <row r="298">
          <cell r="D298">
            <v>33964.534700108168</v>
          </cell>
          <cell r="F298" t="str">
            <v>Industrials</v>
          </cell>
          <cell r="H298" t="str">
            <v>north america</v>
          </cell>
        </row>
        <row r="299">
          <cell r="D299">
            <v>262699.18528252299</v>
          </cell>
          <cell r="F299" t="str">
            <v>Consumer Discretionary</v>
          </cell>
          <cell r="H299" t="str">
            <v>north america</v>
          </cell>
        </row>
        <row r="300">
          <cell r="D300">
            <v>500909.11081909767</v>
          </cell>
          <cell r="F300" t="str">
            <v>Materials</v>
          </cell>
          <cell r="H300" t="str">
            <v>north america</v>
          </cell>
        </row>
        <row r="301">
          <cell r="D301">
            <v>1599648.4196962726</v>
          </cell>
          <cell r="F301" t="str">
            <v>Financial</v>
          </cell>
          <cell r="H301" t="str">
            <v>north america</v>
          </cell>
        </row>
        <row r="302">
          <cell r="D302">
            <v>1263701.0901883051</v>
          </cell>
          <cell r="F302" t="str">
            <v>Telecommunications Services</v>
          </cell>
          <cell r="H302" t="str">
            <v>north america</v>
          </cell>
        </row>
        <row r="303">
          <cell r="D303">
            <v>724002.14060606074</v>
          </cell>
          <cell r="F303" t="str">
            <v>Telecommunications Services</v>
          </cell>
          <cell r="H303" t="str">
            <v>north america</v>
          </cell>
        </row>
        <row r="304">
          <cell r="D304">
            <v>293689.59650364111</v>
          </cell>
          <cell r="F304" t="str">
            <v>Financial</v>
          </cell>
          <cell r="H304" t="str">
            <v>north america</v>
          </cell>
        </row>
        <row r="305">
          <cell r="D305">
            <v>286991.55497152871</v>
          </cell>
          <cell r="F305" t="str">
            <v>Healthcare</v>
          </cell>
          <cell r="H305" t="str">
            <v>north america</v>
          </cell>
        </row>
        <row r="306">
          <cell r="D306">
            <v>329552.8952727273</v>
          </cell>
          <cell r="F306" t="str">
            <v>Industrials</v>
          </cell>
          <cell r="H306" t="str">
            <v>north america</v>
          </cell>
        </row>
        <row r="307">
          <cell r="D307">
            <v>741992.09449879383</v>
          </cell>
          <cell r="F307" t="str">
            <v>Industrials</v>
          </cell>
          <cell r="H307" t="str">
            <v>north america</v>
          </cell>
        </row>
        <row r="308">
          <cell r="D308">
            <v>1120798.2130434783</v>
          </cell>
          <cell r="F308" t="str">
            <v>Materials</v>
          </cell>
          <cell r="H308" t="str">
            <v>western europe</v>
          </cell>
        </row>
        <row r="309">
          <cell r="D309">
            <v>276004.36958351335</v>
          </cell>
          <cell r="F309" t="str">
            <v>Healthcare</v>
          </cell>
          <cell r="H309" t="str">
            <v>western europe</v>
          </cell>
        </row>
        <row r="310">
          <cell r="D310">
            <v>897474.72953600006</v>
          </cell>
          <cell r="F310" t="str">
            <v>Industrials</v>
          </cell>
          <cell r="H310" t="str">
            <v>western europe</v>
          </cell>
        </row>
        <row r="311">
          <cell r="D311">
            <v>301647.84063039999</v>
          </cell>
          <cell r="F311" t="str">
            <v>Consumer Discretionary</v>
          </cell>
          <cell r="H311" t="str">
            <v>western europe</v>
          </cell>
        </row>
        <row r="312">
          <cell r="D312">
            <v>2407675.8629616001</v>
          </cell>
          <cell r="F312" t="str">
            <v>Healthcare</v>
          </cell>
          <cell r="H312" t="str">
            <v>western europe</v>
          </cell>
        </row>
        <row r="313">
          <cell r="D313">
            <v>984604.17036960006</v>
          </cell>
          <cell r="F313" t="str">
            <v>Materials</v>
          </cell>
          <cell r="H313" t="str">
            <v>western europe</v>
          </cell>
        </row>
        <row r="314">
          <cell r="D314">
            <v>21876.152495034174</v>
          </cell>
          <cell r="F314" t="str">
            <v>Consumer Discretionary</v>
          </cell>
          <cell r="H314" t="str">
            <v>western europe</v>
          </cell>
        </row>
        <row r="315">
          <cell r="D315">
            <v>7813.4318266766768</v>
          </cell>
          <cell r="F315" t="str">
            <v>Consumer Discretionary</v>
          </cell>
          <cell r="H315" t="str">
            <v>western europe</v>
          </cell>
        </row>
        <row r="316">
          <cell r="D316">
            <v>482076.63782447466</v>
          </cell>
          <cell r="F316" t="str">
            <v>Materials</v>
          </cell>
          <cell r="H316" t="str">
            <v>north america</v>
          </cell>
        </row>
        <row r="317">
          <cell r="D317">
            <v>87061.067999999999</v>
          </cell>
          <cell r="F317" t="str">
            <v>Healthcare</v>
          </cell>
          <cell r="H317" t="str">
            <v>north america</v>
          </cell>
        </row>
        <row r="318">
          <cell r="D318">
            <v>432587.6067272728</v>
          </cell>
          <cell r="F318" t="str">
            <v>Consumer Discretionary</v>
          </cell>
          <cell r="H318" t="str">
            <v>north america</v>
          </cell>
        </row>
        <row r="319">
          <cell r="D319">
            <v>70712.771595124534</v>
          </cell>
          <cell r="F319" t="str">
            <v>Healthcare</v>
          </cell>
          <cell r="H319" t="str">
            <v>north america</v>
          </cell>
        </row>
        <row r="320">
          <cell r="D320">
            <v>232926.00505966417</v>
          </cell>
          <cell r="F320" t="str">
            <v>Healthcare</v>
          </cell>
          <cell r="H320" t="str">
            <v>north america</v>
          </cell>
        </row>
        <row r="321">
          <cell r="D321">
            <v>66992.476007677542</v>
          </cell>
          <cell r="F321" t="str">
            <v>Healthcare</v>
          </cell>
          <cell r="H321" t="str">
            <v>north america</v>
          </cell>
        </row>
        <row r="322">
          <cell r="D322">
            <v>3107374.2581602377</v>
          </cell>
          <cell r="F322" t="str">
            <v>Telecommunications Services</v>
          </cell>
          <cell r="H322" t="str">
            <v>north america</v>
          </cell>
        </row>
        <row r="323">
          <cell r="D323">
            <v>1622164.7621509824</v>
          </cell>
          <cell r="F323" t="str">
            <v>Telecommunications Services</v>
          </cell>
          <cell r="H323" t="str">
            <v>north america</v>
          </cell>
        </row>
        <row r="324">
          <cell r="D324">
            <v>744833.12490372825</v>
          </cell>
          <cell r="F324" t="str">
            <v>Financial</v>
          </cell>
          <cell r="H324" t="str">
            <v>north america</v>
          </cell>
        </row>
        <row r="325">
          <cell r="D325">
            <v>212427.20400021243</v>
          </cell>
          <cell r="F325" t="str">
            <v>Industrials</v>
          </cell>
          <cell r="H325" t="str">
            <v>north america</v>
          </cell>
        </row>
        <row r="326">
          <cell r="D326">
            <v>138024.74593538154</v>
          </cell>
          <cell r="F326" t="str">
            <v>Healthcare</v>
          </cell>
          <cell r="H326" t="str">
            <v>north america</v>
          </cell>
        </row>
        <row r="327">
          <cell r="D327">
            <v>71309.203408449859</v>
          </cell>
          <cell r="F327" t="str">
            <v>Consumer Staples</v>
          </cell>
          <cell r="H327" t="str">
            <v>north america</v>
          </cell>
        </row>
        <row r="328">
          <cell r="D328">
            <v>144163.80001441637</v>
          </cell>
          <cell r="F328" t="str">
            <v>Information Technology</v>
          </cell>
          <cell r="H328" t="str">
            <v>north america</v>
          </cell>
        </row>
        <row r="329">
          <cell r="D329">
            <v>1525331.4838765743</v>
          </cell>
          <cell r="F329" t="str">
            <v>Consumer Discretionary</v>
          </cell>
          <cell r="H329" t="str">
            <v>north america</v>
          </cell>
        </row>
        <row r="330">
          <cell r="D330">
            <v>69565.602867983383</v>
          </cell>
          <cell r="F330" t="str">
            <v>Healthcare</v>
          </cell>
          <cell r="H330" t="str">
            <v>north america</v>
          </cell>
        </row>
        <row r="331">
          <cell r="D331">
            <v>742167.90021236893</v>
          </cell>
          <cell r="F331" t="str">
            <v>Consumer Discretionary</v>
          </cell>
          <cell r="H331" t="str">
            <v>north america</v>
          </cell>
        </row>
        <row r="332">
          <cell r="D332">
            <v>182196.25559921554</v>
          </cell>
          <cell r="F332" t="str">
            <v>Industrials</v>
          </cell>
          <cell r="H332" t="str">
            <v>north america</v>
          </cell>
        </row>
        <row r="333">
          <cell r="D333">
            <v>65074.423965703179</v>
          </cell>
          <cell r="F333" t="str">
            <v>Industrials</v>
          </cell>
          <cell r="H333" t="str">
            <v>north america</v>
          </cell>
        </row>
        <row r="334">
          <cell r="D334">
            <v>1095747.7264776814</v>
          </cell>
          <cell r="F334" t="str">
            <v>Healthcare</v>
          </cell>
          <cell r="H334" t="str">
            <v>north america</v>
          </cell>
        </row>
        <row r="335">
          <cell r="D335">
            <v>242982.06626485896</v>
          </cell>
          <cell r="F335" t="str">
            <v>Financial</v>
          </cell>
          <cell r="H335" t="str">
            <v>north america</v>
          </cell>
        </row>
        <row r="336">
          <cell r="D336">
            <v>63471.282424242425</v>
          </cell>
          <cell r="F336" t="str">
            <v>Telecommunications Services</v>
          </cell>
          <cell r="H336" t="str">
            <v>western europe</v>
          </cell>
        </row>
        <row r="337">
          <cell r="D337">
            <v>63429.168651108637</v>
          </cell>
          <cell r="F337" t="str">
            <v>Consumer Staples</v>
          </cell>
          <cell r="H337" t="str">
            <v>western europe</v>
          </cell>
        </row>
        <row r="338">
          <cell r="D338">
            <v>963143.74889173009</v>
          </cell>
          <cell r="F338" t="str">
            <v>Industrials</v>
          </cell>
          <cell r="H338" t="str">
            <v>western europe</v>
          </cell>
        </row>
        <row r="339">
          <cell r="D339">
            <v>157035.11744926177</v>
          </cell>
          <cell r="F339" t="str">
            <v>Consumer Discretionary</v>
          </cell>
          <cell r="H339" t="str">
            <v>western europe</v>
          </cell>
        </row>
        <row r="340">
          <cell r="D340">
            <v>337586.91365365998</v>
          </cell>
          <cell r="F340" t="str">
            <v>Industrials</v>
          </cell>
          <cell r="H340" t="str">
            <v>western europe</v>
          </cell>
        </row>
        <row r="341">
          <cell r="D341">
            <v>198768.20698011451</v>
          </cell>
          <cell r="F341" t="str">
            <v>Industrials</v>
          </cell>
          <cell r="H341" t="str">
            <v>western europe</v>
          </cell>
        </row>
        <row r="342">
          <cell r="D342">
            <v>449778.17455369071</v>
          </cell>
          <cell r="F342" t="str">
            <v>Industrials</v>
          </cell>
          <cell r="H342" t="str">
            <v>western europe</v>
          </cell>
        </row>
        <row r="343">
          <cell r="D343">
            <v>426534.4827586207</v>
          </cell>
          <cell r="F343" t="str">
            <v>Consumer Discretionary</v>
          </cell>
          <cell r="H343" t="str">
            <v>western europe</v>
          </cell>
        </row>
        <row r="344">
          <cell r="D344">
            <v>39757.69369989611</v>
          </cell>
          <cell r="F344" t="str">
            <v>Telecommunications Services</v>
          </cell>
          <cell r="H344" t="str">
            <v>western europe</v>
          </cell>
        </row>
        <row r="345">
          <cell r="D345">
            <v>1126091.07585623</v>
          </cell>
          <cell r="F345" t="str">
            <v>Healthcare</v>
          </cell>
          <cell r="H345" t="str">
            <v>western europe</v>
          </cell>
        </row>
        <row r="346">
          <cell r="D346">
            <v>261890.25454545455</v>
          </cell>
          <cell r="F346" t="str">
            <v>Financial</v>
          </cell>
          <cell r="H346" t="str">
            <v>north america</v>
          </cell>
        </row>
        <row r="347">
          <cell r="D347">
            <v>33597.501818181823</v>
          </cell>
          <cell r="F347" t="str">
            <v>Industrials</v>
          </cell>
          <cell r="H347" t="str">
            <v>north america</v>
          </cell>
        </row>
        <row r="348">
          <cell r="D348">
            <v>11180.395151515151</v>
          </cell>
          <cell r="F348" t="str">
            <v>Information Technology</v>
          </cell>
          <cell r="H348" t="str">
            <v>north america</v>
          </cell>
        </row>
        <row r="349">
          <cell r="D349">
            <v>127093.7</v>
          </cell>
          <cell r="F349" t="str">
            <v>Financial</v>
          </cell>
          <cell r="H349" t="str">
            <v>north america</v>
          </cell>
        </row>
        <row r="350">
          <cell r="D350">
            <v>572918.53983096569</v>
          </cell>
          <cell r="F350" t="str">
            <v>Financial</v>
          </cell>
          <cell r="H350" t="str">
            <v>north america</v>
          </cell>
        </row>
        <row r="351">
          <cell r="D351">
            <v>0</v>
          </cell>
          <cell r="F351" t="str">
            <v>Materials</v>
          </cell>
          <cell r="H351" t="str">
            <v>north america</v>
          </cell>
        </row>
        <row r="352">
          <cell r="D352">
            <v>863239.95055624226</v>
          </cell>
          <cell r="F352" t="str">
            <v>Industrials</v>
          </cell>
          <cell r="H352" t="str">
            <v>north america</v>
          </cell>
        </row>
        <row r="353">
          <cell r="D353">
            <v>349200</v>
          </cell>
          <cell r="F353" t="str">
            <v>Healthcare</v>
          </cell>
          <cell r="H353" t="str">
            <v>north america</v>
          </cell>
        </row>
        <row r="354">
          <cell r="D354">
            <v>335199.91529304656</v>
          </cell>
          <cell r="F354" t="str">
            <v>Healthcare</v>
          </cell>
          <cell r="H354" t="str">
            <v>north america</v>
          </cell>
        </row>
        <row r="355">
          <cell r="D355">
            <v>1294283.2245681381</v>
          </cell>
          <cell r="F355" t="str">
            <v>Industrials</v>
          </cell>
          <cell r="H355" t="str">
            <v>north america</v>
          </cell>
        </row>
        <row r="356">
          <cell r="D356">
            <v>315222.85988483683</v>
          </cell>
          <cell r="F356" t="str">
            <v>Healthcare</v>
          </cell>
          <cell r="H356" t="str">
            <v>north america</v>
          </cell>
        </row>
        <row r="357">
          <cell r="D357">
            <v>1.9193857965451054E-2</v>
          </cell>
          <cell r="F357" t="str">
            <v>Financial</v>
          </cell>
          <cell r="H357" t="str">
            <v>north america</v>
          </cell>
        </row>
        <row r="358">
          <cell r="D358">
            <v>1.1494252873563218E-2</v>
          </cell>
          <cell r="F358" t="str">
            <v>Financial</v>
          </cell>
          <cell r="H358" t="str">
            <v>north america</v>
          </cell>
        </row>
        <row r="359">
          <cell r="D359">
            <v>564950.04945598426</v>
          </cell>
          <cell r="F359" t="str">
            <v>Financial</v>
          </cell>
          <cell r="H359" t="str">
            <v>north america</v>
          </cell>
        </row>
        <row r="360">
          <cell r="D360">
            <v>138445.68496538082</v>
          </cell>
          <cell r="F360" t="str">
            <v>Financial</v>
          </cell>
          <cell r="H360" t="str">
            <v>north america</v>
          </cell>
        </row>
        <row r="361">
          <cell r="D361">
            <v>405465.80920372286</v>
          </cell>
          <cell r="F361" t="str">
            <v>Financial</v>
          </cell>
          <cell r="H361" t="str">
            <v>north america</v>
          </cell>
        </row>
        <row r="362">
          <cell r="D362">
            <v>500176.66666666669</v>
          </cell>
          <cell r="F362" t="str">
            <v>Materials</v>
          </cell>
          <cell r="H362" t="str">
            <v>north america</v>
          </cell>
        </row>
        <row r="363">
          <cell r="D363">
            <v>249663.33333333334</v>
          </cell>
          <cell r="F363" t="str">
            <v>Consumer Discretionary</v>
          </cell>
          <cell r="H363" t="str">
            <v>north america</v>
          </cell>
        </row>
        <row r="364">
          <cell r="D364">
            <v>446243.8729866544</v>
          </cell>
          <cell r="F364" t="str">
            <v>Telecommunications Services</v>
          </cell>
          <cell r="H364" t="str">
            <v>north america</v>
          </cell>
        </row>
        <row r="365">
          <cell r="D365">
            <v>37544.31120003754</v>
          </cell>
          <cell r="F365" t="str">
            <v>Information Technology</v>
          </cell>
          <cell r="H365" t="str">
            <v>north america</v>
          </cell>
        </row>
        <row r="366">
          <cell r="D366">
            <v>555367.07165553677</v>
          </cell>
          <cell r="F366" t="str">
            <v>Information Technology</v>
          </cell>
          <cell r="H366" t="str">
            <v>north america</v>
          </cell>
        </row>
        <row r="367">
          <cell r="D367">
            <v>76791.917443917089</v>
          </cell>
          <cell r="F367" t="str">
            <v>Industrials</v>
          </cell>
          <cell r="H367" t="str">
            <v>north america</v>
          </cell>
        </row>
        <row r="368">
          <cell r="D368">
            <v>30987.797274427718</v>
          </cell>
          <cell r="F368" t="str">
            <v>Consumer Discretionary</v>
          </cell>
          <cell r="H368" t="str">
            <v>north america</v>
          </cell>
        </row>
        <row r="369">
          <cell r="D369">
            <v>445500.00004454999</v>
          </cell>
          <cell r="F369" t="str">
            <v>Healthcare</v>
          </cell>
          <cell r="H369" t="str">
            <v>north america</v>
          </cell>
        </row>
        <row r="370">
          <cell r="D370">
            <v>1692187.2001692187</v>
          </cell>
          <cell r="F370" t="str">
            <v>Healthcare</v>
          </cell>
          <cell r="H370" t="str">
            <v>north america</v>
          </cell>
        </row>
        <row r="371">
          <cell r="D371">
            <v>239109.15555555557</v>
          </cell>
          <cell r="F371" t="str">
            <v>Healthcare</v>
          </cell>
          <cell r="H371" t="str">
            <v>north america</v>
          </cell>
        </row>
        <row r="372">
          <cell r="D372">
            <v>471226.24573245423</v>
          </cell>
          <cell r="F372" t="str">
            <v>Consumer Discretionary</v>
          </cell>
          <cell r="H372" t="str">
            <v>north america</v>
          </cell>
        </row>
        <row r="373">
          <cell r="D373">
            <v>204115.24353845528</v>
          </cell>
          <cell r="F373" t="str">
            <v>Financial</v>
          </cell>
          <cell r="H373" t="str">
            <v>north america</v>
          </cell>
        </row>
        <row r="374">
          <cell r="D374">
            <v>72903.155183949813</v>
          </cell>
          <cell r="F374" t="str">
            <v>Financial</v>
          </cell>
          <cell r="H374" t="str">
            <v>north america</v>
          </cell>
        </row>
        <row r="375">
          <cell r="D375">
            <v>192919.12042434129</v>
          </cell>
          <cell r="F375" t="str">
            <v>Telecommunications Services</v>
          </cell>
          <cell r="H375" t="str">
            <v>north america</v>
          </cell>
        </row>
        <row r="376">
          <cell r="D376">
            <v>397316.18095238099</v>
          </cell>
          <cell r="F376" t="str">
            <v>Telecommunications Services</v>
          </cell>
          <cell r="H376" t="str">
            <v>north america</v>
          </cell>
        </row>
        <row r="377">
          <cell r="D377">
            <v>0</v>
          </cell>
          <cell r="F377" t="str">
            <v>Industrials</v>
          </cell>
          <cell r="H377" t="str">
            <v>western europe</v>
          </cell>
        </row>
        <row r="378">
          <cell r="D378">
            <v>183370.10636608984</v>
          </cell>
          <cell r="F378" t="str">
            <v>Industrials</v>
          </cell>
          <cell r="H378" t="str">
            <v>western europe</v>
          </cell>
        </row>
        <row r="379">
          <cell r="D379">
            <v>976083.15652173909</v>
          </cell>
          <cell r="F379" t="str">
            <v>Industrials</v>
          </cell>
          <cell r="H379" t="str">
            <v>western europe</v>
          </cell>
        </row>
        <row r="380">
          <cell r="D380">
            <v>0</v>
          </cell>
          <cell r="F380" t="str">
            <v>Financial</v>
          </cell>
          <cell r="H380" t="str">
            <v>western europe</v>
          </cell>
        </row>
        <row r="381">
          <cell r="D381">
            <v>6809.3769036043859</v>
          </cell>
          <cell r="F381" t="str">
            <v>Information Technology</v>
          </cell>
          <cell r="H381" t="str">
            <v>western europe</v>
          </cell>
        </row>
        <row r="382">
          <cell r="D382">
            <v>1686036.0877106045</v>
          </cell>
          <cell r="F382" t="str">
            <v>Healthcare</v>
          </cell>
          <cell r="H382" t="str">
            <v>western europe</v>
          </cell>
        </row>
        <row r="383">
          <cell r="D383">
            <v>454876.76848484855</v>
          </cell>
          <cell r="F383" t="str">
            <v>Telecommunications Services</v>
          </cell>
          <cell r="H383" t="str">
            <v>western europe</v>
          </cell>
        </row>
        <row r="384">
          <cell r="D384">
            <v>1185818.9655172413</v>
          </cell>
          <cell r="F384" t="str">
            <v>Materials</v>
          </cell>
          <cell r="H384" t="str">
            <v>western europe</v>
          </cell>
        </row>
        <row r="385">
          <cell r="D385">
            <v>350573.27586206899</v>
          </cell>
          <cell r="F385" t="str">
            <v>Information Technology</v>
          </cell>
          <cell r="H385" t="str">
            <v>western europe</v>
          </cell>
        </row>
        <row r="386">
          <cell r="D386">
            <v>948168.10344827583</v>
          </cell>
          <cell r="F386" t="str">
            <v>Telecommunications Services</v>
          </cell>
          <cell r="H386" t="str">
            <v>western europe</v>
          </cell>
        </row>
        <row r="387">
          <cell r="D387">
            <v>1320284.8086389594</v>
          </cell>
          <cell r="F387" t="str">
            <v>Consumer Discretionary</v>
          </cell>
          <cell r="H387" t="str">
            <v>western europe</v>
          </cell>
        </row>
        <row r="388">
          <cell r="D388">
            <v>468112.06896551722</v>
          </cell>
          <cell r="F388" t="str">
            <v>Telecommunications Services</v>
          </cell>
          <cell r="H388" t="str">
            <v>western europe</v>
          </cell>
        </row>
        <row r="389">
          <cell r="D389">
            <v>100079.87624869539</v>
          </cell>
          <cell r="F389" t="str">
            <v>Consumer Staples</v>
          </cell>
          <cell r="H389" t="str">
            <v>north america</v>
          </cell>
        </row>
        <row r="390">
          <cell r="D390">
            <v>178206.24360017819</v>
          </cell>
          <cell r="F390" t="str">
            <v>Telecommunications Services</v>
          </cell>
          <cell r="H390" t="str">
            <v>north america</v>
          </cell>
        </row>
        <row r="391">
          <cell r="D391">
            <v>39449.410256410258</v>
          </cell>
          <cell r="F391" t="str">
            <v>Industrials</v>
          </cell>
          <cell r="H391" t="str">
            <v>other</v>
          </cell>
        </row>
        <row r="392">
          <cell r="D392">
            <v>0</v>
          </cell>
          <cell r="F392" t="str">
            <v>Consumer Discretionary</v>
          </cell>
          <cell r="H392" t="str">
            <v>other</v>
          </cell>
        </row>
        <row r="393">
          <cell r="D393">
            <v>125116.23076923077</v>
          </cell>
          <cell r="F393" t="str">
            <v>Financial</v>
          </cell>
          <cell r="H393" t="str">
            <v>other</v>
          </cell>
        </row>
        <row r="394">
          <cell r="D394">
            <v>1069902.1375383267</v>
          </cell>
          <cell r="F394" t="str">
            <v>Consumer Discretionary</v>
          </cell>
          <cell r="H394" t="str">
            <v>north america</v>
          </cell>
        </row>
        <row r="395">
          <cell r="D395">
            <v>5944003.9643211095</v>
          </cell>
          <cell r="F395" t="str">
            <v>Materials</v>
          </cell>
          <cell r="H395" t="str">
            <v>north america</v>
          </cell>
        </row>
        <row r="396">
          <cell r="D396">
            <v>244118.66579183735</v>
          </cell>
          <cell r="F396" t="str">
            <v>Information Technology</v>
          </cell>
          <cell r="H396" t="str">
            <v>north america</v>
          </cell>
        </row>
        <row r="397">
          <cell r="D397">
            <v>5666.666666666667</v>
          </cell>
          <cell r="F397" t="str">
            <v>Financial</v>
          </cell>
          <cell r="H397" t="str">
            <v>north america</v>
          </cell>
        </row>
        <row r="398">
          <cell r="D398">
            <v>80750</v>
          </cell>
          <cell r="F398" t="str">
            <v>Industrials</v>
          </cell>
          <cell r="H398" t="str">
            <v>north america</v>
          </cell>
        </row>
        <row r="399">
          <cell r="D399">
            <v>139680</v>
          </cell>
          <cell r="F399" t="str">
            <v>Industrials</v>
          </cell>
          <cell r="H399" t="str">
            <v>north america</v>
          </cell>
        </row>
        <row r="400">
          <cell r="D400">
            <v>890756.41790156928</v>
          </cell>
          <cell r="F400" t="str">
            <v>Healthcare</v>
          </cell>
          <cell r="H400" t="str">
            <v>north america</v>
          </cell>
        </row>
        <row r="401">
          <cell r="D401">
            <v>4827.5862068965516</v>
          </cell>
          <cell r="F401" t="str">
            <v>Healthcare</v>
          </cell>
          <cell r="H401" t="str">
            <v>north america</v>
          </cell>
        </row>
        <row r="402">
          <cell r="D402">
            <v>352776.14985163207</v>
          </cell>
          <cell r="F402" t="str">
            <v>Industrials</v>
          </cell>
          <cell r="H402" t="str">
            <v>north america</v>
          </cell>
        </row>
        <row r="403">
          <cell r="D403">
            <v>975123.10830860538</v>
          </cell>
          <cell r="F403" t="str">
            <v>Healthcare</v>
          </cell>
          <cell r="H403" t="str">
            <v>north america</v>
          </cell>
        </row>
        <row r="404">
          <cell r="D404">
            <v>481496.90900098917</v>
          </cell>
          <cell r="F404" t="str">
            <v>Healthcare</v>
          </cell>
          <cell r="H404" t="str">
            <v>north america</v>
          </cell>
        </row>
        <row r="405">
          <cell r="D405">
            <v>89321.367631851084</v>
          </cell>
          <cell r="F405" t="str">
            <v>Healthcare</v>
          </cell>
          <cell r="H405" t="str">
            <v>north america</v>
          </cell>
        </row>
        <row r="406">
          <cell r="D406">
            <v>333740.32321695838</v>
          </cell>
          <cell r="F406" t="str">
            <v>Energy &amp; Utilities</v>
          </cell>
          <cell r="H406" t="str">
            <v>north america</v>
          </cell>
        </row>
        <row r="407">
          <cell r="D407">
            <v>123245.20512820513</v>
          </cell>
          <cell r="F407" t="str">
            <v>Consumer Staples</v>
          </cell>
          <cell r="H407" t="str">
            <v>north america</v>
          </cell>
        </row>
        <row r="408">
          <cell r="D408">
            <v>834458.01428571437</v>
          </cell>
          <cell r="F408" t="str">
            <v>Industrials</v>
          </cell>
          <cell r="H408" t="str">
            <v>north america</v>
          </cell>
        </row>
        <row r="409">
          <cell r="D409">
            <v>0</v>
          </cell>
          <cell r="F409" t="str">
            <v>Financial</v>
          </cell>
          <cell r="H409" t="str">
            <v>north america</v>
          </cell>
        </row>
        <row r="410">
          <cell r="D410">
            <v>0</v>
          </cell>
          <cell r="F410" t="str">
            <v>Telecommunications Services</v>
          </cell>
          <cell r="H410" t="str">
            <v>north america</v>
          </cell>
        </row>
        <row r="411">
          <cell r="D411">
            <v>264644.80809940177</v>
          </cell>
          <cell r="F411" t="str">
            <v>Financial</v>
          </cell>
          <cell r="H411" t="str">
            <v>north america</v>
          </cell>
        </row>
        <row r="412">
          <cell r="D412">
            <v>6017777.7524160147</v>
          </cell>
          <cell r="F412" t="str">
            <v>Materials</v>
          </cell>
          <cell r="H412" t="str">
            <v>north america</v>
          </cell>
        </row>
        <row r="413">
          <cell r="D413">
            <v>572119.67294350837</v>
          </cell>
          <cell r="F413" t="str">
            <v>Industrials</v>
          </cell>
          <cell r="H413" t="str">
            <v>north america</v>
          </cell>
        </row>
        <row r="414">
          <cell r="D414">
            <v>5574.6504000055747</v>
          </cell>
          <cell r="F414" t="str">
            <v>Information Technology</v>
          </cell>
          <cell r="H414" t="str">
            <v>north america</v>
          </cell>
        </row>
        <row r="415">
          <cell r="D415">
            <v>510707.86847324279</v>
          </cell>
          <cell r="F415" t="str">
            <v>Healthcare</v>
          </cell>
          <cell r="H415" t="str">
            <v>north america</v>
          </cell>
        </row>
        <row r="416">
          <cell r="D416">
            <v>103302.92059533352</v>
          </cell>
          <cell r="F416" t="str">
            <v>Industrials</v>
          </cell>
          <cell r="H416" t="str">
            <v>north america</v>
          </cell>
        </row>
        <row r="417">
          <cell r="D417">
            <v>-45132.567322822957</v>
          </cell>
          <cell r="F417" t="str">
            <v>Consumer Discretionary</v>
          </cell>
          <cell r="H417" t="str">
            <v>north america</v>
          </cell>
        </row>
        <row r="418">
          <cell r="D418">
            <v>332764.97559030738</v>
          </cell>
          <cell r="F418" t="str">
            <v>Materials</v>
          </cell>
          <cell r="H418" t="str">
            <v>north america</v>
          </cell>
        </row>
        <row r="419">
          <cell r="D419">
            <v>138524.19303804179</v>
          </cell>
          <cell r="F419" t="str">
            <v>Industrials</v>
          </cell>
          <cell r="H419" t="str">
            <v>north america</v>
          </cell>
        </row>
        <row r="420">
          <cell r="D420">
            <v>441183.35841584159</v>
          </cell>
          <cell r="F420" t="str">
            <v>Industrials</v>
          </cell>
          <cell r="H420" t="str">
            <v>north america</v>
          </cell>
        </row>
        <row r="421">
          <cell r="D421">
            <v>478461.38166666671</v>
          </cell>
          <cell r="F421" t="str">
            <v>Financial</v>
          </cell>
          <cell r="H421" t="str">
            <v>north america</v>
          </cell>
        </row>
        <row r="422">
          <cell r="D422">
            <v>1.1111111111111112E-2</v>
          </cell>
          <cell r="F422" t="str">
            <v>Industrials</v>
          </cell>
          <cell r="H422" t="str">
            <v>north america</v>
          </cell>
        </row>
        <row r="423">
          <cell r="D423">
            <v>110435.30975587928</v>
          </cell>
          <cell r="F423" t="str">
            <v>Information Technology</v>
          </cell>
          <cell r="H423" t="str">
            <v>north america</v>
          </cell>
        </row>
        <row r="424">
          <cell r="D424">
            <v>1481121.6159009817</v>
          </cell>
          <cell r="F424" t="str">
            <v>Consumer Discretionary</v>
          </cell>
          <cell r="H424" t="str">
            <v>north america</v>
          </cell>
        </row>
        <row r="425">
          <cell r="D425">
            <v>518977.49891792936</v>
          </cell>
          <cell r="F425" t="str">
            <v>Consumer Discretionary</v>
          </cell>
          <cell r="H425" t="str">
            <v>north america</v>
          </cell>
        </row>
        <row r="426">
          <cell r="D426">
            <v>412608.03178997774</v>
          </cell>
          <cell r="F426" t="str">
            <v>Consumer Discretionary</v>
          </cell>
          <cell r="H426" t="str">
            <v>north america</v>
          </cell>
        </row>
        <row r="427">
          <cell r="D427">
            <v>10965.593192769318</v>
          </cell>
          <cell r="F427" t="str">
            <v>Consumer Staples</v>
          </cell>
          <cell r="H427" t="str">
            <v>other</v>
          </cell>
        </row>
        <row r="428">
          <cell r="D428">
            <v>115451.99766408098</v>
          </cell>
          <cell r="F428" t="str">
            <v>Materials</v>
          </cell>
          <cell r="H428" t="str">
            <v>other</v>
          </cell>
        </row>
        <row r="429">
          <cell r="D429">
            <v>91409.090689600212</v>
          </cell>
          <cell r="F429" t="str">
            <v>Materials</v>
          </cell>
          <cell r="H429" t="str">
            <v>other</v>
          </cell>
        </row>
        <row r="430">
          <cell r="D430">
            <v>1490435.2397688522</v>
          </cell>
          <cell r="F430" t="str">
            <v>Financial</v>
          </cell>
          <cell r="H430" t="str">
            <v>western europe</v>
          </cell>
        </row>
        <row r="431">
          <cell r="D431">
            <v>379487.08697653015</v>
          </cell>
          <cell r="F431" t="str">
            <v>Materials</v>
          </cell>
          <cell r="H431" t="str">
            <v>western europe</v>
          </cell>
        </row>
        <row r="432">
          <cell r="D432">
            <v>1661478.5926660059</v>
          </cell>
          <cell r="F432" t="str">
            <v>Materials</v>
          </cell>
          <cell r="H432" t="str">
            <v>western europe</v>
          </cell>
        </row>
        <row r="433">
          <cell r="D433">
            <v>137285.4569066829</v>
          </cell>
          <cell r="F433" t="str">
            <v>Information Technology</v>
          </cell>
          <cell r="H433" t="str">
            <v>western europe</v>
          </cell>
        </row>
        <row r="434">
          <cell r="D434">
            <v>243557.36866420135</v>
          </cell>
          <cell r="F434" t="str">
            <v>Information Technology</v>
          </cell>
          <cell r="H434" t="str">
            <v>western europe</v>
          </cell>
        </row>
        <row r="435">
          <cell r="D435">
            <v>49033.785012150503</v>
          </cell>
          <cell r="F435" t="str">
            <v>Information Technology</v>
          </cell>
          <cell r="H435" t="str">
            <v>western europe</v>
          </cell>
        </row>
        <row r="436">
          <cell r="D436">
            <v>86990.566388421154</v>
          </cell>
          <cell r="F436" t="str">
            <v>Information Technology</v>
          </cell>
          <cell r="H436" t="str">
            <v>western europe</v>
          </cell>
        </row>
        <row r="437">
          <cell r="D437">
            <v>28571.230257289961</v>
          </cell>
          <cell r="F437" t="str">
            <v>Financial</v>
          </cell>
          <cell r="H437" t="str">
            <v>other</v>
          </cell>
        </row>
        <row r="438">
          <cell r="D438">
            <v>291080.3143356088</v>
          </cell>
          <cell r="F438" t="str">
            <v>Consumer Discretionary</v>
          </cell>
          <cell r="H438" t="str">
            <v>western europe</v>
          </cell>
        </row>
        <row r="439">
          <cell r="D439">
            <v>902675.79565217393</v>
          </cell>
          <cell r="F439" t="str">
            <v>Consumer Discretionary</v>
          </cell>
          <cell r="H439" t="str">
            <v>western europe</v>
          </cell>
        </row>
        <row r="440">
          <cell r="D440">
            <v>569562.76606060611</v>
          </cell>
          <cell r="F440" t="str">
            <v>Consumer Discretionary</v>
          </cell>
          <cell r="H440" t="str">
            <v>western europe</v>
          </cell>
        </row>
        <row r="441">
          <cell r="D441">
            <v>867700.12296651688</v>
          </cell>
          <cell r="F441" t="str">
            <v>Consumer Staples</v>
          </cell>
          <cell r="H441" t="str">
            <v>western europe</v>
          </cell>
        </row>
        <row r="442">
          <cell r="D442">
            <v>1300179.4101638882</v>
          </cell>
          <cell r="F442" t="str">
            <v>Materials</v>
          </cell>
          <cell r="H442" t="str">
            <v>western europe</v>
          </cell>
        </row>
        <row r="443">
          <cell r="D443">
            <v>129538.17001632835</v>
          </cell>
          <cell r="F443" t="str">
            <v>Industrials</v>
          </cell>
          <cell r="H443" t="str">
            <v>western europe</v>
          </cell>
        </row>
        <row r="444">
          <cell r="D444">
            <v>55038.871794871789</v>
          </cell>
          <cell r="F444" t="str">
            <v>Consumer Discretionary</v>
          </cell>
          <cell r="H444" t="str">
            <v>other</v>
          </cell>
        </row>
        <row r="445">
          <cell r="D445">
            <v>0</v>
          </cell>
          <cell r="F445" t="str">
            <v>Financial</v>
          </cell>
          <cell r="H445" t="str">
            <v>other</v>
          </cell>
        </row>
        <row r="446">
          <cell r="D446">
            <v>137531.69230769231</v>
          </cell>
          <cell r="F446" t="str">
            <v>Information Technology</v>
          </cell>
          <cell r="H446" t="str">
            <v>other</v>
          </cell>
        </row>
        <row r="447">
          <cell r="D447">
            <v>44448.190824641846</v>
          </cell>
          <cell r="F447" t="str">
            <v>Materials</v>
          </cell>
          <cell r="H447" t="str">
            <v>other</v>
          </cell>
        </row>
        <row r="448">
          <cell r="D448">
            <v>761341.60285714292</v>
          </cell>
          <cell r="F448" t="str">
            <v>Materials</v>
          </cell>
          <cell r="H448" t="str">
            <v>north america</v>
          </cell>
        </row>
        <row r="449">
          <cell r="D449">
            <v>256508.06546565081</v>
          </cell>
          <cell r="F449" t="str">
            <v>Industrials</v>
          </cell>
          <cell r="H449" t="str">
            <v>north america</v>
          </cell>
        </row>
        <row r="450">
          <cell r="D450">
            <v>591059.68907062127</v>
          </cell>
          <cell r="F450" t="str">
            <v>Consumer Discretionary</v>
          </cell>
          <cell r="H450" t="str">
            <v>north america</v>
          </cell>
        </row>
        <row r="451">
          <cell r="D451">
            <v>3222557.8916656701</v>
          </cell>
          <cell r="F451" t="str">
            <v>Industrials</v>
          </cell>
          <cell r="H451" t="str">
            <v>north america</v>
          </cell>
        </row>
        <row r="452">
          <cell r="D452">
            <v>103798.69203398615</v>
          </cell>
          <cell r="F452" t="str">
            <v>Healthcare</v>
          </cell>
          <cell r="H452" t="str">
            <v>north america</v>
          </cell>
        </row>
        <row r="453">
          <cell r="D453">
            <v>471761.99793846853</v>
          </cell>
          <cell r="F453" t="str">
            <v>Healthcare</v>
          </cell>
          <cell r="H453" t="str">
            <v>north america</v>
          </cell>
        </row>
        <row r="454">
          <cell r="D454">
            <v>394968.63806361443</v>
          </cell>
          <cell r="F454" t="str">
            <v>Healthcare</v>
          </cell>
          <cell r="H454" t="str">
            <v>north america</v>
          </cell>
        </row>
        <row r="455">
          <cell r="D455">
            <v>585473.79885044333</v>
          </cell>
          <cell r="F455" t="str">
            <v>Healthcare</v>
          </cell>
          <cell r="H455" t="str">
            <v>north america</v>
          </cell>
        </row>
        <row r="456">
          <cell r="D456">
            <v>1465516.9241387493</v>
          </cell>
          <cell r="F456" t="str">
            <v>Industrials</v>
          </cell>
          <cell r="H456" t="str">
            <v>north america</v>
          </cell>
        </row>
        <row r="457">
          <cell r="D457">
            <v>1349488.6026545498</v>
          </cell>
          <cell r="F457" t="str">
            <v>Healthcare</v>
          </cell>
          <cell r="H457" t="str">
            <v>north america</v>
          </cell>
        </row>
        <row r="458">
          <cell r="D458">
            <v>623700.00006236997</v>
          </cell>
          <cell r="F458" t="str">
            <v>Industrials</v>
          </cell>
          <cell r="H458" t="str">
            <v>north america</v>
          </cell>
        </row>
        <row r="459">
          <cell r="D459">
            <v>308567.1494786808</v>
          </cell>
          <cell r="F459" t="str">
            <v>Healthcare</v>
          </cell>
          <cell r="H459" t="str">
            <v>north america</v>
          </cell>
        </row>
        <row r="460">
          <cell r="D460">
            <v>370421.87619047624</v>
          </cell>
          <cell r="F460" t="str">
            <v>Healthcare</v>
          </cell>
          <cell r="H460" t="str">
            <v>north america</v>
          </cell>
        </row>
        <row r="461">
          <cell r="D461">
            <v>4318618.0422264868</v>
          </cell>
          <cell r="F461" t="str">
            <v>Healthcare</v>
          </cell>
          <cell r="H461" t="str">
            <v>north america</v>
          </cell>
        </row>
        <row r="462">
          <cell r="D462">
            <v>1272155.7735849058</v>
          </cell>
          <cell r="F462" t="str">
            <v>Consumer Discretionary</v>
          </cell>
          <cell r="H462" t="str">
            <v>north america</v>
          </cell>
        </row>
        <row r="463">
          <cell r="D463">
            <v>885501.15986624011</v>
          </cell>
          <cell r="F463" t="str">
            <v>Financial</v>
          </cell>
          <cell r="H463" t="str">
            <v>north america</v>
          </cell>
        </row>
        <row r="464">
          <cell r="D464">
            <v>231810.03588383691</v>
          </cell>
          <cell r="F464" t="str">
            <v>Healthcare</v>
          </cell>
          <cell r="H464" t="str">
            <v>western europe</v>
          </cell>
        </row>
        <row r="465">
          <cell r="D465">
            <v>309977.20660066005</v>
          </cell>
          <cell r="F465" t="str">
            <v>Financial</v>
          </cell>
          <cell r="H465" t="str">
            <v>western europe</v>
          </cell>
        </row>
        <row r="466">
          <cell r="D466">
            <v>935309.55178070592</v>
          </cell>
          <cell r="F466" t="str">
            <v>Healthcare</v>
          </cell>
          <cell r="H466" t="str">
            <v>western europe</v>
          </cell>
        </row>
        <row r="467">
          <cell r="D467">
            <v>321701.85743768851</v>
          </cell>
          <cell r="F467" t="str">
            <v>Consumer Discretionary</v>
          </cell>
          <cell r="H467" t="str">
            <v>western europe</v>
          </cell>
        </row>
        <row r="468">
          <cell r="D468">
            <v>309284.91824099061</v>
          </cell>
          <cell r="F468" t="str">
            <v>Materials</v>
          </cell>
          <cell r="H468" t="str">
            <v>western europe</v>
          </cell>
        </row>
        <row r="469">
          <cell r="D469">
            <v>196189.73911202836</v>
          </cell>
          <cell r="F469" t="str">
            <v>Consumer Discretionary</v>
          </cell>
          <cell r="H469" t="str">
            <v>western europe</v>
          </cell>
        </row>
        <row r="470">
          <cell r="D470">
            <v>600867.95652173914</v>
          </cell>
          <cell r="F470" t="str">
            <v>Consumer Staples</v>
          </cell>
          <cell r="H470" t="str">
            <v>western europe</v>
          </cell>
        </row>
        <row r="471">
          <cell r="D471">
            <v>247037.36521739131</v>
          </cell>
          <cell r="F471" t="str">
            <v>Consumer Discretionary</v>
          </cell>
          <cell r="H471" t="str">
            <v>western europe</v>
          </cell>
        </row>
        <row r="472">
          <cell r="D472">
            <v>2000641.1304347827</v>
          </cell>
          <cell r="F472" t="str">
            <v>Energy &amp; Utilities</v>
          </cell>
          <cell r="H472" t="str">
            <v>western europe</v>
          </cell>
        </row>
        <row r="473">
          <cell r="D473">
            <v>2910865.5873015872</v>
          </cell>
          <cell r="F473" t="str">
            <v>Materials</v>
          </cell>
          <cell r="H473" t="str">
            <v>western europe</v>
          </cell>
        </row>
        <row r="474">
          <cell r="D474">
            <v>356478.75065997167</v>
          </cell>
          <cell r="F474" t="str">
            <v>Industrials</v>
          </cell>
          <cell r="H474" t="str">
            <v>western europe</v>
          </cell>
        </row>
        <row r="475">
          <cell r="D475">
            <v>174699.08243180905</v>
          </cell>
          <cell r="F475" t="str">
            <v>Financial</v>
          </cell>
          <cell r="H475" t="str">
            <v>western europe</v>
          </cell>
        </row>
        <row r="476">
          <cell r="D476">
            <v>360126.65929470619</v>
          </cell>
          <cell r="F476" t="str">
            <v>Financial</v>
          </cell>
          <cell r="H476" t="str">
            <v>western europe</v>
          </cell>
        </row>
        <row r="477">
          <cell r="D477">
            <v>1195467.9314626667</v>
          </cell>
          <cell r="F477" t="str">
            <v>Information Technology</v>
          </cell>
          <cell r="H477" t="str">
            <v>western europe</v>
          </cell>
        </row>
        <row r="478">
          <cell r="D478">
            <v>0</v>
          </cell>
          <cell r="F478" t="str">
            <v>Information Technology</v>
          </cell>
          <cell r="H478" t="str">
            <v>north america</v>
          </cell>
        </row>
        <row r="479">
          <cell r="D479">
            <v>247368.05090909093</v>
          </cell>
          <cell r="F479" t="str">
            <v>Information Technology</v>
          </cell>
          <cell r="H479" t="str">
            <v>north america</v>
          </cell>
        </row>
        <row r="480">
          <cell r="D480">
            <v>0</v>
          </cell>
          <cell r="F480" t="str">
            <v>Information Technology</v>
          </cell>
          <cell r="H480" t="str">
            <v>north america</v>
          </cell>
        </row>
        <row r="481">
          <cell r="D481">
            <v>222943.05</v>
          </cell>
          <cell r="F481" t="str">
            <v>Information Technology</v>
          </cell>
          <cell r="H481" t="str">
            <v>north america</v>
          </cell>
        </row>
        <row r="482">
          <cell r="D482">
            <v>60000</v>
          </cell>
          <cell r="F482" t="str">
            <v>Information Technology</v>
          </cell>
          <cell r="H482" t="str">
            <v>north america</v>
          </cell>
        </row>
        <row r="483">
          <cell r="D483">
            <v>745982.69468479604</v>
          </cell>
          <cell r="F483" t="str">
            <v>Materials</v>
          </cell>
          <cell r="H483" t="str">
            <v>north america</v>
          </cell>
        </row>
        <row r="484">
          <cell r="D484">
            <v>29117.501470442647</v>
          </cell>
          <cell r="F484" t="str">
            <v>Healthcare</v>
          </cell>
          <cell r="H484" t="str">
            <v>north america</v>
          </cell>
        </row>
        <row r="485">
          <cell r="D485">
            <v>45423.545717663364</v>
          </cell>
          <cell r="F485" t="str">
            <v>Healthcare</v>
          </cell>
          <cell r="H485" t="str">
            <v>north america</v>
          </cell>
        </row>
        <row r="486">
          <cell r="D486">
            <v>64177.687707099474</v>
          </cell>
          <cell r="F486" t="str">
            <v>Healthcare</v>
          </cell>
          <cell r="H486" t="str">
            <v>north america</v>
          </cell>
        </row>
        <row r="487">
          <cell r="D487">
            <v>58034.090975267449</v>
          </cell>
          <cell r="F487" t="str">
            <v>Healthcare</v>
          </cell>
          <cell r="H487" t="str">
            <v>north america</v>
          </cell>
        </row>
        <row r="488">
          <cell r="D488">
            <v>370390.81852515967</v>
          </cell>
          <cell r="F488" t="str">
            <v>Healthcare</v>
          </cell>
          <cell r="H488" t="str">
            <v>north america</v>
          </cell>
        </row>
        <row r="489">
          <cell r="D489">
            <v>142652.43676391622</v>
          </cell>
          <cell r="F489" t="str">
            <v>Healthcare</v>
          </cell>
          <cell r="H489" t="str">
            <v>north america</v>
          </cell>
        </row>
        <row r="490">
          <cell r="D490">
            <v>0</v>
          </cell>
          <cell r="F490" t="str">
            <v>Healthcare</v>
          </cell>
          <cell r="H490" t="str">
            <v>north america</v>
          </cell>
        </row>
        <row r="491">
          <cell r="D491">
            <v>0</v>
          </cell>
          <cell r="F491" t="str">
            <v>Healthcare</v>
          </cell>
          <cell r="H491" t="str">
            <v>north america</v>
          </cell>
        </row>
        <row r="492">
          <cell r="D492">
            <v>0</v>
          </cell>
          <cell r="F492" t="str">
            <v>Financial</v>
          </cell>
          <cell r="H492" t="str">
            <v>north america</v>
          </cell>
        </row>
        <row r="493">
          <cell r="D493">
            <v>0</v>
          </cell>
          <cell r="F493" t="str">
            <v>Healthcare</v>
          </cell>
          <cell r="H493" t="str">
            <v>north america</v>
          </cell>
        </row>
        <row r="494">
          <cell r="D494">
            <v>158627.64102564103</v>
          </cell>
          <cell r="F494" t="str">
            <v>Information Technology</v>
          </cell>
          <cell r="H494" t="str">
            <v>north america</v>
          </cell>
        </row>
        <row r="495">
          <cell r="D495">
            <v>0</v>
          </cell>
          <cell r="F495" t="str">
            <v>Information Technology</v>
          </cell>
          <cell r="H495" t="str">
            <v>north america</v>
          </cell>
        </row>
        <row r="496">
          <cell r="D496">
            <v>1049670.9360331339</v>
          </cell>
          <cell r="F496" t="str">
            <v>Healthcare</v>
          </cell>
          <cell r="H496" t="str">
            <v>north america</v>
          </cell>
        </row>
        <row r="497">
          <cell r="D497">
            <v>32058.161067648412</v>
          </cell>
          <cell r="F497" t="str">
            <v>Consumer Discretionary</v>
          </cell>
          <cell r="H497" t="str">
            <v>north america</v>
          </cell>
        </row>
        <row r="498">
          <cell r="D498">
            <v>0</v>
          </cell>
          <cell r="F498" t="str">
            <v>Information Technology</v>
          </cell>
          <cell r="H498" t="str">
            <v>north america</v>
          </cell>
        </row>
        <row r="499">
          <cell r="D499">
            <v>88274.79558969276</v>
          </cell>
          <cell r="F499" t="str">
            <v>Healthcare</v>
          </cell>
          <cell r="H499" t="str">
            <v>north america</v>
          </cell>
        </row>
        <row r="500">
          <cell r="D500">
            <v>267668.71560026763</v>
          </cell>
          <cell r="F500" t="str">
            <v>Information Technology</v>
          </cell>
          <cell r="H500" t="str">
            <v>north america</v>
          </cell>
        </row>
        <row r="501">
          <cell r="D501">
            <v>126029.24400012603</v>
          </cell>
          <cell r="F501" t="str">
            <v>Information Technology</v>
          </cell>
          <cell r="H501" t="str">
            <v>north america</v>
          </cell>
        </row>
        <row r="502">
          <cell r="D502">
            <v>172815.5616001728</v>
          </cell>
          <cell r="F502" t="str">
            <v>Information Technology</v>
          </cell>
          <cell r="H502" t="str">
            <v>north america</v>
          </cell>
        </row>
        <row r="503">
          <cell r="D503">
            <v>111804.4224001118</v>
          </cell>
          <cell r="F503" t="str">
            <v>Information Technology</v>
          </cell>
          <cell r="H503" t="str">
            <v>north america</v>
          </cell>
        </row>
        <row r="504">
          <cell r="D504">
            <v>112606.63920011261</v>
          </cell>
          <cell r="F504" t="str">
            <v>Information Technology</v>
          </cell>
          <cell r="H504" t="str">
            <v>north america</v>
          </cell>
        </row>
        <row r="505">
          <cell r="D505">
            <v>41394.652122178057</v>
          </cell>
          <cell r="F505" t="str">
            <v>Information Technology</v>
          </cell>
          <cell r="H505" t="str">
            <v>north america</v>
          </cell>
        </row>
        <row r="506">
          <cell r="D506">
            <v>79798.355849979096</v>
          </cell>
          <cell r="F506" t="str">
            <v>Healthcare</v>
          </cell>
          <cell r="H506" t="str">
            <v>north america</v>
          </cell>
        </row>
        <row r="507">
          <cell r="D507">
            <v>177298.42646667897</v>
          </cell>
          <cell r="F507" t="str">
            <v>Information Technology</v>
          </cell>
          <cell r="H507" t="str">
            <v>north america</v>
          </cell>
        </row>
        <row r="508">
          <cell r="D508">
            <v>542471.40663438349</v>
          </cell>
          <cell r="F508" t="str">
            <v>Materials</v>
          </cell>
          <cell r="H508" t="str">
            <v>north america</v>
          </cell>
        </row>
        <row r="509">
          <cell r="D509">
            <v>29879.608481295661</v>
          </cell>
          <cell r="F509" t="str">
            <v>Industrials</v>
          </cell>
          <cell r="H509" t="str">
            <v>north america</v>
          </cell>
        </row>
        <row r="510">
          <cell r="D510">
            <v>6020.4984438478532</v>
          </cell>
          <cell r="F510" t="str">
            <v>Industrials</v>
          </cell>
          <cell r="H510" t="str">
            <v>north america</v>
          </cell>
        </row>
        <row r="511">
          <cell r="D511">
            <v>1222737.1866666668</v>
          </cell>
          <cell r="F511" t="str">
            <v>Information Technology</v>
          </cell>
          <cell r="H511" t="str">
            <v>north america</v>
          </cell>
        </row>
        <row r="512">
          <cell r="D512">
            <v>69719.53333333334</v>
          </cell>
          <cell r="F512" t="str">
            <v>Healthcare</v>
          </cell>
          <cell r="H512" t="str">
            <v>north america</v>
          </cell>
        </row>
        <row r="513">
          <cell r="D513">
            <v>32821.872101597895</v>
          </cell>
          <cell r="F513" t="str">
            <v>Information Technology</v>
          </cell>
          <cell r="H513" t="str">
            <v>north america</v>
          </cell>
        </row>
        <row r="514">
          <cell r="D514">
            <v>1078609.0071713442</v>
          </cell>
          <cell r="F514" t="str">
            <v>Consumer Discretionary</v>
          </cell>
          <cell r="H514" t="str">
            <v>north america</v>
          </cell>
        </row>
        <row r="515">
          <cell r="D515">
            <v>93892.741799833966</v>
          </cell>
          <cell r="F515" t="str">
            <v>Information Technology</v>
          </cell>
          <cell r="H515" t="str">
            <v>north america</v>
          </cell>
        </row>
        <row r="516">
          <cell r="D516">
            <v>216460.73754585473</v>
          </cell>
          <cell r="F516" t="str">
            <v>Information Technology</v>
          </cell>
          <cell r="H516" t="str">
            <v>north america</v>
          </cell>
        </row>
        <row r="517">
          <cell r="D517">
            <v>33535.354868242437</v>
          </cell>
          <cell r="F517" t="str">
            <v>Information Technology</v>
          </cell>
          <cell r="H517" t="str">
            <v>north america</v>
          </cell>
        </row>
        <row r="518">
          <cell r="D518">
            <v>77312.553766052282</v>
          </cell>
          <cell r="F518" t="str">
            <v>Information Technology</v>
          </cell>
          <cell r="H518" t="str">
            <v>north america</v>
          </cell>
        </row>
        <row r="519">
          <cell r="D519">
            <v>9086.1316228822998</v>
          </cell>
          <cell r="F519" t="str">
            <v>Financial</v>
          </cell>
          <cell r="H519" t="str">
            <v>north america</v>
          </cell>
        </row>
        <row r="520">
          <cell r="D520">
            <v>132815.24302889581</v>
          </cell>
          <cell r="F520" t="str">
            <v>Information Technology</v>
          </cell>
          <cell r="H520" t="str">
            <v>north america</v>
          </cell>
        </row>
        <row r="521">
          <cell r="D521">
            <v>65418.082417209022</v>
          </cell>
          <cell r="F521" t="str">
            <v>Information Technology</v>
          </cell>
          <cell r="H521" t="str">
            <v>north america</v>
          </cell>
        </row>
        <row r="522">
          <cell r="D522">
            <v>409317.02802794939</v>
          </cell>
          <cell r="F522" t="str">
            <v>Industrials</v>
          </cell>
          <cell r="H522" t="str">
            <v>north america</v>
          </cell>
        </row>
        <row r="523">
          <cell r="D523">
            <v>412378.75155915623</v>
          </cell>
          <cell r="F523" t="str">
            <v>Consumer Discretionary</v>
          </cell>
          <cell r="H523" t="str">
            <v>north america</v>
          </cell>
        </row>
        <row r="524">
          <cell r="D524">
            <v>269502.7663500518</v>
          </cell>
          <cell r="F524" t="str">
            <v>Consumer Discretionary</v>
          </cell>
          <cell r="H524" t="str">
            <v>north america</v>
          </cell>
        </row>
        <row r="525">
          <cell r="D525">
            <v>50225.152267187434</v>
          </cell>
          <cell r="F525" t="str">
            <v>Consumer Discretionary</v>
          </cell>
          <cell r="H525" t="str">
            <v>north america</v>
          </cell>
        </row>
        <row r="526">
          <cell r="D526">
            <v>84906.006500270407</v>
          </cell>
          <cell r="F526" t="str">
            <v>Industrials</v>
          </cell>
          <cell r="H526" t="str">
            <v>north america</v>
          </cell>
        </row>
        <row r="527">
          <cell r="D527">
            <v>85541.110100272417</v>
          </cell>
          <cell r="F527" t="str">
            <v>Consumer Discretionary</v>
          </cell>
          <cell r="H527" t="str">
            <v>north america</v>
          </cell>
        </row>
        <row r="528">
          <cell r="D528">
            <v>55903.864400178034</v>
          </cell>
          <cell r="F528" t="str">
            <v>Consumer Discretionary</v>
          </cell>
          <cell r="H528" t="str">
            <v>north america</v>
          </cell>
        </row>
        <row r="529">
          <cell r="D529">
            <v>10418.372100033179</v>
          </cell>
          <cell r="F529" t="str">
            <v>Consumer Discretionary</v>
          </cell>
          <cell r="H529" t="str">
            <v>north america</v>
          </cell>
        </row>
        <row r="530">
          <cell r="D530">
            <v>621359.56197985099</v>
          </cell>
          <cell r="F530" t="str">
            <v>Industrials</v>
          </cell>
          <cell r="H530" t="str">
            <v>north america</v>
          </cell>
        </row>
        <row r="531">
          <cell r="D531">
            <v>464027.77777777781</v>
          </cell>
          <cell r="F531" t="str">
            <v>Industrials</v>
          </cell>
          <cell r="H531" t="str">
            <v>north america</v>
          </cell>
        </row>
        <row r="532">
          <cell r="D532">
            <v>178315.4122183361</v>
          </cell>
          <cell r="F532" t="str">
            <v>Healthcare</v>
          </cell>
          <cell r="H532" t="str">
            <v>north america</v>
          </cell>
        </row>
        <row r="533">
          <cell r="D533">
            <v>10839.792842006302</v>
          </cell>
          <cell r="F533" t="str">
            <v>Financial</v>
          </cell>
          <cell r="H533" t="str">
            <v>north america</v>
          </cell>
        </row>
        <row r="534">
          <cell r="D534">
            <v>13225.885714285714</v>
          </cell>
          <cell r="F534" t="str">
            <v>Information Technology</v>
          </cell>
          <cell r="H534" t="str">
            <v>north america</v>
          </cell>
        </row>
        <row r="535">
          <cell r="D535">
            <v>0</v>
          </cell>
          <cell r="F535" t="str">
            <v>Telecommunications Services</v>
          </cell>
          <cell r="H535" t="str">
            <v>north america</v>
          </cell>
        </row>
        <row r="536">
          <cell r="D536">
            <v>7221.2307692307686</v>
          </cell>
          <cell r="F536" t="str">
            <v>Consumer Discretionary</v>
          </cell>
          <cell r="H536" t="str">
            <v>north america</v>
          </cell>
        </row>
        <row r="537">
          <cell r="D537">
            <v>539548.47149395489</v>
          </cell>
          <cell r="F537" t="str">
            <v>Information Technology</v>
          </cell>
          <cell r="H537" t="str">
            <v>north america</v>
          </cell>
        </row>
        <row r="538">
          <cell r="D538">
            <v>41461.691328033965</v>
          </cell>
          <cell r="F538" t="str">
            <v>Healthcare</v>
          </cell>
          <cell r="H538" t="str">
            <v>north america</v>
          </cell>
        </row>
        <row r="539">
          <cell r="D539">
            <v>209780.66647029566</v>
          </cell>
          <cell r="F539" t="str">
            <v>Healthcare</v>
          </cell>
          <cell r="H539" t="str">
            <v>north america</v>
          </cell>
        </row>
        <row r="540">
          <cell r="D540">
            <v>1553834.8401291403</v>
          </cell>
          <cell r="F540" t="str">
            <v>Healthcare</v>
          </cell>
          <cell r="H540" t="str">
            <v>north america</v>
          </cell>
        </row>
        <row r="541">
          <cell r="D541">
            <v>752926.26368812961</v>
          </cell>
          <cell r="F541" t="str">
            <v>Healthcare</v>
          </cell>
          <cell r="H541" t="str">
            <v>north america</v>
          </cell>
        </row>
        <row r="542">
          <cell r="D542">
            <v>33225.357153460827</v>
          </cell>
          <cell r="F542" t="str">
            <v>Financial</v>
          </cell>
          <cell r="H542" t="str">
            <v>north america</v>
          </cell>
        </row>
        <row r="543">
          <cell r="D543">
            <v>4870.878197542489</v>
          </cell>
          <cell r="F543" t="str">
            <v>Consumer Discretionary</v>
          </cell>
          <cell r="H543" t="str">
            <v>north america</v>
          </cell>
        </row>
        <row r="544">
          <cell r="D544">
            <v>72979.376135549974</v>
          </cell>
          <cell r="F544" t="str">
            <v>Industrials</v>
          </cell>
          <cell r="H544" t="str">
            <v>north america</v>
          </cell>
        </row>
        <row r="545">
          <cell r="D545">
            <v>299276.2448228256</v>
          </cell>
          <cell r="F545" t="str">
            <v>Telecommunications Services</v>
          </cell>
          <cell r="H545" t="str">
            <v>north america</v>
          </cell>
        </row>
        <row r="546">
          <cell r="D546">
            <v>38778.002927097354</v>
          </cell>
          <cell r="F546" t="str">
            <v>Information Technology</v>
          </cell>
          <cell r="H546" t="str">
            <v>north america</v>
          </cell>
        </row>
        <row r="547">
          <cell r="D547">
            <v>258121.99856438965</v>
          </cell>
          <cell r="F547" t="str">
            <v>Financial</v>
          </cell>
          <cell r="H547" t="str">
            <v>north america</v>
          </cell>
        </row>
        <row r="548">
          <cell r="D548">
            <v>199205.40109514902</v>
          </cell>
          <cell r="F548" t="str">
            <v>Telecommunications Services</v>
          </cell>
          <cell r="H548" t="str">
            <v>north america</v>
          </cell>
        </row>
        <row r="549">
          <cell r="D549">
            <v>857200.35776635178</v>
          </cell>
          <cell r="F549" t="str">
            <v>Healthcare</v>
          </cell>
          <cell r="H549" t="str">
            <v>north america</v>
          </cell>
        </row>
        <row r="550">
          <cell r="D550">
            <v>791058.06</v>
          </cell>
          <cell r="F550" t="str">
            <v>Industrials</v>
          </cell>
          <cell r="H550" t="str">
            <v>north america</v>
          </cell>
        </row>
        <row r="551">
          <cell r="D551">
            <v>1384320.7284225798</v>
          </cell>
          <cell r="F551" t="str">
            <v>Financial</v>
          </cell>
          <cell r="H551" t="str">
            <v>north america</v>
          </cell>
        </row>
        <row r="552">
          <cell r="D552">
            <v>719926.56984212447</v>
          </cell>
          <cell r="F552" t="str">
            <v>Consumer Staples</v>
          </cell>
          <cell r="H552" t="str">
            <v>north america</v>
          </cell>
        </row>
        <row r="553">
          <cell r="D553">
            <v>89810.979663256876</v>
          </cell>
          <cell r="F553" t="str">
            <v>Information Technology</v>
          </cell>
          <cell r="H553" t="str">
            <v>north america</v>
          </cell>
        </row>
        <row r="554">
          <cell r="D554">
            <v>32077.485611109823</v>
          </cell>
          <cell r="F554" t="str">
            <v>Information Technology</v>
          </cell>
          <cell r="H554" t="str">
            <v>north america</v>
          </cell>
        </row>
        <row r="555">
          <cell r="D555">
            <v>177482.97435897434</v>
          </cell>
          <cell r="F555" t="str">
            <v>Information Technology</v>
          </cell>
          <cell r="H555" t="str">
            <v>north america</v>
          </cell>
        </row>
        <row r="556">
          <cell r="D556">
            <v>246769.16336861483</v>
          </cell>
          <cell r="F556" t="str">
            <v>Financial</v>
          </cell>
          <cell r="H556" t="str">
            <v>north america</v>
          </cell>
        </row>
        <row r="557">
          <cell r="D557">
            <v>33805.282083554441</v>
          </cell>
          <cell r="F557" t="str">
            <v>Consumer Staples</v>
          </cell>
          <cell r="H557" t="str">
            <v>north america</v>
          </cell>
        </row>
        <row r="558">
          <cell r="D558">
            <v>82725.367109145256</v>
          </cell>
          <cell r="F558" t="str">
            <v>Consumer Staples</v>
          </cell>
          <cell r="H558" t="str">
            <v>north america</v>
          </cell>
        </row>
        <row r="559">
          <cell r="D559">
            <v>83069.701361336149</v>
          </cell>
          <cell r="F559" t="str">
            <v>Consumer Staples</v>
          </cell>
          <cell r="H559" t="str">
            <v>north america</v>
          </cell>
        </row>
        <row r="560">
          <cell r="D560">
            <v>695983.21648067795</v>
          </cell>
          <cell r="F560" t="str">
            <v>Consumer Discretionary</v>
          </cell>
          <cell r="H560" t="str">
            <v>north america</v>
          </cell>
        </row>
        <row r="561">
          <cell r="D561">
            <v>190459.36633368125</v>
          </cell>
          <cell r="F561" t="str">
            <v>Consumer Staples</v>
          </cell>
          <cell r="H561" t="str">
            <v>north america</v>
          </cell>
        </row>
        <row r="562">
          <cell r="D562">
            <v>299465.10002994648</v>
          </cell>
          <cell r="F562" t="str">
            <v>Information Technology</v>
          </cell>
          <cell r="H562" t="str">
            <v>north america</v>
          </cell>
        </row>
        <row r="563">
          <cell r="D563">
            <v>1756225.7177140077</v>
          </cell>
          <cell r="F563" t="str">
            <v>Information Technology</v>
          </cell>
          <cell r="H563" t="str">
            <v>north america</v>
          </cell>
        </row>
        <row r="564">
          <cell r="D564">
            <v>545756.0447625313</v>
          </cell>
          <cell r="F564" t="str">
            <v>Consumer Discretionary</v>
          </cell>
          <cell r="H564" t="str">
            <v>north america</v>
          </cell>
        </row>
        <row r="565">
          <cell r="D565">
            <v>281332.61135641672</v>
          </cell>
          <cell r="F565" t="str">
            <v>Industrials</v>
          </cell>
          <cell r="H565" t="str">
            <v>north america</v>
          </cell>
        </row>
        <row r="566">
          <cell r="D566">
            <v>113208.01020036053</v>
          </cell>
          <cell r="F566" t="str">
            <v>Consumer Discretionary</v>
          </cell>
          <cell r="H566" t="str">
            <v>north america</v>
          </cell>
        </row>
        <row r="567">
          <cell r="D567">
            <v>2505</v>
          </cell>
          <cell r="F567"/>
          <cell r="H567" t="str">
            <v>other</v>
          </cell>
        </row>
        <row r="568">
          <cell r="D568">
            <v>495379.37515033386</v>
          </cell>
          <cell r="F568"/>
          <cell r="H568" t="str">
            <v>other</v>
          </cell>
        </row>
        <row r="569">
          <cell r="D569">
            <v>56325.152645458642</v>
          </cell>
          <cell r="F569"/>
          <cell r="H569" t="str">
            <v>other</v>
          </cell>
        </row>
        <row r="570">
          <cell r="D570">
            <v>1210397.6839846119</v>
          </cell>
          <cell r="F570"/>
          <cell r="H570" t="str">
            <v>other</v>
          </cell>
        </row>
        <row r="571">
          <cell r="D571">
            <v>25919.918640570075</v>
          </cell>
          <cell r="F571"/>
          <cell r="H571" t="str">
            <v>other</v>
          </cell>
        </row>
        <row r="572">
          <cell r="D572">
            <v>240232.45090909093</v>
          </cell>
          <cell r="F572" t="str">
            <v>Information Technology</v>
          </cell>
          <cell r="H572" t="str">
            <v>north america</v>
          </cell>
        </row>
        <row r="573">
          <cell r="D573">
            <v>1.9193857965451054E-2</v>
          </cell>
          <cell r="F573" t="str">
            <v>Consumer Discretionary</v>
          </cell>
          <cell r="H573" t="str">
            <v>north america</v>
          </cell>
        </row>
        <row r="574">
          <cell r="D574">
            <v>1376410.6454005935</v>
          </cell>
          <cell r="F574" t="str">
            <v>Consumer Staples</v>
          </cell>
          <cell r="H574" t="str">
            <v>north america</v>
          </cell>
        </row>
        <row r="575">
          <cell r="D575">
            <v>576300.62651976454</v>
          </cell>
          <cell r="F575" t="str">
            <v>Healthcare</v>
          </cell>
          <cell r="H575" t="str">
            <v>north america</v>
          </cell>
        </row>
        <row r="576">
          <cell r="D576">
            <v>32081.207547169812</v>
          </cell>
          <cell r="F576" t="str">
            <v>Telecommunications Services</v>
          </cell>
          <cell r="H576" t="str">
            <v>north america</v>
          </cell>
        </row>
        <row r="577">
          <cell r="D577">
            <v>1111926.075</v>
          </cell>
          <cell r="F577" t="str">
            <v>Telecommunications Services</v>
          </cell>
          <cell r="H577" t="str">
            <v>north america</v>
          </cell>
        </row>
        <row r="578">
          <cell r="D578">
            <v>498076.24135745002</v>
          </cell>
          <cell r="F578" t="str">
            <v>Healthcare</v>
          </cell>
          <cell r="H578" t="str">
            <v>north america</v>
          </cell>
        </row>
        <row r="579">
          <cell r="D579">
            <v>131428.82775782538</v>
          </cell>
          <cell r="F579" t="str">
            <v>Telecommunications Services</v>
          </cell>
          <cell r="H579" t="str">
            <v>north america</v>
          </cell>
        </row>
        <row r="580">
          <cell r="D580">
            <v>150126.34704495562</v>
          </cell>
          <cell r="F580" t="str">
            <v>Telecommunications Services</v>
          </cell>
          <cell r="H580" t="str">
            <v>north america</v>
          </cell>
        </row>
        <row r="581">
          <cell r="D581">
            <v>138685.19473129208</v>
          </cell>
          <cell r="F581" t="str">
            <v>Information Technology</v>
          </cell>
          <cell r="H581" t="str">
            <v>north america</v>
          </cell>
        </row>
        <row r="582">
          <cell r="D582">
            <v>345704.01243384165</v>
          </cell>
          <cell r="F582" t="str">
            <v>Industrials</v>
          </cell>
          <cell r="H582" t="str">
            <v>north america</v>
          </cell>
        </row>
        <row r="583">
          <cell r="D583">
            <v>1482918.7587020111</v>
          </cell>
          <cell r="F583" t="str">
            <v>Healthcare</v>
          </cell>
          <cell r="H583" t="str">
            <v>north america</v>
          </cell>
        </row>
        <row r="584">
          <cell r="D584">
            <v>168466.87142857144</v>
          </cell>
          <cell r="F584" t="str">
            <v>Industrials</v>
          </cell>
          <cell r="H584" t="str">
            <v>north america</v>
          </cell>
        </row>
        <row r="585">
          <cell r="D585">
            <v>991614.11755621282</v>
          </cell>
          <cell r="F585" t="str">
            <v>Consumer Discretionary</v>
          </cell>
          <cell r="H585" t="str">
            <v>north america</v>
          </cell>
        </row>
        <row r="586">
          <cell r="D586">
            <v>205693.84840065509</v>
          </cell>
          <cell r="F586" t="str">
            <v>Consumer Discretionary</v>
          </cell>
          <cell r="H586" t="str">
            <v>north america</v>
          </cell>
        </row>
        <row r="587">
          <cell r="D587">
            <v>418894.27951526694</v>
          </cell>
          <cell r="F587" t="str">
            <v>Industrials</v>
          </cell>
          <cell r="H587" t="str">
            <v>western europe</v>
          </cell>
        </row>
        <row r="588">
          <cell r="D588">
            <v>1276825.3479388263</v>
          </cell>
          <cell r="F588" t="str">
            <v>Materials</v>
          </cell>
          <cell r="H588" t="str">
            <v>western europe</v>
          </cell>
        </row>
        <row r="589">
          <cell r="D589">
            <v>830021.95057416521</v>
          </cell>
          <cell r="F589" t="str">
            <v>Materials</v>
          </cell>
          <cell r="H589" t="str">
            <v>western europe</v>
          </cell>
        </row>
        <row r="590">
          <cell r="D590">
            <v>130298.3652173913</v>
          </cell>
          <cell r="F590" t="str">
            <v>Materials</v>
          </cell>
          <cell r="H590" t="str">
            <v>western europe</v>
          </cell>
        </row>
        <row r="591">
          <cell r="D591">
            <v>296755.23043478263</v>
          </cell>
          <cell r="F591" t="str">
            <v>Materials</v>
          </cell>
          <cell r="H591" t="str">
            <v>western europe</v>
          </cell>
        </row>
        <row r="592">
          <cell r="D592">
            <v>708918.16956521745</v>
          </cell>
          <cell r="F592" t="str">
            <v>Consumer Staples</v>
          </cell>
          <cell r="H592" t="str">
            <v>western europe</v>
          </cell>
        </row>
        <row r="593">
          <cell r="D593">
            <v>0</v>
          </cell>
          <cell r="F593" t="str">
            <v>Financial</v>
          </cell>
          <cell r="H593" t="str">
            <v>western europe</v>
          </cell>
        </row>
        <row r="594">
          <cell r="D594">
            <v>1041129.0598984</v>
          </cell>
          <cell r="F594" t="str">
            <v>Consumer Staples</v>
          </cell>
          <cell r="H594" t="str">
            <v>western europe</v>
          </cell>
        </row>
        <row r="595">
          <cell r="D595">
            <v>900522.10424242436</v>
          </cell>
          <cell r="F595" t="str">
            <v>Consumer Discretionary</v>
          </cell>
          <cell r="H595" t="str">
            <v>western europe</v>
          </cell>
        </row>
        <row r="596">
          <cell r="D596">
            <v>477922.7595269382</v>
          </cell>
          <cell r="F596" t="str">
            <v>Information Technology</v>
          </cell>
          <cell r="H596" t="str">
            <v>western europe</v>
          </cell>
        </row>
        <row r="597">
          <cell r="D597">
            <v>125118.48360012511</v>
          </cell>
          <cell r="F597" t="str">
            <v>Information Technology</v>
          </cell>
          <cell r="H597" t="str">
            <v>north america</v>
          </cell>
        </row>
        <row r="598">
          <cell r="D598">
            <v>102541.18027966222</v>
          </cell>
          <cell r="F598" t="str">
            <v>Financial</v>
          </cell>
          <cell r="H598" t="str">
            <v>north america</v>
          </cell>
        </row>
        <row r="599">
          <cell r="D599">
            <v>238817.44196233025</v>
          </cell>
          <cell r="F599" t="str">
            <v>Consumer Discretionary</v>
          </cell>
          <cell r="H599" t="str">
            <v>north america</v>
          </cell>
        </row>
        <row r="600">
          <cell r="D600">
            <v>376200.40531805239</v>
          </cell>
          <cell r="F600" t="str">
            <v>Healthcare</v>
          </cell>
          <cell r="H600" t="str">
            <v>north america</v>
          </cell>
        </row>
        <row r="601">
          <cell r="D601">
            <v>732983.33346469235</v>
          </cell>
          <cell r="F601" t="str">
            <v>Healthcare</v>
          </cell>
          <cell r="H601" t="str">
            <v>north america</v>
          </cell>
        </row>
        <row r="602">
          <cell r="D602">
            <v>773558.51879327407</v>
          </cell>
          <cell r="F602" t="str">
            <v>Industrials</v>
          </cell>
          <cell r="H602" t="str">
            <v>north america</v>
          </cell>
        </row>
        <row r="603">
          <cell r="D603">
            <v>404177.81799379527</v>
          </cell>
          <cell r="F603" t="str">
            <v>Industrials</v>
          </cell>
          <cell r="H603" t="str">
            <v>north america</v>
          </cell>
        </row>
        <row r="604">
          <cell r="D604">
            <v>168093.48005329625</v>
          </cell>
          <cell r="F604" t="str">
            <v>Healthcare</v>
          </cell>
          <cell r="H604" t="str">
            <v>north america</v>
          </cell>
        </row>
        <row r="605">
          <cell r="D605">
            <v>284521.40376239544</v>
          </cell>
          <cell r="F605" t="str">
            <v>Healthcare</v>
          </cell>
          <cell r="H605" t="str">
            <v>north america</v>
          </cell>
        </row>
        <row r="606">
          <cell r="D606">
            <v>24975.025641025641</v>
          </cell>
          <cell r="F606" t="str">
            <v>Information Technology</v>
          </cell>
          <cell r="H606" t="str">
            <v>north america</v>
          </cell>
        </row>
        <row r="607">
          <cell r="D607">
            <v>1623999.9995009666</v>
          </cell>
          <cell r="F607" t="str">
            <v>Materials</v>
          </cell>
          <cell r="H607" t="str">
            <v>north america</v>
          </cell>
        </row>
        <row r="608">
          <cell r="D608">
            <v>362748.09428571432</v>
          </cell>
          <cell r="F608" t="str">
            <v>Industrials</v>
          </cell>
          <cell r="H608" t="str">
            <v>north america</v>
          </cell>
        </row>
        <row r="609">
          <cell r="D609">
            <v>758926.29923158488</v>
          </cell>
          <cell r="F609" t="str">
            <v>Consumer Staples</v>
          </cell>
          <cell r="H609" t="str">
            <v>north america</v>
          </cell>
        </row>
        <row r="610">
          <cell r="D610">
            <v>107850.16119441192</v>
          </cell>
          <cell r="F610" t="str">
            <v>Consumer Discretionary</v>
          </cell>
          <cell r="H610" t="str">
            <v>north america</v>
          </cell>
        </row>
        <row r="611">
          <cell r="D611">
            <v>539762.79886498104</v>
          </cell>
          <cell r="F611" t="str">
            <v>Materials</v>
          </cell>
          <cell r="H611" t="str">
            <v>north america</v>
          </cell>
        </row>
        <row r="612">
          <cell r="D612">
            <v>1383027.8168121488</v>
          </cell>
          <cell r="F612" t="str">
            <v>Consumer Staples</v>
          </cell>
          <cell r="H612" t="str">
            <v>north america</v>
          </cell>
        </row>
        <row r="613">
          <cell r="D613">
            <v>538936.13473403372</v>
          </cell>
          <cell r="F613" t="str">
            <v>Industrials</v>
          </cell>
          <cell r="H613" t="str">
            <v>north america</v>
          </cell>
        </row>
        <row r="614">
          <cell r="D614">
            <v>22002.222222222223</v>
          </cell>
          <cell r="F614" t="str">
            <v>Information Technology</v>
          </cell>
          <cell r="H614" t="str">
            <v>north america</v>
          </cell>
        </row>
        <row r="615">
          <cell r="D615">
            <v>225500.77777777778</v>
          </cell>
          <cell r="F615" t="str">
            <v>Information Technology</v>
          </cell>
          <cell r="H615" t="str">
            <v>north america</v>
          </cell>
        </row>
        <row r="616">
          <cell r="D616">
            <v>697046.74903081427</v>
          </cell>
          <cell r="F616" t="str">
            <v>Healthcare</v>
          </cell>
          <cell r="H616" t="str">
            <v>north america</v>
          </cell>
        </row>
        <row r="617">
          <cell r="D617">
            <v>118018.98557692308</v>
          </cell>
          <cell r="F617" t="str">
            <v>Information Technology</v>
          </cell>
          <cell r="H617" t="str">
            <v>north america</v>
          </cell>
        </row>
        <row r="618">
          <cell r="D618">
            <v>68357.089636159129</v>
          </cell>
          <cell r="F618" t="str">
            <v>Information Technology</v>
          </cell>
          <cell r="H618" t="str">
            <v>north america</v>
          </cell>
        </row>
        <row r="619">
          <cell r="D619">
            <v>851817.08410001989</v>
          </cell>
          <cell r="F619" t="str">
            <v>Telecommunications Services</v>
          </cell>
          <cell r="H619" t="str">
            <v>north america</v>
          </cell>
        </row>
        <row r="620">
          <cell r="D620">
            <v>3197332.6190476194</v>
          </cell>
          <cell r="F620" t="str">
            <v>Telecommunications Services</v>
          </cell>
          <cell r="H620" t="str">
            <v>north america</v>
          </cell>
        </row>
        <row r="621">
          <cell r="D621">
            <v>469583.38098850416</v>
          </cell>
          <cell r="F621" t="str">
            <v>Materials</v>
          </cell>
          <cell r="H621" t="str">
            <v>north america</v>
          </cell>
        </row>
        <row r="622">
          <cell r="D622">
            <v>97407.258600310219</v>
          </cell>
          <cell r="F622" t="str">
            <v>Materials</v>
          </cell>
          <cell r="H622" t="str">
            <v>north america</v>
          </cell>
        </row>
        <row r="623">
          <cell r="D623">
            <v>16607.124848484847</v>
          </cell>
          <cell r="F623" t="str">
            <v>Information Technology</v>
          </cell>
          <cell r="H623" t="str">
            <v>north america</v>
          </cell>
        </row>
        <row r="624">
          <cell r="D624">
            <v>14967.34</v>
          </cell>
          <cell r="F624" t="str">
            <v>Information Technology</v>
          </cell>
          <cell r="H624" t="str">
            <v>north america</v>
          </cell>
        </row>
        <row r="625">
          <cell r="D625">
            <v>51029.184526644436</v>
          </cell>
          <cell r="F625" t="str">
            <v>Industrials</v>
          </cell>
          <cell r="H625" t="str">
            <v>western europe</v>
          </cell>
        </row>
        <row r="626">
          <cell r="D626">
            <v>0</v>
          </cell>
          <cell r="F626" t="str">
            <v>Information Technology</v>
          </cell>
          <cell r="H626" t="str">
            <v>western europe</v>
          </cell>
        </row>
        <row r="627">
          <cell r="D627">
            <v>512664.42601440003</v>
          </cell>
          <cell r="F627" t="str">
            <v>Industrials</v>
          </cell>
          <cell r="H627" t="str">
            <v>western europe</v>
          </cell>
        </row>
        <row r="628">
          <cell r="D628">
            <v>2399965.6964168823</v>
          </cell>
          <cell r="F628" t="str">
            <v>Consumer Discretionary</v>
          </cell>
          <cell r="H628" t="str">
            <v>western europe</v>
          </cell>
        </row>
        <row r="629">
          <cell r="D629">
            <v>566346.27189104643</v>
          </cell>
          <cell r="F629" t="str">
            <v>Materials</v>
          </cell>
          <cell r="H629" t="str">
            <v>north america</v>
          </cell>
        </row>
        <row r="630">
          <cell r="D630">
            <v>374444.44444444444</v>
          </cell>
          <cell r="F630" t="str">
            <v>Financial</v>
          </cell>
          <cell r="H630" t="str">
            <v>north america</v>
          </cell>
        </row>
        <row r="631">
          <cell r="D631">
            <v>1402361.1111111112</v>
          </cell>
          <cell r="F631" t="str">
            <v>Consumer Discretionary</v>
          </cell>
          <cell r="H631" t="str">
            <v>north america</v>
          </cell>
        </row>
        <row r="632">
          <cell r="D632">
            <v>607777.77777777775</v>
          </cell>
          <cell r="F632" t="str">
            <v>Information Technology</v>
          </cell>
          <cell r="H632" t="str">
            <v>north america</v>
          </cell>
        </row>
        <row r="633">
          <cell r="D633">
            <v>720635.23963636369</v>
          </cell>
          <cell r="F633" t="str">
            <v>Telecommunications Services</v>
          </cell>
          <cell r="H633" t="str">
            <v>north america</v>
          </cell>
        </row>
        <row r="634">
          <cell r="D634">
            <v>197890.26610909091</v>
          </cell>
          <cell r="F634" t="str">
            <v>Healthcare</v>
          </cell>
          <cell r="H634" t="str">
            <v>north america</v>
          </cell>
        </row>
        <row r="635">
          <cell r="D635">
            <v>30020.178549590313</v>
          </cell>
          <cell r="F635" t="str">
            <v>Healthcare</v>
          </cell>
          <cell r="H635" t="str">
            <v>north america</v>
          </cell>
        </row>
        <row r="636">
          <cell r="D636">
            <v>30000</v>
          </cell>
          <cell r="F636" t="str">
            <v>Healthcare</v>
          </cell>
          <cell r="H636" t="str">
            <v>north america</v>
          </cell>
        </row>
        <row r="637">
          <cell r="D637">
            <v>8789205.2401746716</v>
          </cell>
          <cell r="F637" t="str">
            <v>Industrials</v>
          </cell>
          <cell r="H637" t="str">
            <v>north america</v>
          </cell>
        </row>
        <row r="638">
          <cell r="D638">
            <v>339751.37931034481</v>
          </cell>
          <cell r="F638" t="str">
            <v>Industrials</v>
          </cell>
          <cell r="H638" t="str">
            <v>north america</v>
          </cell>
        </row>
        <row r="639">
          <cell r="D639">
            <v>1.1494252873563218E-2</v>
          </cell>
          <cell r="F639" t="str">
            <v>Consumer Discretionary</v>
          </cell>
          <cell r="H639" t="str">
            <v>north america</v>
          </cell>
        </row>
        <row r="640">
          <cell r="D640">
            <v>1.1494252873563218E-2</v>
          </cell>
          <cell r="F640" t="str">
            <v>Information Technology</v>
          </cell>
          <cell r="H640" t="str">
            <v>north america</v>
          </cell>
        </row>
        <row r="641">
          <cell r="D641">
            <v>220770.4253214639</v>
          </cell>
          <cell r="F641" t="str">
            <v>Telecommunications Services</v>
          </cell>
          <cell r="H641" t="str">
            <v>north america</v>
          </cell>
        </row>
        <row r="642">
          <cell r="D642">
            <v>28983.88684475905</v>
          </cell>
          <cell r="F642" t="str">
            <v>Consumer Discretionary</v>
          </cell>
          <cell r="H642" t="str">
            <v>north america</v>
          </cell>
        </row>
        <row r="643">
          <cell r="D643">
            <v>2060038.0275499194</v>
          </cell>
          <cell r="F643" t="str">
            <v>Consumer Staples</v>
          </cell>
          <cell r="H643" t="str">
            <v>north america</v>
          </cell>
        </row>
        <row r="644">
          <cell r="D644">
            <v>0</v>
          </cell>
          <cell r="F644" t="str">
            <v>Industrials</v>
          </cell>
          <cell r="H644" t="str">
            <v>north america</v>
          </cell>
        </row>
        <row r="645">
          <cell r="D645">
            <v>1209339.3762947838</v>
          </cell>
          <cell r="F645" t="str">
            <v>Consumer Discretionary</v>
          </cell>
          <cell r="H645" t="str">
            <v>north america</v>
          </cell>
        </row>
        <row r="646">
          <cell r="D646">
            <v>935312.97428571433</v>
          </cell>
          <cell r="F646" t="str">
            <v>Consumer Staples</v>
          </cell>
          <cell r="H646" t="str">
            <v>north america</v>
          </cell>
        </row>
        <row r="647">
          <cell r="D647">
            <v>986315.40857142862</v>
          </cell>
          <cell r="F647" t="str">
            <v>Industrials</v>
          </cell>
          <cell r="H647" t="str">
            <v>north america</v>
          </cell>
        </row>
        <row r="648">
          <cell r="D648">
            <v>503190.81086056144</v>
          </cell>
          <cell r="F648" t="str">
            <v>Telecommunications Services</v>
          </cell>
          <cell r="H648" t="str">
            <v>north america</v>
          </cell>
        </row>
        <row r="649">
          <cell r="D649">
            <v>692016.08194206341</v>
          </cell>
          <cell r="F649" t="str">
            <v>Information Technology</v>
          </cell>
          <cell r="H649" t="str">
            <v>north america</v>
          </cell>
        </row>
        <row r="650">
          <cell r="D650">
            <v>836613.95350729965</v>
          </cell>
          <cell r="F650" t="str">
            <v>Healthcare</v>
          </cell>
          <cell r="H650" t="str">
            <v>north america</v>
          </cell>
        </row>
        <row r="651">
          <cell r="D651">
            <v>32163.319506883447</v>
          </cell>
          <cell r="F651" t="str">
            <v>Industrials</v>
          </cell>
          <cell r="H651" t="str">
            <v>north america</v>
          </cell>
        </row>
        <row r="652">
          <cell r="D652">
            <v>176490.3110226905</v>
          </cell>
          <cell r="F652" t="str">
            <v>Consumer Discretionary</v>
          </cell>
          <cell r="H652" t="str">
            <v>north america</v>
          </cell>
        </row>
        <row r="653">
          <cell r="D653">
            <v>74761.255375258363</v>
          </cell>
          <cell r="F653" t="str">
            <v>Industrials</v>
          </cell>
          <cell r="H653" t="str">
            <v>north america</v>
          </cell>
        </row>
        <row r="654">
          <cell r="D654">
            <v>40441.904445130785</v>
          </cell>
          <cell r="F654" t="str">
            <v>Consumer Discretionary</v>
          </cell>
          <cell r="H654" t="str">
            <v>north america</v>
          </cell>
        </row>
        <row r="655">
          <cell r="D655">
            <v>154259.60376134064</v>
          </cell>
          <cell r="F655" t="str">
            <v>Consumer Staples</v>
          </cell>
          <cell r="H655" t="str">
            <v>north america</v>
          </cell>
        </row>
        <row r="656">
          <cell r="D656">
            <v>-385257.39471596957</v>
          </cell>
          <cell r="F656" t="str">
            <v>Financial</v>
          </cell>
          <cell r="H656" t="str">
            <v>north america</v>
          </cell>
        </row>
        <row r="657">
          <cell r="D657">
            <v>1801690.5919626481</v>
          </cell>
          <cell r="F657" t="str">
            <v>Materials</v>
          </cell>
          <cell r="H657" t="str">
            <v>north america</v>
          </cell>
        </row>
        <row r="658">
          <cell r="D658">
            <v>212650.53333333335</v>
          </cell>
          <cell r="F658" t="str">
            <v>Industrials</v>
          </cell>
          <cell r="H658" t="str">
            <v>north america</v>
          </cell>
        </row>
        <row r="659">
          <cell r="D659">
            <v>1594875.9016666666</v>
          </cell>
          <cell r="F659" t="str">
            <v>Financial</v>
          </cell>
          <cell r="H659" t="str">
            <v>north america</v>
          </cell>
        </row>
        <row r="660">
          <cell r="D660">
            <v>467681.30499999999</v>
          </cell>
          <cell r="F660" t="str">
            <v>Information Technology</v>
          </cell>
          <cell r="H660" t="str">
            <v>north america</v>
          </cell>
        </row>
        <row r="661">
          <cell r="D661">
            <v>752308.64278416196</v>
          </cell>
          <cell r="F661" t="str">
            <v>Consumer Discretionary</v>
          </cell>
          <cell r="H661" t="str">
            <v>north america</v>
          </cell>
        </row>
        <row r="662">
          <cell r="D662">
            <v>3598.1645059922662</v>
          </cell>
          <cell r="F662" t="str">
            <v>Information Technology</v>
          </cell>
          <cell r="H662" t="str">
            <v>north america</v>
          </cell>
        </row>
        <row r="663">
          <cell r="D663">
            <v>3238862.3886373425</v>
          </cell>
          <cell r="F663" t="str">
            <v>Financial</v>
          </cell>
          <cell r="H663" t="str">
            <v>north america</v>
          </cell>
        </row>
        <row r="664">
          <cell r="D664">
            <v>1816509.3326544696</v>
          </cell>
          <cell r="F664" t="str">
            <v>Consumer Discretionary</v>
          </cell>
          <cell r="H664" t="str">
            <v>north america</v>
          </cell>
        </row>
        <row r="665">
          <cell r="D665">
            <v>117915.54245464728</v>
          </cell>
          <cell r="F665" t="str">
            <v>Healthcare</v>
          </cell>
          <cell r="H665" t="str">
            <v>north america</v>
          </cell>
        </row>
        <row r="666">
          <cell r="D666">
            <v>286593.54705247103</v>
          </cell>
          <cell r="F666" t="str">
            <v>Industrials</v>
          </cell>
          <cell r="H666" t="str">
            <v>north america</v>
          </cell>
        </row>
        <row r="667">
          <cell r="D667">
            <v>158667.33850216828</v>
          </cell>
          <cell r="F667" t="str">
            <v>Information Technology</v>
          </cell>
          <cell r="H667" t="str">
            <v>north america</v>
          </cell>
        </row>
        <row r="668">
          <cell r="D668">
            <v>42115.497799904442</v>
          </cell>
          <cell r="F668" t="str">
            <v>Healthcare</v>
          </cell>
          <cell r="H668" t="str">
            <v>north america</v>
          </cell>
        </row>
        <row r="669">
          <cell r="D669">
            <v>102361.653511432</v>
          </cell>
          <cell r="F669" t="str">
            <v>Industrials</v>
          </cell>
          <cell r="H669" t="str">
            <v>north america</v>
          </cell>
        </row>
        <row r="670">
          <cell r="D670">
            <v>56670.679763653141</v>
          </cell>
          <cell r="F670" t="str">
            <v>Information Technology</v>
          </cell>
          <cell r="H670" t="str">
            <v>north america</v>
          </cell>
        </row>
        <row r="671">
          <cell r="D671">
            <v>295047.46394230769</v>
          </cell>
          <cell r="F671" t="str">
            <v>Information Technology</v>
          </cell>
          <cell r="H671" t="str">
            <v>north america</v>
          </cell>
        </row>
        <row r="672">
          <cell r="D672">
            <v>70770.40218862769</v>
          </cell>
          <cell r="F672" t="str">
            <v>Information Technology</v>
          </cell>
          <cell r="H672" t="str">
            <v>north america</v>
          </cell>
        </row>
        <row r="673">
          <cell r="D673">
            <v>389906.68856073509</v>
          </cell>
          <cell r="F673" t="str">
            <v>Industrials</v>
          </cell>
          <cell r="H673" t="str">
            <v>north america</v>
          </cell>
        </row>
        <row r="674">
          <cell r="D674">
            <v>101564.5976103321</v>
          </cell>
          <cell r="F674" t="str">
            <v>Information Technology</v>
          </cell>
          <cell r="H674" t="str">
            <v>north america</v>
          </cell>
        </row>
        <row r="675">
          <cell r="D675">
            <v>1028080.7144153044</v>
          </cell>
          <cell r="F675" t="str">
            <v>Consumer Staples</v>
          </cell>
          <cell r="H675" t="str">
            <v>north america</v>
          </cell>
        </row>
        <row r="676">
          <cell r="D676">
            <v>472231.74148809648</v>
          </cell>
          <cell r="F676" t="str">
            <v>Industrials</v>
          </cell>
          <cell r="H676" t="str">
            <v>north america</v>
          </cell>
        </row>
        <row r="677">
          <cell r="D677">
            <v>494520.68516984477</v>
          </cell>
          <cell r="F677" t="str">
            <v>Consumer Discretionary</v>
          </cell>
          <cell r="H677" t="str">
            <v>north america</v>
          </cell>
        </row>
        <row r="678">
          <cell r="D678">
            <v>86666.062223443136</v>
          </cell>
          <cell r="F678" t="str">
            <v>Consumer Discretionary</v>
          </cell>
          <cell r="H678" t="str">
            <v>north america</v>
          </cell>
        </row>
        <row r="679">
          <cell r="D679">
            <v>436604.83359244541</v>
          </cell>
          <cell r="F679" t="str">
            <v>Financial</v>
          </cell>
          <cell r="H679" t="str">
            <v>north america</v>
          </cell>
        </row>
        <row r="680">
          <cell r="D680">
            <v>102580.08740032669</v>
          </cell>
          <cell r="F680" t="str">
            <v>Consumer Discretionary</v>
          </cell>
          <cell r="H680" t="str">
            <v>north america</v>
          </cell>
        </row>
        <row r="681">
          <cell r="D681">
            <v>17977.432500057253</v>
          </cell>
          <cell r="F681" t="str">
            <v>Consumer Discretionary</v>
          </cell>
          <cell r="H681" t="str">
            <v>north america</v>
          </cell>
        </row>
        <row r="682">
          <cell r="D682">
            <v>90566.40770028843</v>
          </cell>
          <cell r="F682" t="str">
            <v>Financial</v>
          </cell>
          <cell r="H682" t="str">
            <v>north america</v>
          </cell>
        </row>
        <row r="683">
          <cell r="D683">
            <v>123888.88888888889</v>
          </cell>
          <cell r="F683" t="str">
            <v>Telecommunications Services</v>
          </cell>
          <cell r="H683" t="str">
            <v>north america</v>
          </cell>
        </row>
        <row r="684">
          <cell r="D684">
            <v>91276.71</v>
          </cell>
          <cell r="F684" t="str">
            <v>Consumer Discretionary</v>
          </cell>
          <cell r="H684" t="str">
            <v>north america</v>
          </cell>
        </row>
        <row r="685">
          <cell r="D685">
            <v>879583.74628344888</v>
          </cell>
          <cell r="F685" t="str">
            <v>Consumer Staples</v>
          </cell>
          <cell r="H685" t="str">
            <v>north america</v>
          </cell>
        </row>
        <row r="686">
          <cell r="D686">
            <v>712800.00007127994</v>
          </cell>
          <cell r="F686" t="str">
            <v>Industrials</v>
          </cell>
          <cell r="H686" t="str">
            <v>north america</v>
          </cell>
        </row>
        <row r="687">
          <cell r="D687">
            <v>170911.12222222224</v>
          </cell>
          <cell r="F687" t="str">
            <v>Industrials</v>
          </cell>
          <cell r="H687" t="str">
            <v>north america</v>
          </cell>
        </row>
        <row r="688">
          <cell r="D688">
            <v>801304.32521127386</v>
          </cell>
          <cell r="F688" t="str">
            <v>Consumer Discretionary</v>
          </cell>
          <cell r="H688" t="str">
            <v>north america</v>
          </cell>
        </row>
        <row r="689">
          <cell r="D689">
            <v>166217.24870052937</v>
          </cell>
          <cell r="F689" t="str">
            <v>Consumer Discretionary</v>
          </cell>
          <cell r="H689" t="str">
            <v>north america</v>
          </cell>
        </row>
        <row r="690">
          <cell r="D690">
            <v>1625534.1303270564</v>
          </cell>
          <cell r="F690" t="str">
            <v>Energy &amp; Utilities</v>
          </cell>
          <cell r="H690" t="str">
            <v>north america</v>
          </cell>
        </row>
        <row r="691">
          <cell r="D691">
            <v>146702.37</v>
          </cell>
          <cell r="F691" t="str">
            <v>Information Technology</v>
          </cell>
          <cell r="H691" t="str">
            <v>north america</v>
          </cell>
        </row>
        <row r="692">
          <cell r="D692">
            <v>32254.200003225418</v>
          </cell>
          <cell r="F692" t="str">
            <v>Information Technology</v>
          </cell>
          <cell r="H692" t="str">
            <v>north america</v>
          </cell>
        </row>
        <row r="693">
          <cell r="D693">
            <v>78818.181818181823</v>
          </cell>
          <cell r="F693" t="str">
            <v>Information Technology</v>
          </cell>
          <cell r="H693" t="str">
            <v>north america</v>
          </cell>
        </row>
        <row r="694">
          <cell r="D694">
            <v>8153.88</v>
          </cell>
          <cell r="F694" t="str">
            <v>Information Technology</v>
          </cell>
          <cell r="H694" t="str">
            <v>north america</v>
          </cell>
        </row>
        <row r="695">
          <cell r="D695">
            <v>38250</v>
          </cell>
          <cell r="F695" t="str">
            <v>Information Technology</v>
          </cell>
          <cell r="H695" t="str">
            <v>north america</v>
          </cell>
        </row>
        <row r="696">
          <cell r="D696">
            <v>7348.77</v>
          </cell>
          <cell r="F696" t="str">
            <v>Information Technology</v>
          </cell>
          <cell r="H696" t="str">
            <v>north america</v>
          </cell>
        </row>
        <row r="697">
          <cell r="D697">
            <v>4.3648363636363641</v>
          </cell>
          <cell r="F697" t="str">
            <v>Consumer Discretionary</v>
          </cell>
          <cell r="H697" t="str">
            <v>north america</v>
          </cell>
        </row>
        <row r="698">
          <cell r="D698">
            <v>1.1494252873563218E-2</v>
          </cell>
          <cell r="F698" t="str">
            <v>Healthcare</v>
          </cell>
          <cell r="H698" t="str">
            <v>north america</v>
          </cell>
        </row>
        <row r="699">
          <cell r="D699">
            <v>63765.633935676953</v>
          </cell>
          <cell r="F699" t="str">
            <v>Healthcare</v>
          </cell>
          <cell r="H699" t="str">
            <v>north america</v>
          </cell>
        </row>
        <row r="700">
          <cell r="D700">
            <v>55457.2</v>
          </cell>
          <cell r="F700" t="str">
            <v>Healthcare</v>
          </cell>
          <cell r="H700" t="str">
            <v>north america</v>
          </cell>
        </row>
        <row r="701">
          <cell r="D701">
            <v>236994.37522851571</v>
          </cell>
          <cell r="F701" t="str">
            <v>Consumer Discretionary</v>
          </cell>
          <cell r="H701" t="str">
            <v>north america</v>
          </cell>
        </row>
        <row r="702">
          <cell r="D702">
            <v>1462505.6095193673</v>
          </cell>
          <cell r="F702" t="str">
            <v>Industrials</v>
          </cell>
          <cell r="H702" t="str">
            <v>north america</v>
          </cell>
        </row>
        <row r="703">
          <cell r="D703">
            <v>10.38024122913095</v>
          </cell>
          <cell r="F703" t="str">
            <v>Consumer Discretionary</v>
          </cell>
          <cell r="H703" t="str">
            <v>north america</v>
          </cell>
        </row>
        <row r="704">
          <cell r="D704">
            <v>751695.57655709854</v>
          </cell>
          <cell r="F704" t="str">
            <v>Industrials</v>
          </cell>
          <cell r="H704" t="str">
            <v>north america</v>
          </cell>
        </row>
        <row r="705">
          <cell r="D705">
            <v>453757.560685882</v>
          </cell>
          <cell r="F705" t="str">
            <v>Consumer Discretionary</v>
          </cell>
          <cell r="H705" t="str">
            <v>north america</v>
          </cell>
        </row>
        <row r="706">
          <cell r="D706">
            <v>44365.303746644175</v>
          </cell>
          <cell r="F706" t="str">
            <v>Consumer Discretionary</v>
          </cell>
          <cell r="H706" t="str">
            <v>north america</v>
          </cell>
        </row>
        <row r="707">
          <cell r="D707">
            <v>97859.162647868434</v>
          </cell>
          <cell r="F707" t="str">
            <v>Materials</v>
          </cell>
          <cell r="H707" t="str">
            <v>north america</v>
          </cell>
        </row>
        <row r="708">
          <cell r="D708">
            <v>162841.0252495048</v>
          </cell>
          <cell r="F708" t="str">
            <v>Materials</v>
          </cell>
          <cell r="H708" t="str">
            <v>north america</v>
          </cell>
        </row>
        <row r="709">
          <cell r="D709">
            <v>990495.24762381194</v>
          </cell>
          <cell r="F709" t="str">
            <v>Materials</v>
          </cell>
          <cell r="H709" t="str">
            <v>north america</v>
          </cell>
        </row>
        <row r="710">
          <cell r="D710">
            <v>941261.1</v>
          </cell>
          <cell r="F710" t="str">
            <v>Telecommunications Services</v>
          </cell>
          <cell r="H710" t="str">
            <v>north america</v>
          </cell>
        </row>
        <row r="711">
          <cell r="D711">
            <v>415563.6</v>
          </cell>
          <cell r="F711" t="str">
            <v>Healthcare</v>
          </cell>
          <cell r="H711" t="str">
            <v>north america</v>
          </cell>
        </row>
        <row r="712">
          <cell r="D712">
            <v>195335.33573890783</v>
          </cell>
          <cell r="F712" t="str">
            <v>Information Technology</v>
          </cell>
          <cell r="H712" t="str">
            <v>north america</v>
          </cell>
        </row>
        <row r="713">
          <cell r="D713">
            <v>1626048.7636539913</v>
          </cell>
          <cell r="F713" t="str">
            <v>Healthcare</v>
          </cell>
          <cell r="H713" t="str">
            <v>north america</v>
          </cell>
        </row>
        <row r="714">
          <cell r="D714">
            <v>1204687.1241203679</v>
          </cell>
          <cell r="F714" t="str">
            <v>Industrials</v>
          </cell>
          <cell r="H714" t="str">
            <v>north america</v>
          </cell>
        </row>
        <row r="715">
          <cell r="D715">
            <v>178027.55146736748</v>
          </cell>
          <cell r="F715" t="str">
            <v>Consumer Discretionary</v>
          </cell>
          <cell r="H715" t="str">
            <v>carribean</v>
          </cell>
        </row>
        <row r="716">
          <cell r="D716">
            <v>663486.53236363642</v>
          </cell>
          <cell r="F716" t="str">
            <v>Information Technology</v>
          </cell>
          <cell r="H716" t="str">
            <v>north america</v>
          </cell>
        </row>
        <row r="717">
          <cell r="D717">
            <v>636231.6381427052</v>
          </cell>
          <cell r="F717" t="str">
            <v>Materials</v>
          </cell>
          <cell r="H717" t="str">
            <v>north america</v>
          </cell>
        </row>
        <row r="718">
          <cell r="D718">
            <v>174791.26416112209</v>
          </cell>
          <cell r="F718" t="str">
            <v>Materials</v>
          </cell>
          <cell r="H718" t="str">
            <v>north america</v>
          </cell>
        </row>
        <row r="719">
          <cell r="D719">
            <v>83124.999376208289</v>
          </cell>
          <cell r="F719" t="str">
            <v>Telecommunications Services</v>
          </cell>
          <cell r="H719" t="str">
            <v>north america</v>
          </cell>
        </row>
        <row r="720">
          <cell r="D720">
            <v>30506.195785212778</v>
          </cell>
          <cell r="F720" t="str">
            <v>Consumer Staples</v>
          </cell>
          <cell r="H720" t="str">
            <v>north america</v>
          </cell>
        </row>
        <row r="721">
          <cell r="D721">
            <v>34678.160490436334</v>
          </cell>
          <cell r="F721" t="str">
            <v>Materials</v>
          </cell>
          <cell r="H721" t="str">
            <v>north america</v>
          </cell>
        </row>
        <row r="722">
          <cell r="D722">
            <v>747713.87207395257</v>
          </cell>
          <cell r="F722" t="str">
            <v>Industrials</v>
          </cell>
          <cell r="H722" t="str">
            <v>north america</v>
          </cell>
        </row>
        <row r="723">
          <cell r="D723">
            <v>223211.41200438386</v>
          </cell>
          <cell r="F723" t="str">
            <v>Materials</v>
          </cell>
          <cell r="H723" t="str">
            <v>other</v>
          </cell>
        </row>
        <row r="724">
          <cell r="D724">
            <v>106877.65281929199</v>
          </cell>
          <cell r="F724" t="str">
            <v>Materials</v>
          </cell>
          <cell r="H724" t="str">
            <v>other</v>
          </cell>
        </row>
        <row r="725">
          <cell r="D725">
            <v>325707.98010266176</v>
          </cell>
          <cell r="F725" t="str">
            <v>Consumer Discretionary</v>
          </cell>
          <cell r="H725" t="str">
            <v>western europe</v>
          </cell>
        </row>
        <row r="726">
          <cell r="D726">
            <v>200876.78996666137</v>
          </cell>
          <cell r="F726" t="str">
            <v>Consumer Staples</v>
          </cell>
          <cell r="H726" t="str">
            <v>western europe</v>
          </cell>
        </row>
        <row r="727">
          <cell r="D727">
            <v>180304.47690109542</v>
          </cell>
          <cell r="F727" t="str">
            <v>Consumer Discretionary</v>
          </cell>
          <cell r="H727" t="str">
            <v>western europe</v>
          </cell>
        </row>
        <row r="728">
          <cell r="D728">
            <v>435836.28089114674</v>
          </cell>
          <cell r="F728" t="str">
            <v>Energy &amp; Utilities</v>
          </cell>
          <cell r="H728" t="str">
            <v>western europe</v>
          </cell>
        </row>
        <row r="729">
          <cell r="D729">
            <v>252764.6</v>
          </cell>
          <cell r="F729" t="str">
            <v>Consumer Staples</v>
          </cell>
          <cell r="H729" t="str">
            <v>western europe</v>
          </cell>
        </row>
        <row r="730">
          <cell r="D730">
            <v>548834.2086956522</v>
          </cell>
          <cell r="F730" t="str">
            <v>Energy &amp; Utilities</v>
          </cell>
          <cell r="H730" t="str">
            <v>western europe</v>
          </cell>
        </row>
        <row r="731">
          <cell r="D731">
            <v>585211.6826086957</v>
          </cell>
          <cell r="F731" t="str">
            <v>Materials</v>
          </cell>
          <cell r="H731" t="str">
            <v>western europe</v>
          </cell>
        </row>
        <row r="732">
          <cell r="D732">
            <v>13180.777777777777</v>
          </cell>
          <cell r="F732" t="str">
            <v>Industrials</v>
          </cell>
          <cell r="H732" t="str">
            <v>western europe</v>
          </cell>
        </row>
        <row r="733">
          <cell r="D733">
            <v>2977363.0158730159</v>
          </cell>
          <cell r="F733" t="str">
            <v>Healthcare</v>
          </cell>
          <cell r="H733" t="str">
            <v>western europe</v>
          </cell>
        </row>
        <row r="734">
          <cell r="D734">
            <v>1005810.3369696969</v>
          </cell>
          <cell r="F734" t="str">
            <v>Consumer Discretionary</v>
          </cell>
          <cell r="H734" t="str">
            <v>western europe</v>
          </cell>
        </row>
        <row r="735">
          <cell r="D735">
            <v>463445.60862160003</v>
          </cell>
          <cell r="F735" t="str">
            <v>Healthcare</v>
          </cell>
          <cell r="H735" t="str">
            <v>western europe</v>
          </cell>
        </row>
        <row r="736">
          <cell r="D736">
            <v>1020844.4298272</v>
          </cell>
          <cell r="F736" t="str">
            <v>Consumer Discretionary</v>
          </cell>
          <cell r="H736" t="str">
            <v>western europe</v>
          </cell>
        </row>
        <row r="737">
          <cell r="D737">
            <v>486557.58907360001</v>
          </cell>
          <cell r="F737" t="str">
            <v>Industrials</v>
          </cell>
          <cell r="H737" t="str">
            <v>western europe</v>
          </cell>
        </row>
        <row r="738">
          <cell r="D738">
            <v>670110.63127360004</v>
          </cell>
          <cell r="F738" t="str">
            <v>Consumer Discretionary</v>
          </cell>
          <cell r="H738" t="str">
            <v>western europe</v>
          </cell>
        </row>
        <row r="739">
          <cell r="D739">
            <v>447045.6374296</v>
          </cell>
          <cell r="F739" t="str">
            <v>Information Technology</v>
          </cell>
          <cell r="H739" t="str">
            <v>western europe</v>
          </cell>
        </row>
        <row r="740">
          <cell r="D740">
            <v>1304685.9227776001</v>
          </cell>
          <cell r="F740" t="str">
            <v>Materials</v>
          </cell>
          <cell r="H740" t="str">
            <v>western europe</v>
          </cell>
        </row>
        <row r="741">
          <cell r="D741">
            <v>94956.059246896781</v>
          </cell>
          <cell r="F741" t="str">
            <v>Consumer Staples</v>
          </cell>
          <cell r="H741" t="str">
            <v>western europe</v>
          </cell>
        </row>
        <row r="742">
          <cell r="D742">
            <v>58357.768900185853</v>
          </cell>
          <cell r="F742" t="str">
            <v>Consumer Discretionary</v>
          </cell>
          <cell r="H742" t="str">
            <v>other</v>
          </cell>
        </row>
        <row r="743">
          <cell r="D743">
            <v>118484.84848484849</v>
          </cell>
          <cell r="F743" t="str">
            <v>Industrials</v>
          </cell>
          <cell r="H743" t="str">
            <v>north america</v>
          </cell>
        </row>
        <row r="744">
          <cell r="D744">
            <v>57500</v>
          </cell>
          <cell r="F744" t="str">
            <v>Industrials</v>
          </cell>
          <cell r="H744" t="str">
            <v>north america</v>
          </cell>
        </row>
        <row r="745">
          <cell r="D745">
            <v>712978.98640296666</v>
          </cell>
          <cell r="F745" t="str">
            <v>Industrials</v>
          </cell>
          <cell r="H745" t="str">
            <v>north america</v>
          </cell>
        </row>
        <row r="746">
          <cell r="D746">
            <v>21679.560084078632</v>
          </cell>
          <cell r="F746" t="str">
            <v>Healthcare</v>
          </cell>
          <cell r="H746" t="str">
            <v>north america</v>
          </cell>
        </row>
        <row r="747">
          <cell r="D747">
            <v>1456332.1286281738</v>
          </cell>
          <cell r="F747" t="str">
            <v>Healthcare</v>
          </cell>
          <cell r="H747" t="str">
            <v>north america</v>
          </cell>
        </row>
        <row r="748">
          <cell r="D748">
            <v>1530827.1001530827</v>
          </cell>
          <cell r="F748" t="str">
            <v>Healthcare</v>
          </cell>
          <cell r="H748" t="str">
            <v>north america</v>
          </cell>
        </row>
        <row r="749">
          <cell r="D749">
            <v>808657.10797796876</v>
          </cell>
          <cell r="F749" t="str">
            <v>Healthcare</v>
          </cell>
          <cell r="H749" t="str">
            <v>north america</v>
          </cell>
        </row>
        <row r="750">
          <cell r="D750">
            <v>801758.62068965519</v>
          </cell>
          <cell r="F750" t="str">
            <v>Healthcare</v>
          </cell>
          <cell r="H750" t="str">
            <v>north america</v>
          </cell>
        </row>
        <row r="751">
          <cell r="D751">
            <v>697470.4444444445</v>
          </cell>
          <cell r="F751" t="str">
            <v>Healthcare</v>
          </cell>
          <cell r="H751" t="str">
            <v>north america</v>
          </cell>
        </row>
        <row r="752">
          <cell r="D752">
            <v>470175.58005926583</v>
          </cell>
          <cell r="F752" t="str">
            <v>Healthcare</v>
          </cell>
          <cell r="H752" t="str">
            <v>north america</v>
          </cell>
        </row>
        <row r="753">
          <cell r="D753">
            <v>2210231.3828036138</v>
          </cell>
          <cell r="F753" t="str">
            <v>Healthcare</v>
          </cell>
          <cell r="H753" t="str">
            <v>north america</v>
          </cell>
        </row>
        <row r="754">
          <cell r="D754">
            <v>366944.44444444444</v>
          </cell>
          <cell r="F754" t="str">
            <v>Materials</v>
          </cell>
          <cell r="H754" t="str">
            <v>north america</v>
          </cell>
        </row>
        <row r="755">
          <cell r="D755">
            <v>437777.77777777781</v>
          </cell>
          <cell r="F755" t="str">
            <v>Consumer Discretionary</v>
          </cell>
          <cell r="H755" t="str">
            <v>north america</v>
          </cell>
        </row>
        <row r="756">
          <cell r="D756">
            <v>590083.76484848489</v>
          </cell>
          <cell r="F756" t="str">
            <v>Financial</v>
          </cell>
          <cell r="H756" t="str">
            <v>north america</v>
          </cell>
        </row>
        <row r="757">
          <cell r="D757">
            <v>0</v>
          </cell>
          <cell r="F757" t="str">
            <v>Telecommunications Services</v>
          </cell>
          <cell r="H757" t="str">
            <v>north america</v>
          </cell>
        </row>
        <row r="758">
          <cell r="D758">
            <v>104854.9490909091</v>
          </cell>
          <cell r="F758" t="str">
            <v>Telecommunications Services</v>
          </cell>
          <cell r="H758" t="str">
            <v>north america</v>
          </cell>
        </row>
        <row r="759">
          <cell r="D759">
            <v>0</v>
          </cell>
          <cell r="F759" t="str">
            <v>Information Technology</v>
          </cell>
          <cell r="H759" t="str">
            <v>north america</v>
          </cell>
        </row>
        <row r="760">
          <cell r="D760">
            <v>49292.47878787879</v>
          </cell>
          <cell r="F760" t="str">
            <v>Information Technology</v>
          </cell>
          <cell r="H760" t="str">
            <v>north america</v>
          </cell>
        </row>
        <row r="761">
          <cell r="D761">
            <v>212601.54666666666</v>
          </cell>
          <cell r="F761" t="str">
            <v>Information Technology</v>
          </cell>
          <cell r="H761" t="str">
            <v>north america</v>
          </cell>
        </row>
        <row r="762">
          <cell r="D762">
            <v>0</v>
          </cell>
          <cell r="F762" t="str">
            <v>Information Technology</v>
          </cell>
          <cell r="H762" t="str">
            <v>north america</v>
          </cell>
        </row>
        <row r="763">
          <cell r="D763">
            <v>16879.70181818182</v>
          </cell>
          <cell r="F763" t="str">
            <v>Information Technology</v>
          </cell>
          <cell r="H763" t="str">
            <v>north america</v>
          </cell>
        </row>
        <row r="764">
          <cell r="D764">
            <v>57152.248484848489</v>
          </cell>
          <cell r="F764" t="str">
            <v>Information Technology</v>
          </cell>
          <cell r="H764" t="str">
            <v>north america</v>
          </cell>
        </row>
        <row r="765">
          <cell r="D765">
            <v>143556.86060606063</v>
          </cell>
          <cell r="F765" t="str">
            <v>Information Technology</v>
          </cell>
          <cell r="H765" t="str">
            <v>north america</v>
          </cell>
        </row>
        <row r="766">
          <cell r="D766">
            <v>454439.87878787878</v>
          </cell>
          <cell r="F766" t="str">
            <v>Information Technology</v>
          </cell>
          <cell r="H766" t="str">
            <v>north america</v>
          </cell>
        </row>
        <row r="767">
          <cell r="D767">
            <v>109870.54666666668</v>
          </cell>
          <cell r="F767" t="str">
            <v>Information Technology</v>
          </cell>
          <cell r="H767" t="str">
            <v>north america</v>
          </cell>
        </row>
        <row r="768">
          <cell r="D768">
            <v>0</v>
          </cell>
          <cell r="F768" t="str">
            <v>Industrials</v>
          </cell>
          <cell r="H768" t="str">
            <v>north america</v>
          </cell>
        </row>
        <row r="769">
          <cell r="D769">
            <v>201685.15636363637</v>
          </cell>
          <cell r="F769" t="str">
            <v>Telecommunications Services</v>
          </cell>
          <cell r="H769" t="str">
            <v>north america</v>
          </cell>
        </row>
        <row r="770">
          <cell r="D770">
            <v>231101.89454545456</v>
          </cell>
          <cell r="F770" t="str">
            <v>Industrials</v>
          </cell>
          <cell r="H770" t="str">
            <v>north america</v>
          </cell>
        </row>
        <row r="771">
          <cell r="D771">
            <v>0</v>
          </cell>
          <cell r="F771" t="str">
            <v>Information Technology</v>
          </cell>
          <cell r="H771" t="str">
            <v>north america</v>
          </cell>
        </row>
        <row r="772">
          <cell r="D772">
            <v>105542.0787878788</v>
          </cell>
          <cell r="F772" t="str">
            <v>Information Technology</v>
          </cell>
          <cell r="H772" t="str">
            <v>north america</v>
          </cell>
        </row>
        <row r="773">
          <cell r="D773">
            <v>185710.57575757577</v>
          </cell>
          <cell r="F773" t="str">
            <v>Information Technology</v>
          </cell>
          <cell r="H773" t="str">
            <v>north america</v>
          </cell>
        </row>
        <row r="774">
          <cell r="D774">
            <v>179208.64242424243</v>
          </cell>
          <cell r="F774" t="str">
            <v>Information Technology</v>
          </cell>
          <cell r="H774" t="str">
            <v>north america</v>
          </cell>
        </row>
        <row r="775">
          <cell r="D775">
            <v>73873.592727272728</v>
          </cell>
          <cell r="F775" t="str">
            <v>Information Technology</v>
          </cell>
          <cell r="H775" t="str">
            <v>north america</v>
          </cell>
        </row>
        <row r="776">
          <cell r="D776">
            <v>199218.79636363639</v>
          </cell>
          <cell r="F776" t="str">
            <v>Information Technology</v>
          </cell>
          <cell r="H776" t="str">
            <v>north america</v>
          </cell>
        </row>
        <row r="777">
          <cell r="D777">
            <v>53163.636363636368</v>
          </cell>
          <cell r="F777" t="str">
            <v>Information Technology</v>
          </cell>
          <cell r="H777" t="str">
            <v>north america</v>
          </cell>
        </row>
        <row r="778">
          <cell r="D778">
            <v>113563.11151515153</v>
          </cell>
          <cell r="F778" t="str">
            <v>Information Technology</v>
          </cell>
          <cell r="H778" t="str">
            <v>north america</v>
          </cell>
        </row>
        <row r="779">
          <cell r="D779">
            <v>184369.26545454547</v>
          </cell>
          <cell r="F779" t="str">
            <v>Information Technology</v>
          </cell>
          <cell r="H779" t="str">
            <v>north america</v>
          </cell>
        </row>
        <row r="780">
          <cell r="D780">
            <v>872610.84484848485</v>
          </cell>
          <cell r="F780" t="str">
            <v>Information Technology</v>
          </cell>
          <cell r="H780" t="str">
            <v>north america</v>
          </cell>
        </row>
        <row r="781">
          <cell r="D781">
            <v>23259.709090909091</v>
          </cell>
          <cell r="F781" t="str">
            <v>Information Technology</v>
          </cell>
          <cell r="H781" t="str">
            <v>north america</v>
          </cell>
        </row>
        <row r="782">
          <cell r="D782">
            <v>0</v>
          </cell>
          <cell r="F782" t="str">
            <v>Industrials</v>
          </cell>
          <cell r="H782" t="str">
            <v>north america</v>
          </cell>
        </row>
        <row r="783">
          <cell r="D783">
            <v>235682.37454545454</v>
          </cell>
          <cell r="F783" t="str">
            <v>Industrials</v>
          </cell>
          <cell r="H783" t="str">
            <v>north america</v>
          </cell>
        </row>
        <row r="784">
          <cell r="D784">
            <v>37106.44606060606</v>
          </cell>
          <cell r="F784" t="str">
            <v>Information Technology</v>
          </cell>
          <cell r="H784" t="str">
            <v>north america</v>
          </cell>
        </row>
        <row r="785">
          <cell r="D785">
            <v>27045.454545454548</v>
          </cell>
          <cell r="F785" t="str">
            <v>Information Technology</v>
          </cell>
          <cell r="H785" t="str">
            <v>north america</v>
          </cell>
        </row>
        <row r="786">
          <cell r="D786">
            <v>0</v>
          </cell>
          <cell r="F786" t="str">
            <v>Information Technology</v>
          </cell>
          <cell r="H786" t="str">
            <v>north america</v>
          </cell>
        </row>
        <row r="787">
          <cell r="D787">
            <v>74103.412121212124</v>
          </cell>
          <cell r="F787" t="str">
            <v>Information Technology</v>
          </cell>
          <cell r="H787" t="str">
            <v>north america</v>
          </cell>
        </row>
        <row r="788">
          <cell r="D788">
            <v>5570.0036363636364</v>
          </cell>
          <cell r="F788" t="str">
            <v>Information Technology</v>
          </cell>
          <cell r="H788" t="str">
            <v>north america</v>
          </cell>
        </row>
        <row r="789">
          <cell r="D789">
            <v>24727.272727272728</v>
          </cell>
          <cell r="F789" t="str">
            <v>Financial</v>
          </cell>
          <cell r="H789" t="str">
            <v>north america</v>
          </cell>
        </row>
        <row r="790">
          <cell r="D790">
            <v>0</v>
          </cell>
          <cell r="F790" t="str">
            <v>Industrials</v>
          </cell>
          <cell r="H790" t="str">
            <v>north america</v>
          </cell>
        </row>
        <row r="791">
          <cell r="D791">
            <v>138424.75636363638</v>
          </cell>
          <cell r="F791" t="str">
            <v>Information Technology</v>
          </cell>
          <cell r="H791" t="str">
            <v>north america</v>
          </cell>
        </row>
        <row r="792">
          <cell r="D792">
            <v>13858.997575757576</v>
          </cell>
          <cell r="F792" t="str">
            <v>Financial</v>
          </cell>
          <cell r="H792" t="str">
            <v>north america</v>
          </cell>
        </row>
        <row r="793">
          <cell r="D793">
            <v>36718.269090909089</v>
          </cell>
          <cell r="F793" t="str">
            <v>Information Technology</v>
          </cell>
          <cell r="H793" t="str">
            <v>north america</v>
          </cell>
        </row>
        <row r="794">
          <cell r="D794">
            <v>82424.242424242431</v>
          </cell>
          <cell r="F794" t="str">
            <v>Materials</v>
          </cell>
          <cell r="H794" t="str">
            <v>north america</v>
          </cell>
        </row>
        <row r="795">
          <cell r="D795">
            <v>899394.10787878791</v>
          </cell>
          <cell r="F795" t="str">
            <v>Information Technology</v>
          </cell>
          <cell r="H795" t="str">
            <v>north america</v>
          </cell>
        </row>
        <row r="796">
          <cell r="D796">
            <v>15068.181818181818</v>
          </cell>
          <cell r="F796" t="str">
            <v>Financial</v>
          </cell>
          <cell r="H796" t="str">
            <v>north america</v>
          </cell>
        </row>
        <row r="797">
          <cell r="D797">
            <v>173772.59878787879</v>
          </cell>
          <cell r="F797" t="str">
            <v>Information Technology</v>
          </cell>
          <cell r="H797" t="str">
            <v>north america</v>
          </cell>
        </row>
        <row r="798">
          <cell r="D798">
            <v>128787.8787878788</v>
          </cell>
          <cell r="F798" t="str">
            <v>Information Technology</v>
          </cell>
          <cell r="H798" t="str">
            <v>north america</v>
          </cell>
        </row>
        <row r="799">
          <cell r="D799">
            <v>25787.70181818182</v>
          </cell>
          <cell r="F799" t="str">
            <v>Information Technology</v>
          </cell>
          <cell r="H799" t="str">
            <v>north america</v>
          </cell>
        </row>
        <row r="800">
          <cell r="D800">
            <v>370304.96242424246</v>
          </cell>
          <cell r="F800" t="str">
            <v>Information Technology</v>
          </cell>
          <cell r="H800" t="str">
            <v>north america</v>
          </cell>
        </row>
        <row r="801">
          <cell r="D801">
            <v>0</v>
          </cell>
          <cell r="F801" t="str">
            <v>Materials</v>
          </cell>
          <cell r="H801" t="str">
            <v>north america</v>
          </cell>
        </row>
        <row r="802">
          <cell r="D802">
            <v>89945.454545454544</v>
          </cell>
          <cell r="F802" t="str">
            <v>Information Technology</v>
          </cell>
          <cell r="H802" t="str">
            <v>north america</v>
          </cell>
        </row>
        <row r="803">
          <cell r="D803">
            <v>3695.9236363636364</v>
          </cell>
          <cell r="F803" t="str">
            <v>Information Technology</v>
          </cell>
          <cell r="H803" t="str">
            <v>north america</v>
          </cell>
        </row>
        <row r="804">
          <cell r="D804">
            <v>0</v>
          </cell>
          <cell r="F804" t="str">
            <v>Financial</v>
          </cell>
          <cell r="H804" t="str">
            <v>north america</v>
          </cell>
        </row>
        <row r="805">
          <cell r="D805">
            <v>50885.49</v>
          </cell>
          <cell r="F805" t="str">
            <v>Telecommunications Services</v>
          </cell>
          <cell r="H805" t="str">
            <v>north america</v>
          </cell>
        </row>
        <row r="806">
          <cell r="D806">
            <v>44425.3</v>
          </cell>
          <cell r="F806" t="str">
            <v>Information Technology</v>
          </cell>
          <cell r="H806" t="str">
            <v>north america</v>
          </cell>
        </row>
        <row r="807">
          <cell r="D807">
            <v>84312.26</v>
          </cell>
          <cell r="F807" t="str">
            <v>Information Technology</v>
          </cell>
          <cell r="H807" t="str">
            <v>north america</v>
          </cell>
        </row>
        <row r="808">
          <cell r="D808">
            <v>7500</v>
          </cell>
          <cell r="F808" t="str">
            <v>Information Technology</v>
          </cell>
          <cell r="H808" t="str">
            <v>north america</v>
          </cell>
        </row>
        <row r="809">
          <cell r="D809">
            <v>39131.870000000003</v>
          </cell>
          <cell r="F809" t="str">
            <v>Information Technology</v>
          </cell>
          <cell r="H809" t="str">
            <v>north america</v>
          </cell>
        </row>
        <row r="810">
          <cell r="D810">
            <v>2750</v>
          </cell>
          <cell r="F810" t="str">
            <v>Information Technology</v>
          </cell>
          <cell r="H810" t="str">
            <v>north america</v>
          </cell>
        </row>
        <row r="811">
          <cell r="D811">
            <v>207333.33</v>
          </cell>
          <cell r="F811" t="str">
            <v>Information Technology</v>
          </cell>
          <cell r="H811" t="str">
            <v>north america</v>
          </cell>
        </row>
        <row r="812">
          <cell r="D812">
            <v>5217.91</v>
          </cell>
          <cell r="F812" t="str">
            <v>Information Technology</v>
          </cell>
          <cell r="H812" t="str">
            <v>north america</v>
          </cell>
        </row>
        <row r="813">
          <cell r="D813">
            <v>0</v>
          </cell>
          <cell r="F813" t="str">
            <v>Information Technology</v>
          </cell>
          <cell r="H813" t="str">
            <v>north america</v>
          </cell>
        </row>
        <row r="814">
          <cell r="D814">
            <v>62500</v>
          </cell>
          <cell r="F814" t="str">
            <v>Information Technology</v>
          </cell>
          <cell r="H814" t="str">
            <v>north america</v>
          </cell>
        </row>
        <row r="815">
          <cell r="D815">
            <v>51509.05</v>
          </cell>
          <cell r="F815" t="str">
            <v>Information Technology</v>
          </cell>
          <cell r="H815" t="str">
            <v>north america</v>
          </cell>
        </row>
        <row r="816">
          <cell r="D816">
            <v>129382.15</v>
          </cell>
          <cell r="F816" t="str">
            <v>Information Technology</v>
          </cell>
          <cell r="H816" t="str">
            <v>north america</v>
          </cell>
        </row>
        <row r="817">
          <cell r="D817">
            <v>2500</v>
          </cell>
          <cell r="F817" t="str">
            <v>Information Technology</v>
          </cell>
          <cell r="H817" t="str">
            <v>north america</v>
          </cell>
        </row>
        <row r="818">
          <cell r="D818">
            <v>53319.54</v>
          </cell>
          <cell r="F818" t="str">
            <v>Information Technology</v>
          </cell>
          <cell r="H818" t="str">
            <v>north america</v>
          </cell>
        </row>
        <row r="819">
          <cell r="D819">
            <v>0</v>
          </cell>
          <cell r="F819" t="str">
            <v>Industrials</v>
          </cell>
          <cell r="H819" t="str">
            <v>north america</v>
          </cell>
        </row>
        <row r="820">
          <cell r="D820">
            <v>2800</v>
          </cell>
          <cell r="F820" t="str">
            <v>Information Technology</v>
          </cell>
          <cell r="H820" t="str">
            <v>north america</v>
          </cell>
        </row>
        <row r="821">
          <cell r="D821">
            <v>46873.73</v>
          </cell>
          <cell r="F821" t="str">
            <v>Financial</v>
          </cell>
          <cell r="H821" t="str">
            <v>north america</v>
          </cell>
        </row>
        <row r="822">
          <cell r="D822">
            <v>35694.93</v>
          </cell>
          <cell r="F822" t="str">
            <v>Information Technology</v>
          </cell>
          <cell r="H822" t="str">
            <v>north america</v>
          </cell>
        </row>
        <row r="823">
          <cell r="D823">
            <v>60000</v>
          </cell>
          <cell r="F823" t="str">
            <v>Healthcare</v>
          </cell>
          <cell r="H823" t="str">
            <v>north america</v>
          </cell>
        </row>
        <row r="824">
          <cell r="D824">
            <v>33750.03</v>
          </cell>
          <cell r="F824" t="str">
            <v>Healthcare</v>
          </cell>
          <cell r="H824" t="str">
            <v>north america</v>
          </cell>
        </row>
        <row r="825">
          <cell r="D825">
            <v>51218.93</v>
          </cell>
          <cell r="F825" t="str">
            <v>Information Technology</v>
          </cell>
          <cell r="H825" t="str">
            <v>north america</v>
          </cell>
        </row>
        <row r="826">
          <cell r="D826">
            <v>66579.33</v>
          </cell>
          <cell r="F826" t="str">
            <v>Information Technology</v>
          </cell>
          <cell r="H826" t="str">
            <v>north america</v>
          </cell>
        </row>
        <row r="827">
          <cell r="D827">
            <v>29000</v>
          </cell>
          <cell r="F827" t="str">
            <v>Information Technology</v>
          </cell>
          <cell r="H827" t="str">
            <v>north america</v>
          </cell>
        </row>
        <row r="828">
          <cell r="D828">
            <v>25800</v>
          </cell>
          <cell r="F828" t="str">
            <v>Information Technology</v>
          </cell>
          <cell r="H828" t="str">
            <v>north america</v>
          </cell>
        </row>
        <row r="829">
          <cell r="D829">
            <v>72999.990000000005</v>
          </cell>
          <cell r="F829" t="str">
            <v>Consumer Discretionary</v>
          </cell>
          <cell r="H829" t="str">
            <v>north america</v>
          </cell>
        </row>
        <row r="830">
          <cell r="D830">
            <v>20966.63</v>
          </cell>
          <cell r="F830" t="str">
            <v>Information Technology</v>
          </cell>
          <cell r="H830" t="str">
            <v>north america</v>
          </cell>
        </row>
        <row r="831">
          <cell r="D831">
            <v>0</v>
          </cell>
          <cell r="F831" t="str">
            <v>Industrials</v>
          </cell>
          <cell r="H831" t="str">
            <v>north america</v>
          </cell>
        </row>
        <row r="832">
          <cell r="D832">
            <v>190625.45</v>
          </cell>
          <cell r="F832" t="str">
            <v>Industrials</v>
          </cell>
          <cell r="H832" t="str">
            <v>north america</v>
          </cell>
        </row>
        <row r="833">
          <cell r="D833">
            <v>18007.53</v>
          </cell>
          <cell r="F833" t="str">
            <v>Information Technology</v>
          </cell>
          <cell r="H833" t="str">
            <v>north america</v>
          </cell>
        </row>
        <row r="834">
          <cell r="D834">
            <v>70000</v>
          </cell>
          <cell r="F834" t="str">
            <v>Financial</v>
          </cell>
          <cell r="H834" t="str">
            <v>north america</v>
          </cell>
        </row>
        <row r="835">
          <cell r="D835">
            <v>24375</v>
          </cell>
          <cell r="F835" t="str">
            <v>Information Technology</v>
          </cell>
          <cell r="H835" t="str">
            <v>north america</v>
          </cell>
        </row>
        <row r="836">
          <cell r="D836">
            <v>35961.949999999997</v>
          </cell>
          <cell r="F836" t="str">
            <v>Information Technology</v>
          </cell>
          <cell r="H836" t="str">
            <v>north america</v>
          </cell>
        </row>
        <row r="837">
          <cell r="D837">
            <v>67678.11</v>
          </cell>
          <cell r="F837" t="str">
            <v>Information Technology</v>
          </cell>
          <cell r="H837" t="str">
            <v>north america</v>
          </cell>
        </row>
        <row r="838">
          <cell r="D838">
            <v>0</v>
          </cell>
          <cell r="F838" t="str">
            <v>Information Technology</v>
          </cell>
          <cell r="H838" t="str">
            <v>north america</v>
          </cell>
        </row>
        <row r="839">
          <cell r="D839">
            <v>25000</v>
          </cell>
          <cell r="F839" t="str">
            <v>Information Technology</v>
          </cell>
          <cell r="H839" t="str">
            <v>north america</v>
          </cell>
        </row>
        <row r="840">
          <cell r="D840">
            <v>2703.09</v>
          </cell>
          <cell r="F840" t="str">
            <v>Information Technology</v>
          </cell>
          <cell r="H840" t="str">
            <v>north america</v>
          </cell>
        </row>
        <row r="841">
          <cell r="D841">
            <v>33750</v>
          </cell>
          <cell r="F841" t="str">
            <v>Information Technology</v>
          </cell>
          <cell r="H841" t="str">
            <v>north america</v>
          </cell>
        </row>
        <row r="842">
          <cell r="D842">
            <v>67176.72</v>
          </cell>
          <cell r="F842" t="str">
            <v>Information Technology</v>
          </cell>
          <cell r="H842" t="str">
            <v>north america</v>
          </cell>
        </row>
        <row r="843">
          <cell r="D843">
            <v>152019.79999999999</v>
          </cell>
          <cell r="F843" t="str">
            <v>Information Technology</v>
          </cell>
          <cell r="H843" t="str">
            <v>north america</v>
          </cell>
        </row>
        <row r="844">
          <cell r="D844">
            <v>20000</v>
          </cell>
          <cell r="F844" t="str">
            <v>Information Technology</v>
          </cell>
          <cell r="H844" t="str">
            <v>north america</v>
          </cell>
        </row>
        <row r="845">
          <cell r="D845">
            <v>30000</v>
          </cell>
          <cell r="F845" t="str">
            <v>Information Technology</v>
          </cell>
          <cell r="H845" t="str">
            <v>north america</v>
          </cell>
        </row>
        <row r="846">
          <cell r="D846">
            <v>40000</v>
          </cell>
          <cell r="F846" t="str">
            <v>Materials</v>
          </cell>
          <cell r="H846" t="str">
            <v>north america</v>
          </cell>
        </row>
        <row r="847">
          <cell r="D847">
            <v>18000</v>
          </cell>
          <cell r="F847" t="str">
            <v>Healthcare</v>
          </cell>
          <cell r="H847" t="str">
            <v>north america</v>
          </cell>
        </row>
        <row r="848">
          <cell r="D848">
            <v>439097.3</v>
          </cell>
          <cell r="F848" t="str">
            <v>Information Technology</v>
          </cell>
          <cell r="H848" t="str">
            <v>north america</v>
          </cell>
        </row>
        <row r="849">
          <cell r="D849">
            <v>62500</v>
          </cell>
          <cell r="F849" t="str">
            <v>Information Technology</v>
          </cell>
          <cell r="H849" t="str">
            <v>north america</v>
          </cell>
        </row>
        <row r="850">
          <cell r="D850">
            <v>0</v>
          </cell>
          <cell r="F850" t="str">
            <v>Information Technology</v>
          </cell>
          <cell r="H850" t="str">
            <v>north america</v>
          </cell>
        </row>
        <row r="851">
          <cell r="D851">
            <v>0</v>
          </cell>
          <cell r="F851" t="str">
            <v>Materials</v>
          </cell>
          <cell r="H851" t="str">
            <v>north america</v>
          </cell>
        </row>
        <row r="852">
          <cell r="D852">
            <v>5000</v>
          </cell>
          <cell r="F852" t="str">
            <v>Information Technology</v>
          </cell>
          <cell r="H852" t="str">
            <v>north america</v>
          </cell>
        </row>
        <row r="853">
          <cell r="D853">
            <v>43650</v>
          </cell>
          <cell r="F853" t="str">
            <v>Information Technology</v>
          </cell>
          <cell r="H853" t="str">
            <v>north america</v>
          </cell>
        </row>
        <row r="854">
          <cell r="D854">
            <v>136948.12</v>
          </cell>
          <cell r="F854" t="str">
            <v>Information Technology</v>
          </cell>
          <cell r="H854" t="str">
            <v>north america</v>
          </cell>
        </row>
        <row r="855">
          <cell r="D855">
            <v>0</v>
          </cell>
          <cell r="F855" t="str">
            <v>Consumer Staples</v>
          </cell>
          <cell r="H855" t="str">
            <v>north america</v>
          </cell>
        </row>
        <row r="856">
          <cell r="D856">
            <v>0</v>
          </cell>
          <cell r="F856" t="str">
            <v>Materials</v>
          </cell>
          <cell r="H856" t="str">
            <v>north america</v>
          </cell>
        </row>
        <row r="857">
          <cell r="D857">
            <v>469437.15159144037</v>
          </cell>
          <cell r="F857" t="str">
            <v>Industrials</v>
          </cell>
          <cell r="H857" t="str">
            <v>north america</v>
          </cell>
        </row>
        <row r="858">
          <cell r="D858">
            <v>444993.89369592088</v>
          </cell>
          <cell r="F858" t="str">
            <v>Industrials</v>
          </cell>
          <cell r="H858" t="str">
            <v>north america</v>
          </cell>
        </row>
        <row r="859">
          <cell r="D859">
            <v>377312.47200000001</v>
          </cell>
          <cell r="F859" t="str">
            <v>Telecommunications Services</v>
          </cell>
          <cell r="H859" t="str">
            <v>north america</v>
          </cell>
        </row>
        <row r="860">
          <cell r="D860">
            <v>268343.8101818182</v>
          </cell>
          <cell r="F860" t="str">
            <v>Healthcare</v>
          </cell>
          <cell r="H860" t="str">
            <v>north america</v>
          </cell>
        </row>
        <row r="861">
          <cell r="D861">
            <v>14558.838088249853</v>
          </cell>
          <cell r="F861" t="str">
            <v>Healthcare</v>
          </cell>
          <cell r="H861" t="str">
            <v>north america</v>
          </cell>
        </row>
        <row r="862">
          <cell r="D862">
            <v>58235.352352999413</v>
          </cell>
          <cell r="F862" t="str">
            <v>Healthcare</v>
          </cell>
          <cell r="H862" t="str">
            <v>north america</v>
          </cell>
        </row>
        <row r="863">
          <cell r="D863">
            <v>181659.38864628819</v>
          </cell>
          <cell r="F863" t="str">
            <v>Energy &amp; Utilities</v>
          </cell>
          <cell r="H863" t="str">
            <v>north america</v>
          </cell>
        </row>
        <row r="864">
          <cell r="D864">
            <v>290724.89082969428</v>
          </cell>
          <cell r="F864" t="str">
            <v>Industrials</v>
          </cell>
          <cell r="H864" t="str">
            <v>north america</v>
          </cell>
        </row>
        <row r="865">
          <cell r="D865">
            <v>1.1494252873563218E-2</v>
          </cell>
          <cell r="F865" t="str">
            <v>Industrials</v>
          </cell>
          <cell r="H865" t="str">
            <v>north america</v>
          </cell>
        </row>
        <row r="866">
          <cell r="D866">
            <v>1.1494252873563218E-2</v>
          </cell>
          <cell r="F866" t="str">
            <v>Industrials</v>
          </cell>
          <cell r="H866" t="str">
            <v>north america</v>
          </cell>
        </row>
        <row r="867">
          <cell r="D867">
            <v>757936.47126436781</v>
          </cell>
          <cell r="F867" t="str">
            <v>Consumer Discretionary</v>
          </cell>
          <cell r="H867" t="str">
            <v>north america</v>
          </cell>
        </row>
        <row r="868">
          <cell r="D868">
            <v>499537.06726013852</v>
          </cell>
          <cell r="F868" t="str">
            <v>Industrials</v>
          </cell>
          <cell r="H868" t="str">
            <v>north america</v>
          </cell>
        </row>
        <row r="869">
          <cell r="D869">
            <v>877505.34124629083</v>
          </cell>
          <cell r="F869" t="str">
            <v>Industrials</v>
          </cell>
          <cell r="H869" t="str">
            <v>north america</v>
          </cell>
        </row>
        <row r="870">
          <cell r="D870">
            <v>152862.22333775359</v>
          </cell>
          <cell r="F870" t="str">
            <v>Consumer Staples</v>
          </cell>
          <cell r="H870" t="str">
            <v>north america</v>
          </cell>
        </row>
        <row r="871">
          <cell r="D871">
            <v>434446.96907437738</v>
          </cell>
          <cell r="F871" t="str">
            <v>Industrials</v>
          </cell>
          <cell r="H871" t="str">
            <v>north america</v>
          </cell>
        </row>
        <row r="872">
          <cell r="D872">
            <v>5207.9428571428571</v>
          </cell>
          <cell r="F872" t="str">
            <v>Financial</v>
          </cell>
          <cell r="H872" t="str">
            <v>north america</v>
          </cell>
        </row>
        <row r="873">
          <cell r="D873">
            <v>797771.358974359</v>
          </cell>
          <cell r="F873" t="str">
            <v>Telecommunications Services</v>
          </cell>
          <cell r="H873" t="str">
            <v>north america</v>
          </cell>
        </row>
        <row r="874">
          <cell r="D874">
            <v>38090.666666666664</v>
          </cell>
          <cell r="F874" t="str">
            <v>Telecommunications Services</v>
          </cell>
          <cell r="H874" t="str">
            <v>north america</v>
          </cell>
        </row>
        <row r="875">
          <cell r="D875">
            <v>208066.92307692306</v>
          </cell>
          <cell r="F875" t="str">
            <v>Materials</v>
          </cell>
          <cell r="H875" t="str">
            <v>north america</v>
          </cell>
        </row>
        <row r="876">
          <cell r="D876">
            <v>0</v>
          </cell>
          <cell r="F876" t="str">
            <v>Industrials</v>
          </cell>
          <cell r="H876" t="str">
            <v>north america</v>
          </cell>
        </row>
        <row r="877">
          <cell r="D877">
            <v>1460038.1971740315</v>
          </cell>
          <cell r="F877" t="str">
            <v>Consumer Discretionary</v>
          </cell>
          <cell r="H877" t="str">
            <v>north america</v>
          </cell>
        </row>
        <row r="878">
          <cell r="D878">
            <v>2892375.2539643212</v>
          </cell>
          <cell r="F878" t="str">
            <v>Consumer Discretionary</v>
          </cell>
          <cell r="H878" t="str">
            <v>north america</v>
          </cell>
        </row>
        <row r="879">
          <cell r="D879">
            <v>158114.45760015812</v>
          </cell>
          <cell r="F879" t="str">
            <v>Information Technology</v>
          </cell>
          <cell r="H879" t="str">
            <v>north america</v>
          </cell>
        </row>
        <row r="880">
          <cell r="D880">
            <v>100094.78160010009</v>
          </cell>
          <cell r="F880" t="str">
            <v>Information Technology</v>
          </cell>
          <cell r="H880" t="str">
            <v>north america</v>
          </cell>
        </row>
        <row r="881">
          <cell r="D881">
            <v>74572.49711479494</v>
          </cell>
          <cell r="F881" t="str">
            <v>Energy &amp; Utilities</v>
          </cell>
          <cell r="H881" t="str">
            <v>north america</v>
          </cell>
        </row>
        <row r="882">
          <cell r="D882">
            <v>148984.64754935732</v>
          </cell>
          <cell r="F882" t="str">
            <v>Energy &amp; Utilities</v>
          </cell>
          <cell r="H882" t="str">
            <v>north america</v>
          </cell>
        </row>
        <row r="883">
          <cell r="D883">
            <v>1757758.813822791</v>
          </cell>
          <cell r="F883" t="str">
            <v>Healthcare</v>
          </cell>
          <cell r="H883" t="str">
            <v>north america</v>
          </cell>
        </row>
        <row r="884">
          <cell r="D884">
            <v>445500.00004454999</v>
          </cell>
          <cell r="F884" t="str">
            <v>Healthcare</v>
          </cell>
          <cell r="H884" t="str">
            <v>north america</v>
          </cell>
        </row>
        <row r="885">
          <cell r="D885">
            <v>140867.1000140867</v>
          </cell>
          <cell r="F885" t="str">
            <v>Industrials</v>
          </cell>
          <cell r="H885" t="str">
            <v>north america</v>
          </cell>
        </row>
        <row r="886">
          <cell r="D886">
            <v>531624.81666666665</v>
          </cell>
          <cell r="F886" t="str">
            <v>Financial</v>
          </cell>
          <cell r="H886" t="str">
            <v>north america</v>
          </cell>
        </row>
        <row r="887">
          <cell r="D887">
            <v>521181.77636623912</v>
          </cell>
          <cell r="F887" t="str">
            <v>Materials</v>
          </cell>
          <cell r="H887" t="str">
            <v>north america</v>
          </cell>
        </row>
        <row r="888">
          <cell r="D888">
            <v>0</v>
          </cell>
          <cell r="F888" t="str">
            <v>Information Technology</v>
          </cell>
          <cell r="H888" t="str">
            <v>north america</v>
          </cell>
        </row>
        <row r="889">
          <cell r="D889">
            <v>594533.61111997336</v>
          </cell>
          <cell r="F889" t="str">
            <v>Energy &amp; Utilities</v>
          </cell>
          <cell r="H889" t="str">
            <v>north america</v>
          </cell>
        </row>
        <row r="890">
          <cell r="D890">
            <v>315271.55172413791</v>
          </cell>
          <cell r="F890" t="str">
            <v>Materials</v>
          </cell>
          <cell r="H890" t="str">
            <v>north america</v>
          </cell>
        </row>
        <row r="891">
          <cell r="D891">
            <v>594017.24137931038</v>
          </cell>
          <cell r="F891" t="str">
            <v>Energy &amp; Utilities</v>
          </cell>
          <cell r="H891" t="str">
            <v>north america</v>
          </cell>
        </row>
        <row r="892">
          <cell r="D892">
            <v>599664.16666666674</v>
          </cell>
          <cell r="F892" t="str">
            <v>Financial</v>
          </cell>
          <cell r="H892" t="str">
            <v>north america</v>
          </cell>
        </row>
        <row r="893">
          <cell r="D893">
            <v>9131.9594519590682</v>
          </cell>
          <cell r="F893" t="str">
            <v>Healthcare</v>
          </cell>
          <cell r="H893" t="str">
            <v>north america</v>
          </cell>
        </row>
        <row r="894">
          <cell r="D894">
            <v>726491.45311633334</v>
          </cell>
          <cell r="F894" t="str">
            <v>Consumer Discretionary</v>
          </cell>
          <cell r="H894" t="str">
            <v>north america</v>
          </cell>
        </row>
        <row r="895">
          <cell r="D895">
            <v>749613.23365003814</v>
          </cell>
          <cell r="F895" t="str">
            <v>Industrials</v>
          </cell>
          <cell r="H895" t="str">
            <v>north america</v>
          </cell>
        </row>
        <row r="896">
          <cell r="D896">
            <v>154853.11561339011</v>
          </cell>
          <cell r="F896" t="str">
            <v>Information Technology</v>
          </cell>
          <cell r="H896" t="str">
            <v>north america</v>
          </cell>
        </row>
        <row r="897">
          <cell r="D897">
            <v>55308.366600038877</v>
          </cell>
          <cell r="F897" t="str">
            <v>Information Technology</v>
          </cell>
          <cell r="H897" t="str">
            <v>north america</v>
          </cell>
        </row>
        <row r="898">
          <cell r="D898">
            <v>59009.472355769234</v>
          </cell>
          <cell r="F898" t="str">
            <v>Information Technology</v>
          </cell>
          <cell r="H898" t="str">
            <v>north america</v>
          </cell>
        </row>
        <row r="899">
          <cell r="D899">
            <v>132815.24302889581</v>
          </cell>
          <cell r="F899" t="str">
            <v>Information Technology</v>
          </cell>
          <cell r="H899" t="str">
            <v>north america</v>
          </cell>
        </row>
        <row r="900">
          <cell r="D900">
            <v>502388.77577761206</v>
          </cell>
          <cell r="F900" t="str">
            <v>Consumer Discretionary</v>
          </cell>
          <cell r="H900" t="str">
            <v>north america</v>
          </cell>
        </row>
        <row r="901">
          <cell r="D901">
            <v>1313201.7658798154</v>
          </cell>
          <cell r="F901" t="str">
            <v>Telecommunications Services</v>
          </cell>
          <cell r="H901" t="str">
            <v>north america</v>
          </cell>
        </row>
        <row r="902">
          <cell r="D902">
            <v>126915.85539610591</v>
          </cell>
          <cell r="F902" t="str">
            <v>Healthcare</v>
          </cell>
          <cell r="H902" t="str">
            <v>north america</v>
          </cell>
        </row>
        <row r="903">
          <cell r="D903">
            <v>1707822.7219075009</v>
          </cell>
          <cell r="F903" t="str">
            <v>Healthcare</v>
          </cell>
          <cell r="H903" t="str">
            <v>north america</v>
          </cell>
        </row>
        <row r="904">
          <cell r="D904">
            <v>503700.06096284813</v>
          </cell>
          <cell r="F904" t="str">
            <v>Telecommunications Services</v>
          </cell>
          <cell r="H904" t="str">
            <v>north america</v>
          </cell>
        </row>
        <row r="905">
          <cell r="D905">
            <v>2348684.547619048</v>
          </cell>
          <cell r="F905" t="str">
            <v>Financial</v>
          </cell>
          <cell r="H905" t="str">
            <v>north america</v>
          </cell>
        </row>
        <row r="906">
          <cell r="D906">
            <v>546152.3142857143</v>
          </cell>
          <cell r="F906" t="str">
            <v>Financial</v>
          </cell>
          <cell r="H906" t="str">
            <v>north america</v>
          </cell>
        </row>
        <row r="907">
          <cell r="D907">
            <v>1685540.723809524</v>
          </cell>
          <cell r="F907" t="str">
            <v>Healthcare</v>
          </cell>
          <cell r="H907" t="str">
            <v>north america</v>
          </cell>
        </row>
        <row r="908">
          <cell r="D908">
            <v>601535.2333333334</v>
          </cell>
          <cell r="F908" t="str">
            <v>Telecommunications Services</v>
          </cell>
          <cell r="H908" t="str">
            <v>north america</v>
          </cell>
        </row>
        <row r="909">
          <cell r="D909">
            <v>126318.55974422235</v>
          </cell>
          <cell r="F909" t="str">
            <v>Industrials</v>
          </cell>
          <cell r="H909" t="str">
            <v>north america</v>
          </cell>
        </row>
        <row r="910">
          <cell r="D910">
            <v>109151.21117008592</v>
          </cell>
          <cell r="F910" t="str">
            <v>Materials</v>
          </cell>
          <cell r="H910" t="str">
            <v>north america</v>
          </cell>
        </row>
        <row r="911">
          <cell r="D911">
            <v>26202.683300083449</v>
          </cell>
          <cell r="F911" t="str">
            <v>Industrials</v>
          </cell>
          <cell r="H911" t="str">
            <v>north america</v>
          </cell>
        </row>
        <row r="912">
          <cell r="D912">
            <v>22641.602500072106</v>
          </cell>
          <cell r="F912" t="str">
            <v>Materials</v>
          </cell>
          <cell r="H912" t="str">
            <v>north america</v>
          </cell>
        </row>
        <row r="913">
          <cell r="D913">
            <v>1039438.3880858519</v>
          </cell>
          <cell r="F913" t="str">
            <v>Energy &amp; Utilities</v>
          </cell>
          <cell r="H913" t="str">
            <v>north america</v>
          </cell>
        </row>
        <row r="914">
          <cell r="D914">
            <v>204671.40604467803</v>
          </cell>
          <cell r="F914" t="str">
            <v>Telecommunications Services</v>
          </cell>
          <cell r="H914" t="str">
            <v>north america</v>
          </cell>
        </row>
        <row r="915">
          <cell r="D915">
            <v>2711817.1226750305</v>
          </cell>
          <cell r="F915" t="str">
            <v>Financial</v>
          </cell>
          <cell r="H915" t="str">
            <v>western europe</v>
          </cell>
        </row>
        <row r="916">
          <cell r="D916">
            <v>2887.7183884610399</v>
          </cell>
          <cell r="F916" t="str">
            <v>Consumer Discretionary</v>
          </cell>
          <cell r="H916" t="str">
            <v>western europe</v>
          </cell>
        </row>
        <row r="917">
          <cell r="D917">
            <v>450268.38099189522</v>
          </cell>
          <cell r="F917" t="str">
            <v>Industrials</v>
          </cell>
          <cell r="H917" t="str">
            <v>western europe</v>
          </cell>
        </row>
        <row r="918">
          <cell r="D918">
            <v>1988588.052284963</v>
          </cell>
          <cell r="F918" t="str">
            <v>Information Technology</v>
          </cell>
          <cell r="H918" t="str">
            <v>western europe</v>
          </cell>
        </row>
        <row r="919">
          <cell r="D919">
            <v>1651216.9824863889</v>
          </cell>
          <cell r="F919" t="str">
            <v>Information Technology</v>
          </cell>
          <cell r="H919" t="str">
            <v>western europe</v>
          </cell>
        </row>
        <row r="920">
          <cell r="D920">
            <v>874574.03462086758</v>
          </cell>
          <cell r="F920" t="str">
            <v>Energy &amp; Utilities</v>
          </cell>
          <cell r="H920" t="str">
            <v>western europe</v>
          </cell>
        </row>
        <row r="921">
          <cell r="D921">
            <v>122382.21831986491</v>
          </cell>
          <cell r="F921" t="str">
            <v>Information Technology</v>
          </cell>
          <cell r="H921" t="str">
            <v>western europe</v>
          </cell>
        </row>
        <row r="922">
          <cell r="D922">
            <v>933151.9368934643</v>
          </cell>
          <cell r="F922" t="str">
            <v>Industrials</v>
          </cell>
          <cell r="H922" t="str">
            <v>western europe</v>
          </cell>
        </row>
        <row r="923">
          <cell r="D923">
            <v>16249.654832846198</v>
          </cell>
          <cell r="F923" t="str">
            <v>Financial</v>
          </cell>
          <cell r="H923" t="str">
            <v>western europe</v>
          </cell>
        </row>
        <row r="924">
          <cell r="D924">
            <v>1219936.2411697323</v>
          </cell>
          <cell r="F924" t="str">
            <v>Information Technology</v>
          </cell>
          <cell r="H924" t="str">
            <v>western europe</v>
          </cell>
        </row>
        <row r="925">
          <cell r="D925">
            <v>351315.89754729689</v>
          </cell>
          <cell r="F925" t="str">
            <v>Consumer Discretionary</v>
          </cell>
          <cell r="H925" t="str">
            <v>western europe</v>
          </cell>
        </row>
        <row r="926">
          <cell r="D926">
            <v>1158401.1013622859</v>
          </cell>
          <cell r="F926" t="str">
            <v>Industrials</v>
          </cell>
          <cell r="H926" t="str">
            <v>western europe</v>
          </cell>
        </row>
        <row r="927">
          <cell r="D927">
            <v>215543.22210760522</v>
          </cell>
          <cell r="F927" t="str">
            <v>Information Technology</v>
          </cell>
          <cell r="H927" t="str">
            <v>western europe</v>
          </cell>
        </row>
        <row r="928">
          <cell r="D928">
            <v>0</v>
          </cell>
          <cell r="F928" t="str">
            <v>Consumer Discretionary</v>
          </cell>
          <cell r="H928" t="str">
            <v>western europe</v>
          </cell>
        </row>
        <row r="929">
          <cell r="D929">
            <v>1346737.3816408287</v>
          </cell>
          <cell r="F929" t="str">
            <v>Consumer Discretionary</v>
          </cell>
          <cell r="H929" t="str">
            <v>western europe</v>
          </cell>
        </row>
        <row r="930">
          <cell r="D930">
            <v>1456315.5992296347</v>
          </cell>
          <cell r="F930" t="str">
            <v>Consumer Discretionary</v>
          </cell>
          <cell r="H930" t="str">
            <v>western europe</v>
          </cell>
        </row>
        <row r="931">
          <cell r="D931">
            <v>516593.21173131396</v>
          </cell>
          <cell r="F931" t="str">
            <v>Industrials</v>
          </cell>
          <cell r="H931" t="str">
            <v>western europe</v>
          </cell>
        </row>
        <row r="932">
          <cell r="D932">
            <v>257787.69006324612</v>
          </cell>
          <cell r="F932" t="str">
            <v>Information Technology</v>
          </cell>
          <cell r="H932" t="str">
            <v>western europe</v>
          </cell>
        </row>
        <row r="933">
          <cell r="D933">
            <v>258465.05610498387</v>
          </cell>
          <cell r="F933" t="str">
            <v>Financial</v>
          </cell>
          <cell r="H933" t="str">
            <v>western europe</v>
          </cell>
        </row>
        <row r="934">
          <cell r="D934">
            <v>3574234.2193889203</v>
          </cell>
          <cell r="F934" t="str">
            <v>Financial</v>
          </cell>
          <cell r="H934" t="str">
            <v>western europe</v>
          </cell>
        </row>
        <row r="935">
          <cell r="D935">
            <v>866137.26231680217</v>
          </cell>
          <cell r="F935" t="str">
            <v>Industrials</v>
          </cell>
          <cell r="H935" t="str">
            <v>western europe</v>
          </cell>
        </row>
        <row r="936">
          <cell r="D936">
            <v>0</v>
          </cell>
          <cell r="F936" t="str">
            <v>Consumer Discretionary</v>
          </cell>
          <cell r="H936" t="str">
            <v>western europe</v>
          </cell>
        </row>
        <row r="937">
          <cell r="D937">
            <v>978637.06659615587</v>
          </cell>
          <cell r="F937" t="str">
            <v>Industrials</v>
          </cell>
          <cell r="H937" t="str">
            <v>western europe</v>
          </cell>
        </row>
        <row r="938">
          <cell r="D938">
            <v>0</v>
          </cell>
          <cell r="F938" t="str">
            <v>Consumer Discretionary</v>
          </cell>
          <cell r="H938" t="str">
            <v>western europe</v>
          </cell>
        </row>
        <row r="939">
          <cell r="D939">
            <v>82.637455680795895</v>
          </cell>
          <cell r="F939" t="str">
            <v>Financial</v>
          </cell>
          <cell r="H939" t="str">
            <v>western europe</v>
          </cell>
        </row>
        <row r="940">
          <cell r="D940">
            <v>30761.90929777213</v>
          </cell>
          <cell r="F940" t="str">
            <v>Financial</v>
          </cell>
          <cell r="H940" t="str">
            <v>western europe</v>
          </cell>
        </row>
        <row r="941">
          <cell r="D941">
            <v>233028.26374556808</v>
          </cell>
          <cell r="F941" t="str">
            <v>Consumer Discretionary</v>
          </cell>
          <cell r="H941" t="str">
            <v>western europe</v>
          </cell>
        </row>
        <row r="942">
          <cell r="D942">
            <v>130342.08075355877</v>
          </cell>
          <cell r="F942" t="str">
            <v>Industrials</v>
          </cell>
          <cell r="H942" t="str">
            <v>western europe</v>
          </cell>
        </row>
        <row r="943">
          <cell r="D943">
            <v>890874.09112557548</v>
          </cell>
          <cell r="F943" t="str">
            <v>Consumer Discretionary</v>
          </cell>
          <cell r="H943" t="str">
            <v>western europe</v>
          </cell>
        </row>
        <row r="944">
          <cell r="D944">
            <v>382.01301793935545</v>
          </cell>
          <cell r="F944" t="str">
            <v>Financial</v>
          </cell>
          <cell r="H944" t="str">
            <v>western europe</v>
          </cell>
        </row>
        <row r="945">
          <cell r="D945">
            <v>1491572.552173913</v>
          </cell>
          <cell r="F945" t="str">
            <v>Consumer Discretionary</v>
          </cell>
          <cell r="H945" t="str">
            <v>western europe</v>
          </cell>
        </row>
        <row r="946">
          <cell r="D946">
            <v>808991.73913043481</v>
          </cell>
          <cell r="F946" t="str">
            <v>Consumer Discretionary</v>
          </cell>
          <cell r="H946" t="str">
            <v>western europe</v>
          </cell>
        </row>
        <row r="947">
          <cell r="D947">
            <v>293447.19565217389</v>
          </cell>
          <cell r="F947" t="str">
            <v>Consumer Discretionary</v>
          </cell>
          <cell r="H947" t="str">
            <v>western europe</v>
          </cell>
        </row>
        <row r="948">
          <cell r="D948">
            <v>485677.81304347829</v>
          </cell>
          <cell r="F948" t="str">
            <v>Consumer Discretionary</v>
          </cell>
          <cell r="H948" t="str">
            <v>western europe</v>
          </cell>
        </row>
        <row r="949">
          <cell r="D949">
            <v>1121982.2173913044</v>
          </cell>
          <cell r="F949" t="str">
            <v>Consumer Discretionary</v>
          </cell>
          <cell r="H949" t="str">
            <v>western europe</v>
          </cell>
        </row>
        <row r="950">
          <cell r="D950">
            <v>414636.57391304348</v>
          </cell>
          <cell r="F950" t="str">
            <v>Consumer Discretionary</v>
          </cell>
          <cell r="H950" t="str">
            <v>western europe</v>
          </cell>
        </row>
        <row r="951">
          <cell r="D951">
            <v>0</v>
          </cell>
          <cell r="F951" t="str">
            <v>Materials</v>
          </cell>
          <cell r="H951" t="str">
            <v>western europe</v>
          </cell>
        </row>
        <row r="952">
          <cell r="D952">
            <v>112558.09523809524</v>
          </cell>
          <cell r="F952" t="str">
            <v>Materials</v>
          </cell>
          <cell r="H952" t="str">
            <v>western europe</v>
          </cell>
        </row>
        <row r="953">
          <cell r="D953">
            <v>123004.46776397929</v>
          </cell>
          <cell r="F953" t="str">
            <v>Healthcare</v>
          </cell>
          <cell r="H953" t="str">
            <v>western europe</v>
          </cell>
        </row>
        <row r="954">
          <cell r="D954">
            <v>354292.53749999998</v>
          </cell>
          <cell r="F954" t="str">
            <v>Healthcare</v>
          </cell>
          <cell r="H954" t="str">
            <v>western europe</v>
          </cell>
        </row>
        <row r="955">
          <cell r="D955">
            <v>0</v>
          </cell>
          <cell r="F955" t="str">
            <v>Information Technology</v>
          </cell>
          <cell r="H955" t="str">
            <v>western europe</v>
          </cell>
        </row>
        <row r="956">
          <cell r="D956">
            <v>965094.37469621352</v>
          </cell>
          <cell r="F956" t="str">
            <v>Industrials</v>
          </cell>
          <cell r="H956" t="str">
            <v>western europe</v>
          </cell>
        </row>
        <row r="957">
          <cell r="D957">
            <v>196756.66666666669</v>
          </cell>
          <cell r="F957" t="str">
            <v>Information Technology</v>
          </cell>
          <cell r="H957" t="str">
            <v>western europe</v>
          </cell>
        </row>
        <row r="958">
          <cell r="D958">
            <v>0</v>
          </cell>
          <cell r="F958" t="str">
            <v>Information Technology</v>
          </cell>
          <cell r="H958" t="str">
            <v>western europe</v>
          </cell>
        </row>
        <row r="959">
          <cell r="D959">
            <v>225238.06718821905</v>
          </cell>
          <cell r="F959" t="str">
            <v>Information Technology</v>
          </cell>
          <cell r="H959" t="str">
            <v>western europe</v>
          </cell>
        </row>
        <row r="960">
          <cell r="D960">
            <v>7433.1020812685829</v>
          </cell>
          <cell r="F960" t="str">
            <v>Telecommunications Services</v>
          </cell>
          <cell r="H960" t="str">
            <v>western europe</v>
          </cell>
        </row>
        <row r="961">
          <cell r="D961">
            <v>64999.731342646788</v>
          </cell>
          <cell r="F961" t="str">
            <v>Telecommunications Services</v>
          </cell>
          <cell r="H961" t="str">
            <v>western europe</v>
          </cell>
        </row>
        <row r="962">
          <cell r="D962">
            <v>309152.94725507143</v>
          </cell>
          <cell r="F962" t="str">
            <v>Telecommunications Services</v>
          </cell>
          <cell r="H962" t="str">
            <v>western europe</v>
          </cell>
        </row>
        <row r="963">
          <cell r="D963">
            <v>23700.788542235056</v>
          </cell>
          <cell r="F963" t="str">
            <v>Telecommunications Services</v>
          </cell>
          <cell r="H963" t="str">
            <v>western europe</v>
          </cell>
        </row>
        <row r="964">
          <cell r="D964">
            <v>696800.94081870234</v>
          </cell>
          <cell r="F964" t="str">
            <v>Telecommunications Services</v>
          </cell>
          <cell r="H964" t="str">
            <v>western europe</v>
          </cell>
        </row>
        <row r="965">
          <cell r="D965">
            <v>427808.19652657333</v>
          </cell>
          <cell r="F965" t="str">
            <v>Telecommunications Services</v>
          </cell>
          <cell r="H965" t="str">
            <v>western europe</v>
          </cell>
        </row>
        <row r="966">
          <cell r="D966">
            <v>478020.35060038086</v>
          </cell>
          <cell r="F966" t="str">
            <v>Telecommunications Services</v>
          </cell>
          <cell r="H966" t="str">
            <v>western europe</v>
          </cell>
        </row>
        <row r="967">
          <cell r="D967">
            <v>447294.09756242391</v>
          </cell>
          <cell r="F967" t="str">
            <v>Telecommunications Services</v>
          </cell>
          <cell r="H967" t="str">
            <v>western europe</v>
          </cell>
        </row>
        <row r="968">
          <cell r="D968">
            <v>1307495.2218181819</v>
          </cell>
          <cell r="F968" t="str">
            <v>Consumer Discretionary</v>
          </cell>
          <cell r="H968" t="str">
            <v>western europe</v>
          </cell>
        </row>
        <row r="969">
          <cell r="D969">
            <v>1037787.6872727273</v>
          </cell>
          <cell r="F969" t="str">
            <v>Telecommunications Services</v>
          </cell>
          <cell r="H969" t="str">
            <v>western europe</v>
          </cell>
        </row>
        <row r="970">
          <cell r="D970">
            <v>522653.79301814613</v>
          </cell>
          <cell r="F970" t="str">
            <v>Consumer Discretionary</v>
          </cell>
          <cell r="H970" t="str">
            <v>western europe</v>
          </cell>
        </row>
        <row r="971">
          <cell r="D971">
            <v>0</v>
          </cell>
          <cell r="F971" t="str">
            <v>Information Technology</v>
          </cell>
          <cell r="H971" t="str">
            <v>western europe</v>
          </cell>
        </row>
        <row r="972">
          <cell r="D972">
            <v>317684.62857250776</v>
          </cell>
          <cell r="F972" t="str">
            <v>Consumer Discretionary</v>
          </cell>
          <cell r="H972" t="str">
            <v>western europe</v>
          </cell>
        </row>
        <row r="973">
          <cell r="D973">
            <v>1239771.551724138</v>
          </cell>
          <cell r="F973" t="str">
            <v>Materials</v>
          </cell>
          <cell r="H973" t="str">
            <v>western europe</v>
          </cell>
        </row>
        <row r="974">
          <cell r="D974">
            <v>340340.5172413793</v>
          </cell>
          <cell r="F974" t="str">
            <v>Consumer Discretionary</v>
          </cell>
          <cell r="H974" t="str">
            <v>western europe</v>
          </cell>
        </row>
        <row r="975">
          <cell r="D975">
            <v>179666.19591346153</v>
          </cell>
          <cell r="F975" t="str">
            <v>Financial</v>
          </cell>
          <cell r="H975" t="str">
            <v>western europe</v>
          </cell>
        </row>
        <row r="976">
          <cell r="D976">
            <v>196412.62395317748</v>
          </cell>
          <cell r="F976" t="str">
            <v>Information Technology</v>
          </cell>
          <cell r="H976" t="str">
            <v>western europe</v>
          </cell>
        </row>
        <row r="977">
          <cell r="D977">
            <v>10731.48717948718</v>
          </cell>
          <cell r="F977" t="str">
            <v>Financial</v>
          </cell>
          <cell r="H977" t="str">
            <v>north america</v>
          </cell>
        </row>
        <row r="978">
          <cell r="D978">
            <v>77153.297195960418</v>
          </cell>
          <cell r="F978" t="str">
            <v>Telecommunications Services</v>
          </cell>
          <cell r="H978" t="str">
            <v>north america</v>
          </cell>
        </row>
        <row r="979">
          <cell r="D979">
            <v>1.1494252873563218E-2</v>
          </cell>
          <cell r="F979" t="str">
            <v>Information Technology</v>
          </cell>
          <cell r="H979" t="str">
            <v>north america</v>
          </cell>
        </row>
        <row r="980">
          <cell r="D980">
            <v>3011.4477428987093</v>
          </cell>
          <cell r="F980" t="str">
            <v>Consumer Discretionary</v>
          </cell>
          <cell r="H980" t="str">
            <v>north america</v>
          </cell>
        </row>
        <row r="981">
          <cell r="D981">
            <v>74412</v>
          </cell>
          <cell r="F981" t="str">
            <v>Consumer Staples</v>
          </cell>
          <cell r="H981" t="str">
            <v>north america</v>
          </cell>
        </row>
        <row r="982">
          <cell r="D982">
            <v>809782.4227441285</v>
          </cell>
          <cell r="F982" t="str">
            <v>Industrials</v>
          </cell>
          <cell r="H982" t="str">
            <v>north america</v>
          </cell>
        </row>
        <row r="983">
          <cell r="D983">
            <v>47600.767754318615</v>
          </cell>
          <cell r="F983" t="str">
            <v>Healthcare</v>
          </cell>
          <cell r="H983" t="str">
            <v>north america</v>
          </cell>
        </row>
        <row r="984">
          <cell r="D984">
            <v>1.9193857965451054E-2</v>
          </cell>
          <cell r="F984" t="str">
            <v>Industrials</v>
          </cell>
          <cell r="H984" t="str">
            <v>north america</v>
          </cell>
        </row>
        <row r="985">
          <cell r="D985">
            <v>268815.20689655171</v>
          </cell>
          <cell r="F985" t="str">
            <v>Industrials</v>
          </cell>
          <cell r="H985" t="str">
            <v>north america</v>
          </cell>
        </row>
        <row r="986">
          <cell r="D986">
            <v>860920.51186943625</v>
          </cell>
          <cell r="F986" t="str">
            <v>Industrials</v>
          </cell>
          <cell r="H986" t="str">
            <v>north america</v>
          </cell>
        </row>
        <row r="987">
          <cell r="D987">
            <v>385754.80868665979</v>
          </cell>
          <cell r="F987" t="str">
            <v>Industrials</v>
          </cell>
          <cell r="H987" t="str">
            <v>north america</v>
          </cell>
        </row>
        <row r="988">
          <cell r="D988">
            <v>101425.38658659834</v>
          </cell>
          <cell r="F988" t="str">
            <v>Materials</v>
          </cell>
          <cell r="H988" t="str">
            <v>north america</v>
          </cell>
        </row>
        <row r="989">
          <cell r="D989">
            <v>30836.637033960913</v>
          </cell>
          <cell r="F989" t="str">
            <v>Information Technology</v>
          </cell>
          <cell r="H989" t="str">
            <v>north america</v>
          </cell>
        </row>
        <row r="990">
          <cell r="D990">
            <v>954768.5433129567</v>
          </cell>
          <cell r="F990" t="str">
            <v>Materials</v>
          </cell>
          <cell r="H990" t="str">
            <v>north america</v>
          </cell>
        </row>
        <row r="991">
          <cell r="D991">
            <v>306171.98809246917</v>
          </cell>
          <cell r="F991" t="str">
            <v>Information Technology</v>
          </cell>
          <cell r="H991" t="str">
            <v>north america</v>
          </cell>
        </row>
        <row r="992">
          <cell r="D992">
            <v>109354.41946391651</v>
          </cell>
          <cell r="F992" t="str">
            <v>Information Technology</v>
          </cell>
          <cell r="H992" t="str">
            <v>north america</v>
          </cell>
        </row>
        <row r="993">
          <cell r="D993">
            <v>295044.54206730769</v>
          </cell>
          <cell r="F993" t="str">
            <v>Information Technology</v>
          </cell>
          <cell r="H993" t="str">
            <v>north america</v>
          </cell>
        </row>
        <row r="994">
          <cell r="D994">
            <v>12374.822267613188</v>
          </cell>
          <cell r="F994" t="str">
            <v>Information Technology</v>
          </cell>
          <cell r="H994" t="str">
            <v>north america</v>
          </cell>
        </row>
        <row r="995">
          <cell r="D995">
            <v>49517.945523129318</v>
          </cell>
          <cell r="F995" t="str">
            <v>Information Technology</v>
          </cell>
          <cell r="H995" t="str">
            <v>north america</v>
          </cell>
        </row>
        <row r="996">
          <cell r="D996">
            <v>288173.93723931385</v>
          </cell>
          <cell r="F996" t="str">
            <v>Information Technology</v>
          </cell>
          <cell r="H996" t="str">
            <v>north america</v>
          </cell>
        </row>
        <row r="997">
          <cell r="D997">
            <v>59444.209523809528</v>
          </cell>
          <cell r="F997" t="str">
            <v>Information Technology</v>
          </cell>
          <cell r="H997" t="str">
            <v>north america</v>
          </cell>
        </row>
        <row r="998">
          <cell r="D998">
            <v>1721290.804761905</v>
          </cell>
          <cell r="F998" t="str">
            <v>Information Technology</v>
          </cell>
          <cell r="H998" t="str">
            <v>north america</v>
          </cell>
        </row>
        <row r="999">
          <cell r="D999">
            <v>96239.331433085375</v>
          </cell>
          <cell r="F999" t="str">
            <v>Information Technology</v>
          </cell>
          <cell r="H999" t="str">
            <v>north america</v>
          </cell>
        </row>
        <row r="1000">
          <cell r="D1000">
            <v>19963.247900063576</v>
          </cell>
          <cell r="F1000" t="str">
            <v>Information Technology</v>
          </cell>
          <cell r="H1000" t="str">
            <v>north america</v>
          </cell>
        </row>
        <row r="1001">
          <cell r="D1001">
            <v>0</v>
          </cell>
          <cell r="F1001" t="str">
            <v>Telecommunications Services</v>
          </cell>
          <cell r="H1001" t="str">
            <v>western europe</v>
          </cell>
        </row>
        <row r="1002">
          <cell r="D1002">
            <v>112500.03749999999</v>
          </cell>
          <cell r="F1002" t="str">
            <v>Healthcare</v>
          </cell>
          <cell r="H1002" t="str">
            <v>north america</v>
          </cell>
        </row>
        <row r="1003">
          <cell r="D1003">
            <v>224775.23076923075</v>
          </cell>
          <cell r="F1003" t="str">
            <v>Information Technology</v>
          </cell>
          <cell r="H1003" t="str">
            <v>north america</v>
          </cell>
        </row>
        <row r="1004">
          <cell r="D1004">
            <v>100094.78160010009</v>
          </cell>
          <cell r="F1004" t="str">
            <v>Information Technology</v>
          </cell>
          <cell r="H1004" t="str">
            <v>north america</v>
          </cell>
        </row>
        <row r="1005">
          <cell r="D1005">
            <v>147639.80880014764</v>
          </cell>
          <cell r="F1005" t="str">
            <v>Information Technology</v>
          </cell>
          <cell r="H1005" t="str">
            <v>north america</v>
          </cell>
        </row>
        <row r="1006">
          <cell r="D1006">
            <v>1020838.7485148516</v>
          </cell>
          <cell r="F1006" t="str">
            <v>Consumer Discretionary</v>
          </cell>
          <cell r="H1006" t="str">
            <v>north america</v>
          </cell>
        </row>
        <row r="1007">
          <cell r="D1007">
            <v>134269.31641661431</v>
          </cell>
          <cell r="F1007" t="str">
            <v>Telecommunications Services</v>
          </cell>
          <cell r="H1007" t="str">
            <v>north america</v>
          </cell>
        </row>
        <row r="1008">
          <cell r="D1008">
            <v>78122.291144086994</v>
          </cell>
          <cell r="F1008" t="str">
            <v>Information Technology</v>
          </cell>
          <cell r="H1008" t="str">
            <v>north america</v>
          </cell>
        </row>
        <row r="1009">
          <cell r="D1009">
            <v>469490.19291632232</v>
          </cell>
          <cell r="F1009" t="str">
            <v>Financial</v>
          </cell>
          <cell r="H1009" t="str">
            <v>north america</v>
          </cell>
        </row>
        <row r="1010">
          <cell r="D1010">
            <v>174641.86025684944</v>
          </cell>
          <cell r="F1010" t="str">
            <v>Information Technology</v>
          </cell>
          <cell r="H1010" t="str">
            <v>north america</v>
          </cell>
        </row>
        <row r="1011">
          <cell r="D1011">
            <v>36226.547900115373</v>
          </cell>
          <cell r="F1011" t="str">
            <v>Information Technology</v>
          </cell>
          <cell r="H1011" t="str">
            <v>north america</v>
          </cell>
        </row>
        <row r="1012">
          <cell r="D1012">
            <v>643574.95620611892</v>
          </cell>
          <cell r="F1012" t="str">
            <v>Consumer Discretionary</v>
          </cell>
          <cell r="H1012" t="str">
            <v>north america</v>
          </cell>
        </row>
        <row r="1013">
          <cell r="D1013">
            <v>938707.54613840056</v>
          </cell>
          <cell r="F1013" t="str">
            <v>Industrials</v>
          </cell>
          <cell r="H1013" t="str">
            <v>north america</v>
          </cell>
        </row>
        <row r="1014">
          <cell r="D1014">
            <v>83783.897491553624</v>
          </cell>
          <cell r="F1014" t="str">
            <v>Industrials</v>
          </cell>
          <cell r="H1014" t="str">
            <v>north america</v>
          </cell>
        </row>
        <row r="1015">
          <cell r="D1015">
            <v>91655.393039774775</v>
          </cell>
          <cell r="F1015" t="str">
            <v>Information Technology</v>
          </cell>
          <cell r="H1015" t="str">
            <v>north america</v>
          </cell>
        </row>
        <row r="1016">
          <cell r="D1016">
            <v>18472.827920458054</v>
          </cell>
          <cell r="F1016" t="str">
            <v>Information Technology</v>
          </cell>
          <cell r="H1016" t="str">
            <v>north america</v>
          </cell>
        </row>
        <row r="1017">
          <cell r="D1017">
            <v>837445.2395740815</v>
          </cell>
          <cell r="F1017" t="str">
            <v>Materials</v>
          </cell>
          <cell r="H1017" t="str">
            <v>north america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 - by date"/>
      <sheetName val="HL Company Sorts - by date (2) "/>
      <sheetName val="HL Company Sorts - by alphabeth"/>
      <sheetName val="HL Company Sorts - by multiple"/>
      <sheetName val="Sheet1"/>
      <sheetName val="HL Company Summary"/>
      <sheetName val="HL IRR"/>
      <sheetName val="HL Value Creation"/>
      <sheetName val="HL Value Creation (Fund I-II)"/>
      <sheetName val="HL Charts"/>
    </sheetNames>
    <sheetDataSet>
      <sheetData sheetId="0">
        <row r="16">
          <cell r="D16" t="str">
            <v>01/07/2008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A9" t="str">
            <v>AgriPure</v>
          </cell>
        </row>
        <row r="10">
          <cell r="A10" t="str">
            <v>AgriPure</v>
          </cell>
        </row>
        <row r="11">
          <cell r="A11" t="str">
            <v>AgriPure</v>
          </cell>
        </row>
        <row r="12">
          <cell r="A12" t="str">
            <v>AgriPure</v>
          </cell>
        </row>
        <row r="13">
          <cell r="A13" t="str">
            <v>AgriPure</v>
          </cell>
        </row>
        <row r="14">
          <cell r="A14" t="str">
            <v>AgriPure</v>
          </cell>
        </row>
        <row r="15">
          <cell r="A15" t="str">
            <v>AgriPure</v>
          </cell>
        </row>
        <row r="16">
          <cell r="A16" t="str">
            <v>AgriPure</v>
          </cell>
        </row>
        <row r="17">
          <cell r="A17" t="str">
            <v>AgriPure</v>
          </cell>
        </row>
        <row r="18">
          <cell r="A18" t="str">
            <v>AgriPure</v>
          </cell>
        </row>
        <row r="19">
          <cell r="A19" t="str">
            <v>AgriPure</v>
          </cell>
        </row>
        <row r="20">
          <cell r="A20" t="str">
            <v>AgriPure</v>
          </cell>
        </row>
        <row r="21">
          <cell r="A21" t="str">
            <v>AgriPure</v>
          </cell>
        </row>
        <row r="22">
          <cell r="A22" t="str">
            <v>AgriPure</v>
          </cell>
        </row>
        <row r="23">
          <cell r="A23" t="str">
            <v>AgriPure</v>
          </cell>
        </row>
        <row r="24">
          <cell r="A24" t="str">
            <v>AgriPure</v>
          </cell>
        </row>
        <row r="25">
          <cell r="A25" t="str">
            <v>AgriPure</v>
          </cell>
        </row>
        <row r="26">
          <cell r="A26" t="str">
            <v>AgriPure</v>
          </cell>
        </row>
        <row r="27">
          <cell r="A27" t="str">
            <v>AgriPure</v>
          </cell>
        </row>
        <row r="28">
          <cell r="A28" t="str">
            <v>AgriPure</v>
          </cell>
        </row>
        <row r="29">
          <cell r="A29" t="str">
            <v>AgriPure</v>
          </cell>
        </row>
        <row r="30">
          <cell r="A30" t="str">
            <v>AgriPure</v>
          </cell>
        </row>
        <row r="31">
          <cell r="A31" t="str">
            <v>Andromeda</v>
          </cell>
        </row>
        <row r="32">
          <cell r="A32" t="str">
            <v>Andromeda</v>
          </cell>
          <cell r="F32">
            <v>35104936.394954838</v>
          </cell>
        </row>
        <row r="33">
          <cell r="A33" t="str">
            <v>Bangkok Ranch</v>
          </cell>
        </row>
        <row r="34">
          <cell r="A34" t="str">
            <v>Bangkok Ranch</v>
          </cell>
        </row>
        <row r="35">
          <cell r="A35" t="str">
            <v>Bangkok Ranch</v>
          </cell>
        </row>
        <row r="36">
          <cell r="A36" t="str">
            <v>Bangkok Ranch</v>
          </cell>
        </row>
        <row r="37">
          <cell r="A37" t="str">
            <v>Bangkok Ranch</v>
          </cell>
        </row>
        <row r="38">
          <cell r="A38" t="str">
            <v>Bangkok Ranch</v>
          </cell>
        </row>
        <row r="39">
          <cell r="A39" t="str">
            <v>Bangkok Ranch</v>
          </cell>
        </row>
        <row r="40">
          <cell r="A40" t="str">
            <v>Bangkok Ranch</v>
          </cell>
        </row>
        <row r="41">
          <cell r="A41" t="str">
            <v>Bangkok Ranch</v>
          </cell>
        </row>
        <row r="42">
          <cell r="A42" t="str">
            <v>Bangkok Ranch</v>
          </cell>
        </row>
        <row r="43">
          <cell r="A43" t="str">
            <v>Bangkok Ranch</v>
          </cell>
        </row>
        <row r="44">
          <cell r="A44" t="str">
            <v>Bangkok Ranch</v>
          </cell>
        </row>
        <row r="45">
          <cell r="A45" t="str">
            <v>Bangkok Ranch</v>
          </cell>
        </row>
        <row r="46">
          <cell r="A46" t="str">
            <v>Bangkok Ranch</v>
          </cell>
        </row>
        <row r="47">
          <cell r="A47" t="str">
            <v>Bangkok Ranch</v>
          </cell>
        </row>
        <row r="48">
          <cell r="A48" t="str">
            <v>Bangkok Ranch</v>
          </cell>
        </row>
        <row r="49">
          <cell r="A49" t="str">
            <v>Bangkok Ranch</v>
          </cell>
        </row>
        <row r="50">
          <cell r="A50" t="str">
            <v>Bangkok Ranch</v>
          </cell>
        </row>
        <row r="51">
          <cell r="A51" t="str">
            <v>Bangkok Ranch</v>
          </cell>
        </row>
        <row r="52">
          <cell r="A52" t="str">
            <v>Bangkok Ranch</v>
          </cell>
        </row>
        <row r="53">
          <cell r="A53" t="str">
            <v>Bangkok Ranch</v>
          </cell>
        </row>
        <row r="54">
          <cell r="A54" t="str">
            <v>Bangkok Ranch</v>
          </cell>
        </row>
        <row r="55">
          <cell r="A55" t="str">
            <v>Bangkok Ranch</v>
          </cell>
          <cell r="F55">
            <v>3648469.1247002399</v>
          </cell>
        </row>
        <row r="56">
          <cell r="A56" t="str">
            <v>Big Tree (Fund III - CMF I)</v>
          </cell>
        </row>
        <row r="57">
          <cell r="A57" t="str">
            <v>Big Tree (Fund III - CMF I)</v>
          </cell>
        </row>
        <row r="58">
          <cell r="A58" t="str">
            <v>Big Tree (Fund III - CMF I)</v>
          </cell>
        </row>
        <row r="59">
          <cell r="A59" t="str">
            <v>Big Tree (Fund III - CMF I)</v>
          </cell>
        </row>
        <row r="60">
          <cell r="A60" t="str">
            <v>Big Tree (Fund III - CMF I)</v>
          </cell>
        </row>
        <row r="61">
          <cell r="A61" t="str">
            <v>Big Tree (Fund III - CMF I)</v>
          </cell>
        </row>
        <row r="62">
          <cell r="A62" t="str">
            <v>Big Tree (Fund III - CMF I)</v>
          </cell>
        </row>
        <row r="63">
          <cell r="A63" t="str">
            <v>Big Tree (Fund III)</v>
          </cell>
        </row>
        <row r="64">
          <cell r="A64" t="str">
            <v>Big Tree (Fund III)</v>
          </cell>
        </row>
        <row r="65">
          <cell r="A65" t="str">
            <v>Big Tree (Fund III)</v>
          </cell>
        </row>
        <row r="66">
          <cell r="A66" t="str">
            <v>Big Tree (Fund III)</v>
          </cell>
        </row>
        <row r="67">
          <cell r="A67" t="str">
            <v>Big Tree (Fund III)</v>
          </cell>
        </row>
        <row r="68">
          <cell r="A68" t="str">
            <v>Big Tree (Fund III)</v>
          </cell>
        </row>
        <row r="69">
          <cell r="A69" t="str">
            <v>Big Tree (Fund III)</v>
          </cell>
        </row>
        <row r="70">
          <cell r="A70" t="str">
            <v>BR (Fund V)</v>
          </cell>
        </row>
        <row r="71">
          <cell r="A71" t="str">
            <v>BR (Fund V)</v>
          </cell>
        </row>
        <row r="72">
          <cell r="A72" t="str">
            <v>BR (Fund V)</v>
          </cell>
        </row>
        <row r="73">
          <cell r="A73" t="str">
            <v>BR (Fund V)</v>
          </cell>
          <cell r="F73">
            <v>42402422.347122304</v>
          </cell>
        </row>
        <row r="74">
          <cell r="A74" t="str">
            <v>BR (Fund V-S)</v>
          </cell>
        </row>
        <row r="75">
          <cell r="A75" t="str">
            <v>BR (Fund V-S)</v>
          </cell>
        </row>
        <row r="76">
          <cell r="A76" t="str">
            <v>BR (Fund V-S)</v>
          </cell>
          <cell r="F76">
            <v>2706537.3950839327</v>
          </cell>
        </row>
        <row r="77">
          <cell r="A77" t="str">
            <v>Celebrity</v>
          </cell>
        </row>
        <row r="78">
          <cell r="A78" t="str">
            <v>Celebrity</v>
          </cell>
        </row>
        <row r="79">
          <cell r="A79" t="str">
            <v>Celebrity</v>
          </cell>
          <cell r="F79">
            <v>34738263.070409931</v>
          </cell>
        </row>
        <row r="80">
          <cell r="A80" t="str">
            <v>Cemex Asia/ PT Semen Gresik</v>
          </cell>
        </row>
        <row r="81">
          <cell r="A81" t="str">
            <v>Cemex Asia/ PT Semen Gresik</v>
          </cell>
        </row>
        <row r="82">
          <cell r="A82" t="str">
            <v>Cemex Asia/ PT Semen Gresik</v>
          </cell>
        </row>
        <row r="83">
          <cell r="A83" t="str">
            <v>Cemex Asia/ PT Semen Gresik</v>
          </cell>
        </row>
        <row r="84">
          <cell r="A84" t="str">
            <v>Cemex Asia/ PT Semen Gresik</v>
          </cell>
        </row>
        <row r="85">
          <cell r="A85" t="str">
            <v>Cemex Asia/ PT Semen Gresik</v>
          </cell>
        </row>
        <row r="86">
          <cell r="A86" t="str">
            <v>Cemex Asia/ PT Semen Gresik</v>
          </cell>
        </row>
        <row r="87">
          <cell r="A87" t="str">
            <v>Cemex Asia/ PT Semen Gresik</v>
          </cell>
        </row>
        <row r="88">
          <cell r="A88" t="str">
            <v>Cemex Asia/ PT Semen Gresik</v>
          </cell>
        </row>
        <row r="89">
          <cell r="A89" t="str">
            <v>Cemex Asia/ PT Semen Gresik</v>
          </cell>
        </row>
        <row r="90">
          <cell r="A90" t="str">
            <v>Cemex Asia/ PT Semen Gresik</v>
          </cell>
        </row>
        <row r="91">
          <cell r="A91" t="str">
            <v>Cemex Asia/ PT Semen Gresik</v>
          </cell>
        </row>
        <row r="92">
          <cell r="A92" t="str">
            <v>Cemex Asia/ PT Semen Gresik</v>
          </cell>
        </row>
        <row r="93">
          <cell r="A93" t="str">
            <v>Cemex Asia/ PT Semen Gresik</v>
          </cell>
        </row>
        <row r="94">
          <cell r="A94" t="str">
            <v>Cemex Asia/ PT Semen Gresik</v>
          </cell>
        </row>
        <row r="95">
          <cell r="A95" t="str">
            <v>Cemex Asia/ PT Semen Gresik</v>
          </cell>
        </row>
        <row r="96">
          <cell r="A96" t="str">
            <v>Distri-Thai</v>
          </cell>
        </row>
        <row r="97">
          <cell r="A97" t="str">
            <v>Distri-Thai</v>
          </cell>
        </row>
        <row r="98">
          <cell r="A98" t="str">
            <v>Distri-Thai</v>
          </cell>
        </row>
        <row r="99">
          <cell r="A99" t="str">
            <v>Distri-Thai</v>
          </cell>
        </row>
        <row r="100">
          <cell r="A100" t="str">
            <v>Distri-Thai</v>
          </cell>
        </row>
        <row r="101">
          <cell r="A101" t="str">
            <v>Distri-Thai</v>
          </cell>
        </row>
        <row r="102">
          <cell r="A102" t="str">
            <v>Distri-Thai</v>
          </cell>
        </row>
        <row r="103">
          <cell r="A103" t="str">
            <v>Distri-Thai</v>
          </cell>
        </row>
        <row r="104">
          <cell r="A104" t="str">
            <v>Dome</v>
          </cell>
        </row>
        <row r="105">
          <cell r="A105" t="str">
            <v>Dome</v>
          </cell>
        </row>
        <row r="106">
          <cell r="A106" t="str">
            <v>Dome</v>
          </cell>
        </row>
        <row r="107">
          <cell r="A107" t="str">
            <v>Dome</v>
          </cell>
        </row>
        <row r="108">
          <cell r="A108" t="str">
            <v>Donuts (Fund IV)</v>
          </cell>
        </row>
        <row r="109">
          <cell r="A109" t="str">
            <v>Donuts (Fund IV)</v>
          </cell>
        </row>
        <row r="110">
          <cell r="A110" t="str">
            <v>Donuts (Fund IV)</v>
          </cell>
        </row>
        <row r="111">
          <cell r="A111" t="str">
            <v>Donuts (Fund IV)</v>
          </cell>
        </row>
        <row r="112">
          <cell r="A112" t="str">
            <v>Donuts (Fund IV)</v>
          </cell>
          <cell r="F112">
            <v>17730703.397089276</v>
          </cell>
        </row>
        <row r="113">
          <cell r="A113" t="str">
            <v>Donuts (Fund IV-S)</v>
          </cell>
        </row>
        <row r="114">
          <cell r="A114" t="str">
            <v>Donuts (Fund IV-S)</v>
          </cell>
        </row>
        <row r="115">
          <cell r="A115" t="str">
            <v>Donuts (Fund IV-S)</v>
          </cell>
        </row>
        <row r="116">
          <cell r="A116" t="str">
            <v>Donuts (Fund IV-S)</v>
          </cell>
        </row>
        <row r="117">
          <cell r="A117" t="str">
            <v>Donuts (Fund IV-S)</v>
          </cell>
          <cell r="F117">
            <v>2786194.77126212</v>
          </cell>
        </row>
        <row r="118">
          <cell r="A118" t="str">
            <v>Drypers</v>
          </cell>
        </row>
        <row r="119">
          <cell r="A119" t="str">
            <v>Drypers</v>
          </cell>
        </row>
        <row r="120">
          <cell r="A120" t="str">
            <v>Drypers</v>
          </cell>
        </row>
        <row r="121">
          <cell r="A121" t="str">
            <v>Drypers</v>
          </cell>
        </row>
        <row r="122">
          <cell r="A122" t="str">
            <v>Drypers</v>
          </cell>
        </row>
        <row r="123">
          <cell r="A123" t="str">
            <v>Drypers</v>
          </cell>
        </row>
        <row r="124">
          <cell r="A124" t="str">
            <v>Drypers</v>
          </cell>
        </row>
        <row r="125">
          <cell r="A125" t="str">
            <v>Drypers</v>
          </cell>
        </row>
        <row r="126">
          <cell r="A126" t="str">
            <v>Drypers</v>
          </cell>
        </row>
        <row r="127">
          <cell r="A127" t="str">
            <v>Drypers</v>
          </cell>
        </row>
        <row r="128">
          <cell r="A128" t="str">
            <v>Drypers</v>
          </cell>
        </row>
        <row r="129">
          <cell r="A129" t="str">
            <v>Drypers</v>
          </cell>
        </row>
        <row r="130">
          <cell r="A130" t="str">
            <v>Drypers</v>
          </cell>
        </row>
        <row r="131">
          <cell r="A131" t="str">
            <v>ECO (Fund V)</v>
          </cell>
        </row>
        <row r="132">
          <cell r="A132" t="str">
            <v>ECO (Fund V)</v>
          </cell>
        </row>
        <row r="133">
          <cell r="A133" t="str">
            <v>ECO (Fund V)</v>
          </cell>
        </row>
        <row r="134">
          <cell r="A134" t="str">
            <v>ECO (Fund V)</v>
          </cell>
          <cell r="F134">
            <v>52349283.289950103</v>
          </cell>
        </row>
        <row r="135">
          <cell r="A135" t="str">
            <v>ECO (Fund V-S)</v>
          </cell>
        </row>
        <row r="136">
          <cell r="A136" t="str">
            <v>ECO (Fund V-S)</v>
          </cell>
        </row>
        <row r="137">
          <cell r="A137" t="str">
            <v>ECO (Fund V-S)</v>
          </cell>
        </row>
        <row r="138">
          <cell r="A138" t="str">
            <v>ECO (Fund V-S)</v>
          </cell>
          <cell r="F138">
            <v>3341443.6142521342</v>
          </cell>
        </row>
        <row r="139">
          <cell r="A139" t="str">
            <v>Emerald Headway</v>
          </cell>
        </row>
        <row r="140">
          <cell r="A140" t="str">
            <v>Emerald Headway</v>
          </cell>
          <cell r="F140">
            <v>1700561.3233026206</v>
          </cell>
        </row>
        <row r="141">
          <cell r="A141" t="str">
            <v>Europcar (Fund III - CMF I)</v>
          </cell>
        </row>
        <row r="142">
          <cell r="A142" t="str">
            <v>Europcar (Fund III - CMF I)</v>
          </cell>
        </row>
        <row r="143">
          <cell r="A143" t="str">
            <v>Europcar (Fund III - CMF I)</v>
          </cell>
        </row>
        <row r="144">
          <cell r="A144" t="str">
            <v>Europcar (Fund III - CMF I)</v>
          </cell>
          <cell r="F144">
            <v>2360325.1200000001</v>
          </cell>
        </row>
        <row r="145">
          <cell r="A145" t="str">
            <v>Europcar (Fund IV)</v>
          </cell>
        </row>
        <row r="146">
          <cell r="A146" t="str">
            <v>Europcar (Fund IV)</v>
          </cell>
        </row>
        <row r="147">
          <cell r="A147" t="str">
            <v>Europcar (Fund IV)</v>
          </cell>
        </row>
        <row r="148">
          <cell r="A148" t="str">
            <v>Europcar (Fund IV)</v>
          </cell>
        </row>
        <row r="149">
          <cell r="A149" t="str">
            <v>Europcar (Fund IV)</v>
          </cell>
        </row>
        <row r="150">
          <cell r="A150" t="str">
            <v>Europcar (Fund IV)</v>
          </cell>
        </row>
        <row r="151">
          <cell r="A151" t="str">
            <v>Europcar (Fund IV)</v>
          </cell>
        </row>
        <row r="152">
          <cell r="A152" t="str">
            <v>Europcar (Fund IV)</v>
          </cell>
          <cell r="F152">
            <v>4621708.8</v>
          </cell>
        </row>
        <row r="153">
          <cell r="A153" t="str">
            <v>Grace Park (Fund I/II)</v>
          </cell>
        </row>
        <row r="154">
          <cell r="A154" t="str">
            <v>Grace Park (Fund I/II)</v>
          </cell>
          <cell r="F154">
            <v>0</v>
          </cell>
        </row>
        <row r="155">
          <cell r="A155" t="str">
            <v>Grace Park (Fund III - CMF I))</v>
          </cell>
        </row>
        <row r="156">
          <cell r="A156" t="str">
            <v>Grace Park (Fund III - CMF I))</v>
          </cell>
          <cell r="F156">
            <v>0</v>
          </cell>
        </row>
        <row r="157">
          <cell r="A157" t="str">
            <v>Grace Park (Fund III)</v>
          </cell>
        </row>
        <row r="158">
          <cell r="A158" t="str">
            <v>Grace Park (Fund III)</v>
          </cell>
          <cell r="F158">
            <v>0</v>
          </cell>
        </row>
        <row r="159">
          <cell r="A159" t="str">
            <v>Hill (Fund III - CMF I)</v>
          </cell>
        </row>
        <row r="160">
          <cell r="A160" t="str">
            <v>Hill (Fund III - CMF I)</v>
          </cell>
        </row>
        <row r="161">
          <cell r="A161" t="str">
            <v>Hill (Fund III - CMF I)</v>
          </cell>
        </row>
        <row r="162">
          <cell r="A162" t="str">
            <v>Hill (Fund III - CMF I)</v>
          </cell>
          <cell r="F162">
            <v>1572935</v>
          </cell>
        </row>
        <row r="163">
          <cell r="A163" t="str">
            <v>Hill (Fund IV)</v>
          </cell>
        </row>
        <row r="164">
          <cell r="A164" t="str">
            <v>Hill (Fund IV)</v>
          </cell>
        </row>
        <row r="165">
          <cell r="A165" t="str">
            <v>Hill (Fund IV)</v>
          </cell>
        </row>
        <row r="166">
          <cell r="A166" t="str">
            <v>Hill (Fund IV)</v>
          </cell>
        </row>
        <row r="167">
          <cell r="A167" t="str">
            <v>Hill (Fund IV)</v>
          </cell>
        </row>
        <row r="168">
          <cell r="A168" t="str">
            <v>Hill (Fund IV)</v>
          </cell>
        </row>
        <row r="169">
          <cell r="A169" t="str">
            <v>Hill (Fund IV)</v>
          </cell>
        </row>
        <row r="170">
          <cell r="A170" t="str">
            <v>Hill (Fund IV)</v>
          </cell>
          <cell r="F170">
            <v>4718805</v>
          </cell>
        </row>
        <row r="171">
          <cell r="A171" t="str">
            <v>HLS (Fund IV)</v>
          </cell>
        </row>
        <row r="172">
          <cell r="A172" t="str">
            <v>HLS (Fund IV)</v>
          </cell>
        </row>
        <row r="173">
          <cell r="A173" t="str">
            <v>HLS (Fund IV)</v>
          </cell>
          <cell r="F173">
            <v>32121906.669662278</v>
          </cell>
        </row>
        <row r="174">
          <cell r="A174" t="str">
            <v>HLS (Fund IV-S)</v>
          </cell>
        </row>
        <row r="175">
          <cell r="A175" t="str">
            <v>HLS (Fund IV-S)</v>
          </cell>
        </row>
        <row r="176">
          <cell r="A176" t="str">
            <v>HLS (Fund IV-S)</v>
          </cell>
          <cell r="F176">
            <v>6579185.7034248048</v>
          </cell>
        </row>
        <row r="177">
          <cell r="A177" t="str">
            <v>IHC</v>
          </cell>
        </row>
        <row r="178">
          <cell r="A178" t="str">
            <v>IHC</v>
          </cell>
          <cell r="F178">
            <v>22992187.5</v>
          </cell>
        </row>
        <row r="179">
          <cell r="A179" t="str">
            <v>Isuta (Fund III - CMF I)</v>
          </cell>
        </row>
        <row r="180">
          <cell r="A180" t="str">
            <v>Isuta (Fund III - CMF I)</v>
          </cell>
          <cell r="F180">
            <v>0</v>
          </cell>
        </row>
        <row r="181">
          <cell r="A181" t="str">
            <v>Isuta (Fund III)</v>
          </cell>
        </row>
        <row r="182">
          <cell r="A182" t="str">
            <v>Isuta (Fund III)</v>
          </cell>
          <cell r="F182">
            <v>0</v>
          </cell>
        </row>
        <row r="183">
          <cell r="A183" t="str">
            <v>KFC (Fund III)</v>
          </cell>
        </row>
        <row r="184">
          <cell r="A184" t="str">
            <v>KFC (Fund III)</v>
          </cell>
          <cell r="F184">
            <v>21771341.574611772</v>
          </cell>
        </row>
        <row r="185">
          <cell r="A185" t="str">
            <v>KFC (Fund IV)</v>
          </cell>
        </row>
        <row r="186">
          <cell r="A186" t="str">
            <v>KFC (Fund IV)</v>
          </cell>
          <cell r="F186">
            <v>13411821.926700074</v>
          </cell>
        </row>
        <row r="187">
          <cell r="A187" t="str">
            <v>Linatex (Fund IV)</v>
          </cell>
        </row>
        <row r="188">
          <cell r="A188" t="str">
            <v>Linatex (Fund IV)</v>
          </cell>
        </row>
        <row r="189">
          <cell r="A189" t="str">
            <v>Linatex (Fund IV)</v>
          </cell>
        </row>
        <row r="190">
          <cell r="A190" t="str">
            <v>Linatex (Fund IV)</v>
          </cell>
        </row>
        <row r="191">
          <cell r="A191" t="str">
            <v>Linatex (Fund IV)</v>
          </cell>
          <cell r="F191">
            <v>145690000</v>
          </cell>
        </row>
        <row r="192">
          <cell r="A192" t="str">
            <v>Linatex (Fund IV-S)</v>
          </cell>
        </row>
        <row r="193">
          <cell r="A193" t="str">
            <v>Linatex (Fund IV-S)</v>
          </cell>
        </row>
        <row r="194">
          <cell r="A194" t="str">
            <v>Linatex (Fund IV-S)</v>
          </cell>
          <cell r="F194">
            <v>25710000</v>
          </cell>
        </row>
        <row r="195">
          <cell r="A195" t="str">
            <v>Mars</v>
          </cell>
        </row>
        <row r="196">
          <cell r="A196" t="str">
            <v>Mars</v>
          </cell>
        </row>
        <row r="197">
          <cell r="A197" t="str">
            <v>Mars</v>
          </cell>
        </row>
        <row r="198">
          <cell r="A198" t="str">
            <v>Mars</v>
          </cell>
        </row>
        <row r="199">
          <cell r="A199" t="str">
            <v>Mars</v>
          </cell>
          <cell r="F199">
            <v>18192034.64576951</v>
          </cell>
        </row>
        <row r="200">
          <cell r="A200" t="str">
            <v>Mentor Media (Fund IV)</v>
          </cell>
        </row>
        <row r="201">
          <cell r="A201" t="str">
            <v>Mentor Media (Fund IV)</v>
          </cell>
        </row>
        <row r="202">
          <cell r="A202" t="str">
            <v>Mentor Media (Fund IV)</v>
          </cell>
        </row>
        <row r="203">
          <cell r="A203" t="str">
            <v>Mentor Media (Fund IV)</v>
          </cell>
        </row>
        <row r="204">
          <cell r="A204" t="str">
            <v>Mentor Media (Fund IV)</v>
          </cell>
          <cell r="F204">
            <v>32633405.498695631</v>
          </cell>
        </row>
        <row r="205">
          <cell r="A205" t="str">
            <v>Mentor Media (Fund IV-S)</v>
          </cell>
        </row>
        <row r="206">
          <cell r="A206" t="str">
            <v>Mentor Media (Fund IV-S)</v>
          </cell>
        </row>
        <row r="207">
          <cell r="A207" t="str">
            <v>Mentor Media (Fund IV-S)</v>
          </cell>
        </row>
        <row r="208">
          <cell r="A208" t="str">
            <v>Mentor Media (Fund IV-S)</v>
          </cell>
        </row>
        <row r="209">
          <cell r="A209" t="str">
            <v>Mentor Media (Fund IV-S)</v>
          </cell>
          <cell r="F209">
            <v>4869405.8514229432</v>
          </cell>
        </row>
        <row r="210">
          <cell r="A210" t="str">
            <v>Mentor Media (Fund V)</v>
          </cell>
        </row>
        <row r="211">
          <cell r="A211" t="str">
            <v>Mentor Media (Fund V)</v>
          </cell>
          <cell r="F211">
            <v>53760799.960944578</v>
          </cell>
        </row>
        <row r="212">
          <cell r="A212" t="str">
            <v>Nirulas (Fund IV)</v>
          </cell>
        </row>
        <row r="213">
          <cell r="A213" t="str">
            <v>Nirulas (Fund IV)</v>
          </cell>
        </row>
        <row r="214">
          <cell r="A214" t="str">
            <v>Nirulas (Fund IV)</v>
          </cell>
        </row>
        <row r="215">
          <cell r="A215" t="str">
            <v>Nirulas (Fund IV)</v>
          </cell>
        </row>
        <row r="216">
          <cell r="A216" t="str">
            <v>Nirulas (Fund IV)</v>
          </cell>
          <cell r="F216">
            <v>31744876.589379214</v>
          </cell>
        </row>
        <row r="217">
          <cell r="A217" t="str">
            <v>Nirulas (Fund IV-S)</v>
          </cell>
        </row>
        <row r="218">
          <cell r="A218" t="str">
            <v>Nirulas (Fund IV-S)</v>
          </cell>
        </row>
        <row r="219">
          <cell r="A219" t="str">
            <v>Nirulas (Fund IV-S)</v>
          </cell>
        </row>
        <row r="220">
          <cell r="A220" t="str">
            <v>Nirulas (Fund IV-S)</v>
          </cell>
        </row>
        <row r="221">
          <cell r="A221" t="str">
            <v>Nirulas (Fund IV-S)</v>
          </cell>
          <cell r="F221">
            <v>10581625.529793071</v>
          </cell>
        </row>
        <row r="222">
          <cell r="A222" t="str">
            <v>NLV</v>
          </cell>
        </row>
        <row r="223">
          <cell r="A223" t="str">
            <v>NLV</v>
          </cell>
        </row>
        <row r="224">
          <cell r="A224" t="str">
            <v>NLV</v>
          </cell>
        </row>
        <row r="225">
          <cell r="A225" t="str">
            <v>NLV</v>
          </cell>
        </row>
        <row r="226">
          <cell r="A226" t="str">
            <v>NLV</v>
          </cell>
        </row>
        <row r="227">
          <cell r="A227" t="str">
            <v>NLV</v>
          </cell>
          <cell r="F227">
            <v>54961943.749999993</v>
          </cell>
        </row>
        <row r="228">
          <cell r="A228" t="str">
            <v>OCL</v>
          </cell>
        </row>
        <row r="229">
          <cell r="A229" t="str">
            <v>OCL</v>
          </cell>
        </row>
        <row r="230">
          <cell r="A230" t="str">
            <v>OCL</v>
          </cell>
          <cell r="F230">
            <v>12677742.395457271</v>
          </cell>
        </row>
        <row r="231">
          <cell r="A231" t="str">
            <v>Peoplebank</v>
          </cell>
        </row>
        <row r="232">
          <cell r="A232" t="str">
            <v>Peoplebank</v>
          </cell>
          <cell r="F232">
            <v>34715442.178689994</v>
          </cell>
        </row>
        <row r="233">
          <cell r="A233" t="str">
            <v>PMI (Fund V)</v>
          </cell>
        </row>
        <row r="234">
          <cell r="A234" t="str">
            <v>PMI (Fund V)</v>
          </cell>
        </row>
        <row r="235">
          <cell r="A235" t="str">
            <v>PMI (Fund V)</v>
          </cell>
          <cell r="F235">
            <v>24670935.096000001</v>
          </cell>
        </row>
        <row r="236">
          <cell r="A236" t="str">
            <v>PMI (Fund V-S)</v>
          </cell>
        </row>
        <row r="237">
          <cell r="A237" t="str">
            <v>PMI (Fund V-S)</v>
          </cell>
        </row>
        <row r="238">
          <cell r="A238" t="str">
            <v>PMI (Fund V-S)</v>
          </cell>
          <cell r="F238">
            <v>2145298.7039999999</v>
          </cell>
        </row>
        <row r="239">
          <cell r="A239" t="str">
            <v>Profab (Fund V)</v>
          </cell>
        </row>
        <row r="240">
          <cell r="A240" t="str">
            <v>Profab (Fund V)</v>
          </cell>
          <cell r="F240">
            <v>52156136.581251815</v>
          </cell>
        </row>
        <row r="241">
          <cell r="A241" t="str">
            <v>Profab (Fund V-S)</v>
          </cell>
        </row>
        <row r="242">
          <cell r="A242" t="str">
            <v>Profab (Fund V-S)</v>
          </cell>
          <cell r="F242">
            <v>3329115.1009309674</v>
          </cell>
        </row>
        <row r="243">
          <cell r="A243" t="str">
            <v>RPS (Fund III - CMF I)</v>
          </cell>
        </row>
        <row r="244">
          <cell r="A244" t="str">
            <v>RPS (Fund III - CMF I)</v>
          </cell>
        </row>
        <row r="245">
          <cell r="A245" t="str">
            <v>RPS (Fund III - CMF I)</v>
          </cell>
        </row>
        <row r="246">
          <cell r="A246" t="str">
            <v>RPS (Fund III - CMF I)</v>
          </cell>
          <cell r="F246">
            <v>1264016</v>
          </cell>
        </row>
        <row r="247">
          <cell r="A247" t="str">
            <v>RPS (Fund III)</v>
          </cell>
        </row>
        <row r="248">
          <cell r="A248" t="str">
            <v>RPS (Fund III)</v>
          </cell>
        </row>
        <row r="249">
          <cell r="A249" t="str">
            <v>RPS (Fund III)</v>
          </cell>
        </row>
        <row r="250">
          <cell r="A250" t="str">
            <v>RPS (Fund III)</v>
          </cell>
          <cell r="F250">
            <v>1826021.75</v>
          </cell>
        </row>
        <row r="251">
          <cell r="A251" t="str">
            <v>Sky (Fund III - CMF I)</v>
          </cell>
        </row>
        <row r="252">
          <cell r="A252" t="str">
            <v>Sky (Fund III - CMF I)</v>
          </cell>
        </row>
        <row r="253">
          <cell r="A253" t="str">
            <v>Sky (Fund III - CMF I)</v>
          </cell>
        </row>
        <row r="254">
          <cell r="A254" t="str">
            <v>Sky (Fund III - CMF I)</v>
          </cell>
        </row>
        <row r="255">
          <cell r="A255" t="str">
            <v>Sky (Fund III - CMF I)</v>
          </cell>
          <cell r="F255">
            <v>5943916.2317406349</v>
          </cell>
        </row>
        <row r="256">
          <cell r="A256" t="str">
            <v>Sky (Fund III)</v>
          </cell>
        </row>
        <row r="257">
          <cell r="A257" t="str">
            <v>Sky (Fund III)</v>
          </cell>
        </row>
        <row r="258">
          <cell r="A258" t="str">
            <v>Sky (Fund III)</v>
          </cell>
        </row>
        <row r="259">
          <cell r="A259" t="str">
            <v>Sky (Fund III)</v>
          </cell>
        </row>
        <row r="260">
          <cell r="A260" t="str">
            <v>Sky (Fund III)</v>
          </cell>
        </row>
        <row r="261">
          <cell r="A261" t="str">
            <v>Sky (Fund III)</v>
          </cell>
          <cell r="F261">
            <v>8208265.2724037357</v>
          </cell>
        </row>
        <row r="262">
          <cell r="A262" t="str">
            <v>TrimCo</v>
          </cell>
        </row>
        <row r="263">
          <cell r="A263" t="str">
            <v>TrimCo</v>
          </cell>
          <cell r="F263">
            <v>49699342.088355392</v>
          </cell>
        </row>
        <row r="264">
          <cell r="A264" t="str">
            <v>Wall Street (Fund IV)</v>
          </cell>
        </row>
        <row r="265">
          <cell r="A265" t="str">
            <v>Wall Street (Fund IV)</v>
          </cell>
        </row>
        <row r="266">
          <cell r="A266" t="str">
            <v>Wall Street (Fund IV)</v>
          </cell>
        </row>
        <row r="267">
          <cell r="A267" t="str">
            <v>Wall Street (Fund IV)</v>
          </cell>
          <cell r="F267">
            <v>21372414.809641954</v>
          </cell>
        </row>
        <row r="268">
          <cell r="A268" t="str">
            <v>Wall Street (Fund IV-S)</v>
          </cell>
        </row>
        <row r="269">
          <cell r="A269" t="str">
            <v>Wall Street (Fund IV-S)</v>
          </cell>
        </row>
        <row r="270">
          <cell r="A270" t="str">
            <v>Wall Street (Fund IV-S)</v>
          </cell>
        </row>
        <row r="271">
          <cell r="A271" t="str">
            <v>Wall Street (Fund IV-S)</v>
          </cell>
          <cell r="F271">
            <v>3771602.6134662274</v>
          </cell>
        </row>
        <row r="272">
          <cell r="A272" t="str">
            <v>Wendy's</v>
          </cell>
        </row>
        <row r="273">
          <cell r="A273" t="str">
            <v>Wendy's</v>
          </cell>
        </row>
        <row r="274">
          <cell r="A274" t="str">
            <v>Wendy's</v>
          </cell>
        </row>
        <row r="275">
          <cell r="A275" t="str">
            <v>Wendy's</v>
          </cell>
          <cell r="F275">
            <v>15522748.041045617</v>
          </cell>
        </row>
        <row r="276">
          <cell r="A276" t="str">
            <v>Worldwide (Fund IV)</v>
          </cell>
        </row>
        <row r="277">
          <cell r="A277" t="str">
            <v>Worldwide (Fund IV)</v>
          </cell>
        </row>
        <row r="278">
          <cell r="A278" t="str">
            <v>Worldwide (Fund IV)</v>
          </cell>
        </row>
        <row r="279">
          <cell r="A279" t="str">
            <v>Worldwide (Fund IV)</v>
          </cell>
          <cell r="F279">
            <v>2346262.794679353</v>
          </cell>
        </row>
        <row r="280">
          <cell r="A280" t="str">
            <v>Worldwide (Fund IV-S)</v>
          </cell>
        </row>
        <row r="281">
          <cell r="A281" t="str">
            <v>Worldwide (Fund IV-S)</v>
          </cell>
        </row>
        <row r="282">
          <cell r="A282" t="str">
            <v>Worldwide (Fund IV-S)</v>
          </cell>
        </row>
        <row r="283">
          <cell r="A283" t="str">
            <v>Worldwide (Fund IV-S)</v>
          </cell>
          <cell r="F283">
            <v>414046.37553165056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 - by date"/>
      <sheetName val="HL Company Sorts - by date (2) "/>
      <sheetName val="HL Company Sorts - by alphabeth"/>
      <sheetName val="HL Company Sorts - by multiple"/>
      <sheetName val="Sheet1"/>
      <sheetName val="HL Company Summary"/>
      <sheetName val="HL IRR"/>
      <sheetName val="HL Value Creation"/>
      <sheetName val="HL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K9" t="str">
            <v>Food</v>
          </cell>
          <cell r="L9" t="str">
            <v>Thailand</v>
          </cell>
          <cell r="M9" t="str">
            <v>Southeast Asia</v>
          </cell>
          <cell r="N9" t="str">
            <v>Intermediary</v>
          </cell>
          <cell r="O9" t="str">
            <v>Richard Foyston</v>
          </cell>
          <cell r="P9">
            <v>0.9</v>
          </cell>
          <cell r="Q9">
            <v>0</v>
          </cell>
          <cell r="R9">
            <v>7.7880000000000003</v>
          </cell>
          <cell r="S9">
            <v>10.9</v>
          </cell>
          <cell r="T9">
            <v>1.6198742221142468</v>
          </cell>
          <cell r="U9">
            <v>0.16267473101615904</v>
          </cell>
        </row>
        <row r="10">
          <cell r="K10" t="str">
            <v>Food</v>
          </cell>
          <cell r="L10" t="str">
            <v>Thailand</v>
          </cell>
          <cell r="M10" t="str">
            <v>Southeast Asia</v>
          </cell>
          <cell r="N10" t="str">
            <v>Intermediary</v>
          </cell>
          <cell r="O10" t="str">
            <v>Richard Foyston</v>
          </cell>
          <cell r="P10">
            <v>0.9</v>
          </cell>
          <cell r="Q10">
            <v>0</v>
          </cell>
          <cell r="R10">
            <v>7.7880000000000003</v>
          </cell>
          <cell r="S10">
            <v>10.9</v>
          </cell>
          <cell r="T10">
            <v>1.6198742221142468</v>
          </cell>
          <cell r="U10">
            <v>0.16267473101615904</v>
          </cell>
        </row>
        <row r="11">
          <cell r="K11" t="str">
            <v>Food</v>
          </cell>
          <cell r="L11" t="str">
            <v>Thailand</v>
          </cell>
          <cell r="M11" t="str">
            <v>Southeast Asia</v>
          </cell>
          <cell r="N11" t="str">
            <v>Intermediary</v>
          </cell>
          <cell r="O11" t="str">
            <v>Richard Foyston</v>
          </cell>
          <cell r="P11">
            <v>0.9</v>
          </cell>
          <cell r="Q11">
            <v>0</v>
          </cell>
          <cell r="R11">
            <v>7.7880000000000003</v>
          </cell>
          <cell r="S11">
            <v>10.9</v>
          </cell>
          <cell r="T11">
            <v>1.6198742221142468</v>
          </cell>
          <cell r="U11">
            <v>0.16267473101615904</v>
          </cell>
        </row>
        <row r="12">
          <cell r="K12" t="str">
            <v>Food</v>
          </cell>
          <cell r="L12" t="str">
            <v>Thailand</v>
          </cell>
          <cell r="M12" t="str">
            <v>Southeast Asia</v>
          </cell>
          <cell r="N12" t="str">
            <v>Intermediary</v>
          </cell>
          <cell r="O12" t="str">
            <v>Richard Foyston</v>
          </cell>
          <cell r="P12">
            <v>0.9</v>
          </cell>
          <cell r="Q12">
            <v>0</v>
          </cell>
          <cell r="R12">
            <v>7.7880000000000003</v>
          </cell>
          <cell r="S12">
            <v>10.9</v>
          </cell>
          <cell r="T12">
            <v>1.6198742221142468</v>
          </cell>
          <cell r="U12">
            <v>0.16267473101615904</v>
          </cell>
        </row>
        <row r="13">
          <cell r="K13" t="str">
            <v>Food</v>
          </cell>
          <cell r="L13" t="str">
            <v>Thailand</v>
          </cell>
          <cell r="M13" t="str">
            <v>Southeast Asia</v>
          </cell>
          <cell r="N13" t="str">
            <v>Intermediary</v>
          </cell>
          <cell r="O13" t="str">
            <v>Richard Foyston</v>
          </cell>
          <cell r="P13">
            <v>0.9</v>
          </cell>
          <cell r="Q13">
            <v>0</v>
          </cell>
          <cell r="R13">
            <v>7.7880000000000003</v>
          </cell>
          <cell r="S13">
            <v>10.9</v>
          </cell>
          <cell r="T13">
            <v>1.6198742221142468</v>
          </cell>
          <cell r="U13">
            <v>0.16267473101615904</v>
          </cell>
        </row>
        <row r="14">
          <cell r="K14" t="str">
            <v>Food</v>
          </cell>
          <cell r="L14" t="str">
            <v>Thailand</v>
          </cell>
          <cell r="M14" t="str">
            <v>Southeast Asia</v>
          </cell>
          <cell r="N14" t="str">
            <v>Intermediary</v>
          </cell>
          <cell r="O14" t="str">
            <v>Richard Foyston</v>
          </cell>
          <cell r="P14">
            <v>0.9</v>
          </cell>
          <cell r="Q14">
            <v>0</v>
          </cell>
          <cell r="R14">
            <v>7.7880000000000003</v>
          </cell>
          <cell r="S14">
            <v>10.9</v>
          </cell>
          <cell r="T14">
            <v>1.6198742221142468</v>
          </cell>
          <cell r="U14">
            <v>0.16267473101615904</v>
          </cell>
        </row>
        <row r="15">
          <cell r="K15" t="str">
            <v>Food</v>
          </cell>
          <cell r="L15" t="str">
            <v>Thailand</v>
          </cell>
          <cell r="M15" t="str">
            <v>Southeast Asia</v>
          </cell>
          <cell r="N15" t="str">
            <v>Intermediary</v>
          </cell>
          <cell r="O15" t="str">
            <v>Richard Foyston</v>
          </cell>
          <cell r="P15">
            <v>0.9</v>
          </cell>
          <cell r="Q15">
            <v>0</v>
          </cell>
          <cell r="R15">
            <v>7.7880000000000003</v>
          </cell>
          <cell r="S15">
            <v>10.9</v>
          </cell>
          <cell r="T15">
            <v>1.6198742221142468</v>
          </cell>
          <cell r="U15">
            <v>0.16267473101615904</v>
          </cell>
        </row>
        <row r="16">
          <cell r="K16" t="str">
            <v>Food</v>
          </cell>
          <cell r="L16" t="str">
            <v>Thailand</v>
          </cell>
          <cell r="M16" t="str">
            <v>Southeast Asia</v>
          </cell>
          <cell r="N16" t="str">
            <v>Intermediary</v>
          </cell>
          <cell r="O16" t="str">
            <v>Richard Foyston</v>
          </cell>
          <cell r="P16">
            <v>0.9</v>
          </cell>
          <cell r="Q16">
            <v>0</v>
          </cell>
          <cell r="R16">
            <v>7.7880000000000003</v>
          </cell>
          <cell r="S16">
            <v>10.9</v>
          </cell>
          <cell r="T16">
            <v>1.6198742221142468</v>
          </cell>
          <cell r="U16">
            <v>0.16267473101615904</v>
          </cell>
        </row>
        <row r="17">
          <cell r="K17" t="str">
            <v>Food</v>
          </cell>
          <cell r="L17" t="str">
            <v>Thailand</v>
          </cell>
          <cell r="M17" t="str">
            <v>Southeast Asia</v>
          </cell>
          <cell r="N17" t="str">
            <v>Intermediary</v>
          </cell>
          <cell r="O17" t="str">
            <v>Richard Foyston</v>
          </cell>
          <cell r="P17">
            <v>0.9</v>
          </cell>
          <cell r="Q17">
            <v>0</v>
          </cell>
          <cell r="R17">
            <v>7.7880000000000003</v>
          </cell>
          <cell r="S17">
            <v>10.9</v>
          </cell>
          <cell r="T17">
            <v>1.6198742221142468</v>
          </cell>
          <cell r="U17">
            <v>0.16267473101615904</v>
          </cell>
        </row>
        <row r="18">
          <cell r="K18" t="str">
            <v>Food</v>
          </cell>
          <cell r="L18" t="str">
            <v>Thailand</v>
          </cell>
          <cell r="M18" t="str">
            <v>Southeast Asia</v>
          </cell>
          <cell r="N18" t="str">
            <v>Intermediary</v>
          </cell>
          <cell r="O18" t="str">
            <v>Richard Foyston</v>
          </cell>
          <cell r="P18">
            <v>0.9</v>
          </cell>
          <cell r="Q18">
            <v>0</v>
          </cell>
          <cell r="R18">
            <v>7.7880000000000003</v>
          </cell>
          <cell r="S18">
            <v>10.9</v>
          </cell>
          <cell r="T18">
            <v>1.6198742221142468</v>
          </cell>
          <cell r="U18">
            <v>0.16267473101615904</v>
          </cell>
        </row>
        <row r="19">
          <cell r="K19" t="str">
            <v>Food</v>
          </cell>
          <cell r="L19" t="str">
            <v>Thailand</v>
          </cell>
          <cell r="M19" t="str">
            <v>Southeast Asia</v>
          </cell>
          <cell r="N19" t="str">
            <v>Intermediary</v>
          </cell>
          <cell r="O19" t="str">
            <v>Richard Foyston</v>
          </cell>
          <cell r="P19">
            <v>0.9</v>
          </cell>
          <cell r="Q19">
            <v>0</v>
          </cell>
          <cell r="R19">
            <v>7.7880000000000003</v>
          </cell>
          <cell r="S19">
            <v>10.9</v>
          </cell>
          <cell r="T19">
            <v>1.6198742221142468</v>
          </cell>
          <cell r="U19">
            <v>0.16267473101615904</v>
          </cell>
        </row>
        <row r="20">
          <cell r="K20" t="str">
            <v>Food</v>
          </cell>
          <cell r="L20" t="str">
            <v>Thailand</v>
          </cell>
          <cell r="M20" t="str">
            <v>Southeast Asia</v>
          </cell>
          <cell r="N20" t="str">
            <v>Intermediary</v>
          </cell>
          <cell r="O20" t="str">
            <v>Richard Foyston</v>
          </cell>
          <cell r="P20">
            <v>0.9</v>
          </cell>
          <cell r="Q20">
            <v>0</v>
          </cell>
          <cell r="R20">
            <v>7.7880000000000003</v>
          </cell>
          <cell r="S20">
            <v>10.9</v>
          </cell>
          <cell r="T20">
            <v>1.6198742221142468</v>
          </cell>
          <cell r="U20">
            <v>0.16267473101615904</v>
          </cell>
        </row>
        <row r="21">
          <cell r="K21" t="str">
            <v>Food</v>
          </cell>
          <cell r="L21" t="str">
            <v>Thailand</v>
          </cell>
          <cell r="M21" t="str">
            <v>Southeast Asia</v>
          </cell>
          <cell r="N21" t="str">
            <v>Intermediary</v>
          </cell>
          <cell r="O21" t="str">
            <v>Richard Foyston</v>
          </cell>
          <cell r="P21">
            <v>0.9</v>
          </cell>
          <cell r="Q21">
            <v>0</v>
          </cell>
          <cell r="R21">
            <v>7.7880000000000003</v>
          </cell>
          <cell r="S21">
            <v>10.9</v>
          </cell>
          <cell r="T21">
            <v>1.6198742221142468</v>
          </cell>
          <cell r="U21">
            <v>0.16267473101615904</v>
          </cell>
        </row>
        <row r="22">
          <cell r="K22" t="str">
            <v>Food</v>
          </cell>
          <cell r="L22" t="str">
            <v>Thailand</v>
          </cell>
          <cell r="M22" t="str">
            <v>Southeast Asia</v>
          </cell>
          <cell r="N22" t="str">
            <v>Intermediary</v>
          </cell>
          <cell r="O22" t="str">
            <v>Richard Foyston</v>
          </cell>
          <cell r="P22">
            <v>0.9</v>
          </cell>
          <cell r="Q22">
            <v>0</v>
          </cell>
          <cell r="R22">
            <v>7.7880000000000003</v>
          </cell>
          <cell r="S22">
            <v>10.9</v>
          </cell>
          <cell r="T22">
            <v>1.6198742221142468</v>
          </cell>
          <cell r="U22">
            <v>0.16267473101615904</v>
          </cell>
        </row>
        <row r="23">
          <cell r="K23" t="str">
            <v>Food</v>
          </cell>
          <cell r="L23" t="str">
            <v>Thailand</v>
          </cell>
          <cell r="M23" t="str">
            <v>Southeast Asia</v>
          </cell>
          <cell r="N23" t="str">
            <v>Intermediary</v>
          </cell>
          <cell r="O23" t="str">
            <v>Richard Foyston</v>
          </cell>
          <cell r="P23">
            <v>0.9</v>
          </cell>
          <cell r="Q23">
            <v>0</v>
          </cell>
          <cell r="R23">
            <v>7.7880000000000003</v>
          </cell>
          <cell r="S23">
            <v>10.9</v>
          </cell>
          <cell r="T23">
            <v>1.6198742221142468</v>
          </cell>
          <cell r="U23">
            <v>0.16267473101615904</v>
          </cell>
        </row>
        <row r="24">
          <cell r="K24" t="str">
            <v>Food</v>
          </cell>
          <cell r="L24" t="str">
            <v>Thailand</v>
          </cell>
          <cell r="M24" t="str">
            <v>Southeast Asia</v>
          </cell>
          <cell r="N24" t="str">
            <v>Intermediary</v>
          </cell>
          <cell r="O24" t="str">
            <v>Richard Foyston</v>
          </cell>
          <cell r="P24">
            <v>0.9</v>
          </cell>
          <cell r="Q24">
            <v>0</v>
          </cell>
          <cell r="R24">
            <v>7.7880000000000003</v>
          </cell>
          <cell r="S24">
            <v>10.9</v>
          </cell>
          <cell r="T24">
            <v>1.6198742221142468</v>
          </cell>
          <cell r="U24">
            <v>0.16267473101615904</v>
          </cell>
        </row>
        <row r="25">
          <cell r="K25" t="str">
            <v>Food</v>
          </cell>
          <cell r="L25" t="str">
            <v>Thailand</v>
          </cell>
          <cell r="M25" t="str">
            <v>Southeast Asia</v>
          </cell>
          <cell r="N25" t="str">
            <v>Intermediary</v>
          </cell>
          <cell r="O25" t="str">
            <v>Richard Foyston</v>
          </cell>
          <cell r="P25">
            <v>0.9</v>
          </cell>
          <cell r="Q25">
            <v>0</v>
          </cell>
          <cell r="R25">
            <v>7.7880000000000003</v>
          </cell>
          <cell r="S25">
            <v>10.9</v>
          </cell>
          <cell r="T25">
            <v>1.6198742221142468</v>
          </cell>
          <cell r="U25">
            <v>0.16267473101615904</v>
          </cell>
        </row>
        <row r="26">
          <cell r="K26" t="str">
            <v>Food</v>
          </cell>
          <cell r="L26" t="str">
            <v>Thailand</v>
          </cell>
          <cell r="M26" t="str">
            <v>Southeast Asia</v>
          </cell>
          <cell r="N26" t="str">
            <v>Intermediary</v>
          </cell>
          <cell r="O26" t="str">
            <v>Richard Foyston</v>
          </cell>
          <cell r="P26">
            <v>0.9</v>
          </cell>
          <cell r="Q26">
            <v>0</v>
          </cell>
          <cell r="R26">
            <v>7.7880000000000003</v>
          </cell>
          <cell r="S26">
            <v>10.9</v>
          </cell>
          <cell r="T26">
            <v>1.6198742221142468</v>
          </cell>
          <cell r="U26">
            <v>0.16267473101615904</v>
          </cell>
        </row>
        <row r="27">
          <cell r="K27" t="str">
            <v>Food</v>
          </cell>
          <cell r="L27" t="str">
            <v>Thailand</v>
          </cell>
          <cell r="M27" t="str">
            <v>Southeast Asia</v>
          </cell>
          <cell r="N27" t="str">
            <v>Intermediary</v>
          </cell>
          <cell r="O27" t="str">
            <v>Richard Foyston</v>
          </cell>
          <cell r="P27">
            <v>0.9</v>
          </cell>
          <cell r="Q27">
            <v>0</v>
          </cell>
          <cell r="R27">
            <v>7.7880000000000003</v>
          </cell>
          <cell r="S27">
            <v>10.9</v>
          </cell>
          <cell r="T27">
            <v>1.6198742221142468</v>
          </cell>
          <cell r="U27">
            <v>0.16267473101615904</v>
          </cell>
        </row>
        <row r="28">
          <cell r="K28" t="str">
            <v>Food</v>
          </cell>
          <cell r="L28" t="str">
            <v>Thailand</v>
          </cell>
          <cell r="M28" t="str">
            <v>Southeast Asia</v>
          </cell>
          <cell r="N28" t="str">
            <v>Intermediary</v>
          </cell>
          <cell r="O28" t="str">
            <v>Richard Foyston</v>
          </cell>
          <cell r="P28">
            <v>0.9</v>
          </cell>
          <cell r="Q28">
            <v>0</v>
          </cell>
          <cell r="R28">
            <v>7.7880000000000003</v>
          </cell>
          <cell r="S28">
            <v>10.9</v>
          </cell>
          <cell r="T28">
            <v>1.6198742221142468</v>
          </cell>
          <cell r="U28">
            <v>0.16267473101615904</v>
          </cell>
        </row>
        <row r="29">
          <cell r="K29" t="str">
            <v>Food</v>
          </cell>
          <cell r="L29" t="str">
            <v>Thailand</v>
          </cell>
          <cell r="M29" t="str">
            <v>Southeast Asia</v>
          </cell>
          <cell r="N29" t="str">
            <v>Intermediary</v>
          </cell>
          <cell r="O29" t="str">
            <v>Richard Foyston</v>
          </cell>
          <cell r="P29">
            <v>0.9</v>
          </cell>
          <cell r="Q29">
            <v>0</v>
          </cell>
          <cell r="R29">
            <v>7.7880000000000003</v>
          </cell>
          <cell r="S29">
            <v>10.9</v>
          </cell>
          <cell r="T29">
            <v>1.6198742221142468</v>
          </cell>
          <cell r="U29">
            <v>0.16267473101615904</v>
          </cell>
        </row>
        <row r="30">
          <cell r="K30" t="str">
            <v>Food</v>
          </cell>
          <cell r="L30" t="str">
            <v>Thailand</v>
          </cell>
          <cell r="M30" t="str">
            <v>Southeast Asia</v>
          </cell>
          <cell r="N30" t="str">
            <v>Intermediary</v>
          </cell>
          <cell r="O30" t="str">
            <v>Richard Foyston</v>
          </cell>
          <cell r="P30">
            <v>0.9</v>
          </cell>
          <cell r="Q30">
            <v>0</v>
          </cell>
          <cell r="R30">
            <v>7.7880000000000003</v>
          </cell>
          <cell r="S30">
            <v>10.9</v>
          </cell>
          <cell r="T30">
            <v>1.6198742221142468</v>
          </cell>
          <cell r="U30">
            <v>0.16267473101615904</v>
          </cell>
        </row>
        <row r="31">
          <cell r="K31" t="str">
            <v>Services</v>
          </cell>
          <cell r="L31" t="str">
            <v>India</v>
          </cell>
          <cell r="M31" t="str">
            <v>India</v>
          </cell>
          <cell r="N31" t="str">
            <v>Direct Approach / Intermediary</v>
          </cell>
          <cell r="O31" t="str">
            <v>Michael Octoman</v>
          </cell>
          <cell r="P31">
            <v>0.60799999999999998</v>
          </cell>
          <cell r="Q31">
            <v>0</v>
          </cell>
          <cell r="R31">
            <v>26.841999999999999</v>
          </cell>
          <cell r="S31">
            <v>45.5</v>
          </cell>
          <cell r="T31">
            <v>1.3078160952237119</v>
          </cell>
          <cell r="U31">
            <v>0.58385763764381415</v>
          </cell>
        </row>
        <row r="32">
          <cell r="K32" t="str">
            <v>Services</v>
          </cell>
          <cell r="L32" t="str">
            <v>India</v>
          </cell>
          <cell r="M32" t="str">
            <v>India</v>
          </cell>
          <cell r="N32" t="str">
            <v>Direct Approach / Intermediary</v>
          </cell>
          <cell r="O32" t="str">
            <v>Michael Octoman</v>
          </cell>
          <cell r="P32">
            <v>0.60799999999999998</v>
          </cell>
          <cell r="Q32">
            <v>0</v>
          </cell>
          <cell r="R32">
            <v>26.841999999999999</v>
          </cell>
          <cell r="S32">
            <v>45.5</v>
          </cell>
          <cell r="T32">
            <v>1.3078160952237119</v>
          </cell>
          <cell r="U32">
            <v>0.58385763764381415</v>
          </cell>
        </row>
        <row r="33">
          <cell r="K33" t="str">
            <v>Food</v>
          </cell>
          <cell r="L33" t="str">
            <v>Thailand</v>
          </cell>
          <cell r="M33" t="str">
            <v>Southeast Asia</v>
          </cell>
          <cell r="N33" t="str">
            <v>Intermediary</v>
          </cell>
          <cell r="O33" t="str">
            <v>Richard Foyston</v>
          </cell>
          <cell r="P33">
            <v>0.83</v>
          </cell>
          <cell r="Q33">
            <v>0</v>
          </cell>
          <cell r="R33">
            <v>12.164</v>
          </cell>
          <cell r="S33">
            <v>22.1</v>
          </cell>
          <cell r="T33">
            <v>9.3275906399124793</v>
          </cell>
          <cell r="U33">
            <v>0.44871217608451852</v>
          </cell>
        </row>
        <row r="34">
          <cell r="K34" t="str">
            <v>Food</v>
          </cell>
          <cell r="L34" t="str">
            <v>Thailand</v>
          </cell>
          <cell r="M34" t="str">
            <v>Southeast Asia</v>
          </cell>
          <cell r="N34" t="str">
            <v>Intermediary</v>
          </cell>
          <cell r="O34" t="str">
            <v>Richard Foyston</v>
          </cell>
          <cell r="P34">
            <v>0.83</v>
          </cell>
          <cell r="Q34">
            <v>0</v>
          </cell>
          <cell r="R34">
            <v>12.164</v>
          </cell>
          <cell r="S34">
            <v>22.1</v>
          </cell>
          <cell r="T34">
            <v>9.3275906399124793</v>
          </cell>
          <cell r="U34">
            <v>0.44871217608451852</v>
          </cell>
        </row>
        <row r="35">
          <cell r="K35" t="str">
            <v>Food</v>
          </cell>
          <cell r="L35" t="str">
            <v>Thailand</v>
          </cell>
          <cell r="M35" t="str">
            <v>Southeast Asia</v>
          </cell>
          <cell r="N35" t="str">
            <v>Intermediary</v>
          </cell>
          <cell r="O35" t="str">
            <v>Richard Foyston</v>
          </cell>
          <cell r="P35">
            <v>0.83</v>
          </cell>
          <cell r="Q35">
            <v>0</v>
          </cell>
          <cell r="R35">
            <v>12.164</v>
          </cell>
          <cell r="S35">
            <v>22.1</v>
          </cell>
          <cell r="T35">
            <v>9.3275906399124793</v>
          </cell>
          <cell r="U35">
            <v>0.44871217608451852</v>
          </cell>
        </row>
        <row r="36">
          <cell r="K36" t="str">
            <v>Food</v>
          </cell>
          <cell r="L36" t="str">
            <v>Thailand</v>
          </cell>
          <cell r="M36" t="str">
            <v>Southeast Asia</v>
          </cell>
          <cell r="N36" t="str">
            <v>Intermediary</v>
          </cell>
          <cell r="O36" t="str">
            <v>Richard Foyston</v>
          </cell>
          <cell r="P36">
            <v>0.83</v>
          </cell>
          <cell r="Q36">
            <v>0</v>
          </cell>
          <cell r="R36">
            <v>12.164</v>
          </cell>
          <cell r="S36">
            <v>22.1</v>
          </cell>
          <cell r="T36">
            <v>9.3275906399124793</v>
          </cell>
          <cell r="U36">
            <v>0.44871217608451852</v>
          </cell>
        </row>
        <row r="37">
          <cell r="K37" t="str">
            <v>Food</v>
          </cell>
          <cell r="L37" t="str">
            <v>Thailand</v>
          </cell>
          <cell r="M37" t="str">
            <v>Southeast Asia</v>
          </cell>
          <cell r="N37" t="str">
            <v>Intermediary</v>
          </cell>
          <cell r="O37" t="str">
            <v>Richard Foyston</v>
          </cell>
          <cell r="P37">
            <v>0.83</v>
          </cell>
          <cell r="Q37">
            <v>0</v>
          </cell>
          <cell r="R37">
            <v>12.164</v>
          </cell>
          <cell r="S37">
            <v>22.1</v>
          </cell>
          <cell r="T37">
            <v>9.3275906399124793</v>
          </cell>
          <cell r="U37">
            <v>0.44871217608451852</v>
          </cell>
        </row>
        <row r="38">
          <cell r="K38" t="str">
            <v>Food</v>
          </cell>
          <cell r="L38" t="str">
            <v>Thailand</v>
          </cell>
          <cell r="M38" t="str">
            <v>Southeast Asia</v>
          </cell>
          <cell r="N38" t="str">
            <v>Intermediary</v>
          </cell>
          <cell r="O38" t="str">
            <v>Richard Foyston</v>
          </cell>
          <cell r="P38">
            <v>0.83</v>
          </cell>
          <cell r="Q38">
            <v>0</v>
          </cell>
          <cell r="R38">
            <v>12.164</v>
          </cell>
          <cell r="S38">
            <v>22.1</v>
          </cell>
          <cell r="T38">
            <v>9.3275906399124793</v>
          </cell>
          <cell r="U38">
            <v>0.44871217608451852</v>
          </cell>
        </row>
        <row r="39">
          <cell r="K39" t="str">
            <v>Food</v>
          </cell>
          <cell r="L39" t="str">
            <v>Thailand</v>
          </cell>
          <cell r="M39" t="str">
            <v>Southeast Asia</v>
          </cell>
          <cell r="N39" t="str">
            <v>Intermediary</v>
          </cell>
          <cell r="O39" t="str">
            <v>Richard Foyston</v>
          </cell>
          <cell r="P39">
            <v>0.83</v>
          </cell>
          <cell r="Q39">
            <v>0</v>
          </cell>
          <cell r="R39">
            <v>12.164</v>
          </cell>
          <cell r="S39">
            <v>22.1</v>
          </cell>
          <cell r="T39">
            <v>9.3275906399124793</v>
          </cell>
          <cell r="U39">
            <v>0.44871217608451852</v>
          </cell>
        </row>
        <row r="40">
          <cell r="K40" t="str">
            <v>Food</v>
          </cell>
          <cell r="L40" t="str">
            <v>Thailand</v>
          </cell>
          <cell r="M40" t="str">
            <v>Southeast Asia</v>
          </cell>
          <cell r="N40" t="str">
            <v>Intermediary</v>
          </cell>
          <cell r="O40" t="str">
            <v>Richard Foyston</v>
          </cell>
          <cell r="P40">
            <v>0.83</v>
          </cell>
          <cell r="Q40">
            <v>0</v>
          </cell>
          <cell r="R40">
            <v>12.164</v>
          </cell>
          <cell r="S40">
            <v>22.1</v>
          </cell>
          <cell r="T40">
            <v>9.3275906399124793</v>
          </cell>
          <cell r="U40">
            <v>0.44871217608451852</v>
          </cell>
        </row>
        <row r="41">
          <cell r="K41" t="str">
            <v>Food</v>
          </cell>
          <cell r="L41" t="str">
            <v>Thailand</v>
          </cell>
          <cell r="M41" t="str">
            <v>Southeast Asia</v>
          </cell>
          <cell r="N41" t="str">
            <v>Intermediary</v>
          </cell>
          <cell r="O41" t="str">
            <v>Richard Foyston</v>
          </cell>
          <cell r="P41">
            <v>0.83</v>
          </cell>
          <cell r="Q41">
            <v>0</v>
          </cell>
          <cell r="R41">
            <v>12.164</v>
          </cell>
          <cell r="S41">
            <v>22.1</v>
          </cell>
          <cell r="T41">
            <v>9.3275906399124793</v>
          </cell>
          <cell r="U41">
            <v>0.44871217608451852</v>
          </cell>
        </row>
        <row r="42">
          <cell r="K42" t="str">
            <v>Food</v>
          </cell>
          <cell r="L42" t="str">
            <v>Thailand</v>
          </cell>
          <cell r="M42" t="str">
            <v>Southeast Asia</v>
          </cell>
          <cell r="N42" t="str">
            <v>Intermediary</v>
          </cell>
          <cell r="O42" t="str">
            <v>Richard Foyston</v>
          </cell>
          <cell r="P42">
            <v>0.83</v>
          </cell>
          <cell r="Q42">
            <v>0</v>
          </cell>
          <cell r="R42">
            <v>12.164</v>
          </cell>
          <cell r="S42">
            <v>22.1</v>
          </cell>
          <cell r="T42">
            <v>9.3275906399124793</v>
          </cell>
          <cell r="U42">
            <v>0.44871217608451852</v>
          </cell>
        </row>
        <row r="43">
          <cell r="K43" t="str">
            <v>Food</v>
          </cell>
          <cell r="L43" t="str">
            <v>Thailand</v>
          </cell>
          <cell r="M43" t="str">
            <v>Southeast Asia</v>
          </cell>
          <cell r="N43" t="str">
            <v>Intermediary</v>
          </cell>
          <cell r="O43" t="str">
            <v>Richard Foyston</v>
          </cell>
          <cell r="P43">
            <v>0.83</v>
          </cell>
          <cell r="Q43">
            <v>0</v>
          </cell>
          <cell r="R43">
            <v>12.164</v>
          </cell>
          <cell r="S43">
            <v>22.1</v>
          </cell>
          <cell r="T43">
            <v>9.3275906399124793</v>
          </cell>
          <cell r="U43">
            <v>0.44871217608451852</v>
          </cell>
        </row>
        <row r="44">
          <cell r="K44" t="str">
            <v>Food</v>
          </cell>
          <cell r="L44" t="str">
            <v>Thailand</v>
          </cell>
          <cell r="M44" t="str">
            <v>Southeast Asia</v>
          </cell>
          <cell r="N44" t="str">
            <v>Intermediary</v>
          </cell>
          <cell r="O44" t="str">
            <v>Richard Foyston</v>
          </cell>
          <cell r="P44">
            <v>0.83</v>
          </cell>
          <cell r="Q44">
            <v>0</v>
          </cell>
          <cell r="R44">
            <v>12.164</v>
          </cell>
          <cell r="S44">
            <v>22.1</v>
          </cell>
          <cell r="T44">
            <v>9.3275906399124793</v>
          </cell>
          <cell r="U44">
            <v>0.44871217608451852</v>
          </cell>
        </row>
        <row r="45">
          <cell r="K45" t="str">
            <v>Food</v>
          </cell>
          <cell r="L45" t="str">
            <v>Thailand</v>
          </cell>
          <cell r="M45" t="str">
            <v>Southeast Asia</v>
          </cell>
          <cell r="N45" t="str">
            <v>Intermediary</v>
          </cell>
          <cell r="O45" t="str">
            <v>Richard Foyston</v>
          </cell>
          <cell r="P45">
            <v>0.83</v>
          </cell>
          <cell r="Q45">
            <v>0</v>
          </cell>
          <cell r="R45">
            <v>12.164</v>
          </cell>
          <cell r="S45">
            <v>22.1</v>
          </cell>
          <cell r="T45">
            <v>9.3275906399124793</v>
          </cell>
          <cell r="U45">
            <v>0.44871217608451852</v>
          </cell>
        </row>
        <row r="46">
          <cell r="K46" t="str">
            <v>Food</v>
          </cell>
          <cell r="L46" t="str">
            <v>Thailand</v>
          </cell>
          <cell r="M46" t="str">
            <v>Southeast Asia</v>
          </cell>
          <cell r="N46" t="str">
            <v>Intermediary</v>
          </cell>
          <cell r="O46" t="str">
            <v>Richard Foyston</v>
          </cell>
          <cell r="P46">
            <v>0.83</v>
          </cell>
          <cell r="Q46">
            <v>0</v>
          </cell>
          <cell r="R46">
            <v>12.164</v>
          </cell>
          <cell r="S46">
            <v>22.1</v>
          </cell>
          <cell r="T46">
            <v>9.3275906399124793</v>
          </cell>
          <cell r="U46">
            <v>0.44871217608451852</v>
          </cell>
        </row>
        <row r="47">
          <cell r="K47" t="str">
            <v>Food</v>
          </cell>
          <cell r="L47" t="str">
            <v>Thailand</v>
          </cell>
          <cell r="M47" t="str">
            <v>Southeast Asia</v>
          </cell>
          <cell r="N47" t="str">
            <v>Intermediary</v>
          </cell>
          <cell r="O47" t="str">
            <v>Richard Foyston</v>
          </cell>
          <cell r="P47">
            <v>0.83</v>
          </cell>
          <cell r="Q47">
            <v>0</v>
          </cell>
          <cell r="R47">
            <v>12.164</v>
          </cell>
          <cell r="S47">
            <v>22.1</v>
          </cell>
          <cell r="T47">
            <v>9.3275906399124793</v>
          </cell>
          <cell r="U47">
            <v>0.44871217608451852</v>
          </cell>
        </row>
        <row r="48">
          <cell r="K48" t="str">
            <v>Food</v>
          </cell>
          <cell r="L48" t="str">
            <v>Thailand</v>
          </cell>
          <cell r="M48" t="str">
            <v>Southeast Asia</v>
          </cell>
          <cell r="N48" t="str">
            <v>Intermediary</v>
          </cell>
          <cell r="O48" t="str">
            <v>Richard Foyston</v>
          </cell>
          <cell r="P48">
            <v>0.83</v>
          </cell>
          <cell r="Q48">
            <v>0</v>
          </cell>
          <cell r="R48">
            <v>12.164</v>
          </cell>
          <cell r="S48">
            <v>22.1</v>
          </cell>
          <cell r="T48">
            <v>9.3275906399124793</v>
          </cell>
          <cell r="U48">
            <v>0.44871217608451852</v>
          </cell>
        </row>
        <row r="49">
          <cell r="K49" t="str">
            <v>Food</v>
          </cell>
          <cell r="L49" t="str">
            <v>Thailand</v>
          </cell>
          <cell r="M49" t="str">
            <v>Southeast Asia</v>
          </cell>
          <cell r="N49" t="str">
            <v>Intermediary</v>
          </cell>
          <cell r="O49" t="str">
            <v>Richard Foyston</v>
          </cell>
          <cell r="P49">
            <v>0.83</v>
          </cell>
          <cell r="Q49">
            <v>0</v>
          </cell>
          <cell r="R49">
            <v>12.164</v>
          </cell>
          <cell r="S49">
            <v>22.1</v>
          </cell>
          <cell r="T49">
            <v>9.3275906399124793</v>
          </cell>
          <cell r="U49">
            <v>0.44871217608451852</v>
          </cell>
        </row>
        <row r="50">
          <cell r="K50" t="str">
            <v>Food</v>
          </cell>
          <cell r="L50" t="str">
            <v>Thailand</v>
          </cell>
          <cell r="M50" t="str">
            <v>Southeast Asia</v>
          </cell>
          <cell r="N50" t="str">
            <v>Intermediary</v>
          </cell>
          <cell r="O50" t="str">
            <v>Richard Foyston</v>
          </cell>
          <cell r="P50">
            <v>0.83</v>
          </cell>
          <cell r="Q50">
            <v>0</v>
          </cell>
          <cell r="R50">
            <v>12.164</v>
          </cell>
          <cell r="S50">
            <v>22.1</v>
          </cell>
          <cell r="T50">
            <v>9.3275906399124793</v>
          </cell>
          <cell r="U50">
            <v>0.44871217608451852</v>
          </cell>
        </row>
        <row r="51">
          <cell r="K51" t="str">
            <v>Food</v>
          </cell>
          <cell r="L51" t="str">
            <v>Thailand</v>
          </cell>
          <cell r="M51" t="str">
            <v>Southeast Asia</v>
          </cell>
          <cell r="N51" t="str">
            <v>Intermediary</v>
          </cell>
          <cell r="O51" t="str">
            <v>Richard Foyston</v>
          </cell>
          <cell r="P51">
            <v>0.83</v>
          </cell>
          <cell r="Q51">
            <v>0</v>
          </cell>
          <cell r="R51">
            <v>12.164</v>
          </cell>
          <cell r="S51">
            <v>22.1</v>
          </cell>
          <cell r="T51">
            <v>9.3275906399124793</v>
          </cell>
          <cell r="U51">
            <v>0.44871217608451852</v>
          </cell>
        </row>
        <row r="52">
          <cell r="K52" t="str">
            <v>Food</v>
          </cell>
          <cell r="L52" t="str">
            <v>Thailand</v>
          </cell>
          <cell r="M52" t="str">
            <v>Southeast Asia</v>
          </cell>
          <cell r="N52" t="str">
            <v>Intermediary</v>
          </cell>
          <cell r="O52" t="str">
            <v>Richard Foyston</v>
          </cell>
          <cell r="P52">
            <v>0.83</v>
          </cell>
          <cell r="Q52">
            <v>0</v>
          </cell>
          <cell r="R52">
            <v>12.164</v>
          </cell>
          <cell r="S52">
            <v>22.1</v>
          </cell>
          <cell r="T52">
            <v>9.3275906399124793</v>
          </cell>
          <cell r="U52">
            <v>0.44871217608451852</v>
          </cell>
        </row>
        <row r="53">
          <cell r="K53" t="str">
            <v>Food</v>
          </cell>
          <cell r="L53" t="str">
            <v>Thailand</v>
          </cell>
          <cell r="M53" t="str">
            <v>Southeast Asia</v>
          </cell>
          <cell r="N53" t="str">
            <v>Intermediary</v>
          </cell>
          <cell r="O53" t="str">
            <v>Richard Foyston</v>
          </cell>
          <cell r="P53">
            <v>0.83</v>
          </cell>
          <cell r="Q53">
            <v>0</v>
          </cell>
          <cell r="R53">
            <v>12.164</v>
          </cell>
          <cell r="S53">
            <v>22.1</v>
          </cell>
          <cell r="T53">
            <v>9.3275906399124793</v>
          </cell>
          <cell r="U53">
            <v>0.44871217608451852</v>
          </cell>
        </row>
        <row r="54">
          <cell r="K54" t="str">
            <v>Food</v>
          </cell>
          <cell r="L54" t="str">
            <v>Thailand</v>
          </cell>
          <cell r="M54" t="str">
            <v>Southeast Asia</v>
          </cell>
          <cell r="N54" t="str">
            <v>Intermediary</v>
          </cell>
          <cell r="O54" t="str">
            <v>Richard Foyston</v>
          </cell>
          <cell r="P54">
            <v>0.83</v>
          </cell>
          <cell r="Q54">
            <v>0</v>
          </cell>
          <cell r="R54">
            <v>12.164</v>
          </cell>
          <cell r="S54">
            <v>22.1</v>
          </cell>
          <cell r="T54">
            <v>9.3275906399124793</v>
          </cell>
          <cell r="U54">
            <v>0.44871217608451852</v>
          </cell>
        </row>
        <row r="55">
          <cell r="K55" t="str">
            <v>Food</v>
          </cell>
          <cell r="L55" t="str">
            <v>Thailand</v>
          </cell>
          <cell r="M55" t="str">
            <v>Southeast Asia</v>
          </cell>
          <cell r="N55" t="str">
            <v>Intermediary</v>
          </cell>
          <cell r="O55" t="str">
            <v>Richard Foyston</v>
          </cell>
          <cell r="P55">
            <v>0.83</v>
          </cell>
          <cell r="Q55">
            <v>0</v>
          </cell>
          <cell r="R55">
            <v>12.164</v>
          </cell>
          <cell r="S55">
            <v>22.1</v>
          </cell>
          <cell r="T55">
            <v>9.3275906399124793</v>
          </cell>
          <cell r="U55">
            <v>0.44871217608451852</v>
          </cell>
        </row>
        <row r="56">
          <cell r="K56" t="str">
            <v>Media</v>
          </cell>
          <cell r="L56" t="str">
            <v>Malaysia</v>
          </cell>
          <cell r="M56" t="str">
            <v>Southeast Asia</v>
          </cell>
          <cell r="N56" t="str">
            <v>Direct Approach</v>
          </cell>
          <cell r="O56" t="str">
            <v>Richard Foyston</v>
          </cell>
          <cell r="P56">
            <v>0.56000000000000005</v>
          </cell>
          <cell r="Q56">
            <v>0</v>
          </cell>
          <cell r="R56">
            <v>3.1185230000000002</v>
          </cell>
          <cell r="S56">
            <v>14.8</v>
          </cell>
          <cell r="T56">
            <v>3.2409555528242024</v>
          </cell>
          <cell r="U56">
            <v>0.35656067728996277</v>
          </cell>
        </row>
        <row r="57">
          <cell r="K57" t="str">
            <v>Media</v>
          </cell>
          <cell r="L57" t="str">
            <v>Malaysia</v>
          </cell>
          <cell r="M57" t="str">
            <v>Southeast Asia</v>
          </cell>
          <cell r="N57" t="str">
            <v>Direct Approach</v>
          </cell>
          <cell r="O57" t="str">
            <v>Richard Foyston</v>
          </cell>
          <cell r="P57">
            <v>0.56000000000000005</v>
          </cell>
          <cell r="Q57">
            <v>0</v>
          </cell>
          <cell r="R57">
            <v>3.1185230000000002</v>
          </cell>
          <cell r="S57">
            <v>14.8</v>
          </cell>
          <cell r="T57">
            <v>3.2409555528242024</v>
          </cell>
          <cell r="U57">
            <v>0.35656067728996277</v>
          </cell>
        </row>
        <row r="58">
          <cell r="K58" t="str">
            <v>Media</v>
          </cell>
          <cell r="L58" t="str">
            <v>Malaysia</v>
          </cell>
          <cell r="M58" t="str">
            <v>Southeast Asia</v>
          </cell>
          <cell r="N58" t="str">
            <v>Direct Approach</v>
          </cell>
          <cell r="O58" t="str">
            <v>Richard Foyston</v>
          </cell>
          <cell r="P58">
            <v>0.56000000000000005</v>
          </cell>
          <cell r="Q58">
            <v>0</v>
          </cell>
          <cell r="R58">
            <v>3.1185230000000002</v>
          </cell>
          <cell r="S58">
            <v>14.8</v>
          </cell>
          <cell r="T58">
            <v>3.2409555528242024</v>
          </cell>
          <cell r="U58">
            <v>0.35656067728996277</v>
          </cell>
        </row>
        <row r="59">
          <cell r="K59" t="str">
            <v>Media</v>
          </cell>
          <cell r="L59" t="str">
            <v>Malaysia</v>
          </cell>
          <cell r="M59" t="str">
            <v>Southeast Asia</v>
          </cell>
          <cell r="N59" t="str">
            <v>Direct Approach</v>
          </cell>
          <cell r="O59" t="str">
            <v>Richard Foyston</v>
          </cell>
          <cell r="P59">
            <v>0.56000000000000005</v>
          </cell>
          <cell r="Q59">
            <v>0</v>
          </cell>
          <cell r="R59">
            <v>3.1185230000000002</v>
          </cell>
          <cell r="S59">
            <v>14.8</v>
          </cell>
          <cell r="T59">
            <v>3.2409555528242024</v>
          </cell>
          <cell r="U59">
            <v>0.35656067728996277</v>
          </cell>
        </row>
        <row r="60">
          <cell r="K60" t="str">
            <v>Media</v>
          </cell>
          <cell r="L60" t="str">
            <v>Malaysia</v>
          </cell>
          <cell r="M60" t="str">
            <v>Southeast Asia</v>
          </cell>
          <cell r="N60" t="str">
            <v>Direct Approach</v>
          </cell>
          <cell r="O60" t="str">
            <v>Richard Foyston</v>
          </cell>
          <cell r="P60">
            <v>0.56000000000000005</v>
          </cell>
          <cell r="Q60">
            <v>0</v>
          </cell>
          <cell r="R60">
            <v>3.1185230000000002</v>
          </cell>
          <cell r="S60">
            <v>14.8</v>
          </cell>
          <cell r="T60">
            <v>3.2409555528242024</v>
          </cell>
          <cell r="U60">
            <v>0.35656067728996277</v>
          </cell>
        </row>
        <row r="61">
          <cell r="K61" t="str">
            <v>Media</v>
          </cell>
          <cell r="L61" t="str">
            <v>Malaysia</v>
          </cell>
          <cell r="M61" t="str">
            <v>Southeast Asia</v>
          </cell>
          <cell r="N61" t="str">
            <v>Direct Approach</v>
          </cell>
          <cell r="O61" t="str">
            <v>Richard Foyston</v>
          </cell>
          <cell r="P61">
            <v>0.56000000000000005</v>
          </cell>
          <cell r="Q61">
            <v>0</v>
          </cell>
          <cell r="R61">
            <v>3.1185230000000002</v>
          </cell>
          <cell r="S61">
            <v>14.8</v>
          </cell>
          <cell r="T61">
            <v>3.2409555528242024</v>
          </cell>
          <cell r="U61">
            <v>0.35656067728996277</v>
          </cell>
        </row>
        <row r="62">
          <cell r="K62" t="str">
            <v>Media</v>
          </cell>
          <cell r="L62" t="str">
            <v>Malaysia</v>
          </cell>
          <cell r="M62" t="str">
            <v>Southeast Asia</v>
          </cell>
          <cell r="N62" t="str">
            <v>Direct Approach</v>
          </cell>
          <cell r="O62" t="str">
            <v>Richard Foyston</v>
          </cell>
          <cell r="P62">
            <v>0.56000000000000005</v>
          </cell>
          <cell r="Q62">
            <v>0</v>
          </cell>
          <cell r="R62">
            <v>3.1185230000000002</v>
          </cell>
          <cell r="S62">
            <v>14.8</v>
          </cell>
          <cell r="T62">
            <v>3.2409555528242024</v>
          </cell>
          <cell r="U62">
            <v>0.35656067728996277</v>
          </cell>
        </row>
        <row r="63">
          <cell r="K63" t="str">
            <v>Media</v>
          </cell>
          <cell r="L63" t="str">
            <v>Malaysia</v>
          </cell>
          <cell r="M63" t="str">
            <v>Southeast Asia</v>
          </cell>
          <cell r="N63" t="str">
            <v>Direct Approach</v>
          </cell>
          <cell r="O63" t="str">
            <v>Richard Foyston</v>
          </cell>
          <cell r="P63">
            <v>0.56000000000000005</v>
          </cell>
          <cell r="Q63">
            <v>0</v>
          </cell>
          <cell r="R63">
            <v>6.0972499999999998</v>
          </cell>
          <cell r="S63">
            <v>14.8</v>
          </cell>
          <cell r="T63">
            <v>3.2412226875800259</v>
          </cell>
          <cell r="U63">
            <v>0.35664587616920473</v>
          </cell>
        </row>
        <row r="64">
          <cell r="K64" t="str">
            <v>Media</v>
          </cell>
          <cell r="L64" t="str">
            <v>Malaysia</v>
          </cell>
          <cell r="M64" t="str">
            <v>Southeast Asia</v>
          </cell>
          <cell r="N64" t="str">
            <v>Direct Approach</v>
          </cell>
          <cell r="O64" t="str">
            <v>Richard Foyston</v>
          </cell>
          <cell r="P64">
            <v>0.56000000000000005</v>
          </cell>
          <cell r="Q64">
            <v>0</v>
          </cell>
          <cell r="R64">
            <v>6.0972499999999998</v>
          </cell>
          <cell r="S64">
            <v>14.8</v>
          </cell>
          <cell r="T64">
            <v>3.2412226875800259</v>
          </cell>
          <cell r="U64">
            <v>0.35664587616920473</v>
          </cell>
        </row>
        <row r="65">
          <cell r="K65" t="str">
            <v>Media</v>
          </cell>
          <cell r="L65" t="str">
            <v>Malaysia</v>
          </cell>
          <cell r="M65" t="str">
            <v>Southeast Asia</v>
          </cell>
          <cell r="N65" t="str">
            <v>Direct Approach</v>
          </cell>
          <cell r="O65" t="str">
            <v>Richard Foyston</v>
          </cell>
          <cell r="P65">
            <v>0.56000000000000005</v>
          </cell>
          <cell r="Q65">
            <v>0</v>
          </cell>
          <cell r="R65">
            <v>6.0972499999999998</v>
          </cell>
          <cell r="S65">
            <v>14.8</v>
          </cell>
          <cell r="T65">
            <v>3.2412226875800259</v>
          </cell>
          <cell r="U65">
            <v>0.35664587616920473</v>
          </cell>
        </row>
        <row r="66">
          <cell r="K66" t="str">
            <v>Media</v>
          </cell>
          <cell r="L66" t="str">
            <v>Malaysia</v>
          </cell>
          <cell r="M66" t="str">
            <v>Southeast Asia</v>
          </cell>
          <cell r="N66" t="str">
            <v>Direct Approach</v>
          </cell>
          <cell r="O66" t="str">
            <v>Richard Foyston</v>
          </cell>
          <cell r="P66">
            <v>0.56000000000000005</v>
          </cell>
          <cell r="Q66">
            <v>0</v>
          </cell>
          <cell r="R66">
            <v>6.0972499999999998</v>
          </cell>
          <cell r="S66">
            <v>14.8</v>
          </cell>
          <cell r="T66">
            <v>3.2412226875800259</v>
          </cell>
          <cell r="U66">
            <v>0.35664587616920473</v>
          </cell>
        </row>
        <row r="67">
          <cell r="K67" t="str">
            <v>Media</v>
          </cell>
          <cell r="L67" t="str">
            <v>Malaysia</v>
          </cell>
          <cell r="M67" t="str">
            <v>Southeast Asia</v>
          </cell>
          <cell r="N67" t="str">
            <v>Direct Approach</v>
          </cell>
          <cell r="O67" t="str">
            <v>Richard Foyston</v>
          </cell>
          <cell r="P67">
            <v>0.56000000000000005</v>
          </cell>
          <cell r="Q67">
            <v>0</v>
          </cell>
          <cell r="R67">
            <v>6.0972499999999998</v>
          </cell>
          <cell r="S67">
            <v>14.8</v>
          </cell>
          <cell r="T67">
            <v>3.2412226875800259</v>
          </cell>
          <cell r="U67">
            <v>0.35664587616920473</v>
          </cell>
        </row>
        <row r="68">
          <cell r="K68" t="str">
            <v>Media</v>
          </cell>
          <cell r="L68" t="str">
            <v>Malaysia</v>
          </cell>
          <cell r="M68" t="str">
            <v>Southeast Asia</v>
          </cell>
          <cell r="N68" t="str">
            <v>Direct Approach</v>
          </cell>
          <cell r="O68" t="str">
            <v>Richard Foyston</v>
          </cell>
          <cell r="P68">
            <v>0.56000000000000005</v>
          </cell>
          <cell r="Q68">
            <v>0</v>
          </cell>
          <cell r="R68">
            <v>6.0972499999999998</v>
          </cell>
          <cell r="S68">
            <v>14.8</v>
          </cell>
          <cell r="T68">
            <v>3.2412226875800259</v>
          </cell>
          <cell r="U68">
            <v>0.35664587616920473</v>
          </cell>
        </row>
        <row r="69">
          <cell r="K69" t="str">
            <v>Media</v>
          </cell>
          <cell r="L69" t="str">
            <v>Malaysia</v>
          </cell>
          <cell r="M69" t="str">
            <v>Southeast Asia</v>
          </cell>
          <cell r="N69" t="str">
            <v>Direct Approach</v>
          </cell>
          <cell r="O69" t="str">
            <v>Richard Foyston</v>
          </cell>
          <cell r="P69">
            <v>0.56000000000000005</v>
          </cell>
          <cell r="Q69">
            <v>0</v>
          </cell>
          <cell r="R69">
            <v>6.0972499999999998</v>
          </cell>
          <cell r="S69">
            <v>14.8</v>
          </cell>
          <cell r="T69">
            <v>3.2412226875800259</v>
          </cell>
          <cell r="U69">
            <v>0.35664587616920473</v>
          </cell>
        </row>
        <row r="70">
          <cell r="K70" t="str">
            <v>Food</v>
          </cell>
          <cell r="L70" t="str">
            <v>Thailand</v>
          </cell>
          <cell r="M70" t="str">
            <v>Southeast Asia</v>
          </cell>
          <cell r="N70" t="str">
            <v>Direct Approach</v>
          </cell>
          <cell r="O70" t="str">
            <v>Richard Foyston</v>
          </cell>
          <cell r="P70">
            <v>0.44</v>
          </cell>
          <cell r="Q70">
            <v>0</v>
          </cell>
          <cell r="R70">
            <v>46.843297</v>
          </cell>
          <cell r="S70">
            <v>124.8</v>
          </cell>
          <cell r="T70">
            <v>0.92258327124732997</v>
          </cell>
          <cell r="U70">
            <v>-8.4633114933967593E-2</v>
          </cell>
        </row>
        <row r="71">
          <cell r="K71" t="str">
            <v>Food</v>
          </cell>
          <cell r="L71" t="str">
            <v>Thailand</v>
          </cell>
          <cell r="M71" t="str">
            <v>Southeast Asia</v>
          </cell>
          <cell r="N71" t="str">
            <v>Direct Approach</v>
          </cell>
          <cell r="O71" t="str">
            <v>Richard Foyston</v>
          </cell>
          <cell r="P71">
            <v>0.44</v>
          </cell>
          <cell r="Q71">
            <v>0</v>
          </cell>
          <cell r="R71">
            <v>46.843297</v>
          </cell>
          <cell r="S71">
            <v>124.8</v>
          </cell>
          <cell r="T71">
            <v>0.92258327124732997</v>
          </cell>
          <cell r="U71">
            <v>-8.4633114933967593E-2</v>
          </cell>
        </row>
        <row r="72">
          <cell r="K72" t="str">
            <v>Food</v>
          </cell>
          <cell r="L72" t="str">
            <v>Thailand</v>
          </cell>
          <cell r="M72" t="str">
            <v>Southeast Asia</v>
          </cell>
          <cell r="N72" t="str">
            <v>Direct Approach</v>
          </cell>
          <cell r="O72" t="str">
            <v>Richard Foyston</v>
          </cell>
          <cell r="P72">
            <v>0.44</v>
          </cell>
          <cell r="Q72">
            <v>0</v>
          </cell>
          <cell r="R72">
            <v>46.843297</v>
          </cell>
          <cell r="S72">
            <v>124.8</v>
          </cell>
          <cell r="T72">
            <v>0.92258327124732997</v>
          </cell>
          <cell r="U72">
            <v>-8.4633114933967593E-2</v>
          </cell>
        </row>
        <row r="73">
          <cell r="K73" t="str">
            <v>Food</v>
          </cell>
          <cell r="L73" t="str">
            <v>Thailand</v>
          </cell>
          <cell r="M73" t="str">
            <v>Southeast Asia</v>
          </cell>
          <cell r="N73" t="str">
            <v>Direct Approach</v>
          </cell>
          <cell r="O73" t="str">
            <v>Richard Foyston</v>
          </cell>
          <cell r="P73">
            <v>0.44</v>
          </cell>
          <cell r="Q73">
            <v>0</v>
          </cell>
          <cell r="R73">
            <v>46.843297</v>
          </cell>
          <cell r="S73">
            <v>124.8</v>
          </cell>
          <cell r="T73">
            <v>0.92258327124732997</v>
          </cell>
          <cell r="U73">
            <v>-8.4633114933967593E-2</v>
          </cell>
        </row>
        <row r="74">
          <cell r="K74" t="str">
            <v>Food</v>
          </cell>
          <cell r="L74" t="str">
            <v>Thailand</v>
          </cell>
          <cell r="M74" t="str">
            <v>Southeast Asia</v>
          </cell>
          <cell r="N74" t="str">
            <v>Direct Approach</v>
          </cell>
          <cell r="O74" t="str">
            <v>Richard Foyston</v>
          </cell>
          <cell r="P74">
            <v>0.44</v>
          </cell>
          <cell r="Q74">
            <v>0</v>
          </cell>
          <cell r="R74">
            <v>2.9899960000000001</v>
          </cell>
          <cell r="S74">
            <v>124.8</v>
          </cell>
          <cell r="T74">
            <v>0.91107254494117473</v>
          </cell>
          <cell r="U74">
            <v>-9.6547144651412981E-2</v>
          </cell>
        </row>
        <row r="75">
          <cell r="K75" t="str">
            <v>Food</v>
          </cell>
          <cell r="L75" t="str">
            <v>Thailand</v>
          </cell>
          <cell r="M75" t="str">
            <v>Southeast Asia</v>
          </cell>
          <cell r="N75" t="str">
            <v>Direct Approach</v>
          </cell>
          <cell r="O75" t="str">
            <v>Richard Foyston</v>
          </cell>
          <cell r="P75">
            <v>0.44</v>
          </cell>
          <cell r="Q75">
            <v>0</v>
          </cell>
          <cell r="R75">
            <v>2.9899960000000001</v>
          </cell>
          <cell r="S75">
            <v>124.8</v>
          </cell>
          <cell r="T75">
            <v>0.91107254494117473</v>
          </cell>
          <cell r="U75">
            <v>-9.6547144651412981E-2</v>
          </cell>
        </row>
        <row r="76">
          <cell r="K76" t="str">
            <v>Food</v>
          </cell>
          <cell r="L76" t="str">
            <v>Thailand</v>
          </cell>
          <cell r="M76" t="str">
            <v>Southeast Asia</v>
          </cell>
          <cell r="N76" t="str">
            <v>Direct Approach</v>
          </cell>
          <cell r="O76" t="str">
            <v>Richard Foyston</v>
          </cell>
          <cell r="P76">
            <v>0.44</v>
          </cell>
          <cell r="Q76">
            <v>0</v>
          </cell>
          <cell r="R76">
            <v>2.9899960000000001</v>
          </cell>
          <cell r="S76">
            <v>124.8</v>
          </cell>
          <cell r="T76">
            <v>0.91107254494117473</v>
          </cell>
          <cell r="U76">
            <v>-9.6547144651412981E-2</v>
          </cell>
        </row>
        <row r="77">
          <cell r="K77" t="str">
            <v>Leisure</v>
          </cell>
          <cell r="L77" t="str">
            <v>Regional</v>
          </cell>
          <cell r="M77" t="str">
            <v>Multi-region</v>
          </cell>
          <cell r="N77" t="str">
            <v>Direct Approach</v>
          </cell>
          <cell r="O77" t="str">
            <v>Nicholas Bloy</v>
          </cell>
          <cell r="P77">
            <v>0.79</v>
          </cell>
          <cell r="Q77">
            <v>0</v>
          </cell>
          <cell r="R77">
            <v>41.972999999999999</v>
          </cell>
          <cell r="S77">
            <v>44.2</v>
          </cell>
          <cell r="T77">
            <v>0.82763865887171706</v>
          </cell>
          <cell r="U77">
            <v>-0.29991064667701717</v>
          </cell>
        </row>
        <row r="78">
          <cell r="K78" t="str">
            <v>Leisure</v>
          </cell>
          <cell r="L78" t="str">
            <v>Regional</v>
          </cell>
          <cell r="M78" t="str">
            <v>Multi-region</v>
          </cell>
          <cell r="N78" t="str">
            <v>Direct Approach</v>
          </cell>
          <cell r="O78" t="str">
            <v>Nicholas Bloy</v>
          </cell>
          <cell r="P78">
            <v>0.79</v>
          </cell>
          <cell r="Q78">
            <v>0</v>
          </cell>
          <cell r="R78">
            <v>41.972999999999999</v>
          </cell>
          <cell r="S78">
            <v>44.2</v>
          </cell>
          <cell r="T78">
            <v>0.82763865887171706</v>
          </cell>
          <cell r="U78">
            <v>-0.29991064667701717</v>
          </cell>
        </row>
        <row r="79">
          <cell r="K79" t="str">
            <v>Leisure</v>
          </cell>
          <cell r="L79" t="str">
            <v>Regional</v>
          </cell>
          <cell r="M79" t="str">
            <v>Multi-region</v>
          </cell>
          <cell r="N79" t="str">
            <v>Direct Approach</v>
          </cell>
          <cell r="O79" t="str">
            <v>Nicholas Bloy</v>
          </cell>
          <cell r="P79">
            <v>0.79</v>
          </cell>
          <cell r="Q79">
            <v>0</v>
          </cell>
          <cell r="R79">
            <v>41.972999999999999</v>
          </cell>
          <cell r="S79">
            <v>44.2</v>
          </cell>
          <cell r="T79">
            <v>0.82763865887171706</v>
          </cell>
          <cell r="U79">
            <v>-0.29991064667701717</v>
          </cell>
        </row>
        <row r="80">
          <cell r="K80" t="str">
            <v>Industrial</v>
          </cell>
          <cell r="L80" t="str">
            <v>Regional</v>
          </cell>
          <cell r="M80" t="str">
            <v>Multi-region</v>
          </cell>
          <cell r="N80" t="str">
            <v>Direct Approach</v>
          </cell>
          <cell r="O80" t="str">
            <v>Nicholas Bloy</v>
          </cell>
          <cell r="P80">
            <v>0.01</v>
          </cell>
          <cell r="Q80">
            <v>0</v>
          </cell>
          <cell r="R80">
            <v>10.887</v>
          </cell>
          <cell r="S80">
            <v>1300</v>
          </cell>
          <cell r="T80">
            <v>1.0361314173897034</v>
          </cell>
          <cell r="U80">
            <v>6.8381518125534045E-3</v>
          </cell>
        </row>
        <row r="81">
          <cell r="K81" t="str">
            <v>Industrial</v>
          </cell>
          <cell r="L81" t="str">
            <v>Regional</v>
          </cell>
          <cell r="M81" t="str">
            <v>Multi-region</v>
          </cell>
          <cell r="N81" t="str">
            <v>Direct Approach</v>
          </cell>
          <cell r="O81" t="str">
            <v>Nicholas Bloy</v>
          </cell>
          <cell r="P81">
            <v>0.01</v>
          </cell>
          <cell r="Q81">
            <v>0</v>
          </cell>
          <cell r="R81">
            <v>10.887</v>
          </cell>
          <cell r="S81">
            <v>1300</v>
          </cell>
          <cell r="T81">
            <v>1.0361314173897034</v>
          </cell>
          <cell r="U81">
            <v>6.8381518125534045E-3</v>
          </cell>
        </row>
        <row r="82">
          <cell r="K82" t="str">
            <v>Industrial</v>
          </cell>
          <cell r="L82" t="str">
            <v>Regional</v>
          </cell>
          <cell r="M82" t="str">
            <v>Multi-region</v>
          </cell>
          <cell r="N82" t="str">
            <v>Direct Approach</v>
          </cell>
          <cell r="O82" t="str">
            <v>Nicholas Bloy</v>
          </cell>
          <cell r="P82">
            <v>0.01</v>
          </cell>
          <cell r="Q82">
            <v>0</v>
          </cell>
          <cell r="R82">
            <v>10.887</v>
          </cell>
          <cell r="S82">
            <v>1300</v>
          </cell>
          <cell r="T82">
            <v>1.0361314173897034</v>
          </cell>
          <cell r="U82">
            <v>6.8381518125534045E-3</v>
          </cell>
        </row>
        <row r="83">
          <cell r="K83" t="str">
            <v>Industrial</v>
          </cell>
          <cell r="L83" t="str">
            <v>Regional</v>
          </cell>
          <cell r="M83" t="str">
            <v>Multi-region</v>
          </cell>
          <cell r="N83" t="str">
            <v>Direct Approach</v>
          </cell>
          <cell r="O83" t="str">
            <v>Nicholas Bloy</v>
          </cell>
          <cell r="P83">
            <v>0.01</v>
          </cell>
          <cell r="Q83">
            <v>0</v>
          </cell>
          <cell r="R83">
            <v>10.887</v>
          </cell>
          <cell r="S83">
            <v>1300</v>
          </cell>
          <cell r="T83">
            <v>1.0361314173897034</v>
          </cell>
          <cell r="U83">
            <v>6.8381518125534045E-3</v>
          </cell>
        </row>
        <row r="84">
          <cell r="K84" t="str">
            <v>Industrial</v>
          </cell>
          <cell r="L84" t="str">
            <v>Regional</v>
          </cell>
          <cell r="M84" t="str">
            <v>Multi-region</v>
          </cell>
          <cell r="N84" t="str">
            <v>Direct Approach</v>
          </cell>
          <cell r="O84" t="str">
            <v>Nicholas Bloy</v>
          </cell>
          <cell r="P84">
            <v>0.01</v>
          </cell>
          <cell r="Q84">
            <v>0</v>
          </cell>
          <cell r="R84">
            <v>10.887</v>
          </cell>
          <cell r="S84">
            <v>1300</v>
          </cell>
          <cell r="T84">
            <v>1.0361314173897034</v>
          </cell>
          <cell r="U84">
            <v>6.8381518125534045E-3</v>
          </cell>
        </row>
        <row r="85">
          <cell r="K85" t="str">
            <v>Industrial</v>
          </cell>
          <cell r="L85" t="str">
            <v>Regional</v>
          </cell>
          <cell r="M85" t="str">
            <v>Multi-region</v>
          </cell>
          <cell r="N85" t="str">
            <v>Direct Approach</v>
          </cell>
          <cell r="O85" t="str">
            <v>Nicholas Bloy</v>
          </cell>
          <cell r="P85">
            <v>0.01</v>
          </cell>
          <cell r="Q85">
            <v>0</v>
          </cell>
          <cell r="R85">
            <v>10.887</v>
          </cell>
          <cell r="S85">
            <v>1300</v>
          </cell>
          <cell r="T85">
            <v>1.0361314173897034</v>
          </cell>
          <cell r="U85">
            <v>6.8381518125534045E-3</v>
          </cell>
        </row>
        <row r="86">
          <cell r="K86" t="str">
            <v>Industrial</v>
          </cell>
          <cell r="L86" t="str">
            <v>Regional</v>
          </cell>
          <cell r="M86" t="str">
            <v>Multi-region</v>
          </cell>
          <cell r="N86" t="str">
            <v>Direct Approach</v>
          </cell>
          <cell r="O86" t="str">
            <v>Nicholas Bloy</v>
          </cell>
          <cell r="P86">
            <v>0.01</v>
          </cell>
          <cell r="Q86">
            <v>0</v>
          </cell>
          <cell r="R86">
            <v>10.887</v>
          </cell>
          <cell r="S86">
            <v>1300</v>
          </cell>
          <cell r="T86">
            <v>1.0361314173897034</v>
          </cell>
          <cell r="U86">
            <v>6.8381518125534045E-3</v>
          </cell>
        </row>
        <row r="87">
          <cell r="K87" t="str">
            <v>Industrial</v>
          </cell>
          <cell r="L87" t="str">
            <v>Regional</v>
          </cell>
          <cell r="M87" t="str">
            <v>Multi-region</v>
          </cell>
          <cell r="N87" t="str">
            <v>Direct Approach</v>
          </cell>
          <cell r="O87" t="str">
            <v>Nicholas Bloy</v>
          </cell>
          <cell r="P87">
            <v>0.01</v>
          </cell>
          <cell r="Q87">
            <v>0</v>
          </cell>
          <cell r="R87">
            <v>10.887</v>
          </cell>
          <cell r="S87">
            <v>1300</v>
          </cell>
          <cell r="T87">
            <v>1.0361314173897034</v>
          </cell>
          <cell r="U87">
            <v>6.8381518125534045E-3</v>
          </cell>
        </row>
        <row r="88">
          <cell r="K88" t="str">
            <v>Industrial</v>
          </cell>
          <cell r="L88" t="str">
            <v>Regional</v>
          </cell>
          <cell r="M88" t="str">
            <v>Multi-region</v>
          </cell>
          <cell r="N88" t="str">
            <v>Direct Approach</v>
          </cell>
          <cell r="O88" t="str">
            <v>Nicholas Bloy</v>
          </cell>
          <cell r="P88">
            <v>0.01</v>
          </cell>
          <cell r="Q88">
            <v>0</v>
          </cell>
          <cell r="R88">
            <v>10.887</v>
          </cell>
          <cell r="S88">
            <v>1300</v>
          </cell>
          <cell r="T88">
            <v>1.0361314173897034</v>
          </cell>
          <cell r="U88">
            <v>6.8381518125534045E-3</v>
          </cell>
        </row>
        <row r="89">
          <cell r="K89" t="str">
            <v>Industrial</v>
          </cell>
          <cell r="L89" t="str">
            <v>Regional</v>
          </cell>
          <cell r="M89" t="str">
            <v>Multi-region</v>
          </cell>
          <cell r="N89" t="str">
            <v>Direct Approach</v>
          </cell>
          <cell r="O89" t="str">
            <v>Nicholas Bloy</v>
          </cell>
          <cell r="P89">
            <v>0.01</v>
          </cell>
          <cell r="Q89">
            <v>0</v>
          </cell>
          <cell r="R89">
            <v>10.887</v>
          </cell>
          <cell r="S89">
            <v>1300</v>
          </cell>
          <cell r="T89">
            <v>1.0361314173897034</v>
          </cell>
          <cell r="U89">
            <v>6.8381518125534045E-3</v>
          </cell>
        </row>
        <row r="90">
          <cell r="K90" t="str">
            <v>Industrial</v>
          </cell>
          <cell r="L90" t="str">
            <v>Regional</v>
          </cell>
          <cell r="M90" t="str">
            <v>Multi-region</v>
          </cell>
          <cell r="N90" t="str">
            <v>Direct Approach</v>
          </cell>
          <cell r="O90" t="str">
            <v>Nicholas Bloy</v>
          </cell>
          <cell r="P90">
            <v>0.01</v>
          </cell>
          <cell r="Q90">
            <v>0</v>
          </cell>
          <cell r="R90">
            <v>10.887</v>
          </cell>
          <cell r="S90">
            <v>1300</v>
          </cell>
          <cell r="T90">
            <v>1.0361314173897034</v>
          </cell>
          <cell r="U90">
            <v>6.8381518125534045E-3</v>
          </cell>
        </row>
        <row r="91">
          <cell r="K91" t="str">
            <v>Industrial</v>
          </cell>
          <cell r="L91" t="str">
            <v>Regional</v>
          </cell>
          <cell r="M91" t="str">
            <v>Multi-region</v>
          </cell>
          <cell r="N91" t="str">
            <v>Direct Approach</v>
          </cell>
          <cell r="O91" t="str">
            <v>Nicholas Bloy</v>
          </cell>
          <cell r="P91">
            <v>0.01</v>
          </cell>
          <cell r="Q91">
            <v>0</v>
          </cell>
          <cell r="R91">
            <v>10.887</v>
          </cell>
          <cell r="S91">
            <v>1300</v>
          </cell>
          <cell r="T91">
            <v>1.0361314173897034</v>
          </cell>
          <cell r="U91">
            <v>6.8381518125534045E-3</v>
          </cell>
        </row>
        <row r="92">
          <cell r="K92" t="str">
            <v>Industrial</v>
          </cell>
          <cell r="L92" t="str">
            <v>Regional</v>
          </cell>
          <cell r="M92" t="str">
            <v>Multi-region</v>
          </cell>
          <cell r="N92" t="str">
            <v>Direct Approach</v>
          </cell>
          <cell r="O92" t="str">
            <v>Nicholas Bloy</v>
          </cell>
          <cell r="P92">
            <v>0.01</v>
          </cell>
          <cell r="Q92">
            <v>0</v>
          </cell>
          <cell r="R92">
            <v>10.887</v>
          </cell>
          <cell r="S92">
            <v>1300</v>
          </cell>
          <cell r="T92">
            <v>1.0361314173897034</v>
          </cell>
          <cell r="U92">
            <v>6.8381518125534045E-3</v>
          </cell>
        </row>
        <row r="93">
          <cell r="K93" t="str">
            <v>Industrial</v>
          </cell>
          <cell r="L93" t="str">
            <v>Regional</v>
          </cell>
          <cell r="M93" t="str">
            <v>Multi-region</v>
          </cell>
          <cell r="N93" t="str">
            <v>Direct Approach</v>
          </cell>
          <cell r="O93" t="str">
            <v>Nicholas Bloy</v>
          </cell>
          <cell r="P93">
            <v>0.01</v>
          </cell>
          <cell r="Q93">
            <v>0</v>
          </cell>
          <cell r="R93">
            <v>10.887</v>
          </cell>
          <cell r="S93">
            <v>1300</v>
          </cell>
          <cell r="T93">
            <v>1.0361314173897034</v>
          </cell>
          <cell r="U93">
            <v>6.8381518125534045E-3</v>
          </cell>
        </row>
        <row r="94">
          <cell r="K94" t="str">
            <v>Industrial</v>
          </cell>
          <cell r="L94" t="str">
            <v>Regional</v>
          </cell>
          <cell r="M94" t="str">
            <v>Multi-region</v>
          </cell>
          <cell r="N94" t="str">
            <v>Direct Approach</v>
          </cell>
          <cell r="O94" t="str">
            <v>Nicholas Bloy</v>
          </cell>
          <cell r="P94">
            <v>0.01</v>
          </cell>
          <cell r="Q94">
            <v>0</v>
          </cell>
          <cell r="R94">
            <v>10.887</v>
          </cell>
          <cell r="S94">
            <v>1300</v>
          </cell>
          <cell r="T94">
            <v>1.0361314173897034</v>
          </cell>
          <cell r="U94">
            <v>6.8381518125534045E-3</v>
          </cell>
        </row>
        <row r="95">
          <cell r="K95" t="str">
            <v>Industrial</v>
          </cell>
          <cell r="L95" t="str">
            <v>Regional</v>
          </cell>
          <cell r="M95" t="str">
            <v>Multi-region</v>
          </cell>
          <cell r="N95" t="str">
            <v>Direct Approach</v>
          </cell>
          <cell r="O95" t="str">
            <v>Nicholas Bloy</v>
          </cell>
          <cell r="P95">
            <v>0.01</v>
          </cell>
          <cell r="Q95">
            <v>0</v>
          </cell>
          <cell r="R95">
            <v>10.887</v>
          </cell>
          <cell r="S95">
            <v>1300</v>
          </cell>
          <cell r="T95">
            <v>1.0361314173897034</v>
          </cell>
          <cell r="U95">
            <v>6.8381518125534045E-3</v>
          </cell>
        </row>
        <row r="96">
          <cell r="K96" t="str">
            <v>Media</v>
          </cell>
          <cell r="L96" t="str">
            <v>Thailand</v>
          </cell>
          <cell r="M96" t="str">
            <v>Southeast Asia</v>
          </cell>
          <cell r="N96" t="str">
            <v>Direct Approach</v>
          </cell>
          <cell r="O96" t="str">
            <v>Rodney Muse</v>
          </cell>
          <cell r="P96">
            <v>1</v>
          </cell>
          <cell r="Q96">
            <v>0</v>
          </cell>
          <cell r="R96">
            <v>4.4649999999999999</v>
          </cell>
          <cell r="S96">
            <v>4.3</v>
          </cell>
          <cell r="T96">
            <v>3.3231417987228187</v>
          </cell>
          <cell r="U96">
            <v>0.34877157807350168</v>
          </cell>
        </row>
        <row r="97">
          <cell r="K97" t="str">
            <v>Media</v>
          </cell>
          <cell r="L97" t="str">
            <v>Thailand</v>
          </cell>
          <cell r="M97" t="str">
            <v>Southeast Asia</v>
          </cell>
          <cell r="N97" t="str">
            <v>Direct Approach</v>
          </cell>
          <cell r="O97" t="str">
            <v>Rodney Muse</v>
          </cell>
          <cell r="P97">
            <v>1</v>
          </cell>
          <cell r="Q97">
            <v>0</v>
          </cell>
          <cell r="R97">
            <v>4.4649999999999999</v>
          </cell>
          <cell r="S97">
            <v>4.3</v>
          </cell>
          <cell r="T97">
            <v>3.3231417987228187</v>
          </cell>
          <cell r="U97">
            <v>0.34877157807350168</v>
          </cell>
        </row>
        <row r="98">
          <cell r="K98" t="str">
            <v>Media</v>
          </cell>
          <cell r="L98" t="str">
            <v>Thailand</v>
          </cell>
          <cell r="M98" t="str">
            <v>Southeast Asia</v>
          </cell>
          <cell r="N98" t="str">
            <v>Direct Approach</v>
          </cell>
          <cell r="O98" t="str">
            <v>Rodney Muse</v>
          </cell>
          <cell r="P98">
            <v>1</v>
          </cell>
          <cell r="Q98">
            <v>0</v>
          </cell>
          <cell r="R98">
            <v>4.4649999999999999</v>
          </cell>
          <cell r="S98">
            <v>4.3</v>
          </cell>
          <cell r="T98">
            <v>3.3231417987228187</v>
          </cell>
          <cell r="U98">
            <v>0.34877157807350168</v>
          </cell>
        </row>
        <row r="99">
          <cell r="K99" t="str">
            <v>Media</v>
          </cell>
          <cell r="L99" t="str">
            <v>Thailand</v>
          </cell>
          <cell r="M99" t="str">
            <v>Southeast Asia</v>
          </cell>
          <cell r="N99" t="str">
            <v>Direct Approach</v>
          </cell>
          <cell r="O99" t="str">
            <v>Rodney Muse</v>
          </cell>
          <cell r="P99">
            <v>1</v>
          </cell>
          <cell r="Q99">
            <v>0</v>
          </cell>
          <cell r="R99">
            <v>4.4649999999999999</v>
          </cell>
          <cell r="S99">
            <v>4.3</v>
          </cell>
          <cell r="T99">
            <v>3.3231417987228187</v>
          </cell>
          <cell r="U99">
            <v>0.34877157807350168</v>
          </cell>
        </row>
        <row r="100">
          <cell r="K100" t="str">
            <v>Media</v>
          </cell>
          <cell r="L100" t="str">
            <v>Thailand</v>
          </cell>
          <cell r="M100" t="str">
            <v>Southeast Asia</v>
          </cell>
          <cell r="N100" t="str">
            <v>Direct Approach</v>
          </cell>
          <cell r="O100" t="str">
            <v>Rodney Muse</v>
          </cell>
          <cell r="P100">
            <v>1</v>
          </cell>
          <cell r="Q100">
            <v>0</v>
          </cell>
          <cell r="R100">
            <v>4.4649999999999999</v>
          </cell>
          <cell r="S100">
            <v>4.3</v>
          </cell>
          <cell r="T100">
            <v>3.3231417987228187</v>
          </cell>
          <cell r="U100">
            <v>0.34877157807350168</v>
          </cell>
        </row>
        <row r="101">
          <cell r="K101" t="str">
            <v>Media</v>
          </cell>
          <cell r="L101" t="str">
            <v>Thailand</v>
          </cell>
          <cell r="M101" t="str">
            <v>Southeast Asia</v>
          </cell>
          <cell r="N101" t="str">
            <v>Direct Approach</v>
          </cell>
          <cell r="O101" t="str">
            <v>Rodney Muse</v>
          </cell>
          <cell r="P101">
            <v>1</v>
          </cell>
          <cell r="Q101">
            <v>0</v>
          </cell>
          <cell r="R101">
            <v>4.4649999999999999</v>
          </cell>
          <cell r="S101">
            <v>4.3</v>
          </cell>
          <cell r="T101">
            <v>3.3231417987228187</v>
          </cell>
          <cell r="U101">
            <v>0.34877157807350168</v>
          </cell>
        </row>
        <row r="102">
          <cell r="K102" t="str">
            <v>Media</v>
          </cell>
          <cell r="L102" t="str">
            <v>Thailand</v>
          </cell>
          <cell r="M102" t="str">
            <v>Southeast Asia</v>
          </cell>
          <cell r="N102" t="str">
            <v>Direct Approach</v>
          </cell>
          <cell r="O102" t="str">
            <v>Rodney Muse</v>
          </cell>
          <cell r="P102">
            <v>1</v>
          </cell>
          <cell r="Q102">
            <v>0</v>
          </cell>
          <cell r="R102">
            <v>4.4649999999999999</v>
          </cell>
          <cell r="S102">
            <v>4.3</v>
          </cell>
          <cell r="T102">
            <v>3.3231417987228187</v>
          </cell>
          <cell r="U102">
            <v>0.34877157807350168</v>
          </cell>
        </row>
        <row r="103">
          <cell r="K103" t="str">
            <v>Media</v>
          </cell>
          <cell r="L103" t="str">
            <v>Thailand</v>
          </cell>
          <cell r="M103" t="str">
            <v>Southeast Asia</v>
          </cell>
          <cell r="N103" t="str">
            <v>Direct Approach</v>
          </cell>
          <cell r="O103" t="str">
            <v>Rodney Muse</v>
          </cell>
          <cell r="P103">
            <v>1</v>
          </cell>
          <cell r="Q103">
            <v>0</v>
          </cell>
          <cell r="R103">
            <v>4.4649999999999999</v>
          </cell>
          <cell r="S103">
            <v>4.3</v>
          </cell>
          <cell r="T103">
            <v>3.3231417987228187</v>
          </cell>
          <cell r="U103">
            <v>0.34877157807350168</v>
          </cell>
        </row>
        <row r="104">
          <cell r="K104" t="str">
            <v>Services</v>
          </cell>
          <cell r="L104" t="str">
            <v>Australia</v>
          </cell>
          <cell r="M104" t="str">
            <v>Australia</v>
          </cell>
          <cell r="N104" t="str">
            <v>Direct Approach</v>
          </cell>
          <cell r="O104" t="str">
            <v>Rodney Muse</v>
          </cell>
          <cell r="P104">
            <v>0.92700000000000005</v>
          </cell>
          <cell r="Q104">
            <v>0</v>
          </cell>
          <cell r="R104">
            <v>11.571</v>
          </cell>
          <cell r="S104">
            <v>15.8</v>
          </cell>
          <cell r="T104">
            <v>3.3348443394257412</v>
          </cell>
          <cell r="U104">
            <v>0.37308511137962341</v>
          </cell>
        </row>
        <row r="105">
          <cell r="K105" t="str">
            <v>Services</v>
          </cell>
          <cell r="L105" t="str">
            <v>Australia</v>
          </cell>
          <cell r="M105" t="str">
            <v>Australia</v>
          </cell>
          <cell r="N105" t="str">
            <v>Direct Approach</v>
          </cell>
          <cell r="O105" t="str">
            <v>Rodney Muse</v>
          </cell>
          <cell r="P105">
            <v>0.92700000000000005</v>
          </cell>
          <cell r="Q105">
            <v>0</v>
          </cell>
          <cell r="R105">
            <v>11.571</v>
          </cell>
          <cell r="S105">
            <v>15.8</v>
          </cell>
          <cell r="T105">
            <v>3.3348443394257412</v>
          </cell>
          <cell r="U105">
            <v>0.37308511137962341</v>
          </cell>
        </row>
        <row r="106">
          <cell r="K106" t="str">
            <v>Services</v>
          </cell>
          <cell r="L106" t="str">
            <v>Australia</v>
          </cell>
          <cell r="M106" t="str">
            <v>Australia</v>
          </cell>
          <cell r="N106" t="str">
            <v>Direct Approach</v>
          </cell>
          <cell r="O106" t="str">
            <v>Rodney Muse</v>
          </cell>
          <cell r="P106">
            <v>0.92700000000000005</v>
          </cell>
          <cell r="Q106">
            <v>0</v>
          </cell>
          <cell r="R106">
            <v>11.571</v>
          </cell>
          <cell r="S106">
            <v>15.8</v>
          </cell>
          <cell r="T106">
            <v>3.3348443394257412</v>
          </cell>
          <cell r="U106">
            <v>0.37308511137962341</v>
          </cell>
        </row>
        <row r="107">
          <cell r="K107" t="str">
            <v>Services</v>
          </cell>
          <cell r="L107" t="str">
            <v>Australia</v>
          </cell>
          <cell r="M107" t="str">
            <v>Australia</v>
          </cell>
          <cell r="N107" t="str">
            <v>Direct Approach</v>
          </cell>
          <cell r="O107" t="str">
            <v>Rodney Muse</v>
          </cell>
          <cell r="P107">
            <v>0.92700000000000005</v>
          </cell>
          <cell r="Q107">
            <v>0</v>
          </cell>
          <cell r="R107">
            <v>11.571</v>
          </cell>
          <cell r="S107">
            <v>15.8</v>
          </cell>
          <cell r="T107">
            <v>3.3348443394257412</v>
          </cell>
          <cell r="U107">
            <v>0.37308511137962341</v>
          </cell>
        </row>
        <row r="108">
          <cell r="K108" t="str">
            <v>Food</v>
          </cell>
          <cell r="L108" t="str">
            <v>Thailand</v>
          </cell>
          <cell r="M108" t="str">
            <v>Southeast Asia</v>
          </cell>
          <cell r="N108" t="str">
            <v>Direct Approach</v>
          </cell>
          <cell r="O108" t="str">
            <v>David Ireland</v>
          </cell>
          <cell r="P108">
            <v>0.7</v>
          </cell>
          <cell r="Q108">
            <v>0</v>
          </cell>
          <cell r="R108">
            <v>15.48891092</v>
          </cell>
          <cell r="S108">
            <v>20.399999999999999</v>
          </cell>
          <cell r="T108">
            <v>1.1706912721448237</v>
          </cell>
          <cell r="U108">
            <v>9.2128255963325509E-2</v>
          </cell>
        </row>
        <row r="109">
          <cell r="K109" t="str">
            <v>Food</v>
          </cell>
          <cell r="L109" t="str">
            <v>Thailand</v>
          </cell>
          <cell r="M109" t="str">
            <v>Southeast Asia</v>
          </cell>
          <cell r="N109" t="str">
            <v>Direct Approach</v>
          </cell>
          <cell r="O109" t="str">
            <v>David Ireland</v>
          </cell>
          <cell r="P109">
            <v>0.7</v>
          </cell>
          <cell r="Q109">
            <v>0</v>
          </cell>
          <cell r="R109">
            <v>15.48891092</v>
          </cell>
          <cell r="S109">
            <v>20.399999999999999</v>
          </cell>
          <cell r="T109">
            <v>1.1706912721448237</v>
          </cell>
          <cell r="U109">
            <v>9.2128255963325509E-2</v>
          </cell>
        </row>
        <row r="110">
          <cell r="K110" t="str">
            <v>Food</v>
          </cell>
          <cell r="L110" t="str">
            <v>Thailand</v>
          </cell>
          <cell r="M110" t="str">
            <v>Southeast Asia</v>
          </cell>
          <cell r="N110" t="str">
            <v>Direct Approach</v>
          </cell>
          <cell r="O110" t="str">
            <v>David Ireland</v>
          </cell>
          <cell r="P110">
            <v>0.7</v>
          </cell>
          <cell r="Q110">
            <v>0</v>
          </cell>
          <cell r="R110">
            <v>15.48891092</v>
          </cell>
          <cell r="S110">
            <v>20.399999999999999</v>
          </cell>
          <cell r="T110">
            <v>1.1706912721448237</v>
          </cell>
          <cell r="U110">
            <v>9.2128255963325509E-2</v>
          </cell>
        </row>
        <row r="111">
          <cell r="K111" t="str">
            <v>Food</v>
          </cell>
          <cell r="L111" t="str">
            <v>Thailand</v>
          </cell>
          <cell r="M111" t="str">
            <v>Southeast Asia</v>
          </cell>
          <cell r="N111" t="str">
            <v>Direct Approach</v>
          </cell>
          <cell r="O111" t="str">
            <v>David Ireland</v>
          </cell>
          <cell r="P111">
            <v>0.7</v>
          </cell>
          <cell r="Q111">
            <v>0</v>
          </cell>
          <cell r="R111">
            <v>15.48891092</v>
          </cell>
          <cell r="S111">
            <v>20.399999999999999</v>
          </cell>
          <cell r="T111">
            <v>1.1706912721448237</v>
          </cell>
          <cell r="U111">
            <v>9.2128255963325509E-2</v>
          </cell>
        </row>
        <row r="112">
          <cell r="K112" t="str">
            <v>Food</v>
          </cell>
          <cell r="L112" t="str">
            <v>Thailand</v>
          </cell>
          <cell r="M112" t="str">
            <v>Southeast Asia</v>
          </cell>
          <cell r="N112" t="str">
            <v>Direct Approach</v>
          </cell>
          <cell r="O112" t="str">
            <v>David Ireland</v>
          </cell>
          <cell r="P112">
            <v>0.7</v>
          </cell>
          <cell r="Q112">
            <v>0</v>
          </cell>
          <cell r="R112">
            <v>15.48891092</v>
          </cell>
          <cell r="S112">
            <v>20.399999999999999</v>
          </cell>
          <cell r="T112">
            <v>1.1706912721448237</v>
          </cell>
          <cell r="U112">
            <v>9.2128255963325509E-2</v>
          </cell>
        </row>
        <row r="113">
          <cell r="K113" t="str">
            <v>Food</v>
          </cell>
          <cell r="L113" t="str">
            <v>Thailand</v>
          </cell>
          <cell r="M113" t="str">
            <v>Southeast Asia</v>
          </cell>
          <cell r="N113" t="str">
            <v>Direct Approach</v>
          </cell>
          <cell r="O113" t="str">
            <v>David Ireland</v>
          </cell>
          <cell r="P113">
            <v>0.7</v>
          </cell>
          <cell r="Q113">
            <v>0</v>
          </cell>
          <cell r="R113">
            <v>2.4342463000000003</v>
          </cell>
          <cell r="S113">
            <v>20.399999999999999</v>
          </cell>
          <cell r="T113">
            <v>1.1737272239873022</v>
          </cell>
          <cell r="U113">
            <v>8.5451284050941462E-2</v>
          </cell>
        </row>
        <row r="114">
          <cell r="K114" t="str">
            <v>Food</v>
          </cell>
          <cell r="L114" t="str">
            <v>Thailand</v>
          </cell>
          <cell r="M114" t="str">
            <v>Southeast Asia</v>
          </cell>
          <cell r="N114" t="str">
            <v>Direct Approach</v>
          </cell>
          <cell r="O114" t="str">
            <v>David Ireland</v>
          </cell>
          <cell r="P114">
            <v>0.7</v>
          </cell>
          <cell r="Q114">
            <v>0</v>
          </cell>
          <cell r="R114">
            <v>2.4342463000000003</v>
          </cell>
          <cell r="S114">
            <v>20.399999999999999</v>
          </cell>
          <cell r="T114">
            <v>1.1737272239873022</v>
          </cell>
          <cell r="U114">
            <v>8.5451284050941462E-2</v>
          </cell>
        </row>
        <row r="115">
          <cell r="K115" t="str">
            <v>Food</v>
          </cell>
          <cell r="L115" t="str">
            <v>Thailand</v>
          </cell>
          <cell r="M115" t="str">
            <v>Southeast Asia</v>
          </cell>
          <cell r="N115" t="str">
            <v>Direct Approach</v>
          </cell>
          <cell r="O115" t="str">
            <v>David Ireland</v>
          </cell>
          <cell r="P115">
            <v>0.7</v>
          </cell>
          <cell r="Q115">
            <v>0</v>
          </cell>
          <cell r="R115">
            <v>2.4342463000000003</v>
          </cell>
          <cell r="S115">
            <v>20.399999999999999</v>
          </cell>
          <cell r="T115">
            <v>1.1737272239873022</v>
          </cell>
          <cell r="U115">
            <v>8.5451284050941462E-2</v>
          </cell>
        </row>
        <row r="116">
          <cell r="K116" t="str">
            <v>Food</v>
          </cell>
          <cell r="L116" t="str">
            <v>Thailand</v>
          </cell>
          <cell r="M116" t="str">
            <v>Southeast Asia</v>
          </cell>
          <cell r="N116" t="str">
            <v>Direct Approach</v>
          </cell>
          <cell r="O116" t="str">
            <v>David Ireland</v>
          </cell>
          <cell r="P116">
            <v>0.7</v>
          </cell>
          <cell r="Q116">
            <v>0</v>
          </cell>
          <cell r="R116">
            <v>2.4342463000000003</v>
          </cell>
          <cell r="S116">
            <v>20.399999999999999</v>
          </cell>
          <cell r="T116">
            <v>1.1737272239873022</v>
          </cell>
          <cell r="U116">
            <v>8.5451284050941462E-2</v>
          </cell>
        </row>
        <row r="117">
          <cell r="K117" t="str">
            <v>Food</v>
          </cell>
          <cell r="L117" t="str">
            <v>Thailand</v>
          </cell>
          <cell r="M117" t="str">
            <v>Southeast Asia</v>
          </cell>
          <cell r="N117" t="str">
            <v>Direct Approach</v>
          </cell>
          <cell r="O117" t="str">
            <v>David Ireland</v>
          </cell>
          <cell r="P117">
            <v>0.7</v>
          </cell>
          <cell r="Q117">
            <v>0</v>
          </cell>
          <cell r="R117">
            <v>2.4342463000000003</v>
          </cell>
          <cell r="S117">
            <v>20.399999999999999</v>
          </cell>
          <cell r="T117">
            <v>1.1737272239873022</v>
          </cell>
          <cell r="U117">
            <v>8.5451284050941462E-2</v>
          </cell>
        </row>
        <row r="118">
          <cell r="K118" t="str">
            <v>Consumables</v>
          </cell>
          <cell r="L118" t="str">
            <v>Malaysia</v>
          </cell>
          <cell r="M118" t="str">
            <v>Southeast Asia</v>
          </cell>
          <cell r="N118" t="str">
            <v>Auction</v>
          </cell>
          <cell r="O118" t="str">
            <v>Rodney Muse</v>
          </cell>
          <cell r="P118">
            <v>0.98</v>
          </cell>
          <cell r="Q118">
            <v>0</v>
          </cell>
          <cell r="R118">
            <v>9.6140000000000008</v>
          </cell>
          <cell r="S118">
            <v>15.5</v>
          </cell>
          <cell r="T118">
            <v>6.7931153526820145</v>
          </cell>
          <cell r="U118">
            <v>1.0474985480308532</v>
          </cell>
        </row>
        <row r="119">
          <cell r="K119" t="str">
            <v>Consumables</v>
          </cell>
          <cell r="L119" t="str">
            <v>Malaysia</v>
          </cell>
          <cell r="M119" t="str">
            <v>Southeast Asia</v>
          </cell>
          <cell r="N119" t="str">
            <v>Auction</v>
          </cell>
          <cell r="O119" t="str">
            <v>Rodney Muse</v>
          </cell>
          <cell r="P119">
            <v>0.98</v>
          </cell>
          <cell r="Q119">
            <v>0</v>
          </cell>
          <cell r="R119">
            <v>9.6140000000000008</v>
          </cell>
          <cell r="S119">
            <v>15.5</v>
          </cell>
          <cell r="T119">
            <v>6.7931153526820145</v>
          </cell>
          <cell r="U119">
            <v>1.0474985480308532</v>
          </cell>
        </row>
        <row r="120">
          <cell r="K120" t="str">
            <v>Consumables</v>
          </cell>
          <cell r="L120" t="str">
            <v>Malaysia</v>
          </cell>
          <cell r="M120" t="str">
            <v>Southeast Asia</v>
          </cell>
          <cell r="N120" t="str">
            <v>Auction</v>
          </cell>
          <cell r="O120" t="str">
            <v>Rodney Muse</v>
          </cell>
          <cell r="P120">
            <v>0.98</v>
          </cell>
          <cell r="Q120">
            <v>0</v>
          </cell>
          <cell r="R120">
            <v>9.6140000000000008</v>
          </cell>
          <cell r="S120">
            <v>15.5</v>
          </cell>
          <cell r="T120">
            <v>6.7931153526820145</v>
          </cell>
          <cell r="U120">
            <v>1.0474985480308532</v>
          </cell>
        </row>
        <row r="121">
          <cell r="K121" t="str">
            <v>Consumables</v>
          </cell>
          <cell r="L121" t="str">
            <v>Malaysia</v>
          </cell>
          <cell r="M121" t="str">
            <v>Southeast Asia</v>
          </cell>
          <cell r="N121" t="str">
            <v>Auction</v>
          </cell>
          <cell r="O121" t="str">
            <v>Rodney Muse</v>
          </cell>
          <cell r="P121">
            <v>0.98</v>
          </cell>
          <cell r="Q121">
            <v>0</v>
          </cell>
          <cell r="R121">
            <v>9.6140000000000008</v>
          </cell>
          <cell r="S121">
            <v>15.5</v>
          </cell>
          <cell r="T121">
            <v>6.7931153526820145</v>
          </cell>
          <cell r="U121">
            <v>1.0474985480308532</v>
          </cell>
        </row>
        <row r="122">
          <cell r="K122" t="str">
            <v>Consumables</v>
          </cell>
          <cell r="L122" t="str">
            <v>Malaysia</v>
          </cell>
          <cell r="M122" t="str">
            <v>Southeast Asia</v>
          </cell>
          <cell r="N122" t="str">
            <v>Auction</v>
          </cell>
          <cell r="O122" t="str">
            <v>Rodney Muse</v>
          </cell>
          <cell r="P122">
            <v>0.98</v>
          </cell>
          <cell r="Q122">
            <v>0</v>
          </cell>
          <cell r="R122">
            <v>9.6140000000000008</v>
          </cell>
          <cell r="S122">
            <v>15.5</v>
          </cell>
          <cell r="T122">
            <v>6.7931153526820145</v>
          </cell>
          <cell r="U122">
            <v>1.0474985480308532</v>
          </cell>
        </row>
        <row r="123">
          <cell r="K123" t="str">
            <v>Consumables</v>
          </cell>
          <cell r="L123" t="str">
            <v>Malaysia</v>
          </cell>
          <cell r="M123" t="str">
            <v>Southeast Asia</v>
          </cell>
          <cell r="N123" t="str">
            <v>Auction</v>
          </cell>
          <cell r="O123" t="str">
            <v>Rodney Muse</v>
          </cell>
          <cell r="P123">
            <v>0.98</v>
          </cell>
          <cell r="Q123">
            <v>0</v>
          </cell>
          <cell r="R123">
            <v>9.6140000000000008</v>
          </cell>
          <cell r="S123">
            <v>15.5</v>
          </cell>
          <cell r="T123">
            <v>6.7931153526820145</v>
          </cell>
          <cell r="U123">
            <v>1.0474985480308532</v>
          </cell>
        </row>
        <row r="124">
          <cell r="K124" t="str">
            <v>Consumables</v>
          </cell>
          <cell r="L124" t="str">
            <v>Malaysia</v>
          </cell>
          <cell r="M124" t="str">
            <v>Southeast Asia</v>
          </cell>
          <cell r="N124" t="str">
            <v>Auction</v>
          </cell>
          <cell r="O124" t="str">
            <v>Rodney Muse</v>
          </cell>
          <cell r="P124">
            <v>0.98</v>
          </cell>
          <cell r="Q124">
            <v>0</v>
          </cell>
          <cell r="R124">
            <v>9.6140000000000008</v>
          </cell>
          <cell r="S124">
            <v>15.5</v>
          </cell>
          <cell r="T124">
            <v>6.7931153526820145</v>
          </cell>
          <cell r="U124">
            <v>1.0474985480308532</v>
          </cell>
        </row>
        <row r="125">
          <cell r="K125" t="str">
            <v>Consumables</v>
          </cell>
          <cell r="L125" t="str">
            <v>Malaysia</v>
          </cell>
          <cell r="M125" t="str">
            <v>Southeast Asia</v>
          </cell>
          <cell r="N125" t="str">
            <v>Auction</v>
          </cell>
          <cell r="O125" t="str">
            <v>Rodney Muse</v>
          </cell>
          <cell r="P125">
            <v>0.98</v>
          </cell>
          <cell r="Q125">
            <v>0</v>
          </cell>
          <cell r="R125">
            <v>9.6140000000000008</v>
          </cell>
          <cell r="S125">
            <v>15.5</v>
          </cell>
          <cell r="T125">
            <v>6.7931153526820145</v>
          </cell>
          <cell r="U125">
            <v>1.0474985480308532</v>
          </cell>
        </row>
        <row r="126">
          <cell r="K126" t="str">
            <v>Consumables</v>
          </cell>
          <cell r="L126" t="str">
            <v>Malaysia</v>
          </cell>
          <cell r="M126" t="str">
            <v>Southeast Asia</v>
          </cell>
          <cell r="N126" t="str">
            <v>Auction</v>
          </cell>
          <cell r="O126" t="str">
            <v>Rodney Muse</v>
          </cell>
          <cell r="P126">
            <v>0.98</v>
          </cell>
          <cell r="Q126">
            <v>0</v>
          </cell>
          <cell r="R126">
            <v>9.6140000000000008</v>
          </cell>
          <cell r="S126">
            <v>15.5</v>
          </cell>
          <cell r="T126">
            <v>6.7931153526820145</v>
          </cell>
          <cell r="U126">
            <v>1.0474985480308532</v>
          </cell>
        </row>
        <row r="127">
          <cell r="K127" t="str">
            <v>Consumables</v>
          </cell>
          <cell r="L127" t="str">
            <v>Malaysia</v>
          </cell>
          <cell r="M127" t="str">
            <v>Southeast Asia</v>
          </cell>
          <cell r="N127" t="str">
            <v>Auction</v>
          </cell>
          <cell r="O127" t="str">
            <v>Rodney Muse</v>
          </cell>
          <cell r="P127">
            <v>0.98</v>
          </cell>
          <cell r="Q127">
            <v>0</v>
          </cell>
          <cell r="R127">
            <v>9.6140000000000008</v>
          </cell>
          <cell r="S127">
            <v>15.5</v>
          </cell>
          <cell r="T127">
            <v>6.7931153526820145</v>
          </cell>
          <cell r="U127">
            <v>1.0474985480308532</v>
          </cell>
        </row>
        <row r="128">
          <cell r="K128" t="str">
            <v>Consumables</v>
          </cell>
          <cell r="L128" t="str">
            <v>Malaysia</v>
          </cell>
          <cell r="M128" t="str">
            <v>Southeast Asia</v>
          </cell>
          <cell r="N128" t="str">
            <v>Auction</v>
          </cell>
          <cell r="O128" t="str">
            <v>Rodney Muse</v>
          </cell>
          <cell r="P128">
            <v>0.98</v>
          </cell>
          <cell r="Q128">
            <v>0</v>
          </cell>
          <cell r="R128">
            <v>9.6140000000000008</v>
          </cell>
          <cell r="S128">
            <v>15.5</v>
          </cell>
          <cell r="T128">
            <v>6.7931153526820145</v>
          </cell>
          <cell r="U128">
            <v>1.0474985480308532</v>
          </cell>
        </row>
        <row r="129">
          <cell r="K129" t="str">
            <v>Consumables</v>
          </cell>
          <cell r="L129" t="str">
            <v>Malaysia</v>
          </cell>
          <cell r="M129" t="str">
            <v>Southeast Asia</v>
          </cell>
          <cell r="N129" t="str">
            <v>Auction</v>
          </cell>
          <cell r="O129" t="str">
            <v>Rodney Muse</v>
          </cell>
          <cell r="P129">
            <v>0.98</v>
          </cell>
          <cell r="Q129">
            <v>0</v>
          </cell>
          <cell r="R129">
            <v>9.6140000000000008</v>
          </cell>
          <cell r="S129">
            <v>15.5</v>
          </cell>
          <cell r="T129">
            <v>6.7931153526820145</v>
          </cell>
          <cell r="U129">
            <v>1.0474985480308532</v>
          </cell>
        </row>
        <row r="130">
          <cell r="K130" t="str">
            <v>Consumables</v>
          </cell>
          <cell r="L130" t="str">
            <v>Malaysia</v>
          </cell>
          <cell r="M130" t="str">
            <v>Southeast Asia</v>
          </cell>
          <cell r="N130" t="str">
            <v>Auction</v>
          </cell>
          <cell r="O130" t="str">
            <v>Rodney Muse</v>
          </cell>
          <cell r="P130">
            <v>0.98</v>
          </cell>
          <cell r="Q130">
            <v>0</v>
          </cell>
          <cell r="R130">
            <v>9.6140000000000008</v>
          </cell>
          <cell r="S130">
            <v>15.5</v>
          </cell>
          <cell r="T130">
            <v>6.7931153526820145</v>
          </cell>
          <cell r="U130">
            <v>1.0474985480308532</v>
          </cell>
        </row>
        <row r="131">
          <cell r="K131" t="str">
            <v>Services</v>
          </cell>
          <cell r="L131" t="str">
            <v>Singapore</v>
          </cell>
          <cell r="M131" t="str">
            <v>Southeast Asia</v>
          </cell>
          <cell r="N131" t="str">
            <v>Direct Approach</v>
          </cell>
          <cell r="O131" t="str">
            <v>Nicholas Bloy</v>
          </cell>
          <cell r="P131">
            <v>0.89100000000000001</v>
          </cell>
          <cell r="Q131">
            <v>0</v>
          </cell>
          <cell r="R131">
            <v>31.493723152000001</v>
          </cell>
          <cell r="S131">
            <v>43.2</v>
          </cell>
          <cell r="T131">
            <v>1.6622132301504553</v>
          </cell>
          <cell r="U131">
            <v>0.63852822184562696</v>
          </cell>
        </row>
        <row r="132">
          <cell r="K132" t="str">
            <v>Services</v>
          </cell>
          <cell r="L132" t="str">
            <v>Singapore</v>
          </cell>
          <cell r="M132" t="str">
            <v>Southeast Asia</v>
          </cell>
          <cell r="N132" t="str">
            <v>Direct Approach</v>
          </cell>
          <cell r="O132" t="str">
            <v>Nicholas Bloy</v>
          </cell>
          <cell r="P132">
            <v>0.89100000000000001</v>
          </cell>
          <cell r="Q132">
            <v>0</v>
          </cell>
          <cell r="R132">
            <v>31.493723152000001</v>
          </cell>
          <cell r="S132">
            <v>43.2</v>
          </cell>
          <cell r="T132">
            <v>1.6622132301504553</v>
          </cell>
          <cell r="U132">
            <v>0.63852822184562696</v>
          </cell>
        </row>
        <row r="133">
          <cell r="K133" t="str">
            <v>Services</v>
          </cell>
          <cell r="L133" t="str">
            <v>Singapore</v>
          </cell>
          <cell r="M133" t="str">
            <v>Southeast Asia</v>
          </cell>
          <cell r="N133" t="str">
            <v>Direct Approach</v>
          </cell>
          <cell r="O133" t="str">
            <v>Nicholas Bloy</v>
          </cell>
          <cell r="P133">
            <v>0.89100000000000001</v>
          </cell>
          <cell r="Q133">
            <v>0</v>
          </cell>
          <cell r="R133">
            <v>31.493723152000001</v>
          </cell>
          <cell r="S133">
            <v>43.2</v>
          </cell>
          <cell r="T133">
            <v>1.6622132301504553</v>
          </cell>
          <cell r="U133">
            <v>0.63852822184562696</v>
          </cell>
        </row>
        <row r="134">
          <cell r="K134" t="str">
            <v>Services</v>
          </cell>
          <cell r="L134" t="str">
            <v>Singapore</v>
          </cell>
          <cell r="M134" t="str">
            <v>Southeast Asia</v>
          </cell>
          <cell r="N134" t="str">
            <v>Direct Approach</v>
          </cell>
          <cell r="O134" t="str">
            <v>Nicholas Bloy</v>
          </cell>
          <cell r="P134">
            <v>0.89100000000000001</v>
          </cell>
          <cell r="Q134">
            <v>0</v>
          </cell>
          <cell r="R134">
            <v>31.493723152000001</v>
          </cell>
          <cell r="S134">
            <v>43.2</v>
          </cell>
          <cell r="T134">
            <v>1.6622132301504553</v>
          </cell>
          <cell r="U134">
            <v>0.63852822184562696</v>
          </cell>
        </row>
        <row r="135">
          <cell r="K135" t="str">
            <v>Services</v>
          </cell>
          <cell r="L135" t="str">
            <v>Singapore</v>
          </cell>
          <cell r="M135" t="str">
            <v>Southeast Asia</v>
          </cell>
          <cell r="N135" t="str">
            <v>Direct Approach</v>
          </cell>
          <cell r="O135" t="str">
            <v>Nicholas Bloy</v>
          </cell>
          <cell r="P135">
            <v>0.89100000000000001</v>
          </cell>
          <cell r="Q135">
            <v>0</v>
          </cell>
          <cell r="R135">
            <v>2.0102376479999999</v>
          </cell>
          <cell r="S135">
            <v>43.2</v>
          </cell>
          <cell r="T135">
            <v>1.6622132301504553</v>
          </cell>
          <cell r="U135">
            <v>0.6385281026363373</v>
          </cell>
        </row>
        <row r="136">
          <cell r="K136" t="str">
            <v>Services</v>
          </cell>
          <cell r="L136" t="str">
            <v>Singapore</v>
          </cell>
          <cell r="M136" t="str">
            <v>Southeast Asia</v>
          </cell>
          <cell r="N136" t="str">
            <v>Direct Approach</v>
          </cell>
          <cell r="O136" t="str">
            <v>Nicholas Bloy</v>
          </cell>
          <cell r="P136">
            <v>0.89100000000000001</v>
          </cell>
          <cell r="Q136">
            <v>0</v>
          </cell>
          <cell r="R136">
            <v>2.0102376479999999</v>
          </cell>
          <cell r="S136">
            <v>43.2</v>
          </cell>
          <cell r="T136">
            <v>1.6622132301504553</v>
          </cell>
          <cell r="U136">
            <v>0.6385281026363373</v>
          </cell>
        </row>
        <row r="137">
          <cell r="K137" t="str">
            <v>Services</v>
          </cell>
          <cell r="L137" t="str">
            <v>Singapore</v>
          </cell>
          <cell r="M137" t="str">
            <v>Southeast Asia</v>
          </cell>
          <cell r="N137" t="str">
            <v>Direct Approach</v>
          </cell>
          <cell r="O137" t="str">
            <v>Nicholas Bloy</v>
          </cell>
          <cell r="P137">
            <v>0.89100000000000001</v>
          </cell>
          <cell r="Q137">
            <v>0</v>
          </cell>
          <cell r="R137">
            <v>2.0102376479999999</v>
          </cell>
          <cell r="S137">
            <v>43.2</v>
          </cell>
          <cell r="T137">
            <v>1.6622132301504553</v>
          </cell>
          <cell r="U137">
            <v>0.6385281026363373</v>
          </cell>
        </row>
        <row r="138">
          <cell r="K138" t="str">
            <v>Services</v>
          </cell>
          <cell r="L138" t="str">
            <v>Singapore</v>
          </cell>
          <cell r="M138" t="str">
            <v>Southeast Asia</v>
          </cell>
          <cell r="N138" t="str">
            <v>Direct Approach</v>
          </cell>
          <cell r="O138" t="str">
            <v>Nicholas Bloy</v>
          </cell>
          <cell r="P138">
            <v>0.89100000000000001</v>
          </cell>
          <cell r="Q138">
            <v>0</v>
          </cell>
          <cell r="R138">
            <v>2.0102376479999999</v>
          </cell>
          <cell r="S138">
            <v>43.2</v>
          </cell>
          <cell r="T138">
            <v>1.6622132301504553</v>
          </cell>
          <cell r="U138">
            <v>0.6385281026363373</v>
          </cell>
        </row>
        <row r="139">
          <cell r="K139" t="str">
            <v>Media</v>
          </cell>
          <cell r="L139" t="str">
            <v>Philippines</v>
          </cell>
          <cell r="M139" t="str">
            <v>Southeast Asia</v>
          </cell>
          <cell r="N139" t="str">
            <v>Direct Approach</v>
          </cell>
          <cell r="O139" t="str">
            <v>Rodney Muse</v>
          </cell>
          <cell r="P139">
            <v>0.7</v>
          </cell>
          <cell r="Q139">
            <v>0</v>
          </cell>
          <cell r="R139">
            <v>1.5169999999999999</v>
          </cell>
          <cell r="S139">
            <v>2.3199999999999998</v>
          </cell>
          <cell r="T139">
            <v>1.1212157108947649</v>
          </cell>
          <cell r="U139">
            <v>2.3524644970893866E-2</v>
          </cell>
        </row>
        <row r="140">
          <cell r="K140" t="str">
            <v>Media</v>
          </cell>
          <cell r="L140" t="str">
            <v>Philippines</v>
          </cell>
          <cell r="M140" t="str">
            <v>Southeast Asia</v>
          </cell>
          <cell r="N140" t="str">
            <v>Direct Approach</v>
          </cell>
          <cell r="O140" t="str">
            <v>Rodney Muse</v>
          </cell>
          <cell r="P140">
            <v>0.7</v>
          </cell>
          <cell r="Q140">
            <v>0</v>
          </cell>
          <cell r="R140">
            <v>1.5169999999999999</v>
          </cell>
          <cell r="S140">
            <v>2.3199999999999998</v>
          </cell>
          <cell r="T140">
            <v>1.1212157108947649</v>
          </cell>
          <cell r="U140">
            <v>2.3524644970893866E-2</v>
          </cell>
        </row>
        <row r="141">
          <cell r="K141" t="str">
            <v>Services</v>
          </cell>
          <cell r="L141" t="str">
            <v>Australia</v>
          </cell>
          <cell r="M141" t="str">
            <v>Australia</v>
          </cell>
          <cell r="N141" t="str">
            <v>Direct Approach</v>
          </cell>
          <cell r="O141" t="str">
            <v>Rodney Muse</v>
          </cell>
          <cell r="P141">
            <v>0.3</v>
          </cell>
          <cell r="Q141">
            <v>0</v>
          </cell>
          <cell r="R141">
            <v>7.2391899999999998</v>
          </cell>
          <cell r="S141">
            <v>31.4</v>
          </cell>
          <cell r="T141">
            <v>1.8807253615390673</v>
          </cell>
          <cell r="U141">
            <v>0.20626330971717841</v>
          </cell>
        </row>
        <row r="142">
          <cell r="K142" t="str">
            <v>Services</v>
          </cell>
          <cell r="L142" t="str">
            <v>Australia</v>
          </cell>
          <cell r="M142" t="str">
            <v>Australia</v>
          </cell>
          <cell r="N142" t="str">
            <v>Direct Approach</v>
          </cell>
          <cell r="O142" t="str">
            <v>Rodney Muse</v>
          </cell>
          <cell r="P142">
            <v>0.3</v>
          </cell>
          <cell r="Q142">
            <v>0</v>
          </cell>
          <cell r="R142">
            <v>7.2391899999999998</v>
          </cell>
          <cell r="S142">
            <v>31.4</v>
          </cell>
          <cell r="T142">
            <v>1.8807253615390673</v>
          </cell>
          <cell r="U142">
            <v>0.20626330971717841</v>
          </cell>
        </row>
        <row r="143">
          <cell r="K143" t="str">
            <v>Services</v>
          </cell>
          <cell r="L143" t="str">
            <v>Australia</v>
          </cell>
          <cell r="M143" t="str">
            <v>Australia</v>
          </cell>
          <cell r="N143" t="str">
            <v>Direct Approach</v>
          </cell>
          <cell r="O143" t="str">
            <v>Rodney Muse</v>
          </cell>
          <cell r="P143">
            <v>0.3</v>
          </cell>
          <cell r="Q143">
            <v>0</v>
          </cell>
          <cell r="R143">
            <v>7.2391899999999998</v>
          </cell>
          <cell r="S143">
            <v>31.4</v>
          </cell>
          <cell r="T143">
            <v>1.8807253615390673</v>
          </cell>
          <cell r="U143">
            <v>0.20626330971717841</v>
          </cell>
        </row>
        <row r="144">
          <cell r="K144" t="str">
            <v>Services</v>
          </cell>
          <cell r="L144" t="str">
            <v>Australia</v>
          </cell>
          <cell r="M144" t="str">
            <v>Australia</v>
          </cell>
          <cell r="N144" t="str">
            <v>Direct Approach</v>
          </cell>
          <cell r="O144" t="str">
            <v>Rodney Muse</v>
          </cell>
          <cell r="P144">
            <v>0.3</v>
          </cell>
          <cell r="Q144">
            <v>0</v>
          </cell>
          <cell r="R144">
            <v>7.2391899999999998</v>
          </cell>
          <cell r="S144">
            <v>31.4</v>
          </cell>
          <cell r="T144">
            <v>1.8807253615390673</v>
          </cell>
          <cell r="U144">
            <v>0.20626330971717841</v>
          </cell>
        </row>
        <row r="145">
          <cell r="K145" t="str">
            <v>Services</v>
          </cell>
          <cell r="L145" t="str">
            <v>Australia</v>
          </cell>
          <cell r="M145" t="str">
            <v>Australia</v>
          </cell>
          <cell r="N145" t="str">
            <v>Direct Approach</v>
          </cell>
          <cell r="O145" t="str">
            <v>Rodney Muse</v>
          </cell>
          <cell r="P145">
            <v>0.55000000000000004</v>
          </cell>
          <cell r="Q145">
            <v>0</v>
          </cell>
          <cell r="R145">
            <v>19.631050999999999</v>
          </cell>
          <cell r="S145">
            <v>31.4</v>
          </cell>
          <cell r="T145">
            <v>1.6942904982519784</v>
          </cell>
          <cell r="U145">
            <v>0.21854115128517151</v>
          </cell>
        </row>
        <row r="146">
          <cell r="K146" t="str">
            <v>Services</v>
          </cell>
          <cell r="L146" t="str">
            <v>Australia</v>
          </cell>
          <cell r="M146" t="str">
            <v>Australia</v>
          </cell>
          <cell r="N146" t="str">
            <v>Direct Approach</v>
          </cell>
          <cell r="O146" t="str">
            <v>Rodney Muse</v>
          </cell>
          <cell r="P146">
            <v>0.55000000000000004</v>
          </cell>
          <cell r="Q146">
            <v>0</v>
          </cell>
          <cell r="R146">
            <v>19.631050999999999</v>
          </cell>
          <cell r="S146">
            <v>31.4</v>
          </cell>
          <cell r="T146">
            <v>1.6942904982519784</v>
          </cell>
          <cell r="U146">
            <v>0.21854115128517151</v>
          </cell>
        </row>
        <row r="147">
          <cell r="K147" t="str">
            <v>Services</v>
          </cell>
          <cell r="L147" t="str">
            <v>Australia</v>
          </cell>
          <cell r="M147" t="str">
            <v>Australia</v>
          </cell>
          <cell r="N147" t="str">
            <v>Direct Approach</v>
          </cell>
          <cell r="O147" t="str">
            <v>Rodney Muse</v>
          </cell>
          <cell r="P147">
            <v>0.55000000000000004</v>
          </cell>
          <cell r="Q147">
            <v>0</v>
          </cell>
          <cell r="R147">
            <v>19.631050999999999</v>
          </cell>
          <cell r="S147">
            <v>31.4</v>
          </cell>
          <cell r="T147">
            <v>1.6942904982519784</v>
          </cell>
          <cell r="U147">
            <v>0.21854115128517151</v>
          </cell>
        </row>
        <row r="148">
          <cell r="K148" t="str">
            <v>Services</v>
          </cell>
          <cell r="L148" t="str">
            <v>Australia</v>
          </cell>
          <cell r="M148" t="str">
            <v>Australia</v>
          </cell>
          <cell r="N148" t="str">
            <v>Direct Approach</v>
          </cell>
          <cell r="O148" t="str">
            <v>Rodney Muse</v>
          </cell>
          <cell r="P148">
            <v>0.55000000000000004</v>
          </cell>
          <cell r="Q148">
            <v>0</v>
          </cell>
          <cell r="R148">
            <v>19.631050999999999</v>
          </cell>
          <cell r="S148">
            <v>31.4</v>
          </cell>
          <cell r="T148">
            <v>1.6942904982519784</v>
          </cell>
          <cell r="U148">
            <v>0.21854115128517151</v>
          </cell>
        </row>
        <row r="149">
          <cell r="K149" t="str">
            <v>Services</v>
          </cell>
          <cell r="L149" t="str">
            <v>Australia</v>
          </cell>
          <cell r="M149" t="str">
            <v>Australia</v>
          </cell>
          <cell r="N149" t="str">
            <v>Direct Approach</v>
          </cell>
          <cell r="O149" t="str">
            <v>Rodney Muse</v>
          </cell>
          <cell r="P149">
            <v>0.55000000000000004</v>
          </cell>
          <cell r="Q149">
            <v>0</v>
          </cell>
          <cell r="R149">
            <v>19.631050999999999</v>
          </cell>
          <cell r="S149">
            <v>31.4</v>
          </cell>
          <cell r="T149">
            <v>1.6942904982519784</v>
          </cell>
          <cell r="U149">
            <v>0.21854115128517151</v>
          </cell>
        </row>
        <row r="150">
          <cell r="K150" t="str">
            <v>Services</v>
          </cell>
          <cell r="L150" t="str">
            <v>Australia</v>
          </cell>
          <cell r="M150" t="str">
            <v>Australia</v>
          </cell>
          <cell r="N150" t="str">
            <v>Direct Approach</v>
          </cell>
          <cell r="O150" t="str">
            <v>Rodney Muse</v>
          </cell>
          <cell r="P150">
            <v>0.55000000000000004</v>
          </cell>
          <cell r="Q150">
            <v>0</v>
          </cell>
          <cell r="R150">
            <v>19.631050999999999</v>
          </cell>
          <cell r="S150">
            <v>31.4</v>
          </cell>
          <cell r="T150">
            <v>1.6942904982519784</v>
          </cell>
          <cell r="U150">
            <v>0.21854115128517151</v>
          </cell>
        </row>
        <row r="151">
          <cell r="K151" t="str">
            <v>Services</v>
          </cell>
          <cell r="L151" t="str">
            <v>Australia</v>
          </cell>
          <cell r="M151" t="str">
            <v>Australia</v>
          </cell>
          <cell r="N151" t="str">
            <v>Direct Approach</v>
          </cell>
          <cell r="O151" t="str">
            <v>Rodney Muse</v>
          </cell>
          <cell r="P151">
            <v>0.55000000000000004</v>
          </cell>
          <cell r="Q151">
            <v>0</v>
          </cell>
          <cell r="R151">
            <v>19.631050999999999</v>
          </cell>
          <cell r="S151">
            <v>31.4</v>
          </cell>
          <cell r="T151">
            <v>1.6942904982519784</v>
          </cell>
          <cell r="U151">
            <v>0.21854115128517151</v>
          </cell>
        </row>
        <row r="152">
          <cell r="K152" t="str">
            <v>Services</v>
          </cell>
          <cell r="L152" t="str">
            <v>Australia</v>
          </cell>
          <cell r="M152" t="str">
            <v>Australia</v>
          </cell>
          <cell r="N152" t="str">
            <v>Direct Approach</v>
          </cell>
          <cell r="O152" t="str">
            <v>Rodney Muse</v>
          </cell>
          <cell r="P152">
            <v>0.55000000000000004</v>
          </cell>
          <cell r="Q152">
            <v>0</v>
          </cell>
          <cell r="R152">
            <v>19.631050999999999</v>
          </cell>
          <cell r="S152">
            <v>31.4</v>
          </cell>
          <cell r="T152">
            <v>1.6942904982519784</v>
          </cell>
          <cell r="U152">
            <v>0.21854115128517151</v>
          </cell>
        </row>
        <row r="153">
          <cell r="K153" t="str">
            <v>Consumables</v>
          </cell>
          <cell r="L153" t="str">
            <v>Philippines</v>
          </cell>
          <cell r="M153" t="str">
            <v>Southeast Asia</v>
          </cell>
          <cell r="N153" t="str">
            <v>Intermediary</v>
          </cell>
          <cell r="O153" t="str">
            <v>Rodney Muse</v>
          </cell>
          <cell r="P153">
            <v>0.66500000000000004</v>
          </cell>
          <cell r="Q153">
            <v>0</v>
          </cell>
          <cell r="R153">
            <v>8</v>
          </cell>
          <cell r="S153">
            <v>25.6</v>
          </cell>
          <cell r="T153">
            <v>0</v>
          </cell>
          <cell r="U153">
            <v>0</v>
          </cell>
        </row>
        <row r="154">
          <cell r="K154" t="str">
            <v>Consumables</v>
          </cell>
          <cell r="L154" t="str">
            <v>Philippines</v>
          </cell>
          <cell r="M154" t="str">
            <v>Southeast Asia</v>
          </cell>
          <cell r="N154" t="str">
            <v>Intermediary</v>
          </cell>
          <cell r="O154" t="str">
            <v>Rodney Muse</v>
          </cell>
          <cell r="P154">
            <v>0.66500000000000004</v>
          </cell>
          <cell r="Q154">
            <v>0</v>
          </cell>
          <cell r="R154">
            <v>8</v>
          </cell>
          <cell r="S154">
            <v>25.6</v>
          </cell>
          <cell r="T154">
            <v>0</v>
          </cell>
          <cell r="U154">
            <v>0</v>
          </cell>
        </row>
        <row r="155">
          <cell r="K155" t="str">
            <v>Consumables</v>
          </cell>
          <cell r="L155" t="str">
            <v>Philippines</v>
          </cell>
          <cell r="M155" t="str">
            <v>Southeast Asia</v>
          </cell>
          <cell r="N155" t="str">
            <v>Intermediary</v>
          </cell>
          <cell r="O155" t="str">
            <v>Rodney Muse</v>
          </cell>
          <cell r="P155">
            <v>0.66500000000000004</v>
          </cell>
          <cell r="Q155">
            <v>0</v>
          </cell>
          <cell r="R155">
            <v>0.67677799999999999</v>
          </cell>
          <cell r="S155">
            <v>25.6</v>
          </cell>
          <cell r="T155">
            <v>0</v>
          </cell>
          <cell r="U155">
            <v>0</v>
          </cell>
        </row>
        <row r="156">
          <cell r="K156" t="str">
            <v>Consumables</v>
          </cell>
          <cell r="L156" t="str">
            <v>Philippines</v>
          </cell>
          <cell r="M156" t="str">
            <v>Southeast Asia</v>
          </cell>
          <cell r="N156" t="str">
            <v>Intermediary</v>
          </cell>
          <cell r="O156" t="str">
            <v>Rodney Muse</v>
          </cell>
          <cell r="P156">
            <v>0.66500000000000004</v>
          </cell>
          <cell r="Q156">
            <v>0</v>
          </cell>
          <cell r="R156">
            <v>0.67677799999999999</v>
          </cell>
          <cell r="S156">
            <v>25.6</v>
          </cell>
          <cell r="T156">
            <v>0</v>
          </cell>
          <cell r="U156">
            <v>0</v>
          </cell>
        </row>
        <row r="157">
          <cell r="K157" t="str">
            <v>Consumables</v>
          </cell>
          <cell r="L157" t="str">
            <v>Philippines</v>
          </cell>
          <cell r="M157" t="str">
            <v>Southeast Asia</v>
          </cell>
          <cell r="N157" t="str">
            <v>Intermediary</v>
          </cell>
          <cell r="O157" t="str">
            <v>Rodney Muse</v>
          </cell>
          <cell r="P157">
            <v>0.66500000000000004</v>
          </cell>
          <cell r="Q157">
            <v>0</v>
          </cell>
          <cell r="R157">
            <v>1.3232219999999999</v>
          </cell>
          <cell r="S157">
            <v>25.6</v>
          </cell>
          <cell r="T157">
            <v>0</v>
          </cell>
          <cell r="U157">
            <v>0</v>
          </cell>
        </row>
        <row r="158">
          <cell r="K158" t="str">
            <v>Consumables</v>
          </cell>
          <cell r="L158" t="str">
            <v>Philippines</v>
          </cell>
          <cell r="M158" t="str">
            <v>Southeast Asia</v>
          </cell>
          <cell r="N158" t="str">
            <v>Intermediary</v>
          </cell>
          <cell r="O158" t="str">
            <v>Rodney Muse</v>
          </cell>
          <cell r="P158">
            <v>0.66500000000000004</v>
          </cell>
          <cell r="Q158">
            <v>0</v>
          </cell>
          <cell r="R158">
            <v>1.3232219999999999</v>
          </cell>
          <cell r="S158">
            <v>25.6</v>
          </cell>
          <cell r="T158">
            <v>0</v>
          </cell>
          <cell r="U158">
            <v>0</v>
          </cell>
        </row>
        <row r="159">
          <cell r="K159" t="str">
            <v>Services</v>
          </cell>
          <cell r="L159" t="str">
            <v>Regional</v>
          </cell>
          <cell r="M159" t="str">
            <v>Multi-region</v>
          </cell>
          <cell r="N159" t="str">
            <v>Direct Approach</v>
          </cell>
          <cell r="O159" t="str">
            <v>Rodney Muse</v>
          </cell>
          <cell r="P159">
            <v>0.92</v>
          </cell>
          <cell r="Q159">
            <v>0</v>
          </cell>
          <cell r="R159">
            <v>2.67</v>
          </cell>
          <cell r="S159">
            <v>9.6999999999999993</v>
          </cell>
          <cell r="T159">
            <v>1.2249722846441948</v>
          </cell>
          <cell r="U159">
            <v>7.0164933800697313E-2</v>
          </cell>
        </row>
        <row r="160">
          <cell r="K160" t="str">
            <v>Services</v>
          </cell>
          <cell r="L160" t="str">
            <v>Regional</v>
          </cell>
          <cell r="M160" t="str">
            <v>Multi-region</v>
          </cell>
          <cell r="N160" t="str">
            <v>Direct Approach</v>
          </cell>
          <cell r="O160" t="str">
            <v>Rodney Muse</v>
          </cell>
          <cell r="P160">
            <v>0.92</v>
          </cell>
          <cell r="Q160">
            <v>0</v>
          </cell>
          <cell r="R160">
            <v>2.67</v>
          </cell>
          <cell r="S160">
            <v>9.6999999999999993</v>
          </cell>
          <cell r="T160">
            <v>1.2249722846441948</v>
          </cell>
          <cell r="U160">
            <v>7.0164933800697313E-2</v>
          </cell>
        </row>
        <row r="161">
          <cell r="K161" t="str">
            <v>Services</v>
          </cell>
          <cell r="L161" t="str">
            <v>Regional</v>
          </cell>
          <cell r="M161" t="str">
            <v>Multi-region</v>
          </cell>
          <cell r="N161" t="str">
            <v>Direct Approach</v>
          </cell>
          <cell r="O161" t="str">
            <v>Rodney Muse</v>
          </cell>
          <cell r="P161">
            <v>0.92</v>
          </cell>
          <cell r="Q161">
            <v>0</v>
          </cell>
          <cell r="R161">
            <v>2.67</v>
          </cell>
          <cell r="S161">
            <v>9.6999999999999993</v>
          </cell>
          <cell r="T161">
            <v>1.2249722846441948</v>
          </cell>
          <cell r="U161">
            <v>7.0164933800697313E-2</v>
          </cell>
        </row>
        <row r="162">
          <cell r="K162" t="str">
            <v>Services</v>
          </cell>
          <cell r="L162" t="str">
            <v>Regional</v>
          </cell>
          <cell r="M162" t="str">
            <v>Multi-region</v>
          </cell>
          <cell r="N162" t="str">
            <v>Direct Approach</v>
          </cell>
          <cell r="O162" t="str">
            <v>Rodney Muse</v>
          </cell>
          <cell r="P162">
            <v>0.92</v>
          </cell>
          <cell r="Q162">
            <v>0</v>
          </cell>
          <cell r="R162">
            <v>2.67</v>
          </cell>
          <cell r="S162">
            <v>9.6999999999999993</v>
          </cell>
          <cell r="T162">
            <v>1.2249722846441948</v>
          </cell>
          <cell r="U162">
            <v>7.0164933800697313E-2</v>
          </cell>
        </row>
        <row r="163">
          <cell r="K163" t="str">
            <v>Services</v>
          </cell>
          <cell r="L163" t="str">
            <v>Regional</v>
          </cell>
          <cell r="M163" t="str">
            <v>Multi-region</v>
          </cell>
          <cell r="N163" t="str">
            <v>Direct Approach</v>
          </cell>
          <cell r="O163" t="str">
            <v>Rodney Muse</v>
          </cell>
          <cell r="P163">
            <v>0.92</v>
          </cell>
          <cell r="Q163">
            <v>0</v>
          </cell>
          <cell r="R163">
            <v>9.11</v>
          </cell>
          <cell r="S163">
            <v>9.6999999999999993</v>
          </cell>
          <cell r="T163">
            <v>1.1978059275521404</v>
          </cell>
          <cell r="U163">
            <v>6.9762453436851501E-2</v>
          </cell>
        </row>
        <row r="164">
          <cell r="K164" t="str">
            <v>Services</v>
          </cell>
          <cell r="L164" t="str">
            <v>Regional</v>
          </cell>
          <cell r="M164" t="str">
            <v>Multi-region</v>
          </cell>
          <cell r="N164" t="str">
            <v>Direct Approach</v>
          </cell>
          <cell r="O164" t="str">
            <v>Rodney Muse</v>
          </cell>
          <cell r="P164">
            <v>0.92</v>
          </cell>
          <cell r="Q164">
            <v>0</v>
          </cell>
          <cell r="R164">
            <v>9.11</v>
          </cell>
          <cell r="S164">
            <v>9.6999999999999993</v>
          </cell>
          <cell r="T164">
            <v>1.1978059275521404</v>
          </cell>
          <cell r="U164">
            <v>6.9762453436851501E-2</v>
          </cell>
        </row>
        <row r="165">
          <cell r="K165" t="str">
            <v>Services</v>
          </cell>
          <cell r="L165" t="str">
            <v>Regional</v>
          </cell>
          <cell r="M165" t="str">
            <v>Multi-region</v>
          </cell>
          <cell r="N165" t="str">
            <v>Direct Approach</v>
          </cell>
          <cell r="O165" t="str">
            <v>Rodney Muse</v>
          </cell>
          <cell r="P165">
            <v>0.92</v>
          </cell>
          <cell r="Q165">
            <v>0</v>
          </cell>
          <cell r="R165">
            <v>9.11</v>
          </cell>
          <cell r="S165">
            <v>9.6999999999999993</v>
          </cell>
          <cell r="T165">
            <v>1.1978059275521404</v>
          </cell>
          <cell r="U165">
            <v>6.9762453436851501E-2</v>
          </cell>
        </row>
        <row r="166">
          <cell r="K166" t="str">
            <v>Services</v>
          </cell>
          <cell r="L166" t="str">
            <v>Regional</v>
          </cell>
          <cell r="M166" t="str">
            <v>Multi-region</v>
          </cell>
          <cell r="N166" t="str">
            <v>Direct Approach</v>
          </cell>
          <cell r="O166" t="str">
            <v>Rodney Muse</v>
          </cell>
          <cell r="P166">
            <v>0.92</v>
          </cell>
          <cell r="Q166">
            <v>0</v>
          </cell>
          <cell r="R166">
            <v>9.11</v>
          </cell>
          <cell r="S166">
            <v>9.6999999999999993</v>
          </cell>
          <cell r="T166">
            <v>1.1978059275521404</v>
          </cell>
          <cell r="U166">
            <v>6.9762453436851501E-2</v>
          </cell>
        </row>
        <row r="167">
          <cell r="K167" t="str">
            <v>Services</v>
          </cell>
          <cell r="L167" t="str">
            <v>Regional</v>
          </cell>
          <cell r="M167" t="str">
            <v>Multi-region</v>
          </cell>
          <cell r="N167" t="str">
            <v>Direct Approach</v>
          </cell>
          <cell r="O167" t="str">
            <v>Rodney Muse</v>
          </cell>
          <cell r="P167">
            <v>0.92</v>
          </cell>
          <cell r="Q167">
            <v>0</v>
          </cell>
          <cell r="R167">
            <v>9.11</v>
          </cell>
          <cell r="S167">
            <v>9.6999999999999993</v>
          </cell>
          <cell r="T167">
            <v>1.1978059275521404</v>
          </cell>
          <cell r="U167">
            <v>6.9762453436851501E-2</v>
          </cell>
        </row>
        <row r="168">
          <cell r="K168" t="str">
            <v>Services</v>
          </cell>
          <cell r="L168" t="str">
            <v>Regional</v>
          </cell>
          <cell r="M168" t="str">
            <v>Multi-region</v>
          </cell>
          <cell r="N168" t="str">
            <v>Direct Approach</v>
          </cell>
          <cell r="O168" t="str">
            <v>Rodney Muse</v>
          </cell>
          <cell r="P168">
            <v>0.92</v>
          </cell>
          <cell r="Q168">
            <v>0</v>
          </cell>
          <cell r="R168">
            <v>9.11</v>
          </cell>
          <cell r="S168">
            <v>9.6999999999999993</v>
          </cell>
          <cell r="T168">
            <v>1.1978059275521404</v>
          </cell>
          <cell r="U168">
            <v>6.9762453436851501E-2</v>
          </cell>
        </row>
        <row r="169">
          <cell r="K169" t="str">
            <v>Services</v>
          </cell>
          <cell r="L169" t="str">
            <v>Regional</v>
          </cell>
          <cell r="M169" t="str">
            <v>Multi-region</v>
          </cell>
          <cell r="N169" t="str">
            <v>Direct Approach</v>
          </cell>
          <cell r="O169" t="str">
            <v>Rodney Muse</v>
          </cell>
          <cell r="P169">
            <v>0.92</v>
          </cell>
          <cell r="Q169">
            <v>0</v>
          </cell>
          <cell r="R169">
            <v>9.11</v>
          </cell>
          <cell r="S169">
            <v>9.6999999999999993</v>
          </cell>
          <cell r="T169">
            <v>1.1978059275521404</v>
          </cell>
          <cell r="U169">
            <v>6.9762453436851501E-2</v>
          </cell>
        </row>
        <row r="170">
          <cell r="K170" t="str">
            <v>Services</v>
          </cell>
          <cell r="L170" t="str">
            <v>Regional</v>
          </cell>
          <cell r="M170" t="str">
            <v>Multi-region</v>
          </cell>
          <cell r="N170" t="str">
            <v>Direct Approach</v>
          </cell>
          <cell r="O170" t="str">
            <v>Rodney Muse</v>
          </cell>
          <cell r="P170">
            <v>0.92</v>
          </cell>
          <cell r="Q170">
            <v>0</v>
          </cell>
          <cell r="R170">
            <v>9.11</v>
          </cell>
          <cell r="S170">
            <v>9.6999999999999993</v>
          </cell>
          <cell r="T170">
            <v>1.1978059275521404</v>
          </cell>
          <cell r="U170">
            <v>6.9762453436851501E-2</v>
          </cell>
        </row>
        <row r="171">
          <cell r="K171" t="str">
            <v>Food</v>
          </cell>
          <cell r="L171" t="str">
            <v>Hong Kong</v>
          </cell>
          <cell r="M171" t="str">
            <v>Hong-Kong</v>
          </cell>
          <cell r="N171" t="str">
            <v>Direct Approach / Intermediary</v>
          </cell>
          <cell r="O171" t="str">
            <v>Bruno Seghin</v>
          </cell>
          <cell r="P171">
            <v>0.96179999999999999</v>
          </cell>
          <cell r="Q171">
            <v>0</v>
          </cell>
          <cell r="R171">
            <v>20.909041330000001</v>
          </cell>
          <cell r="S171">
            <v>24.8</v>
          </cell>
          <cell r="T171">
            <v>1.5362687443529137</v>
          </cell>
          <cell r="U171">
            <v>0.61660446524620072</v>
          </cell>
        </row>
        <row r="172">
          <cell r="K172" t="str">
            <v>Food</v>
          </cell>
          <cell r="L172" t="str">
            <v>Hong Kong</v>
          </cell>
          <cell r="M172" t="str">
            <v>Hong-Kong</v>
          </cell>
          <cell r="N172" t="str">
            <v>Direct Approach / Intermediary</v>
          </cell>
          <cell r="O172" t="str">
            <v>Bruno Seghin</v>
          </cell>
          <cell r="P172">
            <v>0.96179999999999999</v>
          </cell>
          <cell r="Q172">
            <v>0</v>
          </cell>
          <cell r="R172">
            <v>20.909041330000001</v>
          </cell>
          <cell r="S172">
            <v>24.8</v>
          </cell>
          <cell r="T172">
            <v>1.5362687443529137</v>
          </cell>
          <cell r="U172">
            <v>0.61660446524620072</v>
          </cell>
        </row>
        <row r="173">
          <cell r="K173" t="str">
            <v>Food</v>
          </cell>
          <cell r="L173" t="str">
            <v>Hong Kong</v>
          </cell>
          <cell r="M173" t="str">
            <v>Hong-Kong</v>
          </cell>
          <cell r="N173" t="str">
            <v>Direct Approach / Intermediary</v>
          </cell>
          <cell r="O173" t="str">
            <v>Bruno Seghin</v>
          </cell>
          <cell r="P173">
            <v>0.96179999999999999</v>
          </cell>
          <cell r="Q173">
            <v>0</v>
          </cell>
          <cell r="R173">
            <v>20.909041330000001</v>
          </cell>
          <cell r="S173">
            <v>24.8</v>
          </cell>
          <cell r="T173">
            <v>1.5362687443529137</v>
          </cell>
          <cell r="U173">
            <v>0.61660446524620072</v>
          </cell>
        </row>
        <row r="174">
          <cell r="K174" t="str">
            <v>Food</v>
          </cell>
          <cell r="L174" t="str">
            <v>Hong Kong</v>
          </cell>
          <cell r="M174" t="str">
            <v>Hong-Kong</v>
          </cell>
          <cell r="N174" t="str">
            <v>Direct Approach / Intermediary</v>
          </cell>
          <cell r="O174" t="str">
            <v>Bruno Seghin</v>
          </cell>
          <cell r="P174">
            <v>0.96179999999999999</v>
          </cell>
          <cell r="Q174">
            <v>0</v>
          </cell>
          <cell r="R174">
            <v>4.2851009400000004</v>
          </cell>
          <cell r="S174">
            <v>24.8</v>
          </cell>
          <cell r="T174">
            <v>1.5353630627484831</v>
          </cell>
          <cell r="U174">
            <v>0.61548913121223459</v>
          </cell>
        </row>
        <row r="175">
          <cell r="K175" t="str">
            <v>Food</v>
          </cell>
          <cell r="L175" t="str">
            <v>Hong Kong</v>
          </cell>
          <cell r="M175" t="str">
            <v>Hong-Kong</v>
          </cell>
          <cell r="N175" t="str">
            <v>Direct Approach / Intermediary</v>
          </cell>
          <cell r="O175" t="str">
            <v>Bruno Seghin</v>
          </cell>
          <cell r="P175">
            <v>0.96179999999999999</v>
          </cell>
          <cell r="Q175">
            <v>0</v>
          </cell>
          <cell r="R175">
            <v>4.2851009400000004</v>
          </cell>
          <cell r="S175">
            <v>24.8</v>
          </cell>
          <cell r="T175">
            <v>1.5353630627484831</v>
          </cell>
          <cell r="U175">
            <v>0.61548913121223459</v>
          </cell>
        </row>
        <row r="176">
          <cell r="K176" t="str">
            <v>Food</v>
          </cell>
          <cell r="L176" t="str">
            <v>Hong Kong</v>
          </cell>
          <cell r="M176" t="str">
            <v>Hong-Kong</v>
          </cell>
          <cell r="N176" t="str">
            <v>Direct Approach / Intermediary</v>
          </cell>
          <cell r="O176" t="str">
            <v>Bruno Seghin</v>
          </cell>
          <cell r="P176">
            <v>0.96179999999999999</v>
          </cell>
          <cell r="Q176">
            <v>0</v>
          </cell>
          <cell r="R176">
            <v>4.2851009400000004</v>
          </cell>
          <cell r="S176">
            <v>24.8</v>
          </cell>
          <cell r="T176">
            <v>1.5353630627484831</v>
          </cell>
          <cell r="U176">
            <v>0.61548913121223459</v>
          </cell>
        </row>
        <row r="177">
          <cell r="K177" t="str">
            <v>Services</v>
          </cell>
          <cell r="L177" t="str">
            <v>India</v>
          </cell>
          <cell r="M177" t="str">
            <v>India</v>
          </cell>
          <cell r="N177" t="str">
            <v>Direct Approach</v>
          </cell>
          <cell r="O177" t="str">
            <v>Richard Foyston</v>
          </cell>
          <cell r="P177">
            <v>0.08</v>
          </cell>
          <cell r="Q177">
            <v>0</v>
          </cell>
          <cell r="R177">
            <v>14.063000000000001</v>
          </cell>
          <cell r="S177">
            <v>135.6</v>
          </cell>
          <cell r="T177">
            <v>1.635</v>
          </cell>
          <cell r="U177">
            <v>1.680456149578095</v>
          </cell>
        </row>
        <row r="178">
          <cell r="K178" t="str">
            <v>Services</v>
          </cell>
          <cell r="L178" t="str">
            <v>India</v>
          </cell>
          <cell r="M178" t="str">
            <v>India</v>
          </cell>
          <cell r="N178" t="str">
            <v>Direct Approach</v>
          </cell>
          <cell r="O178" t="str">
            <v>Richard Foyston</v>
          </cell>
          <cell r="P178">
            <v>0.08</v>
          </cell>
          <cell r="Q178">
            <v>0</v>
          </cell>
          <cell r="R178">
            <v>14.063000000000001</v>
          </cell>
          <cell r="S178">
            <v>135.6</v>
          </cell>
          <cell r="T178">
            <v>1.635</v>
          </cell>
          <cell r="U178">
            <v>1.680456149578095</v>
          </cell>
        </row>
        <row r="179">
          <cell r="K179" t="str">
            <v>Services</v>
          </cell>
          <cell r="L179" t="str">
            <v>Malaysia</v>
          </cell>
          <cell r="M179" t="str">
            <v>Southeast Asia</v>
          </cell>
          <cell r="N179" t="str">
            <v>Direct Approach</v>
          </cell>
          <cell r="O179" t="str">
            <v>Timothy McKinlay</v>
          </cell>
          <cell r="P179">
            <v>1</v>
          </cell>
          <cell r="Q179">
            <v>0</v>
          </cell>
          <cell r="R179">
            <v>1.8273503</v>
          </cell>
          <cell r="S179">
            <v>4.7</v>
          </cell>
          <cell r="T179">
            <v>0</v>
          </cell>
          <cell r="U179">
            <v>0</v>
          </cell>
        </row>
        <row r="180">
          <cell r="K180" t="str">
            <v>Services</v>
          </cell>
          <cell r="L180" t="str">
            <v>Malaysia</v>
          </cell>
          <cell r="M180" t="str">
            <v>Southeast Asia</v>
          </cell>
          <cell r="N180" t="str">
            <v>Direct Approach</v>
          </cell>
          <cell r="O180" t="str">
            <v>Timothy McKinlay</v>
          </cell>
          <cell r="P180">
            <v>1</v>
          </cell>
          <cell r="Q180">
            <v>0</v>
          </cell>
          <cell r="R180">
            <v>1.8273503</v>
          </cell>
          <cell r="S180">
            <v>4.7</v>
          </cell>
          <cell r="T180">
            <v>0</v>
          </cell>
          <cell r="U180">
            <v>0</v>
          </cell>
        </row>
        <row r="181">
          <cell r="K181" t="str">
            <v>Services</v>
          </cell>
          <cell r="L181" t="str">
            <v>Malaysia</v>
          </cell>
          <cell r="M181" t="str">
            <v>Southeast Asia</v>
          </cell>
          <cell r="N181" t="str">
            <v>Direct Approach</v>
          </cell>
          <cell r="O181" t="str">
            <v>Timothy McKinlay</v>
          </cell>
          <cell r="P181">
            <v>1</v>
          </cell>
          <cell r="Q181">
            <v>0</v>
          </cell>
          <cell r="R181">
            <v>3.5726210299999996</v>
          </cell>
          <cell r="S181">
            <v>4.7</v>
          </cell>
          <cell r="T181">
            <v>0</v>
          </cell>
          <cell r="U181">
            <v>0</v>
          </cell>
        </row>
        <row r="182">
          <cell r="K182" t="str">
            <v>Services</v>
          </cell>
          <cell r="L182" t="str">
            <v>Malaysia</v>
          </cell>
          <cell r="M182" t="str">
            <v>Southeast Asia</v>
          </cell>
          <cell r="N182" t="str">
            <v>Direct Approach</v>
          </cell>
          <cell r="O182" t="str">
            <v>Timothy McKinlay</v>
          </cell>
          <cell r="P182">
            <v>1</v>
          </cell>
          <cell r="Q182">
            <v>0</v>
          </cell>
          <cell r="R182">
            <v>3.5726210299999996</v>
          </cell>
          <cell r="S182">
            <v>4.7</v>
          </cell>
          <cell r="T182">
            <v>0</v>
          </cell>
          <cell r="U182">
            <v>0</v>
          </cell>
        </row>
        <row r="183">
          <cell r="K183" t="str">
            <v>Food</v>
          </cell>
          <cell r="L183" t="str">
            <v>Hong Kong</v>
          </cell>
          <cell r="M183" t="str">
            <v>Hong-Kong</v>
          </cell>
          <cell r="N183" t="str">
            <v>Auction</v>
          </cell>
          <cell r="O183" t="str">
            <v>Nicholas Bloy</v>
          </cell>
          <cell r="P183">
            <v>0.75</v>
          </cell>
          <cell r="Q183">
            <v>0</v>
          </cell>
          <cell r="R183">
            <v>13.8</v>
          </cell>
          <cell r="S183">
            <v>42.1</v>
          </cell>
          <cell r="T183">
            <v>1.5776334474356357</v>
          </cell>
          <cell r="U183">
            <v>0.13567482829093935</v>
          </cell>
        </row>
        <row r="184">
          <cell r="K184" t="str">
            <v>Food</v>
          </cell>
          <cell r="L184" t="str">
            <v>Hong Kong</v>
          </cell>
          <cell r="M184" t="str">
            <v>Hong-Kong</v>
          </cell>
          <cell r="N184" t="str">
            <v>Auction</v>
          </cell>
          <cell r="O184" t="str">
            <v>Nicholas Bloy</v>
          </cell>
          <cell r="P184">
            <v>0.75</v>
          </cell>
          <cell r="Q184">
            <v>0</v>
          </cell>
          <cell r="R184">
            <v>13.8</v>
          </cell>
          <cell r="S184">
            <v>42.1</v>
          </cell>
          <cell r="T184">
            <v>1.5776334474356357</v>
          </cell>
          <cell r="U184">
            <v>0.13567482829093935</v>
          </cell>
        </row>
        <row r="185">
          <cell r="K185" t="str">
            <v>Food</v>
          </cell>
          <cell r="L185" t="str">
            <v>Hong Kong</v>
          </cell>
          <cell r="M185" t="str">
            <v>Hong-Kong</v>
          </cell>
          <cell r="N185" t="str">
            <v>Auction</v>
          </cell>
          <cell r="O185" t="str">
            <v>Nicholas Bloy</v>
          </cell>
          <cell r="P185">
            <v>0.75</v>
          </cell>
          <cell r="Q185">
            <v>0</v>
          </cell>
          <cell r="R185">
            <v>8.5</v>
          </cell>
          <cell r="S185">
            <v>42.1</v>
          </cell>
          <cell r="T185">
            <v>1.5778614031411853</v>
          </cell>
          <cell r="U185">
            <v>0.13572061657905576</v>
          </cell>
        </row>
        <row r="186">
          <cell r="K186" t="str">
            <v>Food</v>
          </cell>
          <cell r="L186" t="str">
            <v>Hong Kong</v>
          </cell>
          <cell r="M186" t="str">
            <v>Hong-Kong</v>
          </cell>
          <cell r="N186" t="str">
            <v>Auction</v>
          </cell>
          <cell r="O186" t="str">
            <v>Nicholas Bloy</v>
          </cell>
          <cell r="P186">
            <v>0.75</v>
          </cell>
          <cell r="Q186">
            <v>0</v>
          </cell>
          <cell r="R186">
            <v>8.5</v>
          </cell>
          <cell r="S186">
            <v>42.1</v>
          </cell>
          <cell r="T186">
            <v>1.5778614031411853</v>
          </cell>
          <cell r="U186">
            <v>0.13572061657905576</v>
          </cell>
        </row>
        <row r="187">
          <cell r="K187" t="str">
            <v>Industrial</v>
          </cell>
          <cell r="L187" t="str">
            <v>Regional</v>
          </cell>
          <cell r="M187" t="str">
            <v>Multi-region</v>
          </cell>
          <cell r="N187" t="str">
            <v>Auction</v>
          </cell>
          <cell r="O187" t="str">
            <v>Nicholas Bloy</v>
          </cell>
          <cell r="P187">
            <v>0.93</v>
          </cell>
          <cell r="Q187">
            <v>0</v>
          </cell>
          <cell r="R187">
            <v>43.19</v>
          </cell>
          <cell r="S187">
            <v>34.200000000000003</v>
          </cell>
          <cell r="T187">
            <v>3.7991074091224819</v>
          </cell>
          <cell r="U187">
            <v>0.99556323289871229</v>
          </cell>
        </row>
        <row r="188">
          <cell r="K188" t="str">
            <v>Industrial</v>
          </cell>
          <cell r="L188" t="str">
            <v>Regional</v>
          </cell>
          <cell r="M188" t="str">
            <v>Multi-region</v>
          </cell>
          <cell r="N188" t="str">
            <v>Auction</v>
          </cell>
          <cell r="O188" t="str">
            <v>Nicholas Bloy</v>
          </cell>
          <cell r="P188">
            <v>0.93</v>
          </cell>
          <cell r="Q188">
            <v>0</v>
          </cell>
          <cell r="R188">
            <v>43.19</v>
          </cell>
          <cell r="S188">
            <v>34.200000000000003</v>
          </cell>
          <cell r="T188">
            <v>3.7991074091224819</v>
          </cell>
          <cell r="U188">
            <v>0.99556323289871229</v>
          </cell>
        </row>
        <row r="189">
          <cell r="K189" t="str">
            <v>Industrial</v>
          </cell>
          <cell r="L189" t="str">
            <v>Regional</v>
          </cell>
          <cell r="M189" t="str">
            <v>Multi-region</v>
          </cell>
          <cell r="N189" t="str">
            <v>Auction</v>
          </cell>
          <cell r="O189" t="str">
            <v>Nicholas Bloy</v>
          </cell>
          <cell r="P189">
            <v>0.93</v>
          </cell>
          <cell r="Q189">
            <v>0</v>
          </cell>
          <cell r="R189">
            <v>43.19</v>
          </cell>
          <cell r="S189">
            <v>34.200000000000003</v>
          </cell>
          <cell r="T189">
            <v>3.7991074091224819</v>
          </cell>
          <cell r="U189">
            <v>0.99556323289871229</v>
          </cell>
        </row>
        <row r="190">
          <cell r="K190" t="str">
            <v>Industrial</v>
          </cell>
          <cell r="L190" t="str">
            <v>Regional</v>
          </cell>
          <cell r="M190" t="str">
            <v>Multi-region</v>
          </cell>
          <cell r="N190" t="str">
            <v>Auction</v>
          </cell>
          <cell r="O190" t="str">
            <v>Nicholas Bloy</v>
          </cell>
          <cell r="P190">
            <v>0.93</v>
          </cell>
          <cell r="Q190">
            <v>0</v>
          </cell>
          <cell r="R190">
            <v>43.19</v>
          </cell>
          <cell r="S190">
            <v>34.200000000000003</v>
          </cell>
          <cell r="T190">
            <v>3.7991074091224819</v>
          </cell>
          <cell r="U190">
            <v>0.99556323289871229</v>
          </cell>
        </row>
        <row r="191">
          <cell r="K191" t="str">
            <v>Industrial</v>
          </cell>
          <cell r="L191" t="str">
            <v>Regional</v>
          </cell>
          <cell r="M191" t="str">
            <v>Multi-region</v>
          </cell>
          <cell r="N191" t="str">
            <v>Auction</v>
          </cell>
          <cell r="O191" t="str">
            <v>Nicholas Bloy</v>
          </cell>
          <cell r="P191">
            <v>0.93</v>
          </cell>
          <cell r="Q191">
            <v>0</v>
          </cell>
          <cell r="R191">
            <v>43.19</v>
          </cell>
          <cell r="S191">
            <v>34.200000000000003</v>
          </cell>
          <cell r="T191">
            <v>3.7991074091224819</v>
          </cell>
          <cell r="U191">
            <v>0.99556323289871229</v>
          </cell>
        </row>
        <row r="192">
          <cell r="K192" t="str">
            <v>Industrial</v>
          </cell>
          <cell r="L192" t="str">
            <v>Regional</v>
          </cell>
          <cell r="M192" t="str">
            <v>Multi-region</v>
          </cell>
          <cell r="N192" t="str">
            <v>Auction</v>
          </cell>
          <cell r="O192" t="str">
            <v>Nicholas Bloy</v>
          </cell>
          <cell r="P192">
            <v>0.93</v>
          </cell>
          <cell r="Q192">
            <v>0</v>
          </cell>
          <cell r="R192">
            <v>4.71</v>
          </cell>
          <cell r="S192">
            <v>34.200000000000003</v>
          </cell>
          <cell r="T192">
            <v>5.4585987261146496</v>
          </cell>
          <cell r="U192">
            <v>1.2653329014778139</v>
          </cell>
        </row>
        <row r="193">
          <cell r="K193" t="str">
            <v>Industrial</v>
          </cell>
          <cell r="L193" t="str">
            <v>Regional</v>
          </cell>
          <cell r="M193" t="str">
            <v>Multi-region</v>
          </cell>
          <cell r="N193" t="str">
            <v>Auction</v>
          </cell>
          <cell r="O193" t="str">
            <v>Nicholas Bloy</v>
          </cell>
          <cell r="P193">
            <v>0.93</v>
          </cell>
          <cell r="Q193">
            <v>0</v>
          </cell>
          <cell r="R193">
            <v>4.71</v>
          </cell>
          <cell r="S193">
            <v>34.200000000000003</v>
          </cell>
          <cell r="T193">
            <v>5.4585987261146496</v>
          </cell>
          <cell r="U193">
            <v>1.2653329014778139</v>
          </cell>
        </row>
        <row r="194">
          <cell r="K194" t="str">
            <v>Industrial</v>
          </cell>
          <cell r="L194" t="str">
            <v>Regional</v>
          </cell>
          <cell r="M194" t="str">
            <v>Multi-region</v>
          </cell>
          <cell r="N194" t="str">
            <v>Auction</v>
          </cell>
          <cell r="O194" t="str">
            <v>Nicholas Bloy</v>
          </cell>
          <cell r="P194">
            <v>0.93</v>
          </cell>
          <cell r="Q194">
            <v>0</v>
          </cell>
          <cell r="R194">
            <v>4.71</v>
          </cell>
          <cell r="S194">
            <v>34.200000000000003</v>
          </cell>
          <cell r="T194">
            <v>5.4585987261146496</v>
          </cell>
          <cell r="U194">
            <v>1.2653329014778139</v>
          </cell>
        </row>
        <row r="195">
          <cell r="K195" t="str">
            <v>Services</v>
          </cell>
          <cell r="L195" t="str">
            <v>India</v>
          </cell>
          <cell r="M195" t="str">
            <v>India</v>
          </cell>
          <cell r="N195" t="str">
            <v>Direct Approach</v>
          </cell>
          <cell r="O195" t="str">
            <v>Richard Foyston</v>
          </cell>
          <cell r="P195">
            <v>0.74</v>
          </cell>
          <cell r="Q195">
            <v>0</v>
          </cell>
          <cell r="R195">
            <v>13.711104000000001</v>
          </cell>
          <cell r="S195">
            <v>19</v>
          </cell>
          <cell r="T195">
            <v>1.6243293017881946</v>
          </cell>
          <cell r="U195">
            <v>0.20655646920204171</v>
          </cell>
        </row>
        <row r="196">
          <cell r="K196" t="str">
            <v>Services</v>
          </cell>
          <cell r="L196" t="str">
            <v>India</v>
          </cell>
          <cell r="M196" t="str">
            <v>India</v>
          </cell>
          <cell r="N196" t="str">
            <v>Direct Approach</v>
          </cell>
          <cell r="O196" t="str">
            <v>Richard Foyston</v>
          </cell>
          <cell r="P196">
            <v>0.74</v>
          </cell>
          <cell r="Q196">
            <v>0</v>
          </cell>
          <cell r="R196">
            <v>13.711104000000001</v>
          </cell>
          <cell r="S196">
            <v>19</v>
          </cell>
          <cell r="T196">
            <v>1.6243293017881946</v>
          </cell>
          <cell r="U196">
            <v>0.20655646920204171</v>
          </cell>
        </row>
        <row r="197">
          <cell r="K197" t="str">
            <v>Services</v>
          </cell>
          <cell r="L197" t="str">
            <v>India</v>
          </cell>
          <cell r="M197" t="str">
            <v>India</v>
          </cell>
          <cell r="N197" t="str">
            <v>Direct Approach</v>
          </cell>
          <cell r="O197" t="str">
            <v>Richard Foyston</v>
          </cell>
          <cell r="P197">
            <v>0.74</v>
          </cell>
          <cell r="Q197">
            <v>0</v>
          </cell>
          <cell r="R197">
            <v>13.711104000000001</v>
          </cell>
          <cell r="S197">
            <v>19</v>
          </cell>
          <cell r="T197">
            <v>1.6243293017881946</v>
          </cell>
          <cell r="U197">
            <v>0.20655646920204171</v>
          </cell>
        </row>
        <row r="198">
          <cell r="K198" t="str">
            <v>Services</v>
          </cell>
          <cell r="L198" t="str">
            <v>India</v>
          </cell>
          <cell r="M198" t="str">
            <v>India</v>
          </cell>
          <cell r="N198" t="str">
            <v>Direct Approach</v>
          </cell>
          <cell r="O198" t="str">
            <v>Richard Foyston</v>
          </cell>
          <cell r="P198">
            <v>0.74</v>
          </cell>
          <cell r="Q198">
            <v>0</v>
          </cell>
          <cell r="R198">
            <v>13.711104000000001</v>
          </cell>
          <cell r="S198">
            <v>19</v>
          </cell>
          <cell r="T198">
            <v>1.6243293017881946</v>
          </cell>
          <cell r="U198">
            <v>0.20655646920204171</v>
          </cell>
        </row>
        <row r="199">
          <cell r="K199" t="str">
            <v>Services</v>
          </cell>
          <cell r="L199" t="str">
            <v>India</v>
          </cell>
          <cell r="M199" t="str">
            <v>India</v>
          </cell>
          <cell r="N199" t="str">
            <v>Direct Approach</v>
          </cell>
          <cell r="O199" t="str">
            <v>Richard Foyston</v>
          </cell>
          <cell r="P199">
            <v>0.74</v>
          </cell>
          <cell r="Q199">
            <v>0</v>
          </cell>
          <cell r="R199">
            <v>13.711104000000001</v>
          </cell>
          <cell r="S199">
            <v>19</v>
          </cell>
          <cell r="T199">
            <v>1.6243293017881946</v>
          </cell>
          <cell r="U199">
            <v>0.20655646920204171</v>
          </cell>
        </row>
        <row r="200">
          <cell r="K200" t="str">
            <v>Services</v>
          </cell>
          <cell r="L200" t="str">
            <v>Singapore</v>
          </cell>
          <cell r="M200" t="str">
            <v>Southeast Asia</v>
          </cell>
          <cell r="N200" t="str">
            <v>Direct Approach</v>
          </cell>
          <cell r="O200" t="str">
            <v>Nicholas Bloy</v>
          </cell>
          <cell r="P200">
            <v>0.19</v>
          </cell>
          <cell r="Q200">
            <v>0</v>
          </cell>
          <cell r="R200">
            <v>32.108773050000003</v>
          </cell>
          <cell r="S200">
            <v>98.3</v>
          </cell>
          <cell r="T200">
            <v>1.0476109067236883</v>
          </cell>
          <cell r="U200">
            <v>3.1012722849845888E-2</v>
          </cell>
        </row>
        <row r="201">
          <cell r="K201" t="str">
            <v>Services</v>
          </cell>
          <cell r="L201" t="str">
            <v>Singapore</v>
          </cell>
          <cell r="M201" t="str">
            <v>Southeast Asia</v>
          </cell>
          <cell r="N201" t="str">
            <v>Direct Approach</v>
          </cell>
          <cell r="O201" t="str">
            <v>Nicholas Bloy</v>
          </cell>
          <cell r="P201">
            <v>0.19</v>
          </cell>
          <cell r="Q201">
            <v>0</v>
          </cell>
          <cell r="R201">
            <v>32.108773050000003</v>
          </cell>
          <cell r="S201">
            <v>98.3</v>
          </cell>
          <cell r="T201">
            <v>1.0476109067236883</v>
          </cell>
          <cell r="U201">
            <v>3.1012722849845888E-2</v>
          </cell>
        </row>
        <row r="202">
          <cell r="K202" t="str">
            <v>Services</v>
          </cell>
          <cell r="L202" t="str">
            <v>Singapore</v>
          </cell>
          <cell r="M202" t="str">
            <v>Southeast Asia</v>
          </cell>
          <cell r="N202" t="str">
            <v>Direct Approach</v>
          </cell>
          <cell r="O202" t="str">
            <v>Nicholas Bloy</v>
          </cell>
          <cell r="P202">
            <v>0.19</v>
          </cell>
          <cell r="Q202">
            <v>0</v>
          </cell>
          <cell r="R202">
            <v>32.108773050000003</v>
          </cell>
          <cell r="S202">
            <v>98.3</v>
          </cell>
          <cell r="T202">
            <v>1.0476109067236883</v>
          </cell>
          <cell r="U202">
            <v>3.1012722849845888E-2</v>
          </cell>
        </row>
        <row r="203">
          <cell r="K203" t="str">
            <v>Services</v>
          </cell>
          <cell r="L203" t="str">
            <v>Singapore</v>
          </cell>
          <cell r="M203" t="str">
            <v>Southeast Asia</v>
          </cell>
          <cell r="N203" t="str">
            <v>Direct Approach</v>
          </cell>
          <cell r="O203" t="str">
            <v>Nicholas Bloy</v>
          </cell>
          <cell r="P203">
            <v>0.19</v>
          </cell>
          <cell r="Q203">
            <v>0</v>
          </cell>
          <cell r="R203">
            <v>32.108773050000003</v>
          </cell>
          <cell r="S203">
            <v>98.3</v>
          </cell>
          <cell r="T203">
            <v>1.0476109067236883</v>
          </cell>
          <cell r="U203">
            <v>3.1012722849845888E-2</v>
          </cell>
        </row>
        <row r="204">
          <cell r="K204" t="str">
            <v>Services</v>
          </cell>
          <cell r="L204" t="str">
            <v>Singapore</v>
          </cell>
          <cell r="M204" t="str">
            <v>Southeast Asia</v>
          </cell>
          <cell r="N204" t="str">
            <v>Direct Approach</v>
          </cell>
          <cell r="O204" t="str">
            <v>Nicholas Bloy</v>
          </cell>
          <cell r="P204">
            <v>0.19</v>
          </cell>
          <cell r="Q204">
            <v>0</v>
          </cell>
          <cell r="R204">
            <v>32.108773050000003</v>
          </cell>
          <cell r="S204">
            <v>98.3</v>
          </cell>
          <cell r="T204">
            <v>1.0476109067236883</v>
          </cell>
          <cell r="U204">
            <v>3.1012722849845888E-2</v>
          </cell>
        </row>
        <row r="205">
          <cell r="K205" t="str">
            <v>Services</v>
          </cell>
          <cell r="L205" t="str">
            <v>Singapore</v>
          </cell>
          <cell r="M205" t="str">
            <v>Southeast Asia</v>
          </cell>
          <cell r="N205" t="str">
            <v>Direct Approach</v>
          </cell>
          <cell r="O205" t="str">
            <v>Nicholas Bloy</v>
          </cell>
          <cell r="P205">
            <v>0.19</v>
          </cell>
          <cell r="Q205">
            <v>0</v>
          </cell>
          <cell r="R205">
            <v>4.4100006600000006</v>
          </cell>
          <cell r="S205">
            <v>98.3</v>
          </cell>
          <cell r="T205">
            <v>1.144353513866128</v>
          </cell>
          <cell r="U205">
            <v>8.4253153204917913E-2</v>
          </cell>
        </row>
        <row r="206">
          <cell r="K206" t="str">
            <v>Services</v>
          </cell>
          <cell r="L206" t="str">
            <v>Singapore</v>
          </cell>
          <cell r="M206" t="str">
            <v>Southeast Asia</v>
          </cell>
          <cell r="N206" t="str">
            <v>Direct Approach</v>
          </cell>
          <cell r="O206" t="str">
            <v>Nicholas Bloy</v>
          </cell>
          <cell r="P206">
            <v>0.19</v>
          </cell>
          <cell r="Q206">
            <v>0</v>
          </cell>
          <cell r="R206">
            <v>4.4100006600000006</v>
          </cell>
          <cell r="S206">
            <v>98.3</v>
          </cell>
          <cell r="T206">
            <v>1.144353513866128</v>
          </cell>
          <cell r="U206">
            <v>8.4253153204917913E-2</v>
          </cell>
        </row>
        <row r="207">
          <cell r="K207" t="str">
            <v>Services</v>
          </cell>
          <cell r="L207" t="str">
            <v>Singapore</v>
          </cell>
          <cell r="M207" t="str">
            <v>Southeast Asia</v>
          </cell>
          <cell r="N207" t="str">
            <v>Direct Approach</v>
          </cell>
          <cell r="O207" t="str">
            <v>Nicholas Bloy</v>
          </cell>
          <cell r="P207">
            <v>0.19</v>
          </cell>
          <cell r="Q207">
            <v>0</v>
          </cell>
          <cell r="R207">
            <v>4.4100006600000006</v>
          </cell>
          <cell r="S207">
            <v>98.3</v>
          </cell>
          <cell r="T207">
            <v>1.144353513866128</v>
          </cell>
          <cell r="U207">
            <v>8.4253153204917913E-2</v>
          </cell>
        </row>
        <row r="208">
          <cell r="K208" t="str">
            <v>Services</v>
          </cell>
          <cell r="L208" t="str">
            <v>Singapore</v>
          </cell>
          <cell r="M208" t="str">
            <v>Southeast Asia</v>
          </cell>
          <cell r="N208" t="str">
            <v>Direct Approach</v>
          </cell>
          <cell r="O208" t="str">
            <v>Nicholas Bloy</v>
          </cell>
          <cell r="P208">
            <v>0.19</v>
          </cell>
          <cell r="Q208">
            <v>0</v>
          </cell>
          <cell r="R208">
            <v>4.4100006600000006</v>
          </cell>
          <cell r="S208">
            <v>98.3</v>
          </cell>
          <cell r="T208">
            <v>1.144353513866128</v>
          </cell>
          <cell r="U208">
            <v>8.4253153204917913E-2</v>
          </cell>
        </row>
        <row r="209">
          <cell r="K209" t="str">
            <v>Services</v>
          </cell>
          <cell r="L209" t="str">
            <v>Singapore</v>
          </cell>
          <cell r="M209" t="str">
            <v>Southeast Asia</v>
          </cell>
          <cell r="N209" t="str">
            <v>Direct Approach</v>
          </cell>
          <cell r="O209" t="str">
            <v>Nicholas Bloy</v>
          </cell>
          <cell r="P209">
            <v>0.19</v>
          </cell>
          <cell r="Q209">
            <v>0</v>
          </cell>
          <cell r="R209">
            <v>4.4100006600000006</v>
          </cell>
          <cell r="S209">
            <v>98.3</v>
          </cell>
          <cell r="T209">
            <v>1.144353513866128</v>
          </cell>
          <cell r="U209">
            <v>8.4253153204917913E-2</v>
          </cell>
        </row>
        <row r="210">
          <cell r="K210" t="str">
            <v>Services</v>
          </cell>
          <cell r="L210" t="str">
            <v>Singapore</v>
          </cell>
          <cell r="M210" t="str">
            <v>Southeast Asia</v>
          </cell>
          <cell r="N210" t="str">
            <v>Direct Approach</v>
          </cell>
          <cell r="O210" t="str">
            <v>Nicholas Bloy</v>
          </cell>
          <cell r="P210">
            <v>0.52</v>
          </cell>
          <cell r="Q210">
            <v>0</v>
          </cell>
          <cell r="R210">
            <v>76.140327600000006</v>
          </cell>
          <cell r="S210">
            <v>177.819874</v>
          </cell>
          <cell r="T210">
            <v>0.70607523884948908</v>
          </cell>
          <cell r="U210">
            <v>-0.27442325949668878</v>
          </cell>
        </row>
        <row r="211">
          <cell r="K211" t="str">
            <v>Services</v>
          </cell>
          <cell r="L211" t="str">
            <v>Singapore</v>
          </cell>
          <cell r="M211" t="str">
            <v>Southeast Asia</v>
          </cell>
          <cell r="N211" t="str">
            <v>Direct Approach</v>
          </cell>
          <cell r="O211" t="str">
            <v>Nicholas Bloy</v>
          </cell>
          <cell r="P211">
            <v>0.52</v>
          </cell>
          <cell r="Q211">
            <v>0</v>
          </cell>
          <cell r="R211">
            <v>76.140327600000006</v>
          </cell>
          <cell r="S211">
            <v>177.819874</v>
          </cell>
          <cell r="T211">
            <v>0.70607523884948908</v>
          </cell>
          <cell r="U211">
            <v>-0.27442325949668878</v>
          </cell>
        </row>
        <row r="212">
          <cell r="K212" t="str">
            <v>Food</v>
          </cell>
          <cell r="L212" t="str">
            <v>India</v>
          </cell>
          <cell r="M212" t="str">
            <v>India</v>
          </cell>
          <cell r="N212" t="str">
            <v>Direct Approach</v>
          </cell>
          <cell r="O212" t="str">
            <v>Nicholas Bloy</v>
          </cell>
          <cell r="P212">
            <v>1</v>
          </cell>
          <cell r="Q212">
            <v>0</v>
          </cell>
          <cell r="R212">
            <v>19.68054605</v>
          </cell>
          <cell r="S212">
            <v>21.1</v>
          </cell>
          <cell r="T212">
            <v>1.6130079169921818</v>
          </cell>
          <cell r="U212">
            <v>0.32811259627342226</v>
          </cell>
        </row>
        <row r="213">
          <cell r="K213" t="str">
            <v>Food</v>
          </cell>
          <cell r="L213" t="str">
            <v>India</v>
          </cell>
          <cell r="M213" t="str">
            <v>India</v>
          </cell>
          <cell r="N213" t="str">
            <v>Direct Approach</v>
          </cell>
          <cell r="O213" t="str">
            <v>Nicholas Bloy</v>
          </cell>
          <cell r="P213">
            <v>1</v>
          </cell>
          <cell r="Q213">
            <v>0</v>
          </cell>
          <cell r="R213">
            <v>19.68054605</v>
          </cell>
          <cell r="S213">
            <v>21.1</v>
          </cell>
          <cell r="T213">
            <v>1.6130079169921818</v>
          </cell>
          <cell r="U213">
            <v>0.32811259627342226</v>
          </cell>
        </row>
        <row r="214">
          <cell r="K214" t="str">
            <v>Food</v>
          </cell>
          <cell r="L214" t="str">
            <v>India</v>
          </cell>
          <cell r="M214" t="str">
            <v>India</v>
          </cell>
          <cell r="N214" t="str">
            <v>Direct Approach</v>
          </cell>
          <cell r="O214" t="str">
            <v>Nicholas Bloy</v>
          </cell>
          <cell r="P214">
            <v>1</v>
          </cell>
          <cell r="Q214">
            <v>0</v>
          </cell>
          <cell r="R214">
            <v>19.68054605</v>
          </cell>
          <cell r="S214">
            <v>21.1</v>
          </cell>
          <cell r="T214">
            <v>1.6130079169921818</v>
          </cell>
          <cell r="U214">
            <v>0.32811259627342226</v>
          </cell>
        </row>
        <row r="215">
          <cell r="K215" t="str">
            <v>Food</v>
          </cell>
          <cell r="L215" t="str">
            <v>India</v>
          </cell>
          <cell r="M215" t="str">
            <v>India</v>
          </cell>
          <cell r="N215" t="str">
            <v>Direct Approach</v>
          </cell>
          <cell r="O215" t="str">
            <v>Nicholas Bloy</v>
          </cell>
          <cell r="P215">
            <v>1</v>
          </cell>
          <cell r="Q215">
            <v>0</v>
          </cell>
          <cell r="R215">
            <v>19.68054605</v>
          </cell>
          <cell r="S215">
            <v>21.1</v>
          </cell>
          <cell r="T215">
            <v>1.6130079169921818</v>
          </cell>
          <cell r="U215">
            <v>0.32811259627342226</v>
          </cell>
        </row>
        <row r="216">
          <cell r="K216" t="str">
            <v>Food</v>
          </cell>
          <cell r="L216" t="str">
            <v>India</v>
          </cell>
          <cell r="M216" t="str">
            <v>India</v>
          </cell>
          <cell r="N216" t="str">
            <v>Direct Approach</v>
          </cell>
          <cell r="O216" t="str">
            <v>Nicholas Bloy</v>
          </cell>
          <cell r="P216">
            <v>1</v>
          </cell>
          <cell r="Q216">
            <v>0</v>
          </cell>
          <cell r="R216">
            <v>19.68054605</v>
          </cell>
          <cell r="S216">
            <v>21.1</v>
          </cell>
          <cell r="T216">
            <v>1.6130079169921818</v>
          </cell>
          <cell r="U216">
            <v>0.32811259627342226</v>
          </cell>
        </row>
        <row r="217">
          <cell r="K217" t="str">
            <v>Food</v>
          </cell>
          <cell r="L217" t="str">
            <v>India</v>
          </cell>
          <cell r="M217" t="str">
            <v>India</v>
          </cell>
          <cell r="N217" t="str">
            <v>Direct Approach</v>
          </cell>
          <cell r="O217" t="str">
            <v>Nicholas Bloy</v>
          </cell>
          <cell r="P217">
            <v>1</v>
          </cell>
          <cell r="Q217">
            <v>0</v>
          </cell>
          <cell r="R217">
            <v>6.5601820199999992</v>
          </cell>
          <cell r="S217">
            <v>21.1</v>
          </cell>
          <cell r="T217">
            <v>1.6130079161725868</v>
          </cell>
          <cell r="U217">
            <v>0.32811264395713813</v>
          </cell>
        </row>
        <row r="218">
          <cell r="K218" t="str">
            <v>Food</v>
          </cell>
          <cell r="L218" t="str">
            <v>India</v>
          </cell>
          <cell r="M218" t="str">
            <v>India</v>
          </cell>
          <cell r="N218" t="str">
            <v>Direct Approach</v>
          </cell>
          <cell r="O218" t="str">
            <v>Nicholas Bloy</v>
          </cell>
          <cell r="P218">
            <v>1</v>
          </cell>
          <cell r="Q218">
            <v>0</v>
          </cell>
          <cell r="R218">
            <v>6.5601820199999992</v>
          </cell>
          <cell r="S218">
            <v>21.1</v>
          </cell>
          <cell r="T218">
            <v>1.6130079161725868</v>
          </cell>
          <cell r="U218">
            <v>0.32811264395713813</v>
          </cell>
        </row>
        <row r="219">
          <cell r="K219" t="str">
            <v>Food</v>
          </cell>
          <cell r="L219" t="str">
            <v>India</v>
          </cell>
          <cell r="M219" t="str">
            <v>India</v>
          </cell>
          <cell r="N219" t="str">
            <v>Direct Approach</v>
          </cell>
          <cell r="O219" t="str">
            <v>Nicholas Bloy</v>
          </cell>
          <cell r="P219">
            <v>1</v>
          </cell>
          <cell r="Q219">
            <v>0</v>
          </cell>
          <cell r="R219">
            <v>6.5601820199999992</v>
          </cell>
          <cell r="S219">
            <v>21.1</v>
          </cell>
          <cell r="T219">
            <v>1.6130079161725868</v>
          </cell>
          <cell r="U219">
            <v>0.32811264395713813</v>
          </cell>
        </row>
        <row r="220">
          <cell r="K220" t="str">
            <v>Food</v>
          </cell>
          <cell r="L220" t="str">
            <v>India</v>
          </cell>
          <cell r="M220" t="str">
            <v>India</v>
          </cell>
          <cell r="N220" t="str">
            <v>Direct Approach</v>
          </cell>
          <cell r="O220" t="str">
            <v>Nicholas Bloy</v>
          </cell>
          <cell r="P220">
            <v>1</v>
          </cell>
          <cell r="Q220">
            <v>0</v>
          </cell>
          <cell r="R220">
            <v>6.5601820199999992</v>
          </cell>
          <cell r="S220">
            <v>21.1</v>
          </cell>
          <cell r="T220">
            <v>1.6130079161725868</v>
          </cell>
          <cell r="U220">
            <v>0.32811264395713813</v>
          </cell>
        </row>
        <row r="221">
          <cell r="K221" t="str">
            <v>Food</v>
          </cell>
          <cell r="L221" t="str">
            <v>India</v>
          </cell>
          <cell r="M221" t="str">
            <v>India</v>
          </cell>
          <cell r="N221" t="str">
            <v>Direct Approach</v>
          </cell>
          <cell r="O221" t="str">
            <v>Nicholas Bloy</v>
          </cell>
          <cell r="P221">
            <v>1</v>
          </cell>
          <cell r="Q221">
            <v>0</v>
          </cell>
          <cell r="R221">
            <v>6.5601820199999992</v>
          </cell>
          <cell r="S221">
            <v>21.1</v>
          </cell>
          <cell r="T221">
            <v>1.6130079161725868</v>
          </cell>
          <cell r="U221">
            <v>0.32811264395713813</v>
          </cell>
        </row>
        <row r="222">
          <cell r="K222" t="str">
            <v>Services</v>
          </cell>
          <cell r="L222" t="str">
            <v>Australia</v>
          </cell>
          <cell r="M222" t="str">
            <v>Australia</v>
          </cell>
          <cell r="N222" t="str">
            <v>Intermediary</v>
          </cell>
          <cell r="O222" t="str">
            <v>Rodney Muse</v>
          </cell>
          <cell r="P222">
            <v>0.39600000000000002</v>
          </cell>
          <cell r="Q222">
            <v>0</v>
          </cell>
          <cell r="R222">
            <v>42.219000000000001</v>
          </cell>
          <cell r="S222">
            <v>85</v>
          </cell>
          <cell r="T222">
            <v>1.3018406966909586</v>
          </cell>
          <cell r="U222">
            <v>0.29275401234626786</v>
          </cell>
        </row>
        <row r="223">
          <cell r="K223" t="str">
            <v>Services</v>
          </cell>
          <cell r="L223" t="str">
            <v>Australia</v>
          </cell>
          <cell r="M223" t="str">
            <v>Australia</v>
          </cell>
          <cell r="N223" t="str">
            <v>Intermediary</v>
          </cell>
          <cell r="O223" t="str">
            <v>Rodney Muse</v>
          </cell>
          <cell r="P223">
            <v>0.39600000000000002</v>
          </cell>
          <cell r="Q223">
            <v>0</v>
          </cell>
          <cell r="R223">
            <v>42.219000000000001</v>
          </cell>
          <cell r="S223">
            <v>85</v>
          </cell>
          <cell r="T223">
            <v>1.3018406966909586</v>
          </cell>
          <cell r="U223">
            <v>0.29275401234626786</v>
          </cell>
        </row>
        <row r="224">
          <cell r="K224" t="str">
            <v>Services</v>
          </cell>
          <cell r="L224" t="str">
            <v>Australia</v>
          </cell>
          <cell r="M224" t="str">
            <v>Australia</v>
          </cell>
          <cell r="N224" t="str">
            <v>Intermediary</v>
          </cell>
          <cell r="O224" t="str">
            <v>Rodney Muse</v>
          </cell>
          <cell r="P224">
            <v>0.39600000000000002</v>
          </cell>
          <cell r="Q224">
            <v>0</v>
          </cell>
          <cell r="R224">
            <v>42.219000000000001</v>
          </cell>
          <cell r="S224">
            <v>85</v>
          </cell>
          <cell r="T224">
            <v>1.3018406966909586</v>
          </cell>
          <cell r="U224">
            <v>0.29275401234626786</v>
          </cell>
        </row>
        <row r="225">
          <cell r="K225" t="str">
            <v>Services</v>
          </cell>
          <cell r="L225" t="str">
            <v>Australia</v>
          </cell>
          <cell r="M225" t="str">
            <v>Australia</v>
          </cell>
          <cell r="N225" t="str">
            <v>Intermediary</v>
          </cell>
          <cell r="O225" t="str">
            <v>Rodney Muse</v>
          </cell>
          <cell r="P225">
            <v>0.39600000000000002</v>
          </cell>
          <cell r="Q225">
            <v>0</v>
          </cell>
          <cell r="R225">
            <v>42.219000000000001</v>
          </cell>
          <cell r="S225">
            <v>85</v>
          </cell>
          <cell r="T225">
            <v>1.3018406966909586</v>
          </cell>
          <cell r="U225">
            <v>0.29275401234626786</v>
          </cell>
        </row>
        <row r="226">
          <cell r="K226" t="str">
            <v>Services</v>
          </cell>
          <cell r="L226" t="str">
            <v>Australia</v>
          </cell>
          <cell r="M226" t="str">
            <v>Australia</v>
          </cell>
          <cell r="N226" t="str">
            <v>Intermediary</v>
          </cell>
          <cell r="O226" t="str">
            <v>Rodney Muse</v>
          </cell>
          <cell r="P226">
            <v>0.39600000000000002</v>
          </cell>
          <cell r="Q226">
            <v>0</v>
          </cell>
          <cell r="R226">
            <v>42.219000000000001</v>
          </cell>
          <cell r="S226">
            <v>85</v>
          </cell>
          <cell r="T226">
            <v>1.3018406966909586</v>
          </cell>
          <cell r="U226">
            <v>0.29275401234626786</v>
          </cell>
        </row>
        <row r="227">
          <cell r="K227" t="str">
            <v>Services</v>
          </cell>
          <cell r="L227" t="str">
            <v>Australia</v>
          </cell>
          <cell r="M227" t="str">
            <v>Australia</v>
          </cell>
          <cell r="N227" t="str">
            <v>Intermediary</v>
          </cell>
          <cell r="O227" t="str">
            <v>Rodney Muse</v>
          </cell>
          <cell r="P227">
            <v>0.39600000000000002</v>
          </cell>
          <cell r="Q227">
            <v>0</v>
          </cell>
          <cell r="R227">
            <v>42.219000000000001</v>
          </cell>
          <cell r="S227">
            <v>85</v>
          </cell>
          <cell r="T227">
            <v>1.3018406966909586</v>
          </cell>
          <cell r="U227">
            <v>0.29275401234626786</v>
          </cell>
        </row>
        <row r="228">
          <cell r="K228" t="str">
            <v>Consumables</v>
          </cell>
          <cell r="L228" t="str">
            <v>India</v>
          </cell>
          <cell r="M228" t="str">
            <v>India</v>
          </cell>
          <cell r="N228" t="str">
            <v>Intermediary</v>
          </cell>
          <cell r="O228" t="str">
            <v>Richard Foyston</v>
          </cell>
          <cell r="P228">
            <v>0.7</v>
          </cell>
          <cell r="Q228">
            <v>0</v>
          </cell>
          <cell r="R228">
            <v>21.5</v>
          </cell>
          <cell r="S228">
            <v>30.6</v>
          </cell>
          <cell r="T228">
            <v>0.58966243699801257</v>
          </cell>
          <cell r="U228">
            <v>-0.27124657034873967</v>
          </cell>
        </row>
        <row r="229">
          <cell r="K229" t="str">
            <v>Consumables</v>
          </cell>
          <cell r="L229" t="str">
            <v>India</v>
          </cell>
          <cell r="M229" t="str">
            <v>India</v>
          </cell>
          <cell r="N229" t="str">
            <v>Intermediary</v>
          </cell>
          <cell r="O229" t="str">
            <v>Richard Foyston</v>
          </cell>
          <cell r="P229">
            <v>0.7</v>
          </cell>
          <cell r="Q229">
            <v>0</v>
          </cell>
          <cell r="R229">
            <v>21.5</v>
          </cell>
          <cell r="S229">
            <v>30.6</v>
          </cell>
          <cell r="T229">
            <v>0.58966243699801257</v>
          </cell>
          <cell r="U229">
            <v>-0.27124657034873967</v>
          </cell>
        </row>
        <row r="230">
          <cell r="K230" t="str">
            <v>Consumables</v>
          </cell>
          <cell r="L230" t="str">
            <v>India</v>
          </cell>
          <cell r="M230" t="str">
            <v>India</v>
          </cell>
          <cell r="N230" t="str">
            <v>Intermediary</v>
          </cell>
          <cell r="O230" t="str">
            <v>Richard Foyston</v>
          </cell>
          <cell r="P230">
            <v>0.7</v>
          </cell>
          <cell r="Q230">
            <v>0</v>
          </cell>
          <cell r="R230">
            <v>21.5</v>
          </cell>
          <cell r="S230">
            <v>30.6</v>
          </cell>
          <cell r="T230">
            <v>0.58966243699801257</v>
          </cell>
          <cell r="U230">
            <v>-0.27124657034873967</v>
          </cell>
        </row>
        <row r="231">
          <cell r="K231" t="str">
            <v>Services</v>
          </cell>
          <cell r="L231" t="str">
            <v>Australia</v>
          </cell>
          <cell r="M231" t="str">
            <v>Australia</v>
          </cell>
          <cell r="N231" t="str">
            <v>Intermediary</v>
          </cell>
          <cell r="O231" t="str">
            <v>Rodney Muse</v>
          </cell>
          <cell r="P231">
            <v>0.57499999999999996</v>
          </cell>
          <cell r="Q231">
            <v>0</v>
          </cell>
          <cell r="R231">
            <v>53.73</v>
          </cell>
          <cell r="S231">
            <v>133.69999999999999</v>
          </cell>
          <cell r="T231">
            <v>0.64614676477355226</v>
          </cell>
          <cell r="U231">
            <v>-0.72926260232925411</v>
          </cell>
        </row>
        <row r="232">
          <cell r="K232" t="str">
            <v>Services</v>
          </cell>
          <cell r="L232" t="str">
            <v>Australia</v>
          </cell>
          <cell r="M232" t="str">
            <v>Australia</v>
          </cell>
          <cell r="N232" t="str">
            <v>Intermediary</v>
          </cell>
          <cell r="O232" t="str">
            <v>Rodney Muse</v>
          </cell>
          <cell r="P232">
            <v>0.57499999999999996</v>
          </cell>
          <cell r="Q232">
            <v>0</v>
          </cell>
          <cell r="R232">
            <v>53.73</v>
          </cell>
          <cell r="S232">
            <v>133.69999999999999</v>
          </cell>
          <cell r="T232">
            <v>0.64614676477355226</v>
          </cell>
          <cell r="U232">
            <v>-0.72926260232925411</v>
          </cell>
        </row>
        <row r="233">
          <cell r="K233" t="str">
            <v>Industrial</v>
          </cell>
          <cell r="L233" t="str">
            <v>Vietnam</v>
          </cell>
          <cell r="M233" t="str">
            <v>Southeast Asia</v>
          </cell>
          <cell r="N233" t="str">
            <v>Direct Approach / Intermediary</v>
          </cell>
          <cell r="O233" t="str">
            <v>David Ireland</v>
          </cell>
          <cell r="P233">
            <v>0.41499999999999998</v>
          </cell>
          <cell r="Q233">
            <v>0</v>
          </cell>
          <cell r="R233">
            <v>24.670935096000001</v>
          </cell>
          <cell r="S233">
            <v>67.599999999999994</v>
          </cell>
          <cell r="T233">
            <v>1</v>
          </cell>
          <cell r="U233">
            <v>2.7120113372802739E-7</v>
          </cell>
        </row>
        <row r="234">
          <cell r="K234" t="str">
            <v>Industrial</v>
          </cell>
          <cell r="L234" t="str">
            <v>Vietnam</v>
          </cell>
          <cell r="M234" t="str">
            <v>Southeast Asia</v>
          </cell>
          <cell r="N234" t="str">
            <v>Direct Approach / Intermediary</v>
          </cell>
          <cell r="O234" t="str">
            <v>David Ireland</v>
          </cell>
          <cell r="P234">
            <v>0.41499999999999998</v>
          </cell>
          <cell r="Q234">
            <v>0</v>
          </cell>
          <cell r="R234">
            <v>24.670935096000001</v>
          </cell>
          <cell r="S234">
            <v>67.599999999999994</v>
          </cell>
          <cell r="T234">
            <v>1</v>
          </cell>
          <cell r="U234">
            <v>2.7120113372802739E-7</v>
          </cell>
        </row>
        <row r="235">
          <cell r="K235" t="str">
            <v>Industrial</v>
          </cell>
          <cell r="L235" t="str">
            <v>Vietnam</v>
          </cell>
          <cell r="M235" t="str">
            <v>Southeast Asia</v>
          </cell>
          <cell r="N235" t="str">
            <v>Direct Approach / Intermediary</v>
          </cell>
          <cell r="O235" t="str">
            <v>David Ireland</v>
          </cell>
          <cell r="P235">
            <v>0.41499999999999998</v>
          </cell>
          <cell r="Q235">
            <v>0</v>
          </cell>
          <cell r="R235">
            <v>24.670935096000001</v>
          </cell>
          <cell r="S235">
            <v>67.599999999999994</v>
          </cell>
          <cell r="T235">
            <v>1</v>
          </cell>
          <cell r="U235">
            <v>2.7120113372802739E-7</v>
          </cell>
        </row>
        <row r="236">
          <cell r="K236" t="str">
            <v>Industrial</v>
          </cell>
          <cell r="L236" t="str">
            <v>Vietnam</v>
          </cell>
          <cell r="M236" t="str">
            <v>Southeast Asia</v>
          </cell>
          <cell r="N236" t="str">
            <v>Direct Approach / Intermediary</v>
          </cell>
          <cell r="O236" t="str">
            <v>David Ireland</v>
          </cell>
          <cell r="P236">
            <v>0.41499999999999998</v>
          </cell>
          <cell r="Q236">
            <v>0</v>
          </cell>
          <cell r="R236">
            <v>2.145298704</v>
          </cell>
          <cell r="S236">
            <v>67.599999999999994</v>
          </cell>
          <cell r="T236">
            <v>1</v>
          </cell>
          <cell r="U236">
            <v>6.2584877014160159E-8</v>
          </cell>
        </row>
        <row r="237">
          <cell r="K237" t="str">
            <v>Industrial</v>
          </cell>
          <cell r="L237" t="str">
            <v>Vietnam</v>
          </cell>
          <cell r="M237" t="str">
            <v>Southeast Asia</v>
          </cell>
          <cell r="N237" t="str">
            <v>Direct Approach / Intermediary</v>
          </cell>
          <cell r="O237" t="str">
            <v>David Ireland</v>
          </cell>
          <cell r="P237">
            <v>0.41499999999999998</v>
          </cell>
          <cell r="Q237">
            <v>0</v>
          </cell>
          <cell r="R237">
            <v>2.145298704</v>
          </cell>
          <cell r="S237">
            <v>67.599999999999994</v>
          </cell>
          <cell r="T237">
            <v>1</v>
          </cell>
          <cell r="U237">
            <v>6.2584877014160159E-8</v>
          </cell>
        </row>
        <row r="238">
          <cell r="K238" t="str">
            <v>Industrial</v>
          </cell>
          <cell r="L238" t="str">
            <v>Vietnam</v>
          </cell>
          <cell r="M238" t="str">
            <v>Southeast Asia</v>
          </cell>
          <cell r="N238" t="str">
            <v>Direct Approach / Intermediary</v>
          </cell>
          <cell r="O238" t="str">
            <v>David Ireland</v>
          </cell>
          <cell r="P238">
            <v>0.41499999999999998</v>
          </cell>
          <cell r="Q238">
            <v>0</v>
          </cell>
          <cell r="R238">
            <v>2.145298704</v>
          </cell>
          <cell r="S238">
            <v>67.599999999999994</v>
          </cell>
          <cell r="T238">
            <v>1</v>
          </cell>
          <cell r="U238">
            <v>6.2584877014160159E-8</v>
          </cell>
        </row>
        <row r="239">
          <cell r="K239" t="str">
            <v>Industrial</v>
          </cell>
          <cell r="L239" t="str">
            <v>Singapore/Indonesia</v>
          </cell>
          <cell r="M239" t="str">
            <v>Southeast Asia</v>
          </cell>
          <cell r="N239" t="str">
            <v>Direct Approach / Intermediary</v>
          </cell>
          <cell r="O239" t="str">
            <v>Rodney Muse</v>
          </cell>
          <cell r="P239">
            <v>0.6</v>
          </cell>
          <cell r="Q239">
            <v>0</v>
          </cell>
          <cell r="R239">
            <v>28.763999999999999</v>
          </cell>
          <cell r="S239">
            <v>46</v>
          </cell>
          <cell r="T239">
            <v>1.8132435190255811</v>
          </cell>
          <cell r="U239">
            <v>1.0432306408882142</v>
          </cell>
        </row>
        <row r="240">
          <cell r="K240" t="str">
            <v>Industrial</v>
          </cell>
          <cell r="L240" t="str">
            <v>Singapore/Indonesia</v>
          </cell>
          <cell r="M240" t="str">
            <v>Southeast Asia</v>
          </cell>
          <cell r="N240" t="str">
            <v>Direct Approach / Intermediary</v>
          </cell>
          <cell r="O240" t="str">
            <v>Rodney Muse</v>
          </cell>
          <cell r="P240">
            <v>0.6</v>
          </cell>
          <cell r="Q240">
            <v>0</v>
          </cell>
          <cell r="R240">
            <v>28.763999999999999</v>
          </cell>
          <cell r="S240">
            <v>46</v>
          </cell>
          <cell r="T240">
            <v>1.8132435190255811</v>
          </cell>
          <cell r="U240">
            <v>1.0432306408882142</v>
          </cell>
        </row>
        <row r="241">
          <cell r="K241" t="str">
            <v>Industrial</v>
          </cell>
          <cell r="L241" t="str">
            <v>Singapore/Indonesia</v>
          </cell>
          <cell r="M241" t="str">
            <v>Southeast Asia</v>
          </cell>
          <cell r="N241" t="str">
            <v>Direct Approach / Intermediary</v>
          </cell>
          <cell r="O241" t="str">
            <v>Rodney Muse</v>
          </cell>
          <cell r="P241">
            <v>0.6</v>
          </cell>
          <cell r="Q241">
            <v>0</v>
          </cell>
          <cell r="R241">
            <v>1.8360000000000001</v>
          </cell>
          <cell r="S241">
            <v>46</v>
          </cell>
          <cell r="T241">
            <v>1.8132435190255813</v>
          </cell>
          <cell r="U241">
            <v>1.0432305932044983</v>
          </cell>
        </row>
        <row r="242">
          <cell r="K242" t="str">
            <v>Industrial</v>
          </cell>
          <cell r="L242" t="str">
            <v>Singapore/Indonesia</v>
          </cell>
          <cell r="M242" t="str">
            <v>Southeast Asia</v>
          </cell>
          <cell r="N242" t="str">
            <v>Direct Approach / Intermediary</v>
          </cell>
          <cell r="O242" t="str">
            <v>Rodney Muse</v>
          </cell>
          <cell r="P242">
            <v>0.6</v>
          </cell>
          <cell r="Q242">
            <v>0</v>
          </cell>
          <cell r="R242">
            <v>1.8360000000000001</v>
          </cell>
          <cell r="S242">
            <v>46</v>
          </cell>
          <cell r="T242">
            <v>1.8132435190255813</v>
          </cell>
          <cell r="U242">
            <v>1.0432305932044983</v>
          </cell>
        </row>
        <row r="243">
          <cell r="K243" t="str">
            <v>Industrial</v>
          </cell>
          <cell r="L243" t="str">
            <v>Thailand</v>
          </cell>
          <cell r="M243" t="str">
            <v>Southeast Asia</v>
          </cell>
          <cell r="N243" t="str">
            <v>Direct Approach</v>
          </cell>
          <cell r="O243" t="str">
            <v>Richard Foyston</v>
          </cell>
          <cell r="P243">
            <v>0.87</v>
          </cell>
          <cell r="Q243">
            <v>0</v>
          </cell>
          <cell r="R243">
            <v>5.8113089999999996</v>
          </cell>
          <cell r="S243">
            <v>17.5</v>
          </cell>
          <cell r="T243">
            <v>0.36976350767099114</v>
          </cell>
          <cell r="U243">
            <v>-0.26235418915748598</v>
          </cell>
        </row>
        <row r="244">
          <cell r="K244" t="str">
            <v>Industrial</v>
          </cell>
          <cell r="L244" t="str">
            <v>Thailand</v>
          </cell>
          <cell r="M244" t="str">
            <v>Southeast Asia</v>
          </cell>
          <cell r="N244" t="str">
            <v>Direct Approach</v>
          </cell>
          <cell r="O244" t="str">
            <v>Richard Foyston</v>
          </cell>
          <cell r="P244">
            <v>0.87</v>
          </cell>
          <cell r="Q244">
            <v>0</v>
          </cell>
          <cell r="R244">
            <v>5.8113089999999996</v>
          </cell>
          <cell r="S244">
            <v>17.5</v>
          </cell>
          <cell r="T244">
            <v>0.36976350767099114</v>
          </cell>
          <cell r="U244">
            <v>-0.26235418915748598</v>
          </cell>
        </row>
        <row r="245">
          <cell r="K245" t="str">
            <v>Industrial</v>
          </cell>
          <cell r="L245" t="str">
            <v>Thailand</v>
          </cell>
          <cell r="M245" t="str">
            <v>Southeast Asia</v>
          </cell>
          <cell r="N245" t="str">
            <v>Direct Approach</v>
          </cell>
          <cell r="O245" t="str">
            <v>Richard Foyston</v>
          </cell>
          <cell r="P245">
            <v>0.87</v>
          </cell>
          <cell r="Q245">
            <v>0</v>
          </cell>
          <cell r="R245">
            <v>5.8113089999999996</v>
          </cell>
          <cell r="S245">
            <v>17.5</v>
          </cell>
          <cell r="T245">
            <v>0.36976350767099114</v>
          </cell>
          <cell r="U245">
            <v>-0.26235418915748598</v>
          </cell>
        </row>
        <row r="246">
          <cell r="K246" t="str">
            <v>Industrial</v>
          </cell>
          <cell r="L246" t="str">
            <v>Thailand</v>
          </cell>
          <cell r="M246" t="str">
            <v>Southeast Asia</v>
          </cell>
          <cell r="N246" t="str">
            <v>Direct Approach</v>
          </cell>
          <cell r="O246" t="str">
            <v>Richard Foyston</v>
          </cell>
          <cell r="P246">
            <v>0.87</v>
          </cell>
          <cell r="Q246">
            <v>0</v>
          </cell>
          <cell r="R246">
            <v>5.8113089999999996</v>
          </cell>
          <cell r="S246">
            <v>17.5</v>
          </cell>
          <cell r="T246">
            <v>0.36976350767099114</v>
          </cell>
          <cell r="U246">
            <v>-0.26235418915748598</v>
          </cell>
        </row>
        <row r="247">
          <cell r="K247" t="str">
            <v>Industrial</v>
          </cell>
          <cell r="L247" t="str">
            <v>Thailand</v>
          </cell>
          <cell r="M247" t="str">
            <v>Southeast Asia</v>
          </cell>
          <cell r="N247" t="str">
            <v>Direct Approach</v>
          </cell>
          <cell r="O247" t="str">
            <v>Richard Foyston</v>
          </cell>
          <cell r="P247">
            <v>0.87</v>
          </cell>
          <cell r="Q247">
            <v>0</v>
          </cell>
          <cell r="R247">
            <v>8.3972700000000007</v>
          </cell>
          <cell r="S247">
            <v>17.5</v>
          </cell>
          <cell r="T247">
            <v>0.36997152050606924</v>
          </cell>
          <cell r="U247">
            <v>-0.26233251690864556</v>
          </cell>
        </row>
        <row r="248">
          <cell r="K248" t="str">
            <v>Industrial</v>
          </cell>
          <cell r="L248" t="str">
            <v>Thailand</v>
          </cell>
          <cell r="M248" t="str">
            <v>Southeast Asia</v>
          </cell>
          <cell r="N248" t="str">
            <v>Direct Approach</v>
          </cell>
          <cell r="O248" t="str">
            <v>Richard Foyston</v>
          </cell>
          <cell r="P248">
            <v>0.87</v>
          </cell>
          <cell r="Q248">
            <v>0</v>
          </cell>
          <cell r="R248">
            <v>8.3972700000000007</v>
          </cell>
          <cell r="S248">
            <v>17.5</v>
          </cell>
          <cell r="T248">
            <v>0.36997152050606924</v>
          </cell>
          <cell r="U248">
            <v>-0.26233251690864556</v>
          </cell>
        </row>
        <row r="249">
          <cell r="K249" t="str">
            <v>Industrial</v>
          </cell>
          <cell r="L249" t="str">
            <v>Thailand</v>
          </cell>
          <cell r="M249" t="str">
            <v>Southeast Asia</v>
          </cell>
          <cell r="N249" t="str">
            <v>Direct Approach</v>
          </cell>
          <cell r="O249" t="str">
            <v>Richard Foyston</v>
          </cell>
          <cell r="P249">
            <v>0.87</v>
          </cell>
          <cell r="Q249">
            <v>0</v>
          </cell>
          <cell r="R249">
            <v>8.3972700000000007</v>
          </cell>
          <cell r="S249">
            <v>17.5</v>
          </cell>
          <cell r="T249">
            <v>0.36997152050606924</v>
          </cell>
          <cell r="U249">
            <v>-0.26233251690864556</v>
          </cell>
        </row>
        <row r="250">
          <cell r="K250" t="str">
            <v>Industrial</v>
          </cell>
          <cell r="L250" t="str">
            <v>Thailand</v>
          </cell>
          <cell r="M250" t="str">
            <v>Southeast Asia</v>
          </cell>
          <cell r="N250" t="str">
            <v>Direct Approach</v>
          </cell>
          <cell r="O250" t="str">
            <v>Richard Foyston</v>
          </cell>
          <cell r="P250">
            <v>0.87</v>
          </cell>
          <cell r="Q250">
            <v>0</v>
          </cell>
          <cell r="R250">
            <v>8.3972700000000007</v>
          </cell>
          <cell r="S250">
            <v>17.5</v>
          </cell>
          <cell r="T250">
            <v>0.36997152050606924</v>
          </cell>
          <cell r="U250">
            <v>-0.26233251690864556</v>
          </cell>
        </row>
        <row r="251">
          <cell r="K251" t="str">
            <v>Services</v>
          </cell>
          <cell r="L251" t="str">
            <v>India</v>
          </cell>
          <cell r="M251" t="str">
            <v>India</v>
          </cell>
          <cell r="N251" t="str">
            <v>Direct Approach</v>
          </cell>
          <cell r="O251" t="str">
            <v>Bruno Seghin</v>
          </cell>
          <cell r="P251">
            <v>0.74</v>
          </cell>
          <cell r="Q251">
            <v>0</v>
          </cell>
          <cell r="R251">
            <v>3.4196399999999998</v>
          </cell>
          <cell r="S251">
            <v>10.9</v>
          </cell>
          <cell r="T251">
            <v>4.6767668060345295</v>
          </cell>
          <cell r="U251">
            <v>0.58819329142570509</v>
          </cell>
        </row>
        <row r="252">
          <cell r="K252" t="str">
            <v>Services</v>
          </cell>
          <cell r="L252" t="str">
            <v>India</v>
          </cell>
          <cell r="M252" t="str">
            <v>India</v>
          </cell>
          <cell r="N252" t="str">
            <v>Direct Approach</v>
          </cell>
          <cell r="O252" t="str">
            <v>Bruno Seghin</v>
          </cell>
          <cell r="P252">
            <v>0.74</v>
          </cell>
          <cell r="Q252">
            <v>0</v>
          </cell>
          <cell r="R252">
            <v>3.4196399999999998</v>
          </cell>
          <cell r="S252">
            <v>10.9</v>
          </cell>
          <cell r="T252">
            <v>4.6767668060345295</v>
          </cell>
          <cell r="U252">
            <v>0.58819329142570509</v>
          </cell>
        </row>
        <row r="253">
          <cell r="K253" t="str">
            <v>Services</v>
          </cell>
          <cell r="L253" t="str">
            <v>India</v>
          </cell>
          <cell r="M253" t="str">
            <v>India</v>
          </cell>
          <cell r="N253" t="str">
            <v>Direct Approach</v>
          </cell>
          <cell r="O253" t="str">
            <v>Bruno Seghin</v>
          </cell>
          <cell r="P253">
            <v>0.74</v>
          </cell>
          <cell r="Q253">
            <v>0</v>
          </cell>
          <cell r="R253">
            <v>3.4196399999999998</v>
          </cell>
          <cell r="S253">
            <v>10.9</v>
          </cell>
          <cell r="T253">
            <v>4.6767668060345295</v>
          </cell>
          <cell r="U253">
            <v>0.58819329142570509</v>
          </cell>
        </row>
        <row r="254">
          <cell r="K254" t="str">
            <v>Services</v>
          </cell>
          <cell r="L254" t="str">
            <v>India</v>
          </cell>
          <cell r="M254" t="str">
            <v>India</v>
          </cell>
          <cell r="N254" t="str">
            <v>Direct Approach</v>
          </cell>
          <cell r="O254" t="str">
            <v>Bruno Seghin</v>
          </cell>
          <cell r="P254">
            <v>0.74</v>
          </cell>
          <cell r="Q254">
            <v>0</v>
          </cell>
          <cell r="R254">
            <v>3.4196399999999998</v>
          </cell>
          <cell r="S254">
            <v>10.9</v>
          </cell>
          <cell r="T254">
            <v>4.6767668060345295</v>
          </cell>
          <cell r="U254">
            <v>0.58819329142570509</v>
          </cell>
        </row>
        <row r="255">
          <cell r="K255" t="str">
            <v>Services</v>
          </cell>
          <cell r="L255" t="str">
            <v>India</v>
          </cell>
          <cell r="M255" t="str">
            <v>India</v>
          </cell>
          <cell r="N255" t="str">
            <v>Direct Approach</v>
          </cell>
          <cell r="O255" t="str">
            <v>Bruno Seghin</v>
          </cell>
          <cell r="P255">
            <v>0.74</v>
          </cell>
          <cell r="Q255">
            <v>0</v>
          </cell>
          <cell r="R255">
            <v>3.4196399999999998</v>
          </cell>
          <cell r="S255">
            <v>10.9</v>
          </cell>
          <cell r="T255">
            <v>4.6767668060345295</v>
          </cell>
          <cell r="U255">
            <v>0.58819329142570509</v>
          </cell>
        </row>
        <row r="256">
          <cell r="K256" t="str">
            <v>Services</v>
          </cell>
          <cell r="L256" t="str">
            <v>India</v>
          </cell>
          <cell r="M256" t="str">
            <v>India</v>
          </cell>
          <cell r="N256" t="str">
            <v>Direct Approach</v>
          </cell>
          <cell r="O256" t="str">
            <v>Bruno Seghin</v>
          </cell>
          <cell r="P256">
            <v>0.74</v>
          </cell>
          <cell r="Q256">
            <v>0</v>
          </cell>
          <cell r="R256">
            <v>5.2223600000000001</v>
          </cell>
          <cell r="S256">
            <v>10.9</v>
          </cell>
          <cell r="T256">
            <v>4.3368080753405929</v>
          </cell>
          <cell r="U256">
            <v>0.57939386963844308</v>
          </cell>
        </row>
        <row r="257">
          <cell r="K257" t="str">
            <v>Services</v>
          </cell>
          <cell r="L257" t="str">
            <v>India</v>
          </cell>
          <cell r="M257" t="str">
            <v>India</v>
          </cell>
          <cell r="N257" t="str">
            <v>Direct Approach</v>
          </cell>
          <cell r="O257" t="str">
            <v>Bruno Seghin</v>
          </cell>
          <cell r="P257">
            <v>0.74</v>
          </cell>
          <cell r="Q257">
            <v>0</v>
          </cell>
          <cell r="R257">
            <v>5.2223600000000001</v>
          </cell>
          <cell r="S257">
            <v>10.9</v>
          </cell>
          <cell r="T257">
            <v>4.3368080753405929</v>
          </cell>
          <cell r="U257">
            <v>0.57939386963844308</v>
          </cell>
        </row>
        <row r="258">
          <cell r="K258" t="str">
            <v>Services</v>
          </cell>
          <cell r="L258" t="str">
            <v>India</v>
          </cell>
          <cell r="M258" t="str">
            <v>India</v>
          </cell>
          <cell r="N258" t="str">
            <v>Direct Approach</v>
          </cell>
          <cell r="O258" t="str">
            <v>Bruno Seghin</v>
          </cell>
          <cell r="P258">
            <v>0.74</v>
          </cell>
          <cell r="Q258">
            <v>0</v>
          </cell>
          <cell r="R258">
            <v>5.2223600000000001</v>
          </cell>
          <cell r="S258">
            <v>10.9</v>
          </cell>
          <cell r="T258">
            <v>4.3368080753405929</v>
          </cell>
          <cell r="U258">
            <v>0.57939386963844308</v>
          </cell>
        </row>
        <row r="259">
          <cell r="K259" t="str">
            <v>Services</v>
          </cell>
          <cell r="L259" t="str">
            <v>India</v>
          </cell>
          <cell r="M259" t="str">
            <v>India</v>
          </cell>
          <cell r="N259" t="str">
            <v>Direct Approach</v>
          </cell>
          <cell r="O259" t="str">
            <v>Bruno Seghin</v>
          </cell>
          <cell r="P259">
            <v>0.74</v>
          </cell>
          <cell r="Q259">
            <v>0</v>
          </cell>
          <cell r="R259">
            <v>5.2223600000000001</v>
          </cell>
          <cell r="S259">
            <v>10.9</v>
          </cell>
          <cell r="T259">
            <v>4.3368080753405929</v>
          </cell>
          <cell r="U259">
            <v>0.57939386963844308</v>
          </cell>
        </row>
        <row r="260">
          <cell r="K260" t="str">
            <v>Services</v>
          </cell>
          <cell r="L260" t="str">
            <v>India</v>
          </cell>
          <cell r="M260" t="str">
            <v>India</v>
          </cell>
          <cell r="N260" t="str">
            <v>Direct Approach</v>
          </cell>
          <cell r="O260" t="str">
            <v>Bruno Seghin</v>
          </cell>
          <cell r="P260">
            <v>0.74</v>
          </cell>
          <cell r="Q260">
            <v>0</v>
          </cell>
          <cell r="R260">
            <v>5.2223600000000001</v>
          </cell>
          <cell r="S260">
            <v>10.9</v>
          </cell>
          <cell r="T260">
            <v>4.3368080753405929</v>
          </cell>
          <cell r="U260">
            <v>0.57939386963844308</v>
          </cell>
        </row>
        <row r="261">
          <cell r="K261" t="str">
            <v>Services</v>
          </cell>
          <cell r="L261" t="str">
            <v>India</v>
          </cell>
          <cell r="M261" t="str">
            <v>India</v>
          </cell>
          <cell r="N261" t="str">
            <v>Direct Approach</v>
          </cell>
          <cell r="O261" t="str">
            <v>Bruno Seghin</v>
          </cell>
          <cell r="P261">
            <v>0.74</v>
          </cell>
          <cell r="Q261">
            <v>0</v>
          </cell>
          <cell r="R261">
            <v>5.2223600000000001</v>
          </cell>
          <cell r="S261">
            <v>10.9</v>
          </cell>
          <cell r="T261">
            <v>4.3368080753405929</v>
          </cell>
          <cell r="U261">
            <v>0.57939386963844308</v>
          </cell>
        </row>
        <row r="262">
          <cell r="K262" t="str">
            <v>Services</v>
          </cell>
          <cell r="L262" t="str">
            <v>Hong Kong</v>
          </cell>
          <cell r="M262" t="str">
            <v>Hong-Kong</v>
          </cell>
          <cell r="N262" t="str">
            <v>Intermediary</v>
          </cell>
          <cell r="O262" t="str">
            <v>Bruno Seghin</v>
          </cell>
          <cell r="P262">
            <v>0.7</v>
          </cell>
          <cell r="Q262">
            <v>0</v>
          </cell>
          <cell r="R262">
            <v>11.087999999999999</v>
          </cell>
          <cell r="S262">
            <v>32.5</v>
          </cell>
          <cell r="T262">
            <v>4.4821794113328304</v>
          </cell>
          <cell r="U262">
            <v>0.69814373254775997</v>
          </cell>
        </row>
        <row r="263">
          <cell r="K263" t="str">
            <v>Services</v>
          </cell>
          <cell r="L263" t="str">
            <v>Hong Kong</v>
          </cell>
          <cell r="M263" t="str">
            <v>Hong-Kong</v>
          </cell>
          <cell r="N263" t="str">
            <v>Intermediary</v>
          </cell>
          <cell r="O263" t="str">
            <v>Bruno Seghin</v>
          </cell>
          <cell r="P263">
            <v>0.7</v>
          </cell>
          <cell r="Q263">
            <v>0</v>
          </cell>
          <cell r="R263">
            <v>11.087999999999999</v>
          </cell>
          <cell r="S263">
            <v>32.5</v>
          </cell>
          <cell r="T263">
            <v>4.4821794113328304</v>
          </cell>
          <cell r="U263">
            <v>0.69814373254775997</v>
          </cell>
        </row>
        <row r="264">
          <cell r="K264" t="str">
            <v>Services</v>
          </cell>
          <cell r="L264" t="str">
            <v>Thailand</v>
          </cell>
          <cell r="M264" t="str">
            <v>Southeast Asia</v>
          </cell>
          <cell r="N264" t="str">
            <v>Direct Approach</v>
          </cell>
          <cell r="O264" t="str">
            <v>Richard Foyston</v>
          </cell>
          <cell r="P264">
            <v>0.75</v>
          </cell>
          <cell r="Q264">
            <v>0</v>
          </cell>
          <cell r="R264">
            <v>16.32425095</v>
          </cell>
          <cell r="S264">
            <v>26.8</v>
          </cell>
          <cell r="T264">
            <v>1.3092432158206901</v>
          </cell>
          <cell r="U264">
            <v>0.16903739571571355</v>
          </cell>
        </row>
        <row r="265">
          <cell r="K265" t="str">
            <v>Services</v>
          </cell>
          <cell r="L265" t="str">
            <v>Thailand</v>
          </cell>
          <cell r="M265" t="str">
            <v>Southeast Asia</v>
          </cell>
          <cell r="N265" t="str">
            <v>Direct Approach</v>
          </cell>
          <cell r="O265" t="str">
            <v>Richard Foyston</v>
          </cell>
          <cell r="P265">
            <v>0.75</v>
          </cell>
          <cell r="Q265">
            <v>0</v>
          </cell>
          <cell r="R265">
            <v>16.32425095</v>
          </cell>
          <cell r="S265">
            <v>26.8</v>
          </cell>
          <cell r="T265">
            <v>1.3092432158206901</v>
          </cell>
          <cell r="U265">
            <v>0.16903739571571355</v>
          </cell>
        </row>
        <row r="266">
          <cell r="K266" t="str">
            <v>Services</v>
          </cell>
          <cell r="L266" t="str">
            <v>Thailand</v>
          </cell>
          <cell r="M266" t="str">
            <v>Southeast Asia</v>
          </cell>
          <cell r="N266" t="str">
            <v>Direct Approach</v>
          </cell>
          <cell r="O266" t="str">
            <v>Richard Foyston</v>
          </cell>
          <cell r="P266">
            <v>0.75</v>
          </cell>
          <cell r="Q266">
            <v>0</v>
          </cell>
          <cell r="R266">
            <v>16.32425095</v>
          </cell>
          <cell r="S266">
            <v>26.8</v>
          </cell>
          <cell r="T266">
            <v>1.3092432158206901</v>
          </cell>
          <cell r="U266">
            <v>0.16903739571571355</v>
          </cell>
        </row>
        <row r="267">
          <cell r="K267" t="str">
            <v>Services</v>
          </cell>
          <cell r="L267" t="str">
            <v>Thailand</v>
          </cell>
          <cell r="M267" t="str">
            <v>Southeast Asia</v>
          </cell>
          <cell r="N267" t="str">
            <v>Direct Approach</v>
          </cell>
          <cell r="O267" t="str">
            <v>Richard Foyston</v>
          </cell>
          <cell r="P267">
            <v>0.75</v>
          </cell>
          <cell r="Q267">
            <v>0</v>
          </cell>
          <cell r="R267">
            <v>16.32425095</v>
          </cell>
          <cell r="S267">
            <v>26.8</v>
          </cell>
          <cell r="T267">
            <v>1.3092432158206901</v>
          </cell>
          <cell r="U267">
            <v>0.16903739571571355</v>
          </cell>
        </row>
        <row r="268">
          <cell r="K268" t="str">
            <v>Services</v>
          </cell>
          <cell r="L268" t="str">
            <v>Thailand</v>
          </cell>
          <cell r="M268" t="str">
            <v>Southeast Asia</v>
          </cell>
          <cell r="N268" t="str">
            <v>Direct Approach</v>
          </cell>
          <cell r="O268" t="str">
            <v>Richard Foyston</v>
          </cell>
          <cell r="P268">
            <v>0.75</v>
          </cell>
          <cell r="Q268">
            <v>0</v>
          </cell>
          <cell r="R268">
            <v>2.8807499900000004</v>
          </cell>
          <cell r="S268">
            <v>26.8</v>
          </cell>
          <cell r="T268">
            <v>1.3092432965577228</v>
          </cell>
          <cell r="U268">
            <v>0.1690374553203583</v>
          </cell>
        </row>
        <row r="269">
          <cell r="K269" t="str">
            <v>Services</v>
          </cell>
          <cell r="L269" t="str">
            <v>Thailand</v>
          </cell>
          <cell r="M269" t="str">
            <v>Southeast Asia</v>
          </cell>
          <cell r="N269" t="str">
            <v>Direct Approach</v>
          </cell>
          <cell r="O269" t="str">
            <v>Richard Foyston</v>
          </cell>
          <cell r="P269">
            <v>0.75</v>
          </cell>
          <cell r="Q269">
            <v>0</v>
          </cell>
          <cell r="R269">
            <v>2.8807499900000004</v>
          </cell>
          <cell r="S269">
            <v>26.8</v>
          </cell>
          <cell r="T269">
            <v>1.3092432965577228</v>
          </cell>
          <cell r="U269">
            <v>0.1690374553203583</v>
          </cell>
        </row>
        <row r="270">
          <cell r="K270" t="str">
            <v>Services</v>
          </cell>
          <cell r="L270" t="str">
            <v>Thailand</v>
          </cell>
          <cell r="M270" t="str">
            <v>Southeast Asia</v>
          </cell>
          <cell r="N270" t="str">
            <v>Direct Approach</v>
          </cell>
          <cell r="O270" t="str">
            <v>Richard Foyston</v>
          </cell>
          <cell r="P270">
            <v>0.75</v>
          </cell>
          <cell r="Q270">
            <v>0</v>
          </cell>
          <cell r="R270">
            <v>2.8807499900000004</v>
          </cell>
          <cell r="S270">
            <v>26.8</v>
          </cell>
          <cell r="T270">
            <v>1.3092432965577228</v>
          </cell>
          <cell r="U270">
            <v>0.1690374553203583</v>
          </cell>
        </row>
        <row r="271">
          <cell r="K271" t="str">
            <v>Services</v>
          </cell>
          <cell r="L271" t="str">
            <v>Thailand</v>
          </cell>
          <cell r="M271" t="str">
            <v>Southeast Asia</v>
          </cell>
          <cell r="N271" t="str">
            <v>Direct Approach</v>
          </cell>
          <cell r="O271" t="str">
            <v>Richard Foyston</v>
          </cell>
          <cell r="P271">
            <v>0.75</v>
          </cell>
          <cell r="Q271">
            <v>0</v>
          </cell>
          <cell r="R271">
            <v>2.8807499900000004</v>
          </cell>
          <cell r="S271">
            <v>26.8</v>
          </cell>
          <cell r="T271">
            <v>1.3092432965577228</v>
          </cell>
          <cell r="U271">
            <v>0.1690374553203583</v>
          </cell>
        </row>
        <row r="272">
          <cell r="K272" t="str">
            <v>Food</v>
          </cell>
          <cell r="L272" t="str">
            <v>Australia</v>
          </cell>
          <cell r="M272" t="str">
            <v>Australia</v>
          </cell>
          <cell r="N272" t="str">
            <v>Direct Approach / Intermediary</v>
          </cell>
          <cell r="O272" t="str">
            <v>Rodney Muse</v>
          </cell>
          <cell r="P272">
            <v>0.94</v>
          </cell>
          <cell r="Q272">
            <v>0</v>
          </cell>
          <cell r="R272">
            <v>15.68</v>
          </cell>
          <cell r="S272">
            <v>26</v>
          </cell>
          <cell r="T272">
            <v>1.0502522751036405</v>
          </cell>
          <cell r="U272">
            <v>2.6773914694786072E-2</v>
          </cell>
        </row>
        <row r="273">
          <cell r="K273" t="str">
            <v>Food</v>
          </cell>
          <cell r="L273" t="str">
            <v>Australia</v>
          </cell>
          <cell r="M273" t="str">
            <v>Australia</v>
          </cell>
          <cell r="N273" t="str">
            <v>Direct Approach / Intermediary</v>
          </cell>
          <cell r="O273" t="str">
            <v>Rodney Muse</v>
          </cell>
          <cell r="P273">
            <v>0.94</v>
          </cell>
          <cell r="Q273">
            <v>0</v>
          </cell>
          <cell r="R273">
            <v>15.68</v>
          </cell>
          <cell r="S273">
            <v>26</v>
          </cell>
          <cell r="T273">
            <v>1.0502522751036405</v>
          </cell>
          <cell r="U273">
            <v>2.6773914694786072E-2</v>
          </cell>
        </row>
        <row r="274">
          <cell r="K274" t="str">
            <v>Food</v>
          </cell>
          <cell r="L274" t="str">
            <v>Australia</v>
          </cell>
          <cell r="M274" t="str">
            <v>Australia</v>
          </cell>
          <cell r="N274" t="str">
            <v>Direct Approach / Intermediary</v>
          </cell>
          <cell r="O274" t="str">
            <v>Rodney Muse</v>
          </cell>
          <cell r="P274">
            <v>0.94</v>
          </cell>
          <cell r="Q274">
            <v>0</v>
          </cell>
          <cell r="R274">
            <v>15.68</v>
          </cell>
          <cell r="S274">
            <v>26</v>
          </cell>
          <cell r="T274">
            <v>1.0502522751036405</v>
          </cell>
          <cell r="U274">
            <v>2.6773914694786072E-2</v>
          </cell>
        </row>
        <row r="275">
          <cell r="K275" t="str">
            <v>Food</v>
          </cell>
          <cell r="L275" t="str">
            <v>Australia</v>
          </cell>
          <cell r="M275" t="str">
            <v>Australia</v>
          </cell>
          <cell r="N275" t="str">
            <v>Direct Approach / Intermediary</v>
          </cell>
          <cell r="O275" t="str">
            <v>Rodney Muse</v>
          </cell>
          <cell r="P275">
            <v>0.94</v>
          </cell>
          <cell r="Q275">
            <v>0</v>
          </cell>
          <cell r="R275">
            <v>15.68</v>
          </cell>
          <cell r="S275">
            <v>26</v>
          </cell>
          <cell r="T275">
            <v>1.0502522751036405</v>
          </cell>
          <cell r="U275">
            <v>2.6773914694786072E-2</v>
          </cell>
        </row>
        <row r="276">
          <cell r="K276" t="str">
            <v>Services</v>
          </cell>
          <cell r="L276" t="str">
            <v>Australia</v>
          </cell>
          <cell r="M276" t="str">
            <v>Australia</v>
          </cell>
          <cell r="N276" t="str">
            <v>Direct Approach</v>
          </cell>
          <cell r="O276" t="str">
            <v>Rodney Muse</v>
          </cell>
          <cell r="P276">
            <v>0.95</v>
          </cell>
          <cell r="Q276">
            <v>0</v>
          </cell>
          <cell r="R276">
            <v>10.977494999999999</v>
          </cell>
          <cell r="S276">
            <v>12.3</v>
          </cell>
          <cell r="T276">
            <v>0.21373389782271393</v>
          </cell>
          <cell r="U276">
            <v>-0.56267575509846224</v>
          </cell>
        </row>
        <row r="277">
          <cell r="K277" t="str">
            <v>Services</v>
          </cell>
          <cell r="L277" t="str">
            <v>Australia</v>
          </cell>
          <cell r="M277" t="str">
            <v>Australia</v>
          </cell>
          <cell r="N277" t="str">
            <v>Direct Approach</v>
          </cell>
          <cell r="O277" t="str">
            <v>Rodney Muse</v>
          </cell>
          <cell r="P277">
            <v>0.95</v>
          </cell>
          <cell r="Q277">
            <v>0</v>
          </cell>
          <cell r="R277">
            <v>10.977494999999999</v>
          </cell>
          <cell r="S277">
            <v>12.3</v>
          </cell>
          <cell r="T277">
            <v>0.21373389782271393</v>
          </cell>
          <cell r="U277">
            <v>-0.56267575509846224</v>
          </cell>
        </row>
        <row r="278">
          <cell r="K278" t="str">
            <v>Services</v>
          </cell>
          <cell r="L278" t="str">
            <v>Australia</v>
          </cell>
          <cell r="M278" t="str">
            <v>Australia</v>
          </cell>
          <cell r="N278" t="str">
            <v>Direct Approach</v>
          </cell>
          <cell r="O278" t="str">
            <v>Rodney Muse</v>
          </cell>
          <cell r="P278">
            <v>0.95</v>
          </cell>
          <cell r="Q278">
            <v>0</v>
          </cell>
          <cell r="R278">
            <v>10.977494999999999</v>
          </cell>
          <cell r="S278">
            <v>12.3</v>
          </cell>
          <cell r="T278">
            <v>0.21373389782271393</v>
          </cell>
          <cell r="U278">
            <v>-0.56267575509846224</v>
          </cell>
        </row>
        <row r="279">
          <cell r="K279" t="str">
            <v>Services</v>
          </cell>
          <cell r="L279" t="str">
            <v>Australia</v>
          </cell>
          <cell r="M279" t="str">
            <v>Australia</v>
          </cell>
          <cell r="N279" t="str">
            <v>Direct Approach</v>
          </cell>
          <cell r="O279" t="str">
            <v>Rodney Muse</v>
          </cell>
          <cell r="P279">
            <v>0.95</v>
          </cell>
          <cell r="Q279">
            <v>0</v>
          </cell>
          <cell r="R279">
            <v>10.977494999999999</v>
          </cell>
          <cell r="S279">
            <v>12.3</v>
          </cell>
          <cell r="T279">
            <v>0.21373389782271393</v>
          </cell>
          <cell r="U279">
            <v>-0.56267575509846224</v>
          </cell>
        </row>
        <row r="280">
          <cell r="K280" t="str">
            <v>Services</v>
          </cell>
          <cell r="L280" t="str">
            <v>Australia</v>
          </cell>
          <cell r="M280" t="str">
            <v>Australia</v>
          </cell>
          <cell r="N280" t="str">
            <v>Direct Approach</v>
          </cell>
          <cell r="O280" t="str">
            <v>Rodney Muse</v>
          </cell>
          <cell r="P280">
            <v>0.95</v>
          </cell>
          <cell r="Q280">
            <v>0</v>
          </cell>
          <cell r="R280">
            <v>1.9372050000000001</v>
          </cell>
          <cell r="S280">
            <v>12.3</v>
          </cell>
          <cell r="T280">
            <v>0.21373389782271393</v>
          </cell>
          <cell r="U280">
            <v>-0.56267574504017848</v>
          </cell>
        </row>
        <row r="281">
          <cell r="K281" t="str">
            <v>Services</v>
          </cell>
          <cell r="L281" t="str">
            <v>Australia</v>
          </cell>
          <cell r="M281" t="str">
            <v>Australia</v>
          </cell>
          <cell r="N281" t="str">
            <v>Direct Approach</v>
          </cell>
          <cell r="O281" t="str">
            <v>Rodney Muse</v>
          </cell>
          <cell r="P281">
            <v>0.95</v>
          </cell>
          <cell r="Q281">
            <v>0</v>
          </cell>
          <cell r="R281">
            <v>1.9372050000000001</v>
          </cell>
          <cell r="S281">
            <v>12.3</v>
          </cell>
          <cell r="T281">
            <v>0.21373389782271393</v>
          </cell>
          <cell r="U281">
            <v>-0.56267574504017848</v>
          </cell>
        </row>
        <row r="282">
          <cell r="K282" t="str">
            <v>Services</v>
          </cell>
          <cell r="L282" t="str">
            <v>Australia</v>
          </cell>
          <cell r="M282" t="str">
            <v>Australia</v>
          </cell>
          <cell r="N282" t="str">
            <v>Direct Approach</v>
          </cell>
          <cell r="O282" t="str">
            <v>Rodney Muse</v>
          </cell>
          <cell r="P282">
            <v>0.95</v>
          </cell>
          <cell r="Q282">
            <v>0</v>
          </cell>
          <cell r="R282">
            <v>1.9372050000000001</v>
          </cell>
          <cell r="S282">
            <v>12.3</v>
          </cell>
          <cell r="T282">
            <v>0.21373389782271393</v>
          </cell>
          <cell r="U282">
            <v>-0.56267574504017848</v>
          </cell>
        </row>
        <row r="283">
          <cell r="K283" t="str">
            <v>Services</v>
          </cell>
          <cell r="L283" t="str">
            <v>Australia</v>
          </cell>
          <cell r="M283" t="str">
            <v>Australia</v>
          </cell>
          <cell r="N283" t="str">
            <v>Direct Approach</v>
          </cell>
          <cell r="O283" t="str">
            <v>Rodney Muse</v>
          </cell>
          <cell r="P283">
            <v>0.95</v>
          </cell>
          <cell r="Q283">
            <v>0</v>
          </cell>
          <cell r="R283">
            <v>1.9372050000000001</v>
          </cell>
          <cell r="S283">
            <v>12.3</v>
          </cell>
          <cell r="T283">
            <v>0.21373389782271393</v>
          </cell>
          <cell r="U283">
            <v>-0.56267574504017848</v>
          </cell>
        </row>
      </sheetData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=&gt;"/>
      <sheetName val="HL Summary"/>
      <sheetName val="Net Returns"/>
      <sheetName val="HL Attribution"/>
      <sheetName val="HL Company Sorts"/>
      <sheetName val="Input=&gt;"/>
      <sheetName val="HL Company Summary"/>
      <sheetName val="HL IRR"/>
      <sheetName val="Value Creation=&gt;"/>
      <sheetName val="HL Value Creation"/>
      <sheetName val="Value Creation - All funds"/>
      <sheetName val="Charts and Pivots=&gt;"/>
      <sheetName val="Charts"/>
      <sheetName val="Pivot 1"/>
      <sheetName val="Pivot 2"/>
      <sheetName val="Pivot 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Y10" t="str">
            <v>Unrealized</v>
          </cell>
          <cell r="AE10">
            <v>0.77419354838709675</v>
          </cell>
        </row>
        <row r="11">
          <cell r="Y11" t="str">
            <v>Write-off</v>
          </cell>
          <cell r="AE11">
            <v>0.82713068828861658</v>
          </cell>
        </row>
        <row r="12">
          <cell r="Y12" t="str">
            <v>Sale to SPV</v>
          </cell>
          <cell r="AE12">
            <v>0.57727473358975978</v>
          </cell>
        </row>
        <row r="13">
          <cell r="Y13" t="str">
            <v>Unrealized</v>
          </cell>
          <cell r="AE13">
            <v>0.71830985915492962</v>
          </cell>
        </row>
      </sheetData>
      <sheetData sheetId="8">
        <row r="9">
          <cell r="P9">
            <v>0.77419354838709675</v>
          </cell>
          <cell r="S9" t="str">
            <v>Unrealized</v>
          </cell>
          <cell r="U9">
            <v>5.457746478873239</v>
          </cell>
        </row>
        <row r="10">
          <cell r="P10">
            <v>0.77419354838709675</v>
          </cell>
          <cell r="S10" t="str">
            <v>Unrealized</v>
          </cell>
          <cell r="U10">
            <v>5.457746478873239</v>
          </cell>
        </row>
        <row r="11">
          <cell r="P11">
            <v>0.82713068828861658</v>
          </cell>
          <cell r="S11" t="str">
            <v>Write-off</v>
          </cell>
          <cell r="U11">
            <v>5.1884469130527657</v>
          </cell>
        </row>
        <row r="12">
          <cell r="P12">
            <v>0.82713068828861658</v>
          </cell>
          <cell r="S12" t="str">
            <v>Write-off</v>
          </cell>
          <cell r="U12">
            <v>5.1884469130527657</v>
          </cell>
        </row>
        <row r="13">
          <cell r="P13">
            <v>0.57727473358975978</v>
          </cell>
          <cell r="S13" t="str">
            <v>Sale to SPV</v>
          </cell>
          <cell r="U13">
            <v>4.3727022058823533</v>
          </cell>
        </row>
        <row r="14">
          <cell r="P14">
            <v>0.57727473358975978</v>
          </cell>
          <cell r="S14" t="str">
            <v>Sale to SPV</v>
          </cell>
          <cell r="U14">
            <v>4.3727022058823533</v>
          </cell>
        </row>
        <row r="15">
          <cell r="P15">
            <v>0.57727473358975978</v>
          </cell>
          <cell r="S15" t="str">
            <v>Sale to SPV</v>
          </cell>
          <cell r="U15">
            <v>4.3727022058823533</v>
          </cell>
        </row>
        <row r="16">
          <cell r="P16">
            <v>0.57727473358975978</v>
          </cell>
          <cell r="S16" t="str">
            <v>Sale to SPV</v>
          </cell>
          <cell r="U16">
            <v>4.3727022058823533</v>
          </cell>
        </row>
        <row r="17">
          <cell r="P17">
            <v>0.57727473358975978</v>
          </cell>
          <cell r="S17" t="str">
            <v>Sale to SPV</v>
          </cell>
          <cell r="U17">
            <v>4.3727022058823533</v>
          </cell>
        </row>
        <row r="18">
          <cell r="P18">
            <v>0.71830985915492962</v>
          </cell>
          <cell r="S18" t="str">
            <v>Unrealized</v>
          </cell>
          <cell r="U18">
            <v>5.155387743247168</v>
          </cell>
        </row>
        <row r="19">
          <cell r="P19">
            <v>0.71830985915492962</v>
          </cell>
          <cell r="S19" t="str">
            <v>Unrealized</v>
          </cell>
          <cell r="U19">
            <v>5.155387743247168</v>
          </cell>
        </row>
        <row r="20">
          <cell r="P20">
            <v>0.71830985915492962</v>
          </cell>
          <cell r="S20" t="str">
            <v>Unrealized</v>
          </cell>
          <cell r="U20">
            <v>5.155387743247168</v>
          </cell>
        </row>
        <row r="21">
          <cell r="P21">
            <v>0.7833480603634978</v>
          </cell>
          <cell r="S21" t="str">
            <v>Trade sale</v>
          </cell>
          <cell r="U21">
            <v>4.0825464190981426</v>
          </cell>
        </row>
        <row r="22">
          <cell r="P22">
            <v>0.7833480603634978</v>
          </cell>
          <cell r="S22" t="str">
            <v>Trade sale</v>
          </cell>
          <cell r="U22">
            <v>4.0825464190981426</v>
          </cell>
        </row>
        <row r="23">
          <cell r="P23">
            <v>0.7833480603634978</v>
          </cell>
          <cell r="S23" t="str">
            <v>Trade sale</v>
          </cell>
          <cell r="U23">
            <v>4.0825464190981426</v>
          </cell>
        </row>
        <row r="24">
          <cell r="P24">
            <v>0.7833480603634978</v>
          </cell>
          <cell r="S24" t="str">
            <v>Trade sale</v>
          </cell>
          <cell r="U24">
            <v>4.0825464190981426</v>
          </cell>
        </row>
        <row r="25">
          <cell r="P25">
            <v>0.7833480603634978</v>
          </cell>
          <cell r="S25" t="str">
            <v>Trade sale</v>
          </cell>
          <cell r="U25">
            <v>4.0825464190981426</v>
          </cell>
        </row>
        <row r="26">
          <cell r="P26">
            <v>0.81267545813348807</v>
          </cell>
          <cell r="S26" t="str">
            <v>Trade sale</v>
          </cell>
          <cell r="U26" t="str">
            <v>n/a</v>
          </cell>
        </row>
        <row r="27">
          <cell r="P27">
            <v>0.81267545813348807</v>
          </cell>
          <cell r="S27" t="str">
            <v>Trade sale</v>
          </cell>
          <cell r="U27" t="str">
            <v>n/a</v>
          </cell>
        </row>
        <row r="28">
          <cell r="P28">
            <v>0.7997472798595644</v>
          </cell>
          <cell r="S28" t="str">
            <v>Financial buyer</v>
          </cell>
          <cell r="U28">
            <v>6.5992080950285965</v>
          </cell>
        </row>
        <row r="29">
          <cell r="P29">
            <v>0.7997472798595644</v>
          </cell>
          <cell r="S29" t="str">
            <v>Financial buyer</v>
          </cell>
          <cell r="U29">
            <v>6.5992080950285965</v>
          </cell>
        </row>
        <row r="30">
          <cell r="P30">
            <v>0.7997472798595644</v>
          </cell>
          <cell r="S30" t="str">
            <v>Financial buyer</v>
          </cell>
          <cell r="U30">
            <v>6.5992080950285965</v>
          </cell>
        </row>
        <row r="31">
          <cell r="P31">
            <v>0.9187155177031443</v>
          </cell>
          <cell r="S31" t="str">
            <v>Trade sale</v>
          </cell>
          <cell r="U31">
            <v>5.0709482988425112</v>
          </cell>
        </row>
        <row r="32">
          <cell r="P32">
            <v>0.9187155177031443</v>
          </cell>
          <cell r="S32" t="str">
            <v>Trade sale</v>
          </cell>
          <cell r="U32">
            <v>5.0709482988425112</v>
          </cell>
        </row>
        <row r="33">
          <cell r="P33">
            <v>0.70694309948739675</v>
          </cell>
          <cell r="S33" t="str">
            <v>Unrealized</v>
          </cell>
          <cell r="U33">
            <v>21.551724137931036</v>
          </cell>
        </row>
        <row r="34">
          <cell r="P34">
            <v>0.70694309948739675</v>
          </cell>
          <cell r="S34" t="str">
            <v>Unrealized</v>
          </cell>
          <cell r="U34">
            <v>21.551724137931036</v>
          </cell>
        </row>
        <row r="35">
          <cell r="P35">
            <v>0.70694309948739675</v>
          </cell>
          <cell r="S35" t="str">
            <v>Unrealized</v>
          </cell>
          <cell r="U35">
            <v>21.551724137931036</v>
          </cell>
        </row>
        <row r="36">
          <cell r="P36">
            <v>9.0977267614019849E-2</v>
          </cell>
          <cell r="S36" t="str">
            <v>Unrealized</v>
          </cell>
          <cell r="U36">
            <v>3.2442196531791909</v>
          </cell>
        </row>
        <row r="37">
          <cell r="P37">
            <v>9.0977267614019849E-2</v>
          </cell>
          <cell r="S37" t="str">
            <v>Unrealized</v>
          </cell>
          <cell r="U37">
            <v>3.2442196531791909</v>
          </cell>
        </row>
        <row r="38">
          <cell r="P38">
            <v>9.0977267614019849E-2</v>
          </cell>
          <cell r="S38" t="str">
            <v>Unrealized</v>
          </cell>
          <cell r="U38">
            <v>3.2442196531791909</v>
          </cell>
        </row>
        <row r="39">
          <cell r="P39">
            <v>0.48262481676295593</v>
          </cell>
          <cell r="S39" t="str">
            <v>Unrealized</v>
          </cell>
          <cell r="U39">
            <v>8.0565239358342815</v>
          </cell>
        </row>
        <row r="40">
          <cell r="P40">
            <v>0.48262481676295593</v>
          </cell>
          <cell r="S40" t="str">
            <v>Unrealized</v>
          </cell>
          <cell r="U40">
            <v>8.0565239358342815</v>
          </cell>
        </row>
        <row r="41">
          <cell r="P41">
            <v>7.6586433260393869E-2</v>
          </cell>
          <cell r="S41" t="str">
            <v>Trade sale</v>
          </cell>
          <cell r="U41">
            <v>7.2157894736842101</v>
          </cell>
        </row>
        <row r="42">
          <cell r="P42">
            <v>7.6586433260393869E-2</v>
          </cell>
          <cell r="S42" t="str">
            <v>Trade sale</v>
          </cell>
          <cell r="U42">
            <v>7.2157894736842101</v>
          </cell>
        </row>
        <row r="43">
          <cell r="P43">
            <v>0.50163934426229506</v>
          </cell>
          <cell r="S43" t="str">
            <v>Unrealized</v>
          </cell>
          <cell r="U43">
            <v>3.3025477707006368</v>
          </cell>
        </row>
        <row r="44">
          <cell r="P44">
            <v>0.50163934426229506</v>
          </cell>
          <cell r="S44" t="str">
            <v>Unrealized</v>
          </cell>
          <cell r="U44">
            <v>3.3025477707006368</v>
          </cell>
        </row>
        <row r="45">
          <cell r="P45">
            <v>0.50163934426229506</v>
          </cell>
          <cell r="S45" t="str">
            <v>Unrealized</v>
          </cell>
          <cell r="U45">
            <v>3.3025477707006368</v>
          </cell>
        </row>
        <row r="46">
          <cell r="P46">
            <v>0.50163934426229506</v>
          </cell>
          <cell r="S46" t="str">
            <v>Unrealized</v>
          </cell>
          <cell r="U46">
            <v>3.3025477707006368</v>
          </cell>
        </row>
        <row r="47">
          <cell r="P47">
            <v>0.50163934426229506</v>
          </cell>
          <cell r="S47" t="str">
            <v>Unrealized</v>
          </cell>
          <cell r="U47">
            <v>3.3025477707006368</v>
          </cell>
        </row>
        <row r="48">
          <cell r="P48">
            <v>0.63809523809523805</v>
          </cell>
          <cell r="S48" t="str">
            <v>Trade sale</v>
          </cell>
          <cell r="U48">
            <v>3.096270598438855</v>
          </cell>
        </row>
        <row r="49">
          <cell r="P49">
            <v>0.63809523809523805</v>
          </cell>
          <cell r="S49" t="str">
            <v>Trade sale</v>
          </cell>
          <cell r="U49">
            <v>3.096270598438855</v>
          </cell>
        </row>
        <row r="50">
          <cell r="P50">
            <v>0.63809523809523805</v>
          </cell>
          <cell r="S50" t="str">
            <v>Trade sale</v>
          </cell>
          <cell r="U50">
            <v>3.096270598438855</v>
          </cell>
        </row>
        <row r="51">
          <cell r="P51">
            <v>0.72361892710865439</v>
          </cell>
          <cell r="S51" t="str">
            <v>Sale to SPV</v>
          </cell>
          <cell r="U51">
            <v>4.6628367362782397</v>
          </cell>
        </row>
        <row r="52">
          <cell r="P52">
            <v>0.72361892710865439</v>
          </cell>
          <cell r="S52" t="str">
            <v>Sale to SPV</v>
          </cell>
          <cell r="U52">
            <v>4.6628367362782397</v>
          </cell>
        </row>
        <row r="53">
          <cell r="P53">
            <v>0.72361892710865439</v>
          </cell>
          <cell r="S53" t="str">
            <v>Sale to SPV</v>
          </cell>
          <cell r="U53">
            <v>4.6628367362782397</v>
          </cell>
        </row>
        <row r="54">
          <cell r="P54">
            <v>0.72361892710865439</v>
          </cell>
          <cell r="S54" t="str">
            <v>Sale to SPV</v>
          </cell>
          <cell r="U54">
            <v>4.6628367362782397</v>
          </cell>
        </row>
        <row r="55">
          <cell r="P55">
            <v>0.60503457996001175</v>
          </cell>
          <cell r="S55" t="str">
            <v>Unrealized</v>
          </cell>
          <cell r="U55">
            <v>2.3889411764705883</v>
          </cell>
        </row>
        <row r="56">
          <cell r="P56">
            <v>0.60503457996001175</v>
          </cell>
          <cell r="S56" t="str">
            <v>Unrealized</v>
          </cell>
          <cell r="U56">
            <v>2.3889411764705883</v>
          </cell>
        </row>
        <row r="57">
          <cell r="P57">
            <v>0.60503457996001175</v>
          </cell>
          <cell r="S57" t="str">
            <v>Unrealized</v>
          </cell>
          <cell r="U57">
            <v>2.3889411764705883</v>
          </cell>
        </row>
        <row r="58">
          <cell r="P58">
            <v>0.82496186225210466</v>
          </cell>
          <cell r="S58" t="str">
            <v>Financial buyer</v>
          </cell>
          <cell r="U58">
            <v>1.7833753148614611</v>
          </cell>
        </row>
        <row r="59">
          <cell r="P59">
            <v>0.82496186225210466</v>
          </cell>
          <cell r="S59" t="str">
            <v>Financial buyer</v>
          </cell>
          <cell r="U59">
            <v>1.7833753148614611</v>
          </cell>
        </row>
        <row r="60">
          <cell r="P60">
            <v>0.82496186225210466</v>
          </cell>
          <cell r="S60" t="str">
            <v>Financial buyer</v>
          </cell>
          <cell r="U60">
            <v>1.7833753148614611</v>
          </cell>
        </row>
        <row r="61">
          <cell r="P61">
            <v>0.82496186225210466</v>
          </cell>
          <cell r="S61" t="str">
            <v>Financial buyer</v>
          </cell>
          <cell r="U61">
            <v>1.7833753148614611</v>
          </cell>
        </row>
        <row r="62">
          <cell r="P62">
            <v>0.82496186225210466</v>
          </cell>
          <cell r="S62" t="str">
            <v>Financial buyer</v>
          </cell>
          <cell r="U62">
            <v>1.7833753148614611</v>
          </cell>
        </row>
        <row r="63">
          <cell r="P63">
            <v>0.82496186225210466</v>
          </cell>
          <cell r="S63" t="str">
            <v>Financial buyer</v>
          </cell>
          <cell r="U63">
            <v>1.7833753148614611</v>
          </cell>
        </row>
        <row r="64">
          <cell r="P64">
            <v>0.67908718131574253</v>
          </cell>
          <cell r="S64" t="str">
            <v>Sale to SPV</v>
          </cell>
          <cell r="U64">
            <v>2.7018304431599227</v>
          </cell>
        </row>
        <row r="65">
          <cell r="P65">
            <v>0.67908718131574253</v>
          </cell>
          <cell r="S65" t="str">
            <v>Sale to SPV</v>
          </cell>
          <cell r="U65">
            <v>2.7018304431599227</v>
          </cell>
        </row>
        <row r="66">
          <cell r="P66">
            <v>0.67908718131574253</v>
          </cell>
          <cell r="S66" t="str">
            <v>Sale to SPV</v>
          </cell>
          <cell r="U66">
            <v>2.7018304431599227</v>
          </cell>
        </row>
        <row r="67">
          <cell r="P67">
            <v>0.69808113789864468</v>
          </cell>
          <cell r="S67" t="str">
            <v>Unrealized</v>
          </cell>
          <cell r="U67">
            <v>4.9353200883002204</v>
          </cell>
        </row>
        <row r="68">
          <cell r="P68">
            <v>0.69808113789864468</v>
          </cell>
          <cell r="S68" t="str">
            <v>Unrealized</v>
          </cell>
          <cell r="U68">
            <v>4.9353200883002204</v>
          </cell>
        </row>
        <row r="69">
          <cell r="P69">
            <v>0.74686699905673082</v>
          </cell>
          <cell r="S69" t="str">
            <v>Trade sale</v>
          </cell>
          <cell r="U69">
            <v>5.8230932203389827</v>
          </cell>
        </row>
        <row r="70">
          <cell r="P70">
            <v>0.74686699905673082</v>
          </cell>
          <cell r="S70" t="str">
            <v>Trade sale</v>
          </cell>
          <cell r="U70">
            <v>5.8230932203389827</v>
          </cell>
        </row>
        <row r="71">
          <cell r="P71">
            <v>0.59487715629900684</v>
          </cell>
          <cell r="S71" t="str">
            <v>Unrealized</v>
          </cell>
          <cell r="U71">
            <v>1.7745825602968459</v>
          </cell>
        </row>
        <row r="72">
          <cell r="P72">
            <v>0.59487715629900684</v>
          </cell>
          <cell r="S72" t="str">
            <v>Unrealized</v>
          </cell>
          <cell r="U72">
            <v>1.7745825602968459</v>
          </cell>
        </row>
        <row r="73">
          <cell r="P73">
            <v>0.66586516230463333</v>
          </cell>
          <cell r="S73" t="str">
            <v>Financial buyer</v>
          </cell>
          <cell r="U73">
            <v>3.0258557284299856</v>
          </cell>
        </row>
        <row r="74">
          <cell r="P74">
            <v>0.66586516230463333</v>
          </cell>
          <cell r="S74" t="str">
            <v>Financial buyer</v>
          </cell>
          <cell r="U74">
            <v>3.0258557284299856</v>
          </cell>
        </row>
        <row r="75">
          <cell r="P75">
            <v>0.66586516230463333</v>
          </cell>
          <cell r="S75" t="str">
            <v>Financial buyer</v>
          </cell>
          <cell r="U75">
            <v>3.0258557284299856</v>
          </cell>
        </row>
        <row r="76">
          <cell r="P76">
            <v>0.82609995423195659</v>
          </cell>
          <cell r="S76" t="str">
            <v>Financial buyer</v>
          </cell>
          <cell r="U76">
            <v>4.2838052095130239</v>
          </cell>
        </row>
        <row r="77">
          <cell r="P77">
            <v>0.82609995423195659</v>
          </cell>
          <cell r="S77" t="str">
            <v>Financial buyer</v>
          </cell>
          <cell r="U77">
            <v>4.2838052095130239</v>
          </cell>
        </row>
        <row r="78">
          <cell r="P78">
            <v>0.83946550652579244</v>
          </cell>
          <cell r="S78" t="str">
            <v>Financial buyer</v>
          </cell>
          <cell r="U78">
            <v>2.5980946229614079</v>
          </cell>
        </row>
        <row r="79">
          <cell r="P79">
            <v>0.83946550652579244</v>
          </cell>
          <cell r="S79" t="str">
            <v>Financial buyer</v>
          </cell>
          <cell r="U79">
            <v>2.5980946229614079</v>
          </cell>
        </row>
        <row r="80">
          <cell r="P80">
            <v>0.83946550652579244</v>
          </cell>
          <cell r="S80" t="str">
            <v>Financial buyer</v>
          </cell>
          <cell r="U80">
            <v>2.5980946229614079</v>
          </cell>
        </row>
        <row r="81">
          <cell r="P81">
            <v>0.83946550652579244</v>
          </cell>
          <cell r="S81" t="str">
            <v>Financial buyer</v>
          </cell>
          <cell r="U81">
            <v>2.5980946229614079</v>
          </cell>
        </row>
        <row r="82">
          <cell r="P82">
            <v>0.83946550652579244</v>
          </cell>
          <cell r="S82" t="str">
            <v>Financial buyer</v>
          </cell>
          <cell r="U82">
            <v>2.5980946229614079</v>
          </cell>
        </row>
        <row r="83">
          <cell r="P83">
            <v>0.83946550652579244</v>
          </cell>
          <cell r="S83" t="str">
            <v>Financial buyer</v>
          </cell>
          <cell r="U83">
            <v>2.5980946229614079</v>
          </cell>
        </row>
        <row r="84">
          <cell r="P84">
            <v>0.70930232558139539</v>
          </cell>
          <cell r="S84" t="str">
            <v>Trade sale</v>
          </cell>
          <cell r="U84">
            <v>5.1160023795359901</v>
          </cell>
        </row>
        <row r="85">
          <cell r="P85">
            <v>0.70930232558139539</v>
          </cell>
          <cell r="S85" t="str">
            <v>Trade sale</v>
          </cell>
          <cell r="U85">
            <v>5.1160023795359901</v>
          </cell>
        </row>
        <row r="86">
          <cell r="P86">
            <v>0.83035072042013025</v>
          </cell>
          <cell r="S86" t="str">
            <v>Trade sale</v>
          </cell>
          <cell r="U86">
            <v>4.0653548840477862</v>
          </cell>
        </row>
        <row r="87">
          <cell r="P87">
            <v>0.83035072042013025</v>
          </cell>
          <cell r="S87" t="str">
            <v>Trade sale</v>
          </cell>
          <cell r="U87">
            <v>4.0653548840477862</v>
          </cell>
        </row>
        <row r="88">
          <cell r="P88">
            <v>0.83035072042013025</v>
          </cell>
          <cell r="S88" t="str">
            <v>Trade sale</v>
          </cell>
          <cell r="U88">
            <v>4.0653548840477862</v>
          </cell>
        </row>
        <row r="89">
          <cell r="P89">
            <v>0.83035072042013025</v>
          </cell>
          <cell r="S89" t="str">
            <v>Trade sale</v>
          </cell>
          <cell r="U89">
            <v>4.0653548840477862</v>
          </cell>
        </row>
        <row r="90">
          <cell r="P90">
            <v>-4.72972972972973E-2</v>
          </cell>
          <cell r="S90" t="str">
            <v>n/a</v>
          </cell>
          <cell r="U90" t="str">
            <v>n/a</v>
          </cell>
        </row>
        <row r="91">
          <cell r="P91">
            <v>-4.72972972972973E-2</v>
          </cell>
          <cell r="S91" t="str">
            <v>n/a</v>
          </cell>
          <cell r="U91" t="str">
            <v>n/a</v>
          </cell>
        </row>
        <row r="92">
          <cell r="P92">
            <v>0.14428412874583796</v>
          </cell>
          <cell r="S92" t="str">
            <v>IPO</v>
          </cell>
          <cell r="U92">
            <v>1.4532258064516128</v>
          </cell>
        </row>
        <row r="93">
          <cell r="P93">
            <v>0.14428412874583796</v>
          </cell>
          <cell r="S93" t="str">
            <v>IPO</v>
          </cell>
          <cell r="U93">
            <v>1.4532258064516128</v>
          </cell>
        </row>
        <row r="94">
          <cell r="P94">
            <v>0.14428412874583796</v>
          </cell>
          <cell r="S94" t="str">
            <v>IPO</v>
          </cell>
          <cell r="U94">
            <v>1.4532258064516128</v>
          </cell>
        </row>
        <row r="95">
          <cell r="P95">
            <v>0.14428412874583796</v>
          </cell>
          <cell r="S95" t="str">
            <v>IPO</v>
          </cell>
          <cell r="U95">
            <v>1.4532258064516128</v>
          </cell>
        </row>
        <row r="96">
          <cell r="P96">
            <v>0</v>
          </cell>
          <cell r="S96" t="str">
            <v>Unrealized</v>
          </cell>
          <cell r="U96" t="str">
            <v>n/a</v>
          </cell>
        </row>
        <row r="97">
          <cell r="P97">
            <v>0</v>
          </cell>
          <cell r="S97" t="str">
            <v>Unrealized</v>
          </cell>
          <cell r="U97" t="str">
            <v>n/a</v>
          </cell>
        </row>
        <row r="98">
          <cell r="P98">
            <v>0.7315738263196303</v>
          </cell>
          <cell r="S98" t="str">
            <v>Unrealized</v>
          </cell>
          <cell r="U98">
            <v>5.8340638697557923</v>
          </cell>
        </row>
        <row r="99">
          <cell r="P99">
            <v>0.7315738263196303</v>
          </cell>
          <cell r="S99" t="str">
            <v>Unrealized</v>
          </cell>
          <cell r="U99">
            <v>5.8340638697557923</v>
          </cell>
        </row>
        <row r="100">
          <cell r="P100">
            <v>0.70496629374118314</v>
          </cell>
          <cell r="S100" t="str">
            <v>Sale to SPV</v>
          </cell>
          <cell r="U100">
            <v>2.4748416482812612</v>
          </cell>
        </row>
        <row r="101">
          <cell r="P101">
            <v>0.70496629374118314</v>
          </cell>
          <cell r="S101" t="str">
            <v>Sale to SPV</v>
          </cell>
          <cell r="U101">
            <v>2.4748416482812612</v>
          </cell>
        </row>
        <row r="102">
          <cell r="P102">
            <v>0.70496629374118314</v>
          </cell>
          <cell r="S102" t="str">
            <v>Sale to SPV</v>
          </cell>
          <cell r="U102">
            <v>2.4748416482812612</v>
          </cell>
        </row>
        <row r="103">
          <cell r="P103">
            <v>0.70496629374118314</v>
          </cell>
          <cell r="S103" t="str">
            <v>Sale to SPV</v>
          </cell>
          <cell r="U103">
            <v>2.4748416482812612</v>
          </cell>
        </row>
        <row r="104">
          <cell r="P104">
            <v>0.70496629374118314</v>
          </cell>
          <cell r="S104" t="str">
            <v>Sale to SPV</v>
          </cell>
          <cell r="U104">
            <v>2.4748416482812612</v>
          </cell>
        </row>
        <row r="105">
          <cell r="P105">
            <v>0.70496629374118314</v>
          </cell>
          <cell r="S105" t="str">
            <v>Sale to SPV</v>
          </cell>
          <cell r="U105">
            <v>2.4748416482812612</v>
          </cell>
        </row>
        <row r="106">
          <cell r="P106">
            <v>0.70496629374118314</v>
          </cell>
          <cell r="S106" t="str">
            <v>Sale to SPV</v>
          </cell>
          <cell r="U106">
            <v>2.4748416482812612</v>
          </cell>
        </row>
        <row r="107">
          <cell r="P107">
            <v>0.73083910907745109</v>
          </cell>
          <cell r="S107" t="str">
            <v>Sale to SPV</v>
          </cell>
          <cell r="U107">
            <v>3.9314814814814816</v>
          </cell>
        </row>
        <row r="108">
          <cell r="P108">
            <v>0.73083910907745109</v>
          </cell>
          <cell r="S108" t="str">
            <v>Sale to SPV</v>
          </cell>
          <cell r="U108">
            <v>3.9314814814814816</v>
          </cell>
        </row>
        <row r="109">
          <cell r="P109">
            <v>0.73083910907745109</v>
          </cell>
          <cell r="S109" t="str">
            <v>Sale to SPV</v>
          </cell>
          <cell r="U109">
            <v>3.9314814814814816</v>
          </cell>
        </row>
        <row r="110">
          <cell r="P110">
            <v>0.91042169434353903</v>
          </cell>
          <cell r="S110" t="str">
            <v>Trade sale</v>
          </cell>
          <cell r="U110">
            <v>3.5890226870216226</v>
          </cell>
        </row>
        <row r="111">
          <cell r="P111">
            <v>0.91042169434353903</v>
          </cell>
          <cell r="S111" t="str">
            <v>Trade sale</v>
          </cell>
          <cell r="U111">
            <v>3.5890226870216226</v>
          </cell>
        </row>
        <row r="112">
          <cell r="P112">
            <v>0.91042169434353903</v>
          </cell>
          <cell r="S112" t="str">
            <v>Trade sale</v>
          </cell>
          <cell r="U112">
            <v>3.5890226870216226</v>
          </cell>
        </row>
        <row r="113">
          <cell r="P113">
            <v>0.91042169434353903</v>
          </cell>
          <cell r="S113" t="str">
            <v>Trade sale</v>
          </cell>
          <cell r="U113">
            <v>3.5890226870216226</v>
          </cell>
        </row>
        <row r="114">
          <cell r="P114">
            <v>0.91042169434353903</v>
          </cell>
          <cell r="S114" t="str">
            <v>Trade sale</v>
          </cell>
          <cell r="U114">
            <v>3.5890226870216226</v>
          </cell>
        </row>
        <row r="115">
          <cell r="P115">
            <v>0.91042169434353903</v>
          </cell>
          <cell r="S115" t="str">
            <v>Trade sale</v>
          </cell>
          <cell r="U115">
            <v>3.5890226870216226</v>
          </cell>
        </row>
        <row r="116">
          <cell r="P116">
            <v>0.6875</v>
          </cell>
          <cell r="S116" t="str">
            <v>Unrealized</v>
          </cell>
          <cell r="U116">
            <v>5.3727333781061111</v>
          </cell>
        </row>
        <row r="117">
          <cell r="P117">
            <v>0.6875</v>
          </cell>
          <cell r="S117" t="str">
            <v>Unrealized</v>
          </cell>
          <cell r="U117">
            <v>5.3727333781061111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=&gt;"/>
      <sheetName val="HL Summary"/>
      <sheetName val="Net Returns"/>
      <sheetName val="HL Attribution"/>
      <sheetName val="HL Company Sorts"/>
      <sheetName val="Input=&gt;"/>
      <sheetName val="HL Company Summary"/>
      <sheetName val="HL IRR"/>
      <sheetName val="Value Creation=&gt;"/>
      <sheetName val="HL Value Creation"/>
      <sheetName val="PME+ &amp; Currency Effect"/>
      <sheetName val="VC Charts"/>
      <sheetName val="Charts and Pivots=&gt;"/>
      <sheetName val="Return Sensitivity"/>
      <sheetName val="Multiple Charts"/>
      <sheetName val="Charts"/>
      <sheetName val="Pivot 1"/>
      <sheetName val="Pivot 2"/>
      <sheetName val="Pivo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>
            <v>-2443922</v>
          </cell>
          <cell r="Z9">
            <v>1998</v>
          </cell>
        </row>
        <row r="10">
          <cell r="D10">
            <v>-2939806</v>
          </cell>
          <cell r="Z10">
            <v>1998</v>
          </cell>
        </row>
        <row r="11">
          <cell r="D11">
            <v>-466763</v>
          </cell>
          <cell r="Z11">
            <v>1998</v>
          </cell>
        </row>
        <row r="12">
          <cell r="D12">
            <v>-87685</v>
          </cell>
          <cell r="Z12">
            <v>1999</v>
          </cell>
        </row>
        <row r="13">
          <cell r="E13">
            <v>2939806</v>
          </cell>
          <cell r="Z13">
            <v>1999</v>
          </cell>
        </row>
        <row r="14">
          <cell r="D14">
            <v>-73787.710000000006</v>
          </cell>
          <cell r="Z14">
            <v>2000</v>
          </cell>
        </row>
        <row r="15">
          <cell r="D15">
            <v>-100000</v>
          </cell>
          <cell r="Z15">
            <v>2005</v>
          </cell>
        </row>
        <row r="16">
          <cell r="D16">
            <v>-33909</v>
          </cell>
          <cell r="Z16">
            <v>2005</v>
          </cell>
        </row>
        <row r="17">
          <cell r="D17">
            <v>-11972.5</v>
          </cell>
          <cell r="Z17">
            <v>2005</v>
          </cell>
        </row>
        <row r="18">
          <cell r="D18">
            <v>-10239</v>
          </cell>
          <cell r="Z18">
            <v>2005</v>
          </cell>
        </row>
        <row r="19">
          <cell r="D19">
            <v>-64717.5</v>
          </cell>
          <cell r="Z19">
            <v>2005</v>
          </cell>
        </row>
        <row r="20">
          <cell r="D20">
            <v>-12092</v>
          </cell>
          <cell r="Z20">
            <v>2006</v>
          </cell>
        </row>
        <row r="21">
          <cell r="D21">
            <v>-50000</v>
          </cell>
          <cell r="Z21">
            <v>2006</v>
          </cell>
        </row>
        <row r="22">
          <cell r="D22">
            <v>282930</v>
          </cell>
          <cell r="Z22">
            <v>2006</v>
          </cell>
        </row>
        <row r="23">
          <cell r="D23">
            <v>-13737228.710000001</v>
          </cell>
          <cell r="Z23">
            <v>2006</v>
          </cell>
        </row>
        <row r="24">
          <cell r="D24">
            <v>-6262771.29</v>
          </cell>
          <cell r="Z24">
            <v>2006</v>
          </cell>
        </row>
        <row r="25">
          <cell r="D25">
            <v>-700139.08</v>
          </cell>
          <cell r="Z25">
            <v>2006</v>
          </cell>
        </row>
        <row r="26">
          <cell r="D26">
            <v>-500000</v>
          </cell>
          <cell r="Z26">
            <v>2007</v>
          </cell>
        </row>
        <row r="27">
          <cell r="D27">
            <v>-1320000</v>
          </cell>
          <cell r="Z27">
            <v>2007</v>
          </cell>
        </row>
        <row r="28">
          <cell r="D28">
            <v>-4362112.57</v>
          </cell>
          <cell r="Z28">
            <v>2007</v>
          </cell>
        </row>
        <row r="29">
          <cell r="D29">
            <v>-7637884.4299999997</v>
          </cell>
          <cell r="Z29">
            <v>2007</v>
          </cell>
        </row>
        <row r="30">
          <cell r="D30">
            <v>-11370.81</v>
          </cell>
          <cell r="Z30">
            <v>2007</v>
          </cell>
        </row>
        <row r="31">
          <cell r="D31">
            <v>-13461.67</v>
          </cell>
          <cell r="Z31">
            <v>2007</v>
          </cell>
        </row>
        <row r="32">
          <cell r="D32">
            <v>-14715.8</v>
          </cell>
          <cell r="Z32">
            <v>2007</v>
          </cell>
        </row>
        <row r="33">
          <cell r="D33">
            <v>-16893.349999999999</v>
          </cell>
          <cell r="Z33">
            <v>2007</v>
          </cell>
        </row>
        <row r="34">
          <cell r="D34">
            <v>-18000000</v>
          </cell>
          <cell r="Z34">
            <v>2007</v>
          </cell>
        </row>
        <row r="35">
          <cell r="D35">
            <v>-11622.84</v>
          </cell>
          <cell r="Z35">
            <v>2007</v>
          </cell>
        </row>
        <row r="36">
          <cell r="D36">
            <v>-2957.32</v>
          </cell>
          <cell r="Z36">
            <v>2007</v>
          </cell>
        </row>
        <row r="37">
          <cell r="D37">
            <v>-17537.48</v>
          </cell>
          <cell r="Z37">
            <v>2007</v>
          </cell>
        </row>
        <row r="38">
          <cell r="D38">
            <v>-1671.84</v>
          </cell>
          <cell r="Z38">
            <v>2007</v>
          </cell>
        </row>
        <row r="39">
          <cell r="D39">
            <v>-18365.28</v>
          </cell>
          <cell r="Z39">
            <v>2007</v>
          </cell>
        </row>
        <row r="40">
          <cell r="D40">
            <v>-2156.7199999999998</v>
          </cell>
          <cell r="Z40">
            <v>2007</v>
          </cell>
        </row>
        <row r="41">
          <cell r="D41">
            <v>-1102.2724267782428</v>
          </cell>
          <cell r="Z41">
            <v>2007</v>
          </cell>
        </row>
        <row r="42">
          <cell r="D42">
            <v>14580.16</v>
          </cell>
          <cell r="Z42">
            <v>2007</v>
          </cell>
        </row>
        <row r="43">
          <cell r="D43">
            <v>-276</v>
          </cell>
          <cell r="Z43">
            <v>2008</v>
          </cell>
        </row>
        <row r="44">
          <cell r="D44">
            <v>-264</v>
          </cell>
          <cell r="Z44">
            <v>2008</v>
          </cell>
        </row>
        <row r="45">
          <cell r="D45">
            <v>-28000</v>
          </cell>
          <cell r="Z45">
            <v>2008</v>
          </cell>
        </row>
        <row r="46">
          <cell r="D46">
            <v>-313.5</v>
          </cell>
          <cell r="Z46">
            <v>2008</v>
          </cell>
        </row>
        <row r="47">
          <cell r="D47">
            <v>-313.5</v>
          </cell>
          <cell r="Z47">
            <v>2008</v>
          </cell>
        </row>
        <row r="48">
          <cell r="D48">
            <v>-5170.72</v>
          </cell>
          <cell r="Z48">
            <v>2008</v>
          </cell>
        </row>
        <row r="49">
          <cell r="D49">
            <v>-2628.44</v>
          </cell>
          <cell r="Z49">
            <v>2008</v>
          </cell>
        </row>
        <row r="50">
          <cell r="D50">
            <v>-2628.44</v>
          </cell>
          <cell r="Z50">
            <v>2008</v>
          </cell>
        </row>
        <row r="51">
          <cell r="D51">
            <v>-3982.38</v>
          </cell>
          <cell r="Z51">
            <v>2008</v>
          </cell>
        </row>
        <row r="52">
          <cell r="D52">
            <v>177</v>
          </cell>
          <cell r="Z52">
            <v>2008</v>
          </cell>
        </row>
        <row r="53">
          <cell r="D53">
            <v>-1165.26</v>
          </cell>
          <cell r="Z53">
            <v>2008</v>
          </cell>
        </row>
        <row r="54">
          <cell r="D54">
            <v>-6837.5</v>
          </cell>
          <cell r="Z54">
            <v>2008</v>
          </cell>
        </row>
        <row r="55">
          <cell r="D55">
            <v>-3341</v>
          </cell>
          <cell r="Z55">
            <v>2008</v>
          </cell>
        </row>
        <row r="56">
          <cell r="D56">
            <v>-291</v>
          </cell>
          <cell r="Z56">
            <v>2008</v>
          </cell>
        </row>
        <row r="57">
          <cell r="D57">
            <v>-63.79</v>
          </cell>
          <cell r="Z57">
            <v>2008</v>
          </cell>
        </row>
        <row r="58">
          <cell r="D58">
            <v>-2627.5</v>
          </cell>
          <cell r="Z58">
            <v>2009</v>
          </cell>
        </row>
        <row r="59">
          <cell r="D59">
            <v>-2502.5</v>
          </cell>
          <cell r="Z59">
            <v>2009</v>
          </cell>
        </row>
        <row r="60">
          <cell r="D60">
            <v>-291</v>
          </cell>
          <cell r="Z60">
            <v>2009</v>
          </cell>
        </row>
        <row r="61">
          <cell r="D61">
            <v>-401925.33</v>
          </cell>
          <cell r="Z61">
            <v>2009</v>
          </cell>
        </row>
        <row r="62">
          <cell r="D62">
            <v>-50000</v>
          </cell>
          <cell r="Z62">
            <v>2009</v>
          </cell>
        </row>
        <row r="63">
          <cell r="D63">
            <v>-250</v>
          </cell>
          <cell r="Z63">
            <v>2009</v>
          </cell>
        </row>
        <row r="64">
          <cell r="D64">
            <v>-250</v>
          </cell>
          <cell r="Z64">
            <v>2009</v>
          </cell>
        </row>
        <row r="65">
          <cell r="D65">
            <v>-5960930.8399999999</v>
          </cell>
          <cell r="Z65">
            <v>2009</v>
          </cell>
        </row>
        <row r="66">
          <cell r="D66">
            <v>-2730497.18</v>
          </cell>
          <cell r="Z66">
            <v>2009</v>
          </cell>
        </row>
        <row r="67">
          <cell r="D67">
            <v>-3010785.12</v>
          </cell>
          <cell r="Z67">
            <v>2009</v>
          </cell>
        </row>
        <row r="68">
          <cell r="D68">
            <v>-1394794.03</v>
          </cell>
          <cell r="Z68">
            <v>2009</v>
          </cell>
        </row>
        <row r="69">
          <cell r="D69">
            <v>-302</v>
          </cell>
          <cell r="Z69">
            <v>2009</v>
          </cell>
        </row>
        <row r="70">
          <cell r="D70">
            <v>-708.3</v>
          </cell>
          <cell r="Z70">
            <v>2009</v>
          </cell>
        </row>
        <row r="71">
          <cell r="D71">
            <v>-447.69</v>
          </cell>
          <cell r="Z71">
            <v>2009</v>
          </cell>
        </row>
        <row r="72">
          <cell r="D72">
            <v>-447.69</v>
          </cell>
          <cell r="Z72">
            <v>2009</v>
          </cell>
        </row>
        <row r="73">
          <cell r="D73">
            <v>-828.5</v>
          </cell>
          <cell r="Z73">
            <v>2009</v>
          </cell>
        </row>
        <row r="74">
          <cell r="D74">
            <v>451925.33</v>
          </cell>
          <cell r="Z74">
            <v>2009</v>
          </cell>
        </row>
        <row r="75">
          <cell r="D75">
            <v>-2287.5</v>
          </cell>
          <cell r="Z75">
            <v>2010</v>
          </cell>
        </row>
        <row r="76">
          <cell r="D76">
            <v>-2287.5</v>
          </cell>
          <cell r="Z76">
            <v>2010</v>
          </cell>
        </row>
        <row r="77">
          <cell r="D77">
            <v>-306</v>
          </cell>
          <cell r="Z77">
            <v>2010</v>
          </cell>
        </row>
        <row r="78">
          <cell r="D78">
            <v>-306</v>
          </cell>
          <cell r="Z78">
            <v>2010</v>
          </cell>
        </row>
        <row r="79">
          <cell r="Z79">
            <v>2010</v>
          </cell>
        </row>
        <row r="80">
          <cell r="D80">
            <v>-1000000</v>
          </cell>
          <cell r="Z80">
            <v>2000</v>
          </cell>
        </row>
        <row r="81">
          <cell r="D81">
            <v>-1380.34</v>
          </cell>
          <cell r="Z81">
            <v>2000</v>
          </cell>
        </row>
        <row r="82">
          <cell r="D82">
            <v>-2000000</v>
          </cell>
          <cell r="Z82">
            <v>2001</v>
          </cell>
        </row>
        <row r="83">
          <cell r="D83">
            <v>-224130</v>
          </cell>
          <cell r="Z83">
            <v>2001</v>
          </cell>
        </row>
        <row r="84">
          <cell r="D84">
            <v>-47641.5</v>
          </cell>
          <cell r="Z84">
            <v>2001</v>
          </cell>
        </row>
        <row r="85">
          <cell r="D85">
            <v>-25116.06</v>
          </cell>
          <cell r="Z85">
            <v>2001</v>
          </cell>
        </row>
        <row r="86">
          <cell r="D86">
            <v>-272209.09000000003</v>
          </cell>
          <cell r="Z86">
            <v>2001</v>
          </cell>
        </row>
        <row r="87">
          <cell r="D87">
            <v>-7115616.79</v>
          </cell>
          <cell r="Z87">
            <v>2002</v>
          </cell>
        </row>
        <row r="88">
          <cell r="D88">
            <v>-26661251.5</v>
          </cell>
          <cell r="Z88">
            <v>2002</v>
          </cell>
        </row>
        <row r="89">
          <cell r="D89">
            <v>-261543.2</v>
          </cell>
          <cell r="Z89">
            <v>2002</v>
          </cell>
        </row>
        <row r="90">
          <cell r="D90">
            <v>-45852.98</v>
          </cell>
          <cell r="Z90">
            <v>2002</v>
          </cell>
        </row>
        <row r="91">
          <cell r="D91">
            <v>-5797.15</v>
          </cell>
          <cell r="Z91">
            <v>2003</v>
          </cell>
        </row>
        <row r="92">
          <cell r="D92">
            <v>-9234.65</v>
          </cell>
          <cell r="Z92">
            <v>2003</v>
          </cell>
        </row>
        <row r="93">
          <cell r="D93">
            <v>-33202.99</v>
          </cell>
          <cell r="Z93">
            <v>2003</v>
          </cell>
        </row>
        <row r="94">
          <cell r="D94">
            <v>81437.78</v>
          </cell>
          <cell r="Z94">
            <v>2003</v>
          </cell>
        </row>
        <row r="95">
          <cell r="D95">
            <v>-6398.7</v>
          </cell>
          <cell r="Z95">
            <v>2004</v>
          </cell>
        </row>
        <row r="96">
          <cell r="D96">
            <v>-2677</v>
          </cell>
          <cell r="Z96">
            <v>2004</v>
          </cell>
        </row>
        <row r="97">
          <cell r="E97">
            <v>697909.54</v>
          </cell>
          <cell r="Z97">
            <v>2004</v>
          </cell>
        </row>
        <row r="98">
          <cell r="E98">
            <v>20745414</v>
          </cell>
          <cell r="Z98">
            <v>2004</v>
          </cell>
        </row>
        <row r="99">
          <cell r="E99">
            <v>37512085.460000001</v>
          </cell>
          <cell r="Z99">
            <v>2004</v>
          </cell>
        </row>
        <row r="100">
          <cell r="E100">
            <v>9000000</v>
          </cell>
          <cell r="Z100">
            <v>2004</v>
          </cell>
        </row>
        <row r="101">
          <cell r="E101">
            <v>565992.43999999994</v>
          </cell>
          <cell r="Z101">
            <v>2004</v>
          </cell>
        </row>
        <row r="102">
          <cell r="E102">
            <v>825000</v>
          </cell>
          <cell r="Z102">
            <v>2004</v>
          </cell>
        </row>
        <row r="103">
          <cell r="E103">
            <v>-109452</v>
          </cell>
          <cell r="Z103">
            <v>2004</v>
          </cell>
        </row>
        <row r="104">
          <cell r="D104">
            <v>118528.71</v>
          </cell>
          <cell r="Z104">
            <v>2004</v>
          </cell>
        </row>
        <row r="105">
          <cell r="E105">
            <v>25303.05</v>
          </cell>
          <cell r="Z105">
            <v>2004</v>
          </cell>
        </row>
        <row r="106">
          <cell r="E106">
            <v>20000</v>
          </cell>
          <cell r="Z106">
            <v>2005</v>
          </cell>
        </row>
        <row r="107">
          <cell r="E107">
            <v>40000</v>
          </cell>
          <cell r="Z107">
            <v>2005</v>
          </cell>
        </row>
        <row r="108">
          <cell r="E108">
            <v>-4957</v>
          </cell>
          <cell r="Z108">
            <v>2005</v>
          </cell>
        </row>
        <row r="109">
          <cell r="E109">
            <v>20000</v>
          </cell>
          <cell r="Z109">
            <v>2005</v>
          </cell>
        </row>
        <row r="110">
          <cell r="E110">
            <v>-6441.87</v>
          </cell>
          <cell r="Z110">
            <v>2005</v>
          </cell>
        </row>
        <row r="111">
          <cell r="E111">
            <v>1322818.22</v>
          </cell>
          <cell r="Z111">
            <v>2005</v>
          </cell>
        </row>
        <row r="112">
          <cell r="E112">
            <v>-516</v>
          </cell>
          <cell r="Z112">
            <v>2005</v>
          </cell>
        </row>
        <row r="113">
          <cell r="E113">
            <v>69940</v>
          </cell>
          <cell r="Z113">
            <v>2005</v>
          </cell>
        </row>
        <row r="114">
          <cell r="E114">
            <v>-179952</v>
          </cell>
          <cell r="Z114">
            <v>2005</v>
          </cell>
        </row>
        <row r="115">
          <cell r="E115">
            <v>-94756</v>
          </cell>
          <cell r="Z115">
            <v>2005</v>
          </cell>
        </row>
        <row r="116">
          <cell r="E116">
            <v>104886.29</v>
          </cell>
          <cell r="Z116">
            <v>2006</v>
          </cell>
        </row>
        <row r="117">
          <cell r="E117">
            <v>906728.01</v>
          </cell>
          <cell r="Z117">
            <v>2006</v>
          </cell>
        </row>
        <row r="118">
          <cell r="E118">
            <v>-227244</v>
          </cell>
          <cell r="Z118">
            <v>2006</v>
          </cell>
        </row>
        <row r="119">
          <cell r="E119">
            <v>33983.26</v>
          </cell>
          <cell r="Z119">
            <v>2006</v>
          </cell>
        </row>
        <row r="120">
          <cell r="E120">
            <v>917356.29</v>
          </cell>
          <cell r="Z120">
            <v>2007</v>
          </cell>
        </row>
        <row r="121">
          <cell r="E121">
            <v>-118971</v>
          </cell>
          <cell r="Z121">
            <v>2007</v>
          </cell>
        </row>
        <row r="122">
          <cell r="D122">
            <v>-8225</v>
          </cell>
          <cell r="Z122">
            <v>2003</v>
          </cell>
        </row>
        <row r="123">
          <cell r="D123">
            <v>-8020391.5099999998</v>
          </cell>
          <cell r="Z123">
            <v>2003</v>
          </cell>
        </row>
        <row r="124">
          <cell r="D124">
            <v>-867530</v>
          </cell>
          <cell r="Z124">
            <v>2003</v>
          </cell>
        </row>
        <row r="125">
          <cell r="D125">
            <v>-385036.42</v>
          </cell>
          <cell r="Z125">
            <v>2003</v>
          </cell>
        </row>
        <row r="126">
          <cell r="D126">
            <v>263624.51</v>
          </cell>
          <cell r="Z126">
            <v>2003</v>
          </cell>
        </row>
        <row r="127">
          <cell r="D127">
            <v>-68636.14</v>
          </cell>
          <cell r="Z127">
            <v>2003</v>
          </cell>
        </row>
        <row r="128">
          <cell r="D128">
            <v>-40800.21</v>
          </cell>
          <cell r="Z128">
            <v>2004</v>
          </cell>
        </row>
        <row r="129">
          <cell r="D129">
            <v>-420000</v>
          </cell>
          <cell r="Z129">
            <v>2004</v>
          </cell>
        </row>
        <row r="130">
          <cell r="D130">
            <v>-2610000</v>
          </cell>
          <cell r="Z130">
            <v>2004</v>
          </cell>
        </row>
        <row r="131">
          <cell r="D131">
            <v>5515314.71</v>
          </cell>
          <cell r="Z131">
            <v>2004</v>
          </cell>
        </row>
        <row r="132">
          <cell r="D132">
            <v>-40662.879999999997</v>
          </cell>
          <cell r="Z132">
            <v>2004</v>
          </cell>
        </row>
        <row r="133">
          <cell r="D133">
            <v>-88224.44</v>
          </cell>
          <cell r="Z133">
            <v>2004</v>
          </cell>
        </row>
        <row r="134">
          <cell r="D134">
            <v>-78159</v>
          </cell>
          <cell r="Z134">
            <v>2004</v>
          </cell>
        </row>
        <row r="135">
          <cell r="D135">
            <v>-6157229.3300000001</v>
          </cell>
          <cell r="Z135">
            <v>2005</v>
          </cell>
        </row>
        <row r="136">
          <cell r="D136">
            <v>-1159844</v>
          </cell>
          <cell r="Z136">
            <v>2005</v>
          </cell>
        </row>
        <row r="137">
          <cell r="D137">
            <v>-123126</v>
          </cell>
          <cell r="Z137">
            <v>2005</v>
          </cell>
        </row>
        <row r="138">
          <cell r="D138">
            <v>-22486.57</v>
          </cell>
          <cell r="Z138">
            <v>2005</v>
          </cell>
        </row>
        <row r="139">
          <cell r="D139">
            <v>-4010</v>
          </cell>
          <cell r="Z139">
            <v>2005</v>
          </cell>
        </row>
        <row r="140">
          <cell r="D140">
            <v>-800000</v>
          </cell>
          <cell r="Z140">
            <v>2005</v>
          </cell>
        </row>
        <row r="141">
          <cell r="D141">
            <v>-91483.22</v>
          </cell>
          <cell r="Z141">
            <v>2005</v>
          </cell>
        </row>
        <row r="142">
          <cell r="D142">
            <v>-76800</v>
          </cell>
          <cell r="Z142">
            <v>2005</v>
          </cell>
        </row>
        <row r="143">
          <cell r="D143">
            <v>-16102.29</v>
          </cell>
          <cell r="Z143">
            <v>2005</v>
          </cell>
        </row>
        <row r="144">
          <cell r="D144">
            <v>-65941.56</v>
          </cell>
          <cell r="Z144">
            <v>2005</v>
          </cell>
        </row>
        <row r="145">
          <cell r="D145">
            <v>-33600</v>
          </cell>
          <cell r="Z145">
            <v>2006</v>
          </cell>
        </row>
        <row r="146">
          <cell r="D146">
            <v>-29298.44</v>
          </cell>
          <cell r="Z146">
            <v>2006</v>
          </cell>
        </row>
        <row r="147">
          <cell r="D147">
            <v>-30000</v>
          </cell>
          <cell r="Z147">
            <v>2006</v>
          </cell>
        </row>
        <row r="148">
          <cell r="D148">
            <v>-30000</v>
          </cell>
          <cell r="Z148">
            <v>2006</v>
          </cell>
        </row>
        <row r="149">
          <cell r="D149">
            <v>-20000</v>
          </cell>
          <cell r="Z149">
            <v>2006</v>
          </cell>
        </row>
        <row r="150">
          <cell r="D150">
            <v>-3000</v>
          </cell>
          <cell r="Z150">
            <v>2006</v>
          </cell>
        </row>
        <row r="151">
          <cell r="D151">
            <v>-3000</v>
          </cell>
          <cell r="Z151">
            <v>2006</v>
          </cell>
        </row>
        <row r="152">
          <cell r="D152">
            <v>-400000</v>
          </cell>
          <cell r="Z152">
            <v>2006</v>
          </cell>
        </row>
        <row r="153">
          <cell r="D153">
            <v>-6000</v>
          </cell>
          <cell r="Z153">
            <v>2006</v>
          </cell>
        </row>
        <row r="154">
          <cell r="D154">
            <v>-6000</v>
          </cell>
          <cell r="Z154">
            <v>2006</v>
          </cell>
        </row>
        <row r="155">
          <cell r="D155">
            <v>-1543.32</v>
          </cell>
          <cell r="Z155">
            <v>2006</v>
          </cell>
        </row>
        <row r="156">
          <cell r="D156">
            <v>-3000</v>
          </cell>
          <cell r="Z156">
            <v>2006</v>
          </cell>
        </row>
        <row r="157">
          <cell r="D157">
            <v>-3000</v>
          </cell>
          <cell r="Z157">
            <v>2006</v>
          </cell>
        </row>
        <row r="158">
          <cell r="D158">
            <v>-4010</v>
          </cell>
          <cell r="Z158">
            <v>2006</v>
          </cell>
        </row>
        <row r="159">
          <cell r="D159">
            <v>-3644</v>
          </cell>
          <cell r="Z159">
            <v>2006</v>
          </cell>
        </row>
        <row r="160">
          <cell r="D160">
            <v>341790</v>
          </cell>
          <cell r="Z160">
            <v>2006</v>
          </cell>
        </row>
        <row r="161">
          <cell r="D161">
            <v>-13574.34</v>
          </cell>
          <cell r="Z161">
            <v>2006</v>
          </cell>
        </row>
        <row r="162">
          <cell r="D162">
            <v>-3000</v>
          </cell>
          <cell r="Z162">
            <v>2006</v>
          </cell>
        </row>
        <row r="163">
          <cell r="D163">
            <v>-3000</v>
          </cell>
          <cell r="Z163">
            <v>2006</v>
          </cell>
        </row>
        <row r="164">
          <cell r="D164">
            <v>-50000</v>
          </cell>
          <cell r="Z164">
            <v>2006</v>
          </cell>
        </row>
        <row r="165">
          <cell r="D165">
            <v>-4002.8</v>
          </cell>
          <cell r="Z165">
            <v>2006</v>
          </cell>
        </row>
        <row r="166">
          <cell r="D166">
            <v>-3000</v>
          </cell>
          <cell r="Z166">
            <v>2006</v>
          </cell>
        </row>
        <row r="167">
          <cell r="D167">
            <v>-3000</v>
          </cell>
          <cell r="Z167">
            <v>2007</v>
          </cell>
        </row>
        <row r="168">
          <cell r="D168">
            <v>-3000</v>
          </cell>
          <cell r="Z168">
            <v>2007</v>
          </cell>
        </row>
        <row r="169">
          <cell r="D169">
            <v>-10906.7</v>
          </cell>
          <cell r="Z169">
            <v>2007</v>
          </cell>
        </row>
        <row r="170">
          <cell r="D170">
            <v>-82250.850000000006</v>
          </cell>
          <cell r="Z170">
            <v>2007</v>
          </cell>
        </row>
        <row r="171">
          <cell r="D171">
            <v>-10047.82</v>
          </cell>
          <cell r="Z171">
            <v>2007</v>
          </cell>
        </row>
        <row r="172">
          <cell r="D172">
            <v>-600000</v>
          </cell>
          <cell r="Z172">
            <v>2008</v>
          </cell>
        </row>
        <row r="173">
          <cell r="D173">
            <v>-78016.240000000005</v>
          </cell>
          <cell r="Z173">
            <v>2008</v>
          </cell>
        </row>
        <row r="174">
          <cell r="D174">
            <v>-135000</v>
          </cell>
          <cell r="Z174">
            <v>2008</v>
          </cell>
        </row>
        <row r="175">
          <cell r="D175">
            <v>-4138.51</v>
          </cell>
          <cell r="Z175">
            <v>2008</v>
          </cell>
        </row>
        <row r="176">
          <cell r="D176">
            <v>-2660.92</v>
          </cell>
          <cell r="Z176">
            <v>2008</v>
          </cell>
        </row>
        <row r="177">
          <cell r="D177">
            <v>-2246.6999999999998</v>
          </cell>
          <cell r="Z177">
            <v>2008</v>
          </cell>
        </row>
        <row r="178">
          <cell r="D178">
            <v>-7931.75</v>
          </cell>
          <cell r="Z178">
            <v>2009</v>
          </cell>
        </row>
        <row r="179">
          <cell r="D179">
            <v>-5806.26</v>
          </cell>
          <cell r="Z179">
            <v>2009</v>
          </cell>
        </row>
        <row r="180">
          <cell r="D180">
            <v>-896.8</v>
          </cell>
          <cell r="Z180">
            <v>2009</v>
          </cell>
        </row>
        <row r="181">
          <cell r="D181">
            <v>-2537.29</v>
          </cell>
          <cell r="Z181">
            <v>2009</v>
          </cell>
        </row>
        <row r="182">
          <cell r="D182">
            <v>-317.61</v>
          </cell>
          <cell r="Z182">
            <v>2009</v>
          </cell>
        </row>
        <row r="183">
          <cell r="D183">
            <v>-12672.93</v>
          </cell>
          <cell r="Z183">
            <v>2009</v>
          </cell>
        </row>
        <row r="184">
          <cell r="D184">
            <v>-1123.08</v>
          </cell>
          <cell r="Z184">
            <v>2009</v>
          </cell>
        </row>
        <row r="185">
          <cell r="D185">
            <v>-1618.75</v>
          </cell>
          <cell r="Z185">
            <v>2010</v>
          </cell>
        </row>
        <row r="186">
          <cell r="D186">
            <v>-1636.25</v>
          </cell>
          <cell r="Z186">
            <v>2010</v>
          </cell>
        </row>
        <row r="187">
          <cell r="D187">
            <v>-1618.75</v>
          </cell>
          <cell r="Z187">
            <v>2010</v>
          </cell>
        </row>
        <row r="188">
          <cell r="D188">
            <v>-1618.75</v>
          </cell>
          <cell r="Z188">
            <v>2010</v>
          </cell>
        </row>
        <row r="189">
          <cell r="D189">
            <v>-1618.75</v>
          </cell>
          <cell r="Z189">
            <v>2010</v>
          </cell>
        </row>
        <row r="190">
          <cell r="D190">
            <v>-1618.75</v>
          </cell>
          <cell r="Z190">
            <v>2010</v>
          </cell>
        </row>
        <row r="191">
          <cell r="D191">
            <v>-1706.25</v>
          </cell>
          <cell r="Z191">
            <v>2010</v>
          </cell>
        </row>
        <row r="192">
          <cell r="D192">
            <v>-1618.75</v>
          </cell>
          <cell r="Z192">
            <v>2010</v>
          </cell>
        </row>
        <row r="193">
          <cell r="D193">
            <v>-1618.75</v>
          </cell>
          <cell r="Z193">
            <v>2010</v>
          </cell>
        </row>
        <row r="194">
          <cell r="D194">
            <v>-1862.2</v>
          </cell>
          <cell r="Z194">
            <v>2010</v>
          </cell>
        </row>
        <row r="195">
          <cell r="D195">
            <v>-91.8</v>
          </cell>
          <cell r="Z195">
            <v>2010</v>
          </cell>
        </row>
        <row r="196">
          <cell r="D196">
            <v>-544.44000000000005</v>
          </cell>
          <cell r="Z196">
            <v>2010</v>
          </cell>
        </row>
        <row r="197">
          <cell r="D197">
            <v>-200.1</v>
          </cell>
          <cell r="Z197">
            <v>2010</v>
          </cell>
        </row>
        <row r="198">
          <cell r="D198">
            <v>-146.11000000000001</v>
          </cell>
          <cell r="Z198">
            <v>2010</v>
          </cell>
        </row>
        <row r="199">
          <cell r="D199">
            <v>-3600</v>
          </cell>
          <cell r="Z199">
            <v>2010</v>
          </cell>
        </row>
        <row r="200">
          <cell r="D200">
            <v>-983.37</v>
          </cell>
          <cell r="Z200">
            <v>2010</v>
          </cell>
        </row>
        <row r="201">
          <cell r="D201">
            <v>-462.28</v>
          </cell>
          <cell r="Z201">
            <v>2010</v>
          </cell>
        </row>
        <row r="202">
          <cell r="Z202">
            <v>2010</v>
          </cell>
        </row>
        <row r="203">
          <cell r="D203">
            <v>-20757675</v>
          </cell>
          <cell r="Z203">
            <v>2003</v>
          </cell>
        </row>
        <row r="204">
          <cell r="D204">
            <v>-1879.95</v>
          </cell>
          <cell r="Z204">
            <v>2003</v>
          </cell>
        </row>
        <row r="205">
          <cell r="D205">
            <v>-17790.2</v>
          </cell>
          <cell r="Z205">
            <v>2003</v>
          </cell>
        </row>
        <row r="206">
          <cell r="D206">
            <v>-263624.51</v>
          </cell>
          <cell r="Z206">
            <v>2003</v>
          </cell>
        </row>
        <row r="207">
          <cell r="D207">
            <v>-9256.31</v>
          </cell>
          <cell r="Z207">
            <v>2003</v>
          </cell>
        </row>
        <row r="208">
          <cell r="D208">
            <v>2377.5700000000002</v>
          </cell>
          <cell r="Z208">
            <v>2003</v>
          </cell>
        </row>
        <row r="209">
          <cell r="D209">
            <v>-103905.49</v>
          </cell>
          <cell r="Z209">
            <v>2003</v>
          </cell>
        </row>
        <row r="210">
          <cell r="D210">
            <v>-54914.43</v>
          </cell>
          <cell r="Z210">
            <v>2003</v>
          </cell>
        </row>
        <row r="211">
          <cell r="D211">
            <v>-166278.31</v>
          </cell>
          <cell r="Z211">
            <v>2004</v>
          </cell>
        </row>
        <row r="212">
          <cell r="D212">
            <v>-1212221.31</v>
          </cell>
          <cell r="Z212">
            <v>2004</v>
          </cell>
        </row>
        <row r="213">
          <cell r="D213">
            <v>54914.43</v>
          </cell>
          <cell r="Z213">
            <v>2004</v>
          </cell>
        </row>
        <row r="214">
          <cell r="D214">
            <v>-8832323.3399999999</v>
          </cell>
          <cell r="Z214">
            <v>2004</v>
          </cell>
        </row>
        <row r="215">
          <cell r="D215">
            <v>2641662.88</v>
          </cell>
          <cell r="Z215">
            <v>2004</v>
          </cell>
        </row>
        <row r="216">
          <cell r="D216">
            <v>12869067.67</v>
          </cell>
          <cell r="Z216">
            <v>2004</v>
          </cell>
        </row>
        <row r="217">
          <cell r="D217">
            <v>-15314.37</v>
          </cell>
          <cell r="Z217">
            <v>2004</v>
          </cell>
        </row>
        <row r="218">
          <cell r="D218">
            <v>-12522.04</v>
          </cell>
          <cell r="Z218">
            <v>2004</v>
          </cell>
        </row>
        <row r="219">
          <cell r="D219">
            <v>8350.92</v>
          </cell>
          <cell r="Z219">
            <v>2004</v>
          </cell>
        </row>
        <row r="220">
          <cell r="D220">
            <v>-429433.3</v>
          </cell>
          <cell r="Z220">
            <v>2004</v>
          </cell>
        </row>
        <row r="221">
          <cell r="D221">
            <v>-260060.29</v>
          </cell>
          <cell r="Z221">
            <v>2004</v>
          </cell>
        </row>
        <row r="222">
          <cell r="D222">
            <v>-4410</v>
          </cell>
          <cell r="Z222">
            <v>2005</v>
          </cell>
        </row>
        <row r="223">
          <cell r="D223">
            <v>-20076.64</v>
          </cell>
          <cell r="Z223">
            <v>2005</v>
          </cell>
        </row>
        <row r="224">
          <cell r="D224">
            <v>-8742.39</v>
          </cell>
          <cell r="Z224">
            <v>2005</v>
          </cell>
        </row>
        <row r="225">
          <cell r="D225">
            <v>-8754102</v>
          </cell>
          <cell r="Z225">
            <v>2005</v>
          </cell>
        </row>
        <row r="226">
          <cell r="D226">
            <v>-4742770.67</v>
          </cell>
          <cell r="Z226">
            <v>2005</v>
          </cell>
        </row>
        <row r="227">
          <cell r="D227">
            <v>-3576298.44</v>
          </cell>
          <cell r="Z227">
            <v>2005</v>
          </cell>
        </row>
        <row r="228">
          <cell r="D228">
            <v>-92200</v>
          </cell>
          <cell r="Z228">
            <v>2005</v>
          </cell>
        </row>
        <row r="229">
          <cell r="D229">
            <v>-5850</v>
          </cell>
          <cell r="Z229">
            <v>2005</v>
          </cell>
        </row>
        <row r="230">
          <cell r="D230">
            <v>-33600</v>
          </cell>
          <cell r="Z230">
            <v>2005</v>
          </cell>
        </row>
        <row r="231">
          <cell r="D231">
            <v>14740480.199999999</v>
          </cell>
          <cell r="Z231">
            <v>2005</v>
          </cell>
        </row>
        <row r="232">
          <cell r="D232">
            <v>-16721537</v>
          </cell>
          <cell r="Z232">
            <v>2005</v>
          </cell>
        </row>
        <row r="233">
          <cell r="D233">
            <v>-2185</v>
          </cell>
          <cell r="Z233">
            <v>2005</v>
          </cell>
        </row>
        <row r="234">
          <cell r="D234">
            <v>91483.22</v>
          </cell>
          <cell r="Z234">
            <v>2005</v>
          </cell>
        </row>
        <row r="235">
          <cell r="D235">
            <v>-4000</v>
          </cell>
          <cell r="Z235">
            <v>2005</v>
          </cell>
        </row>
        <row r="236">
          <cell r="D236">
            <v>-37572</v>
          </cell>
          <cell r="Z236">
            <v>2005</v>
          </cell>
        </row>
        <row r="237">
          <cell r="D237">
            <v>-83776.259999999995</v>
          </cell>
          <cell r="Z237">
            <v>2005</v>
          </cell>
        </row>
        <row r="238">
          <cell r="D238">
            <v>-10494.28</v>
          </cell>
          <cell r="Z238">
            <v>2005</v>
          </cell>
        </row>
        <row r="239">
          <cell r="D239">
            <v>-50000</v>
          </cell>
          <cell r="Z239">
            <v>2006</v>
          </cell>
        </row>
        <row r="240">
          <cell r="D240">
            <v>-2845446.42</v>
          </cell>
          <cell r="Z240">
            <v>2006</v>
          </cell>
        </row>
        <row r="241">
          <cell r="D241">
            <v>2845446.42</v>
          </cell>
          <cell r="Z241">
            <v>2006</v>
          </cell>
        </row>
        <row r="242">
          <cell r="D242">
            <v>-50000</v>
          </cell>
          <cell r="Z242">
            <v>2006</v>
          </cell>
        </row>
        <row r="243">
          <cell r="D243">
            <v>-100000</v>
          </cell>
          <cell r="Z243">
            <v>2006</v>
          </cell>
        </row>
        <row r="244">
          <cell r="D244">
            <v>-66335.899999999994</v>
          </cell>
          <cell r="Z244">
            <v>2006</v>
          </cell>
        </row>
        <row r="245">
          <cell r="D245">
            <v>-341790</v>
          </cell>
          <cell r="Z245">
            <v>2006</v>
          </cell>
        </row>
        <row r="246">
          <cell r="D246">
            <v>-8033.78</v>
          </cell>
          <cell r="Z246">
            <v>2006</v>
          </cell>
        </row>
        <row r="247">
          <cell r="D247">
            <v>-12301.87</v>
          </cell>
          <cell r="Z247">
            <v>2006</v>
          </cell>
        </row>
        <row r="248">
          <cell r="D248">
            <v>-9339.8700000000008</v>
          </cell>
          <cell r="Z248">
            <v>2006</v>
          </cell>
        </row>
        <row r="249">
          <cell r="D249">
            <v>-8000</v>
          </cell>
          <cell r="Z249">
            <v>2006</v>
          </cell>
        </row>
        <row r="250">
          <cell r="D250">
            <v>-3000</v>
          </cell>
          <cell r="Z250">
            <v>2007</v>
          </cell>
        </row>
        <row r="251">
          <cell r="D251">
            <v>-25448.95</v>
          </cell>
          <cell r="Z251">
            <v>2007</v>
          </cell>
        </row>
        <row r="252">
          <cell r="D252">
            <v>-5385.3</v>
          </cell>
          <cell r="Z252">
            <v>2007</v>
          </cell>
        </row>
        <row r="253">
          <cell r="D253">
            <v>-3000</v>
          </cell>
          <cell r="Z253">
            <v>2007</v>
          </cell>
        </row>
        <row r="254">
          <cell r="D254">
            <v>-3956.44</v>
          </cell>
          <cell r="Z254">
            <v>2007</v>
          </cell>
        </row>
        <row r="255">
          <cell r="D255">
            <v>-12349.257426</v>
          </cell>
          <cell r="Z255">
            <v>2007</v>
          </cell>
        </row>
        <row r="256">
          <cell r="D256">
            <v>-5000</v>
          </cell>
          <cell r="Z256">
            <v>2007</v>
          </cell>
        </row>
        <row r="257">
          <cell r="D257">
            <v>-3842.87</v>
          </cell>
          <cell r="Z257">
            <v>2007</v>
          </cell>
        </row>
        <row r="258">
          <cell r="D258">
            <v>-6299.31</v>
          </cell>
          <cell r="Z258">
            <v>2007</v>
          </cell>
        </row>
        <row r="259">
          <cell r="D259">
            <v>9434.36</v>
          </cell>
          <cell r="Z259">
            <v>2007</v>
          </cell>
        </row>
        <row r="260">
          <cell r="D260">
            <v>-2499.6999999999998</v>
          </cell>
          <cell r="Z260">
            <v>2007</v>
          </cell>
        </row>
        <row r="261">
          <cell r="D261">
            <v>-160701.79999999999</v>
          </cell>
          <cell r="Z261">
            <v>2007</v>
          </cell>
        </row>
        <row r="262">
          <cell r="D262">
            <v>82250.850000000006</v>
          </cell>
          <cell r="Z262">
            <v>2007</v>
          </cell>
        </row>
        <row r="263">
          <cell r="D263">
            <v>-79377.87</v>
          </cell>
          <cell r="Z263">
            <v>2007</v>
          </cell>
        </row>
        <row r="264">
          <cell r="D264">
            <v>-23444.903111111107</v>
          </cell>
          <cell r="Z264">
            <v>2007</v>
          </cell>
        </row>
        <row r="265">
          <cell r="D265">
            <v>-254.1</v>
          </cell>
          <cell r="Z265">
            <v>2007</v>
          </cell>
        </row>
        <row r="266">
          <cell r="D266">
            <v>-2331.9</v>
          </cell>
          <cell r="Z266">
            <v>2008</v>
          </cell>
        </row>
        <row r="267">
          <cell r="D267">
            <v>-2027.1</v>
          </cell>
          <cell r="Z267">
            <v>2008</v>
          </cell>
        </row>
        <row r="268">
          <cell r="D268">
            <v>-1486.8</v>
          </cell>
          <cell r="Z268">
            <v>2008</v>
          </cell>
        </row>
        <row r="269">
          <cell r="D269">
            <v>-1416.8</v>
          </cell>
          <cell r="Z269">
            <v>2008</v>
          </cell>
        </row>
        <row r="270">
          <cell r="D270">
            <v>-1416.8</v>
          </cell>
          <cell r="Z270">
            <v>2008</v>
          </cell>
        </row>
        <row r="271">
          <cell r="D271">
            <v>-1416.8</v>
          </cell>
          <cell r="Z271">
            <v>2008</v>
          </cell>
        </row>
        <row r="272">
          <cell r="D272">
            <v>-1416.8</v>
          </cell>
          <cell r="Z272">
            <v>2008</v>
          </cell>
        </row>
        <row r="273">
          <cell r="D273">
            <v>-1416.8</v>
          </cell>
          <cell r="Z273">
            <v>2008</v>
          </cell>
        </row>
        <row r="274">
          <cell r="D274">
            <v>-1416.8</v>
          </cell>
          <cell r="Z274">
            <v>2008</v>
          </cell>
        </row>
        <row r="275">
          <cell r="D275">
            <v>-31500</v>
          </cell>
          <cell r="Z275">
            <v>2008</v>
          </cell>
        </row>
        <row r="276">
          <cell r="D276">
            <v>-3500</v>
          </cell>
          <cell r="Z276">
            <v>2008</v>
          </cell>
        </row>
        <row r="277">
          <cell r="D277">
            <v>-227.89</v>
          </cell>
          <cell r="Z277">
            <v>2008</v>
          </cell>
        </row>
        <row r="278">
          <cell r="D278">
            <v>-966</v>
          </cell>
          <cell r="Z278">
            <v>2008</v>
          </cell>
        </row>
        <row r="279">
          <cell r="D279">
            <v>-219.45</v>
          </cell>
          <cell r="Z279">
            <v>2008</v>
          </cell>
        </row>
        <row r="280">
          <cell r="D280">
            <v>-219.45</v>
          </cell>
          <cell r="Z280">
            <v>2008</v>
          </cell>
        </row>
        <row r="281">
          <cell r="D281">
            <v>-158760</v>
          </cell>
          <cell r="Z281">
            <v>2008</v>
          </cell>
        </row>
        <row r="282">
          <cell r="D282">
            <v>-134.4</v>
          </cell>
          <cell r="Z282">
            <v>2008</v>
          </cell>
        </row>
        <row r="283">
          <cell r="D283">
            <v>-2100</v>
          </cell>
          <cell r="Z283">
            <v>2008</v>
          </cell>
        </row>
        <row r="284">
          <cell r="D284">
            <v>-700000</v>
          </cell>
          <cell r="Z284">
            <v>2008</v>
          </cell>
        </row>
        <row r="285">
          <cell r="D285">
            <v>-700000</v>
          </cell>
          <cell r="Z285">
            <v>2008</v>
          </cell>
        </row>
        <row r="286">
          <cell r="D286">
            <v>123.9</v>
          </cell>
          <cell r="Z286">
            <v>2008</v>
          </cell>
        </row>
        <row r="287">
          <cell r="D287">
            <v>-69.2</v>
          </cell>
          <cell r="Z287">
            <v>2008</v>
          </cell>
        </row>
        <row r="288">
          <cell r="D288">
            <v>-3500</v>
          </cell>
          <cell r="Z288">
            <v>2008</v>
          </cell>
        </row>
        <row r="289">
          <cell r="D289">
            <v>-1681.93</v>
          </cell>
          <cell r="Z289">
            <v>2008</v>
          </cell>
        </row>
        <row r="290">
          <cell r="D290">
            <v>-193.2</v>
          </cell>
          <cell r="Z290">
            <v>2008</v>
          </cell>
        </row>
        <row r="291">
          <cell r="D291">
            <v>-833.7</v>
          </cell>
          <cell r="Z291">
            <v>2008</v>
          </cell>
        </row>
        <row r="292">
          <cell r="D292">
            <v>-2807</v>
          </cell>
          <cell r="Z292">
            <v>2008</v>
          </cell>
        </row>
        <row r="293">
          <cell r="D293">
            <v>-193.2</v>
          </cell>
          <cell r="Z293">
            <v>2008</v>
          </cell>
        </row>
        <row r="294">
          <cell r="D294">
            <v>-2608.9</v>
          </cell>
          <cell r="Z294">
            <v>2008</v>
          </cell>
        </row>
        <row r="295">
          <cell r="D295">
            <v>-5242.3999999999996</v>
          </cell>
          <cell r="Z295">
            <v>2008</v>
          </cell>
        </row>
        <row r="296">
          <cell r="D296">
            <v>-203.7</v>
          </cell>
          <cell r="Z296">
            <v>2008</v>
          </cell>
        </row>
        <row r="297">
          <cell r="D297">
            <v>-536.70000000000005</v>
          </cell>
          <cell r="Z297">
            <v>2008</v>
          </cell>
        </row>
        <row r="298">
          <cell r="D298">
            <v>-315000</v>
          </cell>
          <cell r="Z298">
            <v>2008</v>
          </cell>
        </row>
        <row r="299">
          <cell r="D299">
            <v>-3500</v>
          </cell>
          <cell r="Z299">
            <v>2008</v>
          </cell>
        </row>
        <row r="300">
          <cell r="D300">
            <v>-95.68</v>
          </cell>
          <cell r="Z300">
            <v>2008</v>
          </cell>
        </row>
        <row r="301">
          <cell r="D301">
            <v>-2138.31</v>
          </cell>
          <cell r="Z301">
            <v>2009</v>
          </cell>
        </row>
        <row r="302">
          <cell r="D302">
            <v>-1886.15</v>
          </cell>
          <cell r="Z302">
            <v>2009</v>
          </cell>
        </row>
        <row r="303">
          <cell r="D303">
            <v>-1841.88</v>
          </cell>
          <cell r="Z303">
            <v>2009</v>
          </cell>
        </row>
        <row r="304">
          <cell r="D304">
            <v>-1754.38</v>
          </cell>
          <cell r="Z304">
            <v>2009</v>
          </cell>
        </row>
        <row r="305">
          <cell r="D305">
            <v>-1754.38</v>
          </cell>
          <cell r="Z305">
            <v>2009</v>
          </cell>
        </row>
        <row r="306">
          <cell r="D306">
            <v>-1753.33</v>
          </cell>
          <cell r="Z306">
            <v>2009</v>
          </cell>
        </row>
        <row r="307">
          <cell r="D307">
            <v>-1666.88</v>
          </cell>
          <cell r="Z307">
            <v>2009</v>
          </cell>
        </row>
        <row r="308">
          <cell r="D308">
            <v>-1617.3</v>
          </cell>
          <cell r="Z308">
            <v>2009</v>
          </cell>
        </row>
        <row r="309">
          <cell r="D309">
            <v>-1579.38</v>
          </cell>
          <cell r="Z309">
            <v>2009</v>
          </cell>
        </row>
        <row r="310">
          <cell r="D310">
            <v>-1578.33</v>
          </cell>
          <cell r="Z310">
            <v>2009</v>
          </cell>
        </row>
        <row r="311">
          <cell r="D311">
            <v>-410.59</v>
          </cell>
          <cell r="Z311">
            <v>2009</v>
          </cell>
        </row>
        <row r="312">
          <cell r="D312">
            <v>-333.9</v>
          </cell>
          <cell r="Z312">
            <v>2009</v>
          </cell>
        </row>
        <row r="313">
          <cell r="D313">
            <v>-6160.32</v>
          </cell>
          <cell r="Z313">
            <v>2009</v>
          </cell>
        </row>
        <row r="314">
          <cell r="D314">
            <v>-834.3</v>
          </cell>
          <cell r="Z314">
            <v>2009</v>
          </cell>
        </row>
        <row r="315">
          <cell r="D315">
            <v>-175</v>
          </cell>
          <cell r="Z315">
            <v>2009</v>
          </cell>
        </row>
        <row r="316">
          <cell r="D316">
            <v>-175</v>
          </cell>
          <cell r="Z316">
            <v>2009</v>
          </cell>
        </row>
        <row r="317">
          <cell r="D317">
            <v>-175</v>
          </cell>
          <cell r="Z317">
            <v>2009</v>
          </cell>
        </row>
        <row r="318">
          <cell r="D318">
            <v>-4698.0200000000004</v>
          </cell>
          <cell r="Z318">
            <v>2009</v>
          </cell>
        </row>
        <row r="319">
          <cell r="D319">
            <v>-1076.5999999999999</v>
          </cell>
          <cell r="Z319">
            <v>2009</v>
          </cell>
        </row>
        <row r="320">
          <cell r="D320">
            <v>-408.99</v>
          </cell>
          <cell r="Z320">
            <v>2009</v>
          </cell>
        </row>
        <row r="321">
          <cell r="D321">
            <v>-2092.54</v>
          </cell>
          <cell r="Z321">
            <v>2009</v>
          </cell>
        </row>
        <row r="322">
          <cell r="D322">
            <v>-2807</v>
          </cell>
          <cell r="Z322">
            <v>2009</v>
          </cell>
        </row>
        <row r="323">
          <cell r="D323">
            <v>-95.29</v>
          </cell>
          <cell r="Z323">
            <v>2009</v>
          </cell>
        </row>
        <row r="324">
          <cell r="D324">
            <v>-203.7</v>
          </cell>
          <cell r="Z324">
            <v>2009</v>
          </cell>
        </row>
        <row r="325">
          <cell r="D325">
            <v>-2851.83</v>
          </cell>
          <cell r="Z325">
            <v>2009</v>
          </cell>
        </row>
        <row r="326">
          <cell r="D326">
            <v>-700.69</v>
          </cell>
          <cell r="Z326">
            <v>2009</v>
          </cell>
        </row>
        <row r="327">
          <cell r="D327">
            <v>-226.87</v>
          </cell>
          <cell r="Z327">
            <v>2009</v>
          </cell>
        </row>
        <row r="328">
          <cell r="D328">
            <v>-108.83</v>
          </cell>
          <cell r="Z328">
            <v>2009</v>
          </cell>
        </row>
        <row r="329">
          <cell r="D329">
            <v>-45.38</v>
          </cell>
          <cell r="Z329">
            <v>2009</v>
          </cell>
        </row>
        <row r="330">
          <cell r="D330">
            <v>-203.7</v>
          </cell>
          <cell r="Z330">
            <v>2009</v>
          </cell>
        </row>
        <row r="331">
          <cell r="D331">
            <v>-1760.78</v>
          </cell>
          <cell r="Z331">
            <v>2009</v>
          </cell>
        </row>
        <row r="332">
          <cell r="D332">
            <v>-2279.1999999999998</v>
          </cell>
          <cell r="Z332">
            <v>2009</v>
          </cell>
        </row>
        <row r="333">
          <cell r="D333">
            <v>-1022</v>
          </cell>
          <cell r="Z333">
            <v>2009</v>
          </cell>
        </row>
        <row r="334">
          <cell r="D334">
            <v>-791.35</v>
          </cell>
          <cell r="Z334">
            <v>2009</v>
          </cell>
        </row>
        <row r="335">
          <cell r="D335">
            <v>-23687.34</v>
          </cell>
          <cell r="Z335">
            <v>2009</v>
          </cell>
        </row>
        <row r="336">
          <cell r="D336">
            <v>-266.27</v>
          </cell>
          <cell r="Z336">
            <v>2009</v>
          </cell>
        </row>
        <row r="337">
          <cell r="D337">
            <v>-693.75</v>
          </cell>
          <cell r="Z337">
            <v>2010</v>
          </cell>
        </row>
        <row r="338">
          <cell r="D338">
            <v>-701.25</v>
          </cell>
          <cell r="Z338">
            <v>2010</v>
          </cell>
        </row>
        <row r="339">
          <cell r="D339">
            <v>-693.75</v>
          </cell>
          <cell r="Z339">
            <v>2010</v>
          </cell>
        </row>
        <row r="340">
          <cell r="D340">
            <v>-693.75</v>
          </cell>
          <cell r="Z340">
            <v>2010</v>
          </cell>
        </row>
        <row r="341">
          <cell r="D341">
            <v>-693.75</v>
          </cell>
          <cell r="Z341">
            <v>2010</v>
          </cell>
        </row>
        <row r="342">
          <cell r="D342">
            <v>-693.75</v>
          </cell>
          <cell r="Z342">
            <v>2010</v>
          </cell>
        </row>
        <row r="343">
          <cell r="D343">
            <v>-731.25</v>
          </cell>
          <cell r="Z343">
            <v>2010</v>
          </cell>
        </row>
        <row r="344">
          <cell r="D344">
            <v>-693.75</v>
          </cell>
          <cell r="Z344">
            <v>2010</v>
          </cell>
        </row>
        <row r="345">
          <cell r="D345">
            <v>-693.75</v>
          </cell>
          <cell r="Z345">
            <v>2010</v>
          </cell>
        </row>
        <row r="346">
          <cell r="D346">
            <v>-798.08</v>
          </cell>
          <cell r="Z346">
            <v>2010</v>
          </cell>
        </row>
        <row r="347">
          <cell r="D347">
            <v>-214.2</v>
          </cell>
          <cell r="Z347">
            <v>2010</v>
          </cell>
        </row>
        <row r="348">
          <cell r="D348">
            <v>-85.76</v>
          </cell>
          <cell r="Z348">
            <v>2010</v>
          </cell>
        </row>
        <row r="349">
          <cell r="D349">
            <v>-1270.3599999999999</v>
          </cell>
          <cell r="Z349">
            <v>2010</v>
          </cell>
        </row>
        <row r="350">
          <cell r="D350">
            <v>-340.92</v>
          </cell>
          <cell r="Z350">
            <v>2010</v>
          </cell>
        </row>
        <row r="351">
          <cell r="D351">
            <v>-8400</v>
          </cell>
          <cell r="Z351">
            <v>2010</v>
          </cell>
        </row>
        <row r="352">
          <cell r="D352">
            <v>-2294.52</v>
          </cell>
          <cell r="Z352">
            <v>2010</v>
          </cell>
        </row>
        <row r="353">
          <cell r="D353">
            <v>-1078.6600000000001</v>
          </cell>
          <cell r="Z353">
            <v>2010</v>
          </cell>
        </row>
        <row r="354">
          <cell r="Z354">
            <v>2010</v>
          </cell>
        </row>
        <row r="355">
          <cell r="D355">
            <v>-70000</v>
          </cell>
          <cell r="Z355">
            <v>2000</v>
          </cell>
        </row>
        <row r="356">
          <cell r="D356">
            <v>-100000</v>
          </cell>
          <cell r="Z356">
            <v>2000</v>
          </cell>
        </row>
        <row r="357">
          <cell r="D357">
            <v>-139220.74</v>
          </cell>
          <cell r="Z357">
            <v>2000</v>
          </cell>
        </row>
        <row r="358">
          <cell r="D358">
            <v>-159000</v>
          </cell>
          <cell r="Z358">
            <v>2000</v>
          </cell>
        </row>
        <row r="359">
          <cell r="D359">
            <v>-1687.9</v>
          </cell>
          <cell r="Z359">
            <v>2000</v>
          </cell>
        </row>
        <row r="360">
          <cell r="D360">
            <v>-17000</v>
          </cell>
          <cell r="Z360">
            <v>2001</v>
          </cell>
        </row>
        <row r="361">
          <cell r="D361">
            <v>-14754</v>
          </cell>
          <cell r="Z361">
            <v>2001</v>
          </cell>
        </row>
        <row r="362">
          <cell r="E362">
            <v>204531</v>
          </cell>
          <cell r="Z362">
            <v>2001</v>
          </cell>
        </row>
        <row r="363">
          <cell r="E363">
            <v>501662.64</v>
          </cell>
          <cell r="Z363">
            <v>2001</v>
          </cell>
        </row>
        <row r="364">
          <cell r="D364">
            <v>-275000</v>
          </cell>
          <cell r="Z364">
            <v>1999</v>
          </cell>
        </row>
        <row r="365">
          <cell r="D365">
            <v>-400000</v>
          </cell>
          <cell r="Z365">
            <v>2000</v>
          </cell>
        </row>
        <row r="366">
          <cell r="D366">
            <v>-550000</v>
          </cell>
          <cell r="Z366">
            <v>2000</v>
          </cell>
        </row>
        <row r="367">
          <cell r="D367">
            <v>-608184</v>
          </cell>
          <cell r="Z367">
            <v>2000</v>
          </cell>
        </row>
        <row r="368">
          <cell r="D368">
            <v>-59718.46</v>
          </cell>
          <cell r="Z368">
            <v>2000</v>
          </cell>
        </row>
        <row r="369">
          <cell r="D369">
            <v>-33676.85</v>
          </cell>
          <cell r="Z369">
            <v>2001</v>
          </cell>
        </row>
        <row r="370">
          <cell r="D370">
            <v>-35554.629999999997</v>
          </cell>
          <cell r="Z370">
            <v>2001</v>
          </cell>
        </row>
        <row r="371">
          <cell r="D371">
            <v>-15075</v>
          </cell>
          <cell r="Z371">
            <v>2007</v>
          </cell>
        </row>
        <row r="372">
          <cell r="D372">
            <v>-22353.13</v>
          </cell>
          <cell r="Z372">
            <v>2007</v>
          </cell>
        </row>
        <row r="373">
          <cell r="D373">
            <v>-28745.74</v>
          </cell>
          <cell r="Z373">
            <v>2007</v>
          </cell>
        </row>
        <row r="374">
          <cell r="D374">
            <v>-2974045.7475942685</v>
          </cell>
          <cell r="Z374">
            <v>2007</v>
          </cell>
        </row>
        <row r="375">
          <cell r="D375">
            <v>-26842</v>
          </cell>
          <cell r="Z375">
            <v>2007</v>
          </cell>
        </row>
        <row r="376">
          <cell r="D376">
            <v>-2987120.47</v>
          </cell>
          <cell r="Z376">
            <v>2007</v>
          </cell>
        </row>
        <row r="377">
          <cell r="D377">
            <v>-2068978.16</v>
          </cell>
          <cell r="Z377">
            <v>2007</v>
          </cell>
        </row>
        <row r="378">
          <cell r="D378">
            <v>2974045.75</v>
          </cell>
          <cell r="Z378">
            <v>2007</v>
          </cell>
        </row>
        <row r="379">
          <cell r="D379">
            <v>-943901.37</v>
          </cell>
          <cell r="Z379">
            <v>2007</v>
          </cell>
        </row>
        <row r="380">
          <cell r="D380">
            <v>-18039.740000000002</v>
          </cell>
          <cell r="Z380">
            <v>2007</v>
          </cell>
        </row>
        <row r="381">
          <cell r="D381">
            <v>-9238.5499999999993</v>
          </cell>
          <cell r="Z381">
            <v>2007</v>
          </cell>
        </row>
        <row r="382">
          <cell r="D382">
            <v>-12782.88</v>
          </cell>
          <cell r="Z382">
            <v>2007</v>
          </cell>
        </row>
        <row r="383">
          <cell r="D383">
            <v>360.59</v>
          </cell>
          <cell r="Z383">
            <v>2007</v>
          </cell>
        </row>
        <row r="384">
          <cell r="D384">
            <v>128840.35</v>
          </cell>
          <cell r="Z384">
            <v>2007</v>
          </cell>
        </row>
        <row r="385">
          <cell r="D385">
            <v>-276</v>
          </cell>
          <cell r="Z385">
            <v>2008</v>
          </cell>
        </row>
        <row r="386">
          <cell r="D386">
            <v>-276</v>
          </cell>
          <cell r="Z386">
            <v>2008</v>
          </cell>
        </row>
        <row r="387">
          <cell r="D387">
            <v>4877.8500000000004</v>
          </cell>
          <cell r="Z387">
            <v>2008</v>
          </cell>
        </row>
        <row r="388">
          <cell r="D388">
            <v>-313.5</v>
          </cell>
          <cell r="Z388">
            <v>2008</v>
          </cell>
        </row>
        <row r="389">
          <cell r="D389">
            <v>-313.5</v>
          </cell>
          <cell r="Z389">
            <v>2008</v>
          </cell>
        </row>
        <row r="390">
          <cell r="D390">
            <v>-313.5</v>
          </cell>
          <cell r="Z390">
            <v>2008</v>
          </cell>
        </row>
        <row r="391">
          <cell r="D391">
            <v>1739166.37</v>
          </cell>
          <cell r="Z391">
            <v>2008</v>
          </cell>
        </row>
        <row r="392">
          <cell r="D392">
            <v>-3181.06</v>
          </cell>
          <cell r="Z392">
            <v>2008</v>
          </cell>
        </row>
        <row r="393">
          <cell r="D393">
            <v>-1152.5999999999999</v>
          </cell>
          <cell r="Z393">
            <v>2008</v>
          </cell>
        </row>
        <row r="394">
          <cell r="D394">
            <v>-276</v>
          </cell>
          <cell r="Z394">
            <v>2008</v>
          </cell>
        </row>
        <row r="395">
          <cell r="D395">
            <v>-220</v>
          </cell>
          <cell r="Z395">
            <v>2008</v>
          </cell>
        </row>
        <row r="396">
          <cell r="D396">
            <v>265.5</v>
          </cell>
          <cell r="Z396">
            <v>2008</v>
          </cell>
        </row>
        <row r="397">
          <cell r="D397">
            <v>-1610096.89</v>
          </cell>
          <cell r="Z397">
            <v>2008</v>
          </cell>
        </row>
        <row r="398">
          <cell r="D398">
            <v>-7694727.0300000003</v>
          </cell>
          <cell r="Z398">
            <v>2008</v>
          </cell>
        </row>
        <row r="399">
          <cell r="D399">
            <v>6.99</v>
          </cell>
          <cell r="Z399">
            <v>2008</v>
          </cell>
        </row>
        <row r="400">
          <cell r="D400">
            <v>-1329674.93</v>
          </cell>
          <cell r="Z400">
            <v>2008</v>
          </cell>
        </row>
        <row r="401">
          <cell r="D401">
            <v>-8435.86</v>
          </cell>
          <cell r="Z401">
            <v>2008</v>
          </cell>
        </row>
        <row r="402">
          <cell r="D402">
            <v>213.01</v>
          </cell>
          <cell r="Z402">
            <v>2008</v>
          </cell>
        </row>
        <row r="403">
          <cell r="D403">
            <v>-1607000</v>
          </cell>
          <cell r="Z403">
            <v>2008</v>
          </cell>
        </row>
        <row r="404">
          <cell r="D404">
            <v>20000</v>
          </cell>
          <cell r="Z404">
            <v>2008</v>
          </cell>
        </row>
        <row r="405">
          <cell r="D405">
            <v>-37799.81</v>
          </cell>
          <cell r="Z405">
            <v>2008</v>
          </cell>
        </row>
        <row r="406">
          <cell r="D406">
            <v>7454.45</v>
          </cell>
          <cell r="Z406">
            <v>2008</v>
          </cell>
        </row>
        <row r="407">
          <cell r="D407">
            <v>-291</v>
          </cell>
          <cell r="Z407">
            <v>2009</v>
          </cell>
        </row>
        <row r="408">
          <cell r="D408">
            <v>-291</v>
          </cell>
          <cell r="Z408">
            <v>2009</v>
          </cell>
        </row>
        <row r="409">
          <cell r="D409">
            <v>-250</v>
          </cell>
          <cell r="Z409">
            <v>2009</v>
          </cell>
        </row>
        <row r="410">
          <cell r="D410">
            <v>-250</v>
          </cell>
          <cell r="Z410">
            <v>2009</v>
          </cell>
        </row>
        <row r="411">
          <cell r="D411">
            <v>-250</v>
          </cell>
          <cell r="Z411">
            <v>2009</v>
          </cell>
        </row>
        <row r="412">
          <cell r="D412">
            <v>-140000</v>
          </cell>
          <cell r="Z412">
            <v>2009</v>
          </cell>
        </row>
        <row r="413">
          <cell r="D413">
            <v>-370932.92</v>
          </cell>
          <cell r="Z413">
            <v>2009</v>
          </cell>
        </row>
        <row r="414">
          <cell r="D414">
            <v>-291</v>
          </cell>
          <cell r="Z414">
            <v>2009</v>
          </cell>
        </row>
        <row r="415">
          <cell r="D415">
            <v>-12541.52</v>
          </cell>
          <cell r="Z415">
            <v>2009</v>
          </cell>
        </row>
        <row r="416">
          <cell r="D416">
            <v>-1758.87</v>
          </cell>
          <cell r="Z416">
            <v>2009</v>
          </cell>
        </row>
        <row r="417">
          <cell r="D417">
            <v>-2509.92</v>
          </cell>
          <cell r="Z417">
            <v>2009</v>
          </cell>
        </row>
        <row r="418">
          <cell r="D418">
            <v>7568.87</v>
          </cell>
          <cell r="Z418">
            <v>2009</v>
          </cell>
        </row>
        <row r="419">
          <cell r="D419">
            <v>9238.5499999999993</v>
          </cell>
          <cell r="Z419">
            <v>2009</v>
          </cell>
        </row>
        <row r="420">
          <cell r="D420">
            <v>-306</v>
          </cell>
          <cell r="Z420">
            <v>2010</v>
          </cell>
        </row>
        <row r="421">
          <cell r="D421">
            <v>-1352157.12</v>
          </cell>
          <cell r="Z421">
            <v>2010</v>
          </cell>
        </row>
        <row r="422">
          <cell r="D422">
            <v>-3147842.88</v>
          </cell>
          <cell r="Z422">
            <v>2010</v>
          </cell>
        </row>
        <row r="423">
          <cell r="D423">
            <v>-306</v>
          </cell>
          <cell r="Z423">
            <v>2010</v>
          </cell>
        </row>
        <row r="424">
          <cell r="Z424">
            <v>2010</v>
          </cell>
        </row>
        <row r="425">
          <cell r="D425">
            <v>-9864</v>
          </cell>
          <cell r="Z425">
            <v>2005</v>
          </cell>
        </row>
        <row r="426">
          <cell r="D426">
            <v>-16127.51</v>
          </cell>
          <cell r="Z426">
            <v>2005</v>
          </cell>
        </row>
        <row r="427">
          <cell r="D427">
            <v>-3650</v>
          </cell>
          <cell r="Z427">
            <v>2005</v>
          </cell>
        </row>
        <row r="428">
          <cell r="D428">
            <v>-19749</v>
          </cell>
          <cell r="Z428">
            <v>2005</v>
          </cell>
        </row>
        <row r="429">
          <cell r="D429">
            <v>-135411</v>
          </cell>
          <cell r="Z429">
            <v>2005</v>
          </cell>
        </row>
        <row r="430">
          <cell r="D430">
            <v>-11927.67</v>
          </cell>
          <cell r="Z430">
            <v>2005</v>
          </cell>
        </row>
        <row r="431">
          <cell r="D431">
            <v>196729.18</v>
          </cell>
          <cell r="Z431">
            <v>2006</v>
          </cell>
        </row>
        <row r="432">
          <cell r="D432">
            <v>-41195632</v>
          </cell>
          <cell r="Z432">
            <v>2006</v>
          </cell>
        </row>
        <row r="433">
          <cell r="D433">
            <v>-18804368</v>
          </cell>
          <cell r="Z433">
            <v>2006</v>
          </cell>
        </row>
        <row r="434">
          <cell r="D434">
            <v>-25233.52</v>
          </cell>
          <cell r="Z434">
            <v>2007</v>
          </cell>
        </row>
        <row r="435">
          <cell r="D435">
            <v>-28000</v>
          </cell>
          <cell r="Z435">
            <v>2007</v>
          </cell>
        </row>
        <row r="436">
          <cell r="D436">
            <v>-13303.46</v>
          </cell>
          <cell r="Z436">
            <v>2007</v>
          </cell>
        </row>
        <row r="437">
          <cell r="D437">
            <v>-2122.9899999999998</v>
          </cell>
          <cell r="Z437">
            <v>2007</v>
          </cell>
        </row>
        <row r="438">
          <cell r="D438">
            <v>-1620.82</v>
          </cell>
          <cell r="Z438">
            <v>2007</v>
          </cell>
        </row>
        <row r="439">
          <cell r="D439">
            <v>-2122.9899999999998</v>
          </cell>
          <cell r="Z439">
            <v>2007</v>
          </cell>
        </row>
        <row r="440">
          <cell r="D440">
            <v>-49478.7</v>
          </cell>
          <cell r="Z440">
            <v>2007</v>
          </cell>
        </row>
        <row r="441">
          <cell r="E441">
            <v>18930664.722329129</v>
          </cell>
          <cell r="Z441">
            <v>2007</v>
          </cell>
        </row>
        <row r="442">
          <cell r="E442">
            <v>143679621.08163375</v>
          </cell>
          <cell r="Z442">
            <v>2007</v>
          </cell>
        </row>
        <row r="443">
          <cell r="D443">
            <v>-5502.71</v>
          </cell>
          <cell r="Z443">
            <v>2007</v>
          </cell>
        </row>
        <row r="444">
          <cell r="D444">
            <v>-16373.77</v>
          </cell>
          <cell r="Z444">
            <v>2007</v>
          </cell>
        </row>
        <row r="445">
          <cell r="D445">
            <v>-704.23</v>
          </cell>
          <cell r="Z445">
            <v>2007</v>
          </cell>
        </row>
        <row r="446">
          <cell r="D446">
            <v>-303.94</v>
          </cell>
          <cell r="Z446">
            <v>2007</v>
          </cell>
        </row>
        <row r="447">
          <cell r="D447">
            <v>-4573.97</v>
          </cell>
          <cell r="Z447">
            <v>2008</v>
          </cell>
        </row>
        <row r="448">
          <cell r="D448">
            <v>-3315.14</v>
          </cell>
          <cell r="Z448">
            <v>2008</v>
          </cell>
        </row>
        <row r="449">
          <cell r="D449">
            <v>-3315.14</v>
          </cell>
          <cell r="Z449">
            <v>2008</v>
          </cell>
        </row>
        <row r="450">
          <cell r="D450">
            <v>-2423.9899999999998</v>
          </cell>
          <cell r="Z450">
            <v>2008</v>
          </cell>
        </row>
        <row r="451">
          <cell r="D451">
            <v>-2064.92</v>
          </cell>
          <cell r="Z451">
            <v>2008</v>
          </cell>
        </row>
        <row r="452">
          <cell r="D452">
            <v>-2024</v>
          </cell>
          <cell r="Z452">
            <v>2008</v>
          </cell>
        </row>
        <row r="453">
          <cell r="D453">
            <v>-2024</v>
          </cell>
          <cell r="Z453">
            <v>2008</v>
          </cell>
        </row>
        <row r="454">
          <cell r="D454">
            <v>-2024</v>
          </cell>
          <cell r="Z454">
            <v>2008</v>
          </cell>
        </row>
        <row r="455">
          <cell r="D455">
            <v>-1244.2</v>
          </cell>
          <cell r="Z455">
            <v>2008</v>
          </cell>
        </row>
        <row r="456">
          <cell r="D456">
            <v>-16274.51</v>
          </cell>
          <cell r="Z456">
            <v>2008</v>
          </cell>
        </row>
        <row r="457">
          <cell r="E457">
            <v>6309026.7541731289</v>
          </cell>
          <cell r="Z457">
            <v>2008</v>
          </cell>
        </row>
        <row r="458">
          <cell r="E458">
            <v>25236107.016692501</v>
          </cell>
          <cell r="Z458">
            <v>2008</v>
          </cell>
        </row>
        <row r="459">
          <cell r="D459">
            <v>3315.14</v>
          </cell>
          <cell r="Z459">
            <v>2008</v>
          </cell>
        </row>
        <row r="460">
          <cell r="D460">
            <v>-18476.8</v>
          </cell>
          <cell r="Z460">
            <v>2008</v>
          </cell>
        </row>
        <row r="461">
          <cell r="D461">
            <v>-121.52</v>
          </cell>
          <cell r="Z461">
            <v>2008</v>
          </cell>
        </row>
        <row r="462">
          <cell r="E462">
            <v>8724477.3528527841</v>
          </cell>
          <cell r="Z462">
            <v>2008</v>
          </cell>
        </row>
        <row r="463">
          <cell r="E463">
            <v>34980995.791873448</v>
          </cell>
          <cell r="Z463">
            <v>2008</v>
          </cell>
        </row>
        <row r="464">
          <cell r="D464">
            <v>77451.7</v>
          </cell>
          <cell r="Z464">
            <v>2008</v>
          </cell>
        </row>
        <row r="465">
          <cell r="E465">
            <v>149330.70741770195</v>
          </cell>
          <cell r="Z465">
            <v>2009</v>
          </cell>
        </row>
        <row r="466">
          <cell r="E466">
            <v>597322.82967080781</v>
          </cell>
          <cell r="Z466">
            <v>2009</v>
          </cell>
        </row>
        <row r="467">
          <cell r="D467">
            <v>-21246</v>
          </cell>
          <cell r="Z467">
            <v>2007</v>
          </cell>
        </row>
        <row r="468">
          <cell r="D468">
            <v>-41206227.689999998</v>
          </cell>
          <cell r="Z468">
            <v>2007</v>
          </cell>
        </row>
        <row r="469">
          <cell r="D469">
            <v>13008614.619999999</v>
          </cell>
          <cell r="Z469">
            <v>2007</v>
          </cell>
        </row>
        <row r="470">
          <cell r="D470">
            <v>-38793772.310000002</v>
          </cell>
          <cell r="Z470">
            <v>2007</v>
          </cell>
        </row>
        <row r="471">
          <cell r="D471">
            <v>-194119.19</v>
          </cell>
          <cell r="Z471">
            <v>2007</v>
          </cell>
        </row>
        <row r="472">
          <cell r="D472">
            <v>-105922.57</v>
          </cell>
          <cell r="Z472">
            <v>2007</v>
          </cell>
        </row>
        <row r="473">
          <cell r="D473">
            <v>-23198.73</v>
          </cell>
          <cell r="Z473">
            <v>2007</v>
          </cell>
        </row>
        <row r="474">
          <cell r="D474">
            <v>-21326</v>
          </cell>
          <cell r="Z474">
            <v>2007</v>
          </cell>
        </row>
        <row r="475">
          <cell r="D475">
            <v>-20590</v>
          </cell>
          <cell r="Z475">
            <v>2007</v>
          </cell>
        </row>
        <row r="476">
          <cell r="D476">
            <v>-11331.65</v>
          </cell>
          <cell r="Z476">
            <v>2007</v>
          </cell>
        </row>
        <row r="477">
          <cell r="D477">
            <v>-2957.32</v>
          </cell>
          <cell r="Z477">
            <v>2007</v>
          </cell>
        </row>
        <row r="478">
          <cell r="D478">
            <v>-2957.32</v>
          </cell>
          <cell r="Z478">
            <v>2007</v>
          </cell>
        </row>
        <row r="479">
          <cell r="D479">
            <v>-13008614.619999999</v>
          </cell>
          <cell r="Z479">
            <v>2007</v>
          </cell>
        </row>
        <row r="480">
          <cell r="D480">
            <v>-704941.06</v>
          </cell>
          <cell r="Z480">
            <v>2007</v>
          </cell>
        </row>
        <row r="481">
          <cell r="D481">
            <v>-385725.73</v>
          </cell>
          <cell r="Z481">
            <v>2007</v>
          </cell>
        </row>
        <row r="482">
          <cell r="D482">
            <v>-53566.71</v>
          </cell>
          <cell r="Z482">
            <v>2007</v>
          </cell>
        </row>
        <row r="483">
          <cell r="D483">
            <v>-29653.69</v>
          </cell>
          <cell r="Z483">
            <v>2007</v>
          </cell>
        </row>
        <row r="484">
          <cell r="D484">
            <v>-3626641</v>
          </cell>
          <cell r="Z484">
            <v>2007</v>
          </cell>
        </row>
        <row r="485">
          <cell r="D485">
            <v>3717307.16</v>
          </cell>
          <cell r="Z485">
            <v>2007</v>
          </cell>
        </row>
        <row r="486">
          <cell r="D486">
            <v>-3569.5</v>
          </cell>
          <cell r="Z486">
            <v>2007</v>
          </cell>
        </row>
        <row r="487">
          <cell r="D487">
            <v>-19973.580000000002</v>
          </cell>
          <cell r="Z487">
            <v>2007</v>
          </cell>
        </row>
        <row r="488">
          <cell r="D488">
            <v>-7500</v>
          </cell>
          <cell r="Z488">
            <v>2007</v>
          </cell>
        </row>
        <row r="489">
          <cell r="D489">
            <v>-18563.099999999999</v>
          </cell>
          <cell r="Z489">
            <v>2007</v>
          </cell>
        </row>
        <row r="490">
          <cell r="D490">
            <v>-685000</v>
          </cell>
          <cell r="Z490">
            <v>2007</v>
          </cell>
        </row>
        <row r="491">
          <cell r="D491">
            <v>-106422.53</v>
          </cell>
          <cell r="Z491">
            <v>2007</v>
          </cell>
        </row>
        <row r="492">
          <cell r="D492">
            <v>-28894.55</v>
          </cell>
          <cell r="Z492">
            <v>2007</v>
          </cell>
        </row>
        <row r="493">
          <cell r="D493">
            <v>-8462.59</v>
          </cell>
          <cell r="Z493">
            <v>2007</v>
          </cell>
        </row>
        <row r="494">
          <cell r="D494">
            <v>87266.59</v>
          </cell>
          <cell r="Z494">
            <v>2007</v>
          </cell>
        </row>
        <row r="495">
          <cell r="D495">
            <v>106422.53</v>
          </cell>
          <cell r="Z495">
            <v>2007</v>
          </cell>
        </row>
        <row r="496">
          <cell r="D496">
            <v>385725.73</v>
          </cell>
          <cell r="Z496">
            <v>2007</v>
          </cell>
        </row>
        <row r="497">
          <cell r="D497">
            <v>9102.11</v>
          </cell>
          <cell r="Z497">
            <v>2008</v>
          </cell>
        </row>
        <row r="498">
          <cell r="D498">
            <v>-4969.8100000000004</v>
          </cell>
          <cell r="Z498">
            <v>2008</v>
          </cell>
        </row>
        <row r="499">
          <cell r="D499">
            <v>-9492.4500000000007</v>
          </cell>
          <cell r="Z499">
            <v>2008</v>
          </cell>
        </row>
        <row r="500">
          <cell r="D500">
            <v>-1298.08</v>
          </cell>
          <cell r="Z500">
            <v>2008</v>
          </cell>
        </row>
        <row r="501">
          <cell r="D501">
            <v>-6941.54</v>
          </cell>
          <cell r="Z501">
            <v>2008</v>
          </cell>
        </row>
        <row r="502">
          <cell r="D502">
            <v>-1633.5</v>
          </cell>
          <cell r="Z502">
            <v>2008</v>
          </cell>
        </row>
        <row r="503">
          <cell r="D503">
            <v>-115.93</v>
          </cell>
          <cell r="Z503">
            <v>2008</v>
          </cell>
        </row>
        <row r="504">
          <cell r="D504">
            <v>-2431.6999999999998</v>
          </cell>
          <cell r="Z504">
            <v>2008</v>
          </cell>
        </row>
        <row r="505">
          <cell r="D505">
            <v>-2431.1</v>
          </cell>
          <cell r="Z505">
            <v>2008</v>
          </cell>
        </row>
        <row r="506">
          <cell r="D506">
            <v>-2017.64</v>
          </cell>
          <cell r="Z506">
            <v>2008</v>
          </cell>
        </row>
        <row r="507">
          <cell r="D507">
            <v>-71400</v>
          </cell>
          <cell r="Z507">
            <v>2008</v>
          </cell>
        </row>
        <row r="508">
          <cell r="D508">
            <v>-163.35</v>
          </cell>
          <cell r="Z508">
            <v>2008</v>
          </cell>
        </row>
        <row r="509">
          <cell r="D509">
            <v>-2319.75</v>
          </cell>
          <cell r="Z509">
            <v>2008</v>
          </cell>
        </row>
        <row r="510">
          <cell r="D510">
            <v>-36465.629999999997</v>
          </cell>
          <cell r="Z510">
            <v>2008</v>
          </cell>
        </row>
        <row r="511">
          <cell r="D511">
            <v>-3051.49</v>
          </cell>
          <cell r="Z511">
            <v>2008</v>
          </cell>
        </row>
        <row r="512">
          <cell r="D512">
            <v>-313.5</v>
          </cell>
          <cell r="Z512">
            <v>2008</v>
          </cell>
        </row>
        <row r="513">
          <cell r="D513">
            <v>-313.5</v>
          </cell>
          <cell r="Z513">
            <v>2008</v>
          </cell>
        </row>
        <row r="514">
          <cell r="D514">
            <v>-10504.31</v>
          </cell>
          <cell r="Z514">
            <v>2008</v>
          </cell>
        </row>
        <row r="515">
          <cell r="D515">
            <v>-1508.48</v>
          </cell>
          <cell r="Z515">
            <v>2008</v>
          </cell>
        </row>
        <row r="516">
          <cell r="D516">
            <v>-2628.44</v>
          </cell>
          <cell r="Z516">
            <v>2008</v>
          </cell>
        </row>
        <row r="517">
          <cell r="D517">
            <v>-2628.44</v>
          </cell>
          <cell r="Z517">
            <v>2008</v>
          </cell>
        </row>
        <row r="518">
          <cell r="D518">
            <v>28.26</v>
          </cell>
          <cell r="Z518">
            <v>2008</v>
          </cell>
        </row>
        <row r="519">
          <cell r="D519">
            <v>-276</v>
          </cell>
          <cell r="Z519">
            <v>2008</v>
          </cell>
        </row>
        <row r="520">
          <cell r="D520">
            <v>-276</v>
          </cell>
          <cell r="Z520">
            <v>2008</v>
          </cell>
        </row>
        <row r="521">
          <cell r="D521">
            <v>177</v>
          </cell>
          <cell r="Z521">
            <v>2008</v>
          </cell>
        </row>
        <row r="522">
          <cell r="D522">
            <v>-103083.59</v>
          </cell>
          <cell r="Z522">
            <v>2008</v>
          </cell>
        </row>
        <row r="523">
          <cell r="D523">
            <v>-14462.32</v>
          </cell>
          <cell r="Z523">
            <v>2008</v>
          </cell>
        </row>
        <row r="524">
          <cell r="D524">
            <v>-1088.7</v>
          </cell>
          <cell r="Z524">
            <v>2008</v>
          </cell>
        </row>
        <row r="525">
          <cell r="D525">
            <v>-2870.72</v>
          </cell>
          <cell r="Z525">
            <v>2008</v>
          </cell>
        </row>
        <row r="526">
          <cell r="D526">
            <v>-22729.759999999998</v>
          </cell>
          <cell r="Z526">
            <v>2008</v>
          </cell>
        </row>
        <row r="527">
          <cell r="D527">
            <v>-2288.61</v>
          </cell>
          <cell r="Z527">
            <v>2008</v>
          </cell>
        </row>
        <row r="528">
          <cell r="D528">
            <v>-5720.27</v>
          </cell>
          <cell r="Z528">
            <v>2008</v>
          </cell>
        </row>
        <row r="529">
          <cell r="D529">
            <v>-7031.19</v>
          </cell>
          <cell r="Z529">
            <v>2008</v>
          </cell>
        </row>
        <row r="530">
          <cell r="D530">
            <v>-1530.55</v>
          </cell>
          <cell r="Z530">
            <v>2008</v>
          </cell>
        </row>
        <row r="531">
          <cell r="D531">
            <v>-3229.28</v>
          </cell>
          <cell r="Z531">
            <v>2008</v>
          </cell>
        </row>
        <row r="532">
          <cell r="D532">
            <v>-871.2</v>
          </cell>
          <cell r="Z532">
            <v>2008</v>
          </cell>
        </row>
        <row r="533">
          <cell r="D533">
            <v>-115402.87</v>
          </cell>
          <cell r="Z533">
            <v>2008</v>
          </cell>
        </row>
        <row r="534">
          <cell r="D534">
            <v>-19061.240000000002</v>
          </cell>
          <cell r="Z534">
            <v>2008</v>
          </cell>
        </row>
        <row r="535">
          <cell r="D535">
            <v>-5351.4</v>
          </cell>
          <cell r="Z535">
            <v>2008</v>
          </cell>
        </row>
        <row r="536">
          <cell r="D536">
            <v>-985.38</v>
          </cell>
          <cell r="Z536">
            <v>2008</v>
          </cell>
        </row>
        <row r="537">
          <cell r="D537">
            <v>115402.87</v>
          </cell>
          <cell r="Z537">
            <v>2008</v>
          </cell>
        </row>
        <row r="538">
          <cell r="D538">
            <v>-27907.439999999999</v>
          </cell>
          <cell r="Z538">
            <v>2008</v>
          </cell>
        </row>
        <row r="539">
          <cell r="D539">
            <v>-9935.6200000000008</v>
          </cell>
          <cell r="Z539">
            <v>2009</v>
          </cell>
        </row>
        <row r="540">
          <cell r="D540">
            <v>-1923.62</v>
          </cell>
          <cell r="Z540">
            <v>2009</v>
          </cell>
        </row>
        <row r="541">
          <cell r="D541">
            <v>-1923.17</v>
          </cell>
          <cell r="Z541">
            <v>2009</v>
          </cell>
        </row>
        <row r="542">
          <cell r="D542">
            <v>-1881.33</v>
          </cell>
          <cell r="Z542">
            <v>2009</v>
          </cell>
        </row>
        <row r="543">
          <cell r="D543">
            <v>-589</v>
          </cell>
          <cell r="Z543">
            <v>2009</v>
          </cell>
        </row>
        <row r="544">
          <cell r="D544">
            <v>-1923.17</v>
          </cell>
          <cell r="Z544">
            <v>2009</v>
          </cell>
        </row>
        <row r="545">
          <cell r="D545">
            <v>-1923.17</v>
          </cell>
          <cell r="Z545">
            <v>2009</v>
          </cell>
        </row>
        <row r="546">
          <cell r="D546">
            <v>-2562.9499999999998</v>
          </cell>
          <cell r="Z546">
            <v>2009</v>
          </cell>
        </row>
        <row r="547">
          <cell r="D547">
            <v>-23515.98</v>
          </cell>
          <cell r="Z547">
            <v>2009</v>
          </cell>
        </row>
        <row r="548">
          <cell r="D548">
            <v>120000</v>
          </cell>
          <cell r="Z548">
            <v>2009</v>
          </cell>
        </row>
        <row r="549">
          <cell r="D549">
            <v>-1318.9</v>
          </cell>
          <cell r="Z549">
            <v>2009</v>
          </cell>
        </row>
        <row r="550">
          <cell r="D550">
            <v>-2104.33</v>
          </cell>
          <cell r="Z550">
            <v>2009</v>
          </cell>
        </row>
        <row r="551">
          <cell r="D551">
            <v>-10605.65</v>
          </cell>
          <cell r="Z551">
            <v>2009</v>
          </cell>
        </row>
        <row r="552">
          <cell r="E552">
            <v>20956899.620000001</v>
          </cell>
          <cell r="Z552">
            <v>2009</v>
          </cell>
        </row>
        <row r="553">
          <cell r="D553">
            <v>-500</v>
          </cell>
          <cell r="Z553">
            <v>2009</v>
          </cell>
        </row>
        <row r="554">
          <cell r="D554">
            <v>-1469.5</v>
          </cell>
          <cell r="Z554">
            <v>2009</v>
          </cell>
        </row>
        <row r="555">
          <cell r="D555">
            <v>-582</v>
          </cell>
          <cell r="Z555">
            <v>2009</v>
          </cell>
        </row>
        <row r="556">
          <cell r="D556">
            <v>-871.2</v>
          </cell>
          <cell r="Z556">
            <v>2009</v>
          </cell>
        </row>
        <row r="557">
          <cell r="D557">
            <v>-217.8</v>
          </cell>
          <cell r="Z557">
            <v>2009</v>
          </cell>
        </row>
        <row r="558">
          <cell r="D558">
            <v>-80.150000000000006</v>
          </cell>
          <cell r="Z558">
            <v>2009</v>
          </cell>
        </row>
        <row r="559">
          <cell r="D559">
            <v>-1089</v>
          </cell>
          <cell r="Z559">
            <v>2009</v>
          </cell>
        </row>
        <row r="560">
          <cell r="D560">
            <v>-5973.28</v>
          </cell>
          <cell r="Z560">
            <v>2009</v>
          </cell>
        </row>
        <row r="561">
          <cell r="D561">
            <v>-6729.48</v>
          </cell>
          <cell r="Z561">
            <v>2009</v>
          </cell>
        </row>
        <row r="562">
          <cell r="D562">
            <v>-217.8</v>
          </cell>
          <cell r="Z562">
            <v>2009</v>
          </cell>
        </row>
        <row r="563">
          <cell r="D563">
            <v>-87.86</v>
          </cell>
          <cell r="Z563">
            <v>2009</v>
          </cell>
        </row>
        <row r="564">
          <cell r="D564">
            <v>-157.30000000000001</v>
          </cell>
          <cell r="Z564">
            <v>2009</v>
          </cell>
        </row>
        <row r="565">
          <cell r="E565">
            <v>32000000</v>
          </cell>
          <cell r="Z565">
            <v>2009</v>
          </cell>
        </row>
        <row r="566">
          <cell r="D566">
            <v>-6561.5</v>
          </cell>
          <cell r="Z566">
            <v>2009</v>
          </cell>
        </row>
        <row r="567">
          <cell r="D567">
            <v>-2385.0100000000002</v>
          </cell>
          <cell r="Z567">
            <v>2009</v>
          </cell>
        </row>
        <row r="568">
          <cell r="D568">
            <v>-2769.82</v>
          </cell>
          <cell r="Z568">
            <v>2009</v>
          </cell>
        </row>
        <row r="569">
          <cell r="D569">
            <v>-2387.41</v>
          </cell>
          <cell r="Z569">
            <v>2009</v>
          </cell>
        </row>
        <row r="570">
          <cell r="D570">
            <v>-2145.65</v>
          </cell>
          <cell r="Z570">
            <v>2009</v>
          </cell>
        </row>
        <row r="571">
          <cell r="E571">
            <v>3052943.3</v>
          </cell>
          <cell r="Z571">
            <v>2010</v>
          </cell>
        </row>
        <row r="572">
          <cell r="E572">
            <v>6887056.7800000003</v>
          </cell>
          <cell r="Z572">
            <v>2010</v>
          </cell>
        </row>
        <row r="573">
          <cell r="Z573">
            <v>2010</v>
          </cell>
        </row>
        <row r="574">
          <cell r="D574">
            <v>-200000</v>
          </cell>
          <cell r="Z574">
            <v>2000</v>
          </cell>
        </row>
        <row r="575">
          <cell r="D575">
            <v>-850000</v>
          </cell>
          <cell r="Z575">
            <v>2000</v>
          </cell>
        </row>
        <row r="576">
          <cell r="D576">
            <v>-3320</v>
          </cell>
          <cell r="Z576">
            <v>2001</v>
          </cell>
        </row>
        <row r="577">
          <cell r="D577">
            <v>-400000</v>
          </cell>
          <cell r="Z577">
            <v>2001</v>
          </cell>
        </row>
        <row r="578">
          <cell r="D578">
            <v>-400000</v>
          </cell>
          <cell r="Z578">
            <v>2001</v>
          </cell>
        </row>
        <row r="579">
          <cell r="D579">
            <v>-200000</v>
          </cell>
          <cell r="Z579">
            <v>2001</v>
          </cell>
        </row>
        <row r="580">
          <cell r="D580">
            <v>-38172.46</v>
          </cell>
          <cell r="Z580">
            <v>2001</v>
          </cell>
        </row>
        <row r="581">
          <cell r="D581">
            <v>-200000</v>
          </cell>
          <cell r="Z581">
            <v>2002</v>
          </cell>
        </row>
        <row r="582">
          <cell r="D582">
            <v>-219215</v>
          </cell>
          <cell r="Z582">
            <v>2002</v>
          </cell>
        </row>
        <row r="583">
          <cell r="D583">
            <v>-121639.22</v>
          </cell>
          <cell r="Z583">
            <v>2002</v>
          </cell>
        </row>
        <row r="584">
          <cell r="D584">
            <v>-78644</v>
          </cell>
          <cell r="Z584">
            <v>2002</v>
          </cell>
        </row>
        <row r="585">
          <cell r="D585">
            <v>-90486.49</v>
          </cell>
          <cell r="Z585">
            <v>2003</v>
          </cell>
        </row>
        <row r="586">
          <cell r="D586">
            <v>-182953.4</v>
          </cell>
          <cell r="Z586">
            <v>2003</v>
          </cell>
        </row>
        <row r="587">
          <cell r="D587">
            <v>-4785.8</v>
          </cell>
          <cell r="Z587">
            <v>2003</v>
          </cell>
        </row>
        <row r="588">
          <cell r="D588">
            <v>10534.18</v>
          </cell>
          <cell r="Z588">
            <v>2003</v>
          </cell>
        </row>
        <row r="589">
          <cell r="D589">
            <v>-2787.49</v>
          </cell>
          <cell r="Z589">
            <v>2004</v>
          </cell>
        </row>
        <row r="590">
          <cell r="D590">
            <v>2787.49</v>
          </cell>
          <cell r="Z590">
            <v>2004</v>
          </cell>
        </row>
        <row r="591">
          <cell r="D591">
            <v>-2513.5</v>
          </cell>
          <cell r="Z591">
            <v>2005</v>
          </cell>
        </row>
        <row r="592">
          <cell r="D592">
            <v>-22667.87</v>
          </cell>
          <cell r="Z592">
            <v>2005</v>
          </cell>
        </row>
        <row r="593">
          <cell r="D593">
            <v>0.56000000000000005</v>
          </cell>
          <cell r="Z593">
            <v>2005</v>
          </cell>
        </row>
        <row r="594">
          <cell r="D594">
            <v>25181</v>
          </cell>
          <cell r="Z594">
            <v>2005</v>
          </cell>
        </row>
        <row r="595">
          <cell r="D595">
            <v>-2944.88</v>
          </cell>
          <cell r="Z595">
            <v>2006</v>
          </cell>
        </row>
        <row r="596">
          <cell r="D596">
            <v>-15000</v>
          </cell>
          <cell r="Z596">
            <v>2006</v>
          </cell>
        </row>
        <row r="597">
          <cell r="D597">
            <v>-14525.65</v>
          </cell>
          <cell r="Z597">
            <v>2006</v>
          </cell>
        </row>
        <row r="598">
          <cell r="D598">
            <v>-2494</v>
          </cell>
          <cell r="Z598">
            <v>2007</v>
          </cell>
        </row>
        <row r="599">
          <cell r="D599">
            <v>-2274</v>
          </cell>
          <cell r="Z599">
            <v>2008</v>
          </cell>
        </row>
        <row r="600">
          <cell r="D600">
            <v>-5374.33</v>
          </cell>
          <cell r="Z600">
            <v>2008</v>
          </cell>
        </row>
        <row r="601">
          <cell r="D601">
            <v>-17980.099999999999</v>
          </cell>
          <cell r="Z601">
            <v>2008</v>
          </cell>
        </row>
        <row r="602">
          <cell r="D602">
            <v>-6255.11</v>
          </cell>
          <cell r="Z602">
            <v>2008</v>
          </cell>
        </row>
        <row r="603">
          <cell r="D603">
            <v>-47587.32</v>
          </cell>
          <cell r="Z603">
            <v>2008</v>
          </cell>
        </row>
        <row r="604">
          <cell r="D604">
            <v>-3579.28</v>
          </cell>
          <cell r="Z604">
            <v>2008</v>
          </cell>
        </row>
        <row r="605">
          <cell r="D605">
            <v>-3881.6</v>
          </cell>
          <cell r="Z605">
            <v>2009</v>
          </cell>
        </row>
        <row r="606">
          <cell r="D606">
            <v>-15783.59</v>
          </cell>
          <cell r="Z606">
            <v>2009</v>
          </cell>
        </row>
        <row r="607">
          <cell r="D607">
            <v>-1028</v>
          </cell>
          <cell r="Z607">
            <v>2009</v>
          </cell>
        </row>
        <row r="608">
          <cell r="D608">
            <v>-1044.71</v>
          </cell>
          <cell r="Z608">
            <v>2009</v>
          </cell>
        </row>
        <row r="609">
          <cell r="D609">
            <v>-4596</v>
          </cell>
          <cell r="Z609">
            <v>2009</v>
          </cell>
        </row>
        <row r="610">
          <cell r="D610">
            <v>4595.9799999999996</v>
          </cell>
          <cell r="Z610">
            <v>2009</v>
          </cell>
        </row>
        <row r="611">
          <cell r="D611">
            <v>-1985.02</v>
          </cell>
          <cell r="Z611">
            <v>2009</v>
          </cell>
        </row>
        <row r="612">
          <cell r="D612">
            <v>-1512.5</v>
          </cell>
          <cell r="Z612">
            <v>2009</v>
          </cell>
        </row>
        <row r="613">
          <cell r="E613">
            <v>10994521.130000001</v>
          </cell>
          <cell r="Z613">
            <v>2010</v>
          </cell>
        </row>
        <row r="614">
          <cell r="E614">
            <v>1816175.2</v>
          </cell>
          <cell r="Z614">
            <v>2010</v>
          </cell>
        </row>
        <row r="615">
          <cell r="Z615">
            <v>2010</v>
          </cell>
        </row>
        <row r="616">
          <cell r="D616">
            <v>-5578.19</v>
          </cell>
          <cell r="Z616">
            <v>2009</v>
          </cell>
        </row>
        <row r="617">
          <cell r="D617">
            <v>-5448.7</v>
          </cell>
          <cell r="Z617">
            <v>2009</v>
          </cell>
        </row>
        <row r="618">
          <cell r="D618">
            <v>-38000</v>
          </cell>
          <cell r="Z618">
            <v>2009</v>
          </cell>
        </row>
        <row r="619">
          <cell r="D619">
            <v>-6266.07</v>
          </cell>
          <cell r="Z619">
            <v>2009</v>
          </cell>
        </row>
        <row r="620">
          <cell r="D620">
            <v>-10520.79</v>
          </cell>
          <cell r="Z620">
            <v>2009</v>
          </cell>
        </row>
        <row r="621">
          <cell r="D621">
            <v>-71621.320000000007</v>
          </cell>
          <cell r="Z621">
            <v>2009</v>
          </cell>
        </row>
        <row r="622">
          <cell r="D622">
            <v>-44553.88</v>
          </cell>
          <cell r="Z622">
            <v>2009</v>
          </cell>
        </row>
        <row r="623">
          <cell r="D623">
            <v>-11180.3</v>
          </cell>
          <cell r="Z623">
            <v>2009</v>
          </cell>
        </row>
        <row r="624">
          <cell r="D624">
            <v>-1327.1</v>
          </cell>
          <cell r="Z624">
            <v>2009</v>
          </cell>
        </row>
        <row r="625">
          <cell r="D625">
            <v>-576372.69999999995</v>
          </cell>
          <cell r="Z625">
            <v>2009</v>
          </cell>
        </row>
        <row r="626">
          <cell r="D626">
            <v>-317272.82</v>
          </cell>
          <cell r="Z626">
            <v>2009</v>
          </cell>
        </row>
        <row r="627">
          <cell r="D627">
            <v>-42000</v>
          </cell>
          <cell r="Z627">
            <v>2009</v>
          </cell>
        </row>
        <row r="628">
          <cell r="D628">
            <v>-42000</v>
          </cell>
          <cell r="Z628">
            <v>2009</v>
          </cell>
        </row>
        <row r="629">
          <cell r="D629">
            <v>-16154.52</v>
          </cell>
          <cell r="Z629">
            <v>2009</v>
          </cell>
        </row>
        <row r="630">
          <cell r="D630">
            <v>-14182411</v>
          </cell>
          <cell r="Z630">
            <v>2009</v>
          </cell>
        </row>
        <row r="631">
          <cell r="D631">
            <v>-10050261.43</v>
          </cell>
          <cell r="Z631">
            <v>2009</v>
          </cell>
        </row>
        <row r="632">
          <cell r="D632">
            <v>-6371369.7199999997</v>
          </cell>
          <cell r="Z632">
            <v>2009</v>
          </cell>
        </row>
        <row r="633">
          <cell r="D633">
            <v>-45260.07</v>
          </cell>
          <cell r="Z633">
            <v>2009</v>
          </cell>
        </row>
        <row r="634">
          <cell r="D634">
            <v>-9023.17</v>
          </cell>
          <cell r="Z634">
            <v>2009</v>
          </cell>
        </row>
        <row r="635">
          <cell r="D635">
            <v>-17607960.899999999</v>
          </cell>
          <cell r="Z635">
            <v>2009</v>
          </cell>
        </row>
        <row r="636">
          <cell r="D636">
            <v>-12293225.189999999</v>
          </cell>
          <cell r="Z636">
            <v>2009</v>
          </cell>
        </row>
        <row r="637">
          <cell r="D637">
            <v>-7910279.0599999996</v>
          </cell>
          <cell r="Z637">
            <v>2009</v>
          </cell>
        </row>
        <row r="638">
          <cell r="D638">
            <v>-200238</v>
          </cell>
          <cell r="Z638">
            <v>2009</v>
          </cell>
        </row>
        <row r="639">
          <cell r="D639">
            <v>-184527</v>
          </cell>
          <cell r="Z639">
            <v>2009</v>
          </cell>
        </row>
        <row r="640">
          <cell r="D640">
            <v>-39293.519999999997</v>
          </cell>
          <cell r="Z640">
            <v>2009</v>
          </cell>
        </row>
        <row r="641">
          <cell r="D641">
            <v>-1074223.8600000001</v>
          </cell>
          <cell r="Z641">
            <v>2009</v>
          </cell>
        </row>
        <row r="642">
          <cell r="D642">
            <v>645053.05000000005</v>
          </cell>
          <cell r="Z642">
            <v>2009</v>
          </cell>
        </row>
        <row r="643">
          <cell r="D643">
            <v>-450501.17</v>
          </cell>
          <cell r="Z643">
            <v>2010</v>
          </cell>
        </row>
        <row r="644">
          <cell r="D644">
            <v>-147492.5</v>
          </cell>
          <cell r="Z644">
            <v>2010</v>
          </cell>
        </row>
        <row r="645">
          <cell r="D645">
            <v>-92013.119999999995</v>
          </cell>
          <cell r="Z645">
            <v>2010</v>
          </cell>
        </row>
        <row r="646">
          <cell r="D646">
            <v>-50000</v>
          </cell>
          <cell r="Z646">
            <v>2010</v>
          </cell>
        </row>
        <row r="647">
          <cell r="D647">
            <v>-11184.86</v>
          </cell>
          <cell r="Z647">
            <v>2010</v>
          </cell>
        </row>
        <row r="648">
          <cell r="D648">
            <v>-5814.42</v>
          </cell>
          <cell r="Z648">
            <v>2010</v>
          </cell>
        </row>
        <row r="649">
          <cell r="D649">
            <v>-11343.3</v>
          </cell>
          <cell r="Z649">
            <v>2010</v>
          </cell>
        </row>
        <row r="650">
          <cell r="Z650">
            <v>2010</v>
          </cell>
        </row>
        <row r="651">
          <cell r="D651">
            <v>-40000000</v>
          </cell>
          <cell r="Z651">
            <v>1999</v>
          </cell>
        </row>
        <row r="652">
          <cell r="D652">
            <v>-105910</v>
          </cell>
          <cell r="Z652">
            <v>1999</v>
          </cell>
        </row>
        <row r="653">
          <cell r="E653">
            <v>-631.25</v>
          </cell>
          <cell r="Z653">
            <v>2000</v>
          </cell>
        </row>
        <row r="654">
          <cell r="E654">
            <v>-12250.65</v>
          </cell>
          <cell r="Z654">
            <v>2001</v>
          </cell>
        </row>
        <row r="655">
          <cell r="E655">
            <v>19232197.420000002</v>
          </cell>
          <cell r="Z655">
            <v>2001</v>
          </cell>
        </row>
        <row r="656">
          <cell r="E656">
            <v>40105910.009999998</v>
          </cell>
          <cell r="Z656">
            <v>2001</v>
          </cell>
        </row>
        <row r="657">
          <cell r="E657">
            <v>-1008889.67</v>
          </cell>
          <cell r="Z657">
            <v>2001</v>
          </cell>
        </row>
        <row r="658">
          <cell r="E658">
            <v>-609194.31999999995</v>
          </cell>
          <cell r="Z658">
            <v>2001</v>
          </cell>
        </row>
        <row r="659">
          <cell r="E659">
            <v>1626159.15</v>
          </cell>
          <cell r="Z659">
            <v>2001</v>
          </cell>
        </row>
        <row r="660">
          <cell r="E660">
            <v>1365714</v>
          </cell>
          <cell r="Z660">
            <v>2002</v>
          </cell>
        </row>
        <row r="661">
          <cell r="E661">
            <v>-164526.88</v>
          </cell>
          <cell r="Z661">
            <v>2002</v>
          </cell>
        </row>
        <row r="662">
          <cell r="E662">
            <v>12740597.84</v>
          </cell>
          <cell r="Z662">
            <v>2002</v>
          </cell>
        </row>
        <row r="663">
          <cell r="E663">
            <v>119811</v>
          </cell>
          <cell r="Z663">
            <v>2002</v>
          </cell>
        </row>
        <row r="664">
          <cell r="E664">
            <v>-159885.51</v>
          </cell>
          <cell r="Z664">
            <v>2002</v>
          </cell>
        </row>
        <row r="665">
          <cell r="E665">
            <v>7528475.0199999996</v>
          </cell>
          <cell r="Z665">
            <v>2004</v>
          </cell>
        </row>
        <row r="666">
          <cell r="E666">
            <v>-98445.45</v>
          </cell>
          <cell r="Z666">
            <v>2004</v>
          </cell>
        </row>
        <row r="667">
          <cell r="E667">
            <v>-5.33</v>
          </cell>
          <cell r="Z667">
            <v>2004</v>
          </cell>
        </row>
        <row r="668">
          <cell r="E668">
            <v>5.33</v>
          </cell>
          <cell r="Z668">
            <v>2004</v>
          </cell>
        </row>
        <row r="669">
          <cell r="D669">
            <v>-3556078</v>
          </cell>
          <cell r="Z669">
            <v>1998</v>
          </cell>
        </row>
        <row r="670">
          <cell r="D670">
            <v>-9000000</v>
          </cell>
          <cell r="Z670">
            <v>1999</v>
          </cell>
        </row>
        <row r="671">
          <cell r="D671">
            <v>-5000000</v>
          </cell>
          <cell r="Z671">
            <v>1999</v>
          </cell>
        </row>
        <row r="672">
          <cell r="D672">
            <v>-3500000</v>
          </cell>
          <cell r="Z672">
            <v>1999</v>
          </cell>
        </row>
        <row r="673">
          <cell r="D673">
            <v>-5246489</v>
          </cell>
          <cell r="Z673">
            <v>1999</v>
          </cell>
        </row>
        <row r="674">
          <cell r="D674">
            <v>31124</v>
          </cell>
          <cell r="Z674">
            <v>1999</v>
          </cell>
        </row>
        <row r="675">
          <cell r="D675">
            <v>-1894946.88</v>
          </cell>
          <cell r="Z675">
            <v>2000</v>
          </cell>
        </row>
        <row r="676">
          <cell r="D676">
            <v>-42840.9</v>
          </cell>
          <cell r="Z676">
            <v>2000</v>
          </cell>
        </row>
        <row r="677">
          <cell r="D677">
            <v>-41509.67</v>
          </cell>
          <cell r="Z677">
            <v>2000</v>
          </cell>
        </row>
        <row r="678">
          <cell r="D678">
            <v>-5756.68</v>
          </cell>
          <cell r="Z678">
            <v>2000</v>
          </cell>
        </row>
        <row r="679">
          <cell r="D679">
            <v>-1000000</v>
          </cell>
          <cell r="Z679">
            <v>2001</v>
          </cell>
        </row>
        <row r="680">
          <cell r="D680">
            <v>-1000000</v>
          </cell>
          <cell r="Z680">
            <v>2001</v>
          </cell>
        </row>
        <row r="681">
          <cell r="D681">
            <v>-3000000</v>
          </cell>
          <cell r="Z681">
            <v>2001</v>
          </cell>
        </row>
        <row r="682">
          <cell r="D682">
            <v>-12115.62</v>
          </cell>
          <cell r="Z682">
            <v>2001</v>
          </cell>
        </row>
        <row r="683">
          <cell r="D683">
            <v>-25000</v>
          </cell>
          <cell r="Z683">
            <v>2002</v>
          </cell>
        </row>
        <row r="684">
          <cell r="D684">
            <v>-977.85</v>
          </cell>
          <cell r="Z684">
            <v>2003</v>
          </cell>
        </row>
        <row r="685">
          <cell r="D685">
            <v>-5110.4799999999996</v>
          </cell>
          <cell r="Z685">
            <v>2003</v>
          </cell>
        </row>
        <row r="686">
          <cell r="D686">
            <v>10296.41</v>
          </cell>
          <cell r="Z686">
            <v>2003</v>
          </cell>
        </row>
        <row r="687">
          <cell r="E687">
            <v>10501191.15</v>
          </cell>
          <cell r="Z687">
            <v>2004</v>
          </cell>
        </row>
        <row r="688">
          <cell r="E688">
            <v>33301420.260000002</v>
          </cell>
          <cell r="Z688">
            <v>2004</v>
          </cell>
        </row>
        <row r="689">
          <cell r="E689">
            <v>-8879187</v>
          </cell>
          <cell r="Z689">
            <v>2004</v>
          </cell>
        </row>
        <row r="690">
          <cell r="D690">
            <v>-12015.59</v>
          </cell>
          <cell r="Z690">
            <v>2004</v>
          </cell>
        </row>
        <row r="691">
          <cell r="E691">
            <v>2066941</v>
          </cell>
          <cell r="Z691">
            <v>2005</v>
          </cell>
        </row>
        <row r="692">
          <cell r="E692">
            <v>-28968.799999999999</v>
          </cell>
          <cell r="Z692">
            <v>2005</v>
          </cell>
        </row>
        <row r="693">
          <cell r="E693">
            <v>110814570</v>
          </cell>
          <cell r="Z693">
            <v>2005</v>
          </cell>
        </row>
        <row r="694">
          <cell r="E694">
            <v>-6441.87</v>
          </cell>
          <cell r="Z694">
            <v>2005</v>
          </cell>
        </row>
        <row r="695">
          <cell r="E695">
            <v>-22937.27</v>
          </cell>
          <cell r="Z695">
            <v>2005</v>
          </cell>
        </row>
        <row r="696">
          <cell r="E696">
            <v>208363</v>
          </cell>
          <cell r="Z696">
            <v>2006</v>
          </cell>
        </row>
        <row r="697">
          <cell r="E697">
            <v>1258915</v>
          </cell>
          <cell r="Z697">
            <v>2006</v>
          </cell>
        </row>
        <row r="698">
          <cell r="E698">
            <v>223688</v>
          </cell>
          <cell r="Z698">
            <v>2006</v>
          </cell>
        </row>
        <row r="699">
          <cell r="E699">
            <v>79009217</v>
          </cell>
          <cell r="Z699">
            <v>2006</v>
          </cell>
        </row>
        <row r="700">
          <cell r="E700">
            <v>39446709.520000003</v>
          </cell>
          <cell r="Z700">
            <v>2007</v>
          </cell>
        </row>
        <row r="701">
          <cell r="E701">
            <v>241447.66</v>
          </cell>
          <cell r="Z701">
            <v>2007</v>
          </cell>
        </row>
        <row r="702">
          <cell r="E702">
            <v>3125024.65</v>
          </cell>
          <cell r="Z702">
            <v>2008</v>
          </cell>
        </row>
        <row r="703">
          <cell r="D703">
            <v>-1222693.3700000001</v>
          </cell>
          <cell r="Z703">
            <v>2000</v>
          </cell>
        </row>
        <row r="704">
          <cell r="D704">
            <v>-1841917.78</v>
          </cell>
          <cell r="Z704">
            <v>2000</v>
          </cell>
        </row>
        <row r="705">
          <cell r="E705">
            <v>89331.79</v>
          </cell>
          <cell r="Z705">
            <v>2000</v>
          </cell>
        </row>
        <row r="706">
          <cell r="E706">
            <v>25845.38</v>
          </cell>
          <cell r="Z706">
            <v>2001</v>
          </cell>
        </row>
        <row r="707">
          <cell r="E707">
            <v>3209877.18</v>
          </cell>
          <cell r="Z707">
            <v>2001</v>
          </cell>
        </row>
        <row r="708">
          <cell r="D708">
            <v>-131822.5</v>
          </cell>
          <cell r="Z708">
            <v>2001</v>
          </cell>
        </row>
        <row r="709">
          <cell r="E709">
            <v>782418.15</v>
          </cell>
          <cell r="Z709">
            <v>2001</v>
          </cell>
        </row>
        <row r="710">
          <cell r="D710">
            <v>-13443.53</v>
          </cell>
          <cell r="Z710">
            <v>2001</v>
          </cell>
        </row>
        <row r="711">
          <cell r="D711">
            <v>-1250000</v>
          </cell>
          <cell r="Z711">
            <v>2000</v>
          </cell>
        </row>
        <row r="712">
          <cell r="D712">
            <v>-200000</v>
          </cell>
          <cell r="Z712">
            <v>2001</v>
          </cell>
        </row>
        <row r="713">
          <cell r="D713">
            <v>-200000</v>
          </cell>
          <cell r="Z713">
            <v>2001</v>
          </cell>
        </row>
        <row r="714">
          <cell r="D714">
            <v>-11555.73</v>
          </cell>
          <cell r="Z714">
            <v>2001</v>
          </cell>
        </row>
        <row r="715">
          <cell r="D715">
            <v>-217792.63</v>
          </cell>
          <cell r="Z715">
            <v>2002</v>
          </cell>
        </row>
        <row r="716">
          <cell r="D716">
            <v>-3543.78</v>
          </cell>
          <cell r="Z716">
            <v>2003</v>
          </cell>
        </row>
        <row r="717">
          <cell r="D717">
            <v>-4902.83</v>
          </cell>
          <cell r="Z717">
            <v>2003</v>
          </cell>
        </row>
        <row r="718">
          <cell r="D718">
            <v>13349.39</v>
          </cell>
          <cell r="Z718">
            <v>2003</v>
          </cell>
        </row>
        <row r="719">
          <cell r="D719">
            <v>-3543.78</v>
          </cell>
          <cell r="Z719">
            <v>2004</v>
          </cell>
        </row>
        <row r="720">
          <cell r="D720">
            <v>3543.77</v>
          </cell>
          <cell r="Z720">
            <v>2004</v>
          </cell>
        </row>
        <row r="721">
          <cell r="D721">
            <v>-2269</v>
          </cell>
          <cell r="Z721">
            <v>2005</v>
          </cell>
        </row>
        <row r="722">
          <cell r="D722">
            <v>-2002.56</v>
          </cell>
          <cell r="Z722">
            <v>2005</v>
          </cell>
        </row>
        <row r="723">
          <cell r="D723">
            <v>4271</v>
          </cell>
          <cell r="Z723">
            <v>2005</v>
          </cell>
        </row>
        <row r="724">
          <cell r="D724">
            <v>-1116000</v>
          </cell>
          <cell r="Z724">
            <v>2006</v>
          </cell>
        </row>
        <row r="725">
          <cell r="D725">
            <v>-20800000</v>
          </cell>
          <cell r="Z725">
            <v>2006</v>
          </cell>
        </row>
        <row r="726">
          <cell r="D726">
            <v>-285032.53000000003</v>
          </cell>
          <cell r="Z726">
            <v>2006</v>
          </cell>
        </row>
        <row r="727">
          <cell r="D727">
            <v>-4398.1099999999997</v>
          </cell>
          <cell r="Z727">
            <v>2007</v>
          </cell>
        </row>
        <row r="728">
          <cell r="D728">
            <v>-8418.86</v>
          </cell>
          <cell r="Z728">
            <v>2007</v>
          </cell>
        </row>
        <row r="729">
          <cell r="D729">
            <v>-7283.81</v>
          </cell>
          <cell r="Z729">
            <v>2007</v>
          </cell>
        </row>
        <row r="730">
          <cell r="D730">
            <v>-622.20000000000005</v>
          </cell>
          <cell r="Z730">
            <v>2007</v>
          </cell>
        </row>
        <row r="731">
          <cell r="D731">
            <v>-2902.5</v>
          </cell>
          <cell r="Z731">
            <v>2007</v>
          </cell>
        </row>
        <row r="732">
          <cell r="D732">
            <v>-8474.09</v>
          </cell>
          <cell r="Z732">
            <v>2007</v>
          </cell>
        </row>
        <row r="733">
          <cell r="D733">
            <v>-48240.17</v>
          </cell>
          <cell r="Z733">
            <v>2007</v>
          </cell>
        </row>
        <row r="734">
          <cell r="D734">
            <v>-2753.91</v>
          </cell>
          <cell r="Z734">
            <v>2007</v>
          </cell>
        </row>
        <row r="735">
          <cell r="D735">
            <v>-3275.56</v>
          </cell>
          <cell r="Z735">
            <v>2008</v>
          </cell>
        </row>
        <row r="736">
          <cell r="D736">
            <v>-2430.09</v>
          </cell>
          <cell r="Z736">
            <v>2008</v>
          </cell>
        </row>
        <row r="737">
          <cell r="D737">
            <v>-6465.2</v>
          </cell>
          <cell r="Z737">
            <v>2008</v>
          </cell>
        </row>
        <row r="738">
          <cell r="D738">
            <v>-11116.04</v>
          </cell>
          <cell r="Z738">
            <v>2008</v>
          </cell>
        </row>
        <row r="739">
          <cell r="D739">
            <v>-313.5</v>
          </cell>
          <cell r="Z739">
            <v>2008</v>
          </cell>
        </row>
        <row r="740">
          <cell r="D740">
            <v>-313.5</v>
          </cell>
          <cell r="Z740">
            <v>2008</v>
          </cell>
        </row>
        <row r="741">
          <cell r="D741">
            <v>-313.5</v>
          </cell>
          <cell r="Z741">
            <v>2008</v>
          </cell>
        </row>
        <row r="742">
          <cell r="D742">
            <v>-313.5</v>
          </cell>
          <cell r="Z742">
            <v>2008</v>
          </cell>
        </row>
        <row r="743">
          <cell r="D743">
            <v>-313.5</v>
          </cell>
          <cell r="Z743">
            <v>2008</v>
          </cell>
        </row>
        <row r="744">
          <cell r="D744">
            <v>-727.6</v>
          </cell>
          <cell r="Z744">
            <v>2008</v>
          </cell>
        </row>
        <row r="745">
          <cell r="D745">
            <v>-17500</v>
          </cell>
          <cell r="Z745">
            <v>2008</v>
          </cell>
        </row>
        <row r="746">
          <cell r="D746">
            <v>-41845.71</v>
          </cell>
          <cell r="Z746">
            <v>2008</v>
          </cell>
        </row>
        <row r="747">
          <cell r="D747">
            <v>-7000</v>
          </cell>
          <cell r="Z747">
            <v>2008</v>
          </cell>
        </row>
        <row r="748">
          <cell r="E748">
            <v>27803326.329999998</v>
          </cell>
          <cell r="Z748">
            <v>2008</v>
          </cell>
        </row>
        <row r="749">
          <cell r="D749">
            <v>39061.18</v>
          </cell>
          <cell r="Z749">
            <v>2008</v>
          </cell>
        </row>
        <row r="750">
          <cell r="D750">
            <v>71342.28</v>
          </cell>
          <cell r="Z750">
            <v>2008</v>
          </cell>
        </row>
        <row r="751">
          <cell r="D751">
            <v>-276</v>
          </cell>
          <cell r="Z751">
            <v>2008</v>
          </cell>
        </row>
        <row r="752">
          <cell r="D752">
            <v>-276</v>
          </cell>
          <cell r="Z752">
            <v>2008</v>
          </cell>
        </row>
        <row r="753">
          <cell r="D753">
            <v>-276</v>
          </cell>
          <cell r="Z753">
            <v>2008</v>
          </cell>
        </row>
        <row r="754">
          <cell r="D754">
            <v>-276</v>
          </cell>
          <cell r="Z754">
            <v>2008</v>
          </cell>
        </row>
        <row r="755">
          <cell r="D755">
            <v>-276</v>
          </cell>
          <cell r="Z755">
            <v>2008</v>
          </cell>
        </row>
        <row r="756">
          <cell r="D756">
            <v>442.5</v>
          </cell>
          <cell r="Z756">
            <v>2008</v>
          </cell>
        </row>
        <row r="757">
          <cell r="D757">
            <v>-36775.629999999997</v>
          </cell>
          <cell r="Z757">
            <v>2008</v>
          </cell>
        </row>
        <row r="758">
          <cell r="D758">
            <v>-103645.73</v>
          </cell>
          <cell r="Z758">
            <v>2008</v>
          </cell>
        </row>
        <row r="759">
          <cell r="D759">
            <v>-4795.75</v>
          </cell>
          <cell r="Z759">
            <v>2008</v>
          </cell>
        </row>
        <row r="760">
          <cell r="D760">
            <v>719.6</v>
          </cell>
          <cell r="Z760">
            <v>2008</v>
          </cell>
        </row>
        <row r="761">
          <cell r="D761">
            <v>-254</v>
          </cell>
          <cell r="Z761">
            <v>2008</v>
          </cell>
        </row>
        <row r="762">
          <cell r="D762">
            <v>-254</v>
          </cell>
          <cell r="Z762">
            <v>2008</v>
          </cell>
        </row>
        <row r="763">
          <cell r="D763">
            <v>-254</v>
          </cell>
          <cell r="Z763">
            <v>2008</v>
          </cell>
        </row>
        <row r="764">
          <cell r="D764">
            <v>-1964.6</v>
          </cell>
          <cell r="Z764">
            <v>2008</v>
          </cell>
        </row>
        <row r="765">
          <cell r="D765">
            <v>756.35</v>
          </cell>
          <cell r="Z765">
            <v>2008</v>
          </cell>
        </row>
        <row r="766">
          <cell r="D766">
            <v>200271.78</v>
          </cell>
          <cell r="Z766">
            <v>2008</v>
          </cell>
        </row>
        <row r="767">
          <cell r="E767">
            <v>479885</v>
          </cell>
          <cell r="Z767">
            <v>2009</v>
          </cell>
        </row>
        <row r="768">
          <cell r="E768">
            <v>6107617.6699999999</v>
          </cell>
          <cell r="Z768">
            <v>2009</v>
          </cell>
        </row>
        <row r="769">
          <cell r="E769">
            <v>20777272.469999999</v>
          </cell>
          <cell r="Z769">
            <v>2009</v>
          </cell>
        </row>
        <row r="770">
          <cell r="Z770">
            <v>2010</v>
          </cell>
        </row>
        <row r="771">
          <cell r="D771">
            <v>-100000</v>
          </cell>
          <cell r="Z771">
            <v>2007</v>
          </cell>
        </row>
        <row r="772">
          <cell r="D772">
            <v>-15000</v>
          </cell>
          <cell r="Z772">
            <v>2007</v>
          </cell>
        </row>
        <row r="773">
          <cell r="D773">
            <v>-15000</v>
          </cell>
          <cell r="Z773">
            <v>2007</v>
          </cell>
        </row>
        <row r="774">
          <cell r="D774">
            <v>-15000</v>
          </cell>
          <cell r="Z774">
            <v>2007</v>
          </cell>
        </row>
        <row r="775">
          <cell r="D775">
            <v>-15000</v>
          </cell>
          <cell r="Z775">
            <v>2007</v>
          </cell>
        </row>
        <row r="776">
          <cell r="D776">
            <v>-85000</v>
          </cell>
          <cell r="Z776">
            <v>2007</v>
          </cell>
        </row>
        <row r="777">
          <cell r="D777">
            <v>-15000</v>
          </cell>
          <cell r="Z777">
            <v>2007</v>
          </cell>
        </row>
        <row r="778">
          <cell r="D778">
            <v>-150000</v>
          </cell>
          <cell r="Z778">
            <v>2007</v>
          </cell>
        </row>
        <row r="779">
          <cell r="D779">
            <v>-15000</v>
          </cell>
          <cell r="Z779">
            <v>2007</v>
          </cell>
        </row>
        <row r="780">
          <cell r="D780">
            <v>-158338.9</v>
          </cell>
          <cell r="Z780">
            <v>2007</v>
          </cell>
        </row>
        <row r="781">
          <cell r="D781">
            <v>100000</v>
          </cell>
          <cell r="Z781">
            <v>2007</v>
          </cell>
        </row>
        <row r="782">
          <cell r="D782">
            <v>-7300000</v>
          </cell>
          <cell r="Z782">
            <v>2007</v>
          </cell>
        </row>
        <row r="783">
          <cell r="D783">
            <v>-7200000</v>
          </cell>
          <cell r="Z783">
            <v>2007</v>
          </cell>
        </row>
        <row r="784">
          <cell r="D784">
            <v>-15000</v>
          </cell>
          <cell r="Z784">
            <v>2007</v>
          </cell>
        </row>
        <row r="785">
          <cell r="D785">
            <v>-12000000</v>
          </cell>
          <cell r="Z785">
            <v>2007</v>
          </cell>
        </row>
        <row r="786">
          <cell r="D786">
            <v>-4800000</v>
          </cell>
          <cell r="Z786">
            <v>2007</v>
          </cell>
        </row>
        <row r="787">
          <cell r="D787">
            <v>1000000</v>
          </cell>
          <cell r="Z787">
            <v>2007</v>
          </cell>
        </row>
        <row r="788">
          <cell r="D788">
            <v>-4421.03</v>
          </cell>
          <cell r="Z788">
            <v>2007</v>
          </cell>
        </row>
        <row r="789">
          <cell r="D789">
            <v>-1840</v>
          </cell>
          <cell r="Z789">
            <v>2008</v>
          </cell>
        </row>
        <row r="790">
          <cell r="D790">
            <v>3330000</v>
          </cell>
          <cell r="Z790">
            <v>2008</v>
          </cell>
        </row>
        <row r="791">
          <cell r="D791">
            <v>-8866000</v>
          </cell>
          <cell r="Z791">
            <v>2008</v>
          </cell>
        </row>
        <row r="792">
          <cell r="D792">
            <v>-464000</v>
          </cell>
          <cell r="Z792">
            <v>2008</v>
          </cell>
        </row>
        <row r="793">
          <cell r="D793">
            <v>-18989.400000000001</v>
          </cell>
          <cell r="Z793">
            <v>2008</v>
          </cell>
        </row>
        <row r="794">
          <cell r="D794">
            <v>-313.5</v>
          </cell>
          <cell r="Z794">
            <v>2008</v>
          </cell>
        </row>
        <row r="795">
          <cell r="D795">
            <v>-313.5</v>
          </cell>
          <cell r="Z795">
            <v>2008</v>
          </cell>
        </row>
        <row r="796">
          <cell r="D796">
            <v>-313.5</v>
          </cell>
          <cell r="Z796">
            <v>2008</v>
          </cell>
        </row>
        <row r="797">
          <cell r="D797">
            <v>-313.5</v>
          </cell>
          <cell r="Z797">
            <v>2008</v>
          </cell>
        </row>
        <row r="798">
          <cell r="D798">
            <v>-313.5</v>
          </cell>
          <cell r="Z798">
            <v>2008</v>
          </cell>
        </row>
        <row r="799">
          <cell r="D799">
            <v>-3915.16</v>
          </cell>
          <cell r="Z799">
            <v>2008</v>
          </cell>
        </row>
        <row r="800">
          <cell r="D800">
            <v>-1622.7</v>
          </cell>
          <cell r="Z800">
            <v>2008</v>
          </cell>
        </row>
        <row r="801">
          <cell r="D801">
            <v>442.5</v>
          </cell>
          <cell r="Z801">
            <v>2008</v>
          </cell>
        </row>
        <row r="802">
          <cell r="D802">
            <v>-1410.76</v>
          </cell>
          <cell r="Z802">
            <v>2008</v>
          </cell>
        </row>
        <row r="803">
          <cell r="D803">
            <v>-276</v>
          </cell>
          <cell r="Z803">
            <v>2008</v>
          </cell>
        </row>
        <row r="804">
          <cell r="D804">
            <v>-276</v>
          </cell>
          <cell r="Z804">
            <v>2008</v>
          </cell>
        </row>
        <row r="805">
          <cell r="D805">
            <v>-276</v>
          </cell>
          <cell r="Z805">
            <v>2008</v>
          </cell>
        </row>
        <row r="806">
          <cell r="D806">
            <v>-276</v>
          </cell>
          <cell r="Z806">
            <v>2008</v>
          </cell>
        </row>
        <row r="807">
          <cell r="D807">
            <v>-276</v>
          </cell>
          <cell r="Z807">
            <v>2008</v>
          </cell>
        </row>
        <row r="808">
          <cell r="D808">
            <v>-27749478.600000001</v>
          </cell>
          <cell r="Z808">
            <v>2008</v>
          </cell>
        </row>
        <row r="809">
          <cell r="D809">
            <v>-80630.25</v>
          </cell>
          <cell r="Z809">
            <v>2008</v>
          </cell>
        </row>
        <row r="810">
          <cell r="D810">
            <v>3979.2</v>
          </cell>
          <cell r="Z810">
            <v>2008</v>
          </cell>
        </row>
        <row r="811">
          <cell r="D811">
            <v>27830108.850000001</v>
          </cell>
          <cell r="Z811">
            <v>2008</v>
          </cell>
        </row>
        <row r="812">
          <cell r="E812">
            <v>20033553.940000001</v>
          </cell>
          <cell r="Z812">
            <v>2008</v>
          </cell>
        </row>
        <row r="813">
          <cell r="D813">
            <v>-6893.62</v>
          </cell>
          <cell r="Z813">
            <v>2008</v>
          </cell>
        </row>
        <row r="814">
          <cell r="D814">
            <v>-10471.66</v>
          </cell>
          <cell r="Z814">
            <v>2008</v>
          </cell>
        </row>
        <row r="815">
          <cell r="D815">
            <v>-528807</v>
          </cell>
          <cell r="Z815">
            <v>2008</v>
          </cell>
        </row>
        <row r="816">
          <cell r="D816">
            <v>-110750.16</v>
          </cell>
          <cell r="Z816">
            <v>2008</v>
          </cell>
        </row>
        <row r="817">
          <cell r="D817">
            <v>-5429.09</v>
          </cell>
          <cell r="Z817">
            <v>2009</v>
          </cell>
        </row>
        <row r="818">
          <cell r="D818">
            <v>-1923.17</v>
          </cell>
          <cell r="Z818">
            <v>2009</v>
          </cell>
        </row>
        <row r="819">
          <cell r="D819">
            <v>-1873.24</v>
          </cell>
          <cell r="Z819">
            <v>2009</v>
          </cell>
        </row>
        <row r="820">
          <cell r="D820">
            <v>-2772520.32</v>
          </cell>
          <cell r="Z820">
            <v>2009</v>
          </cell>
        </row>
        <row r="821">
          <cell r="D821">
            <v>-660265.43000000005</v>
          </cell>
          <cell r="Z821">
            <v>2009</v>
          </cell>
        </row>
        <row r="822">
          <cell r="D822">
            <v>-1250</v>
          </cell>
          <cell r="Z822">
            <v>2009</v>
          </cell>
        </row>
        <row r="823">
          <cell r="D823">
            <v>-291</v>
          </cell>
          <cell r="Z823">
            <v>2009</v>
          </cell>
        </row>
        <row r="824">
          <cell r="D824">
            <v>-291</v>
          </cell>
          <cell r="Z824">
            <v>2009</v>
          </cell>
        </row>
        <row r="825">
          <cell r="D825">
            <v>-291</v>
          </cell>
          <cell r="Z825">
            <v>2009</v>
          </cell>
        </row>
        <row r="826">
          <cell r="D826">
            <v>-291</v>
          </cell>
          <cell r="Z826">
            <v>2009</v>
          </cell>
        </row>
        <row r="827">
          <cell r="D827">
            <v>-291</v>
          </cell>
          <cell r="Z827">
            <v>2009</v>
          </cell>
        </row>
        <row r="828">
          <cell r="D828">
            <v>-836.64</v>
          </cell>
          <cell r="Z828">
            <v>2009</v>
          </cell>
        </row>
        <row r="829">
          <cell r="D829">
            <v>-1600000</v>
          </cell>
          <cell r="Z829">
            <v>2009</v>
          </cell>
        </row>
        <row r="830">
          <cell r="D830">
            <v>-10359.129999999999</v>
          </cell>
          <cell r="Z830">
            <v>2009</v>
          </cell>
        </row>
        <row r="831">
          <cell r="D831">
            <v>-4500000</v>
          </cell>
          <cell r="Z831">
            <v>2009</v>
          </cell>
        </row>
        <row r="832">
          <cell r="D832">
            <v>-4523.32</v>
          </cell>
          <cell r="Z832">
            <v>2009</v>
          </cell>
        </row>
        <row r="833">
          <cell r="D833">
            <v>-1488307.33</v>
          </cell>
          <cell r="Z833">
            <v>2009</v>
          </cell>
        </row>
        <row r="834">
          <cell r="D834">
            <v>-1341536.6599999999</v>
          </cell>
          <cell r="Z834">
            <v>2009</v>
          </cell>
        </row>
        <row r="835">
          <cell r="Z835">
            <v>2010</v>
          </cell>
        </row>
        <row r="836">
          <cell r="D836">
            <v>-500000</v>
          </cell>
          <cell r="Z836">
            <v>2000</v>
          </cell>
        </row>
        <row r="837">
          <cell r="D837">
            <v>-1300000</v>
          </cell>
          <cell r="Z837">
            <v>2000</v>
          </cell>
        </row>
        <row r="838">
          <cell r="D838">
            <v>-8199999.5</v>
          </cell>
          <cell r="Z838">
            <v>2000</v>
          </cell>
        </row>
        <row r="839">
          <cell r="D839">
            <v>-2250939.88</v>
          </cell>
          <cell r="Z839">
            <v>2000</v>
          </cell>
        </row>
        <row r="840">
          <cell r="D840">
            <v>-370000</v>
          </cell>
          <cell r="Z840">
            <v>2000</v>
          </cell>
        </row>
        <row r="841">
          <cell r="D841">
            <v>-160000</v>
          </cell>
          <cell r="Z841">
            <v>2000</v>
          </cell>
        </row>
        <row r="842">
          <cell r="D842">
            <v>-1220.73</v>
          </cell>
          <cell r="Z842">
            <v>2000</v>
          </cell>
        </row>
        <row r="843">
          <cell r="D843">
            <v>-300000</v>
          </cell>
          <cell r="Z843">
            <v>2001</v>
          </cell>
        </row>
        <row r="844">
          <cell r="D844">
            <v>-71809.84</v>
          </cell>
          <cell r="Z844">
            <v>2001</v>
          </cell>
        </row>
        <row r="845">
          <cell r="D845">
            <v>-77324.5</v>
          </cell>
          <cell r="Z845">
            <v>2002</v>
          </cell>
        </row>
        <row r="846">
          <cell r="D846">
            <v>-6750000</v>
          </cell>
          <cell r="Z846">
            <v>2002</v>
          </cell>
        </row>
        <row r="847">
          <cell r="D847">
            <v>-297861.78000000003</v>
          </cell>
          <cell r="Z847">
            <v>2002</v>
          </cell>
        </row>
        <row r="848">
          <cell r="D848">
            <v>-38253.919999999998</v>
          </cell>
          <cell r="Z848">
            <v>2002</v>
          </cell>
        </row>
        <row r="849">
          <cell r="D849">
            <v>-500000</v>
          </cell>
          <cell r="Z849">
            <v>2002</v>
          </cell>
        </row>
        <row r="850">
          <cell r="D850">
            <v>-753360.22</v>
          </cell>
          <cell r="Z850">
            <v>2003</v>
          </cell>
        </row>
        <row r="851">
          <cell r="D851">
            <v>-105866</v>
          </cell>
          <cell r="Z851">
            <v>2003</v>
          </cell>
        </row>
        <row r="852">
          <cell r="D852">
            <v>-20529.3</v>
          </cell>
          <cell r="Z852">
            <v>2003</v>
          </cell>
        </row>
        <row r="853">
          <cell r="D853">
            <v>50839.32</v>
          </cell>
          <cell r="Z853">
            <v>2003</v>
          </cell>
        </row>
        <row r="854">
          <cell r="D854">
            <v>-3360.22</v>
          </cell>
          <cell r="Z854">
            <v>2004</v>
          </cell>
        </row>
        <row r="855">
          <cell r="D855">
            <v>-2100</v>
          </cell>
          <cell r="Z855">
            <v>2004</v>
          </cell>
        </row>
        <row r="856">
          <cell r="D856">
            <v>-12000</v>
          </cell>
          <cell r="Z856">
            <v>2004</v>
          </cell>
        </row>
        <row r="857">
          <cell r="D857">
            <v>-412236.01</v>
          </cell>
          <cell r="Z857">
            <v>2004</v>
          </cell>
        </row>
        <row r="858">
          <cell r="D858">
            <v>3360.22</v>
          </cell>
          <cell r="Z858">
            <v>2004</v>
          </cell>
        </row>
        <row r="859">
          <cell r="D859">
            <v>24566</v>
          </cell>
          <cell r="Z859">
            <v>2004</v>
          </cell>
        </row>
        <row r="860">
          <cell r="D860">
            <v>-755456.4</v>
          </cell>
          <cell r="Z860">
            <v>2005</v>
          </cell>
        </row>
        <row r="861">
          <cell r="D861">
            <v>-380463.57</v>
          </cell>
          <cell r="Z861">
            <v>2005</v>
          </cell>
        </row>
        <row r="862">
          <cell r="D862">
            <v>-2102</v>
          </cell>
          <cell r="Z862">
            <v>2005</v>
          </cell>
        </row>
        <row r="863">
          <cell r="D863">
            <v>-4500000</v>
          </cell>
          <cell r="Z863">
            <v>2005</v>
          </cell>
        </row>
        <row r="864">
          <cell r="D864">
            <v>-14432.78</v>
          </cell>
          <cell r="Z864">
            <v>2005</v>
          </cell>
        </row>
        <row r="865">
          <cell r="D865">
            <v>-401770</v>
          </cell>
          <cell r="Z865">
            <v>2005</v>
          </cell>
        </row>
        <row r="866">
          <cell r="D866">
            <v>803540</v>
          </cell>
          <cell r="Z866">
            <v>2005</v>
          </cell>
        </row>
        <row r="867">
          <cell r="D867">
            <v>-12000</v>
          </cell>
          <cell r="Z867">
            <v>2006</v>
          </cell>
        </row>
        <row r="868">
          <cell r="D868">
            <v>-26124.16</v>
          </cell>
          <cell r="Z868">
            <v>2006</v>
          </cell>
        </row>
        <row r="869">
          <cell r="D869">
            <v>-4468.96</v>
          </cell>
          <cell r="Z869">
            <v>2006</v>
          </cell>
        </row>
        <row r="870">
          <cell r="D870">
            <v>-4882.46</v>
          </cell>
          <cell r="Z870">
            <v>2006</v>
          </cell>
        </row>
        <row r="871">
          <cell r="D871">
            <v>-2160</v>
          </cell>
          <cell r="Z871">
            <v>2006</v>
          </cell>
        </row>
        <row r="872">
          <cell r="D872">
            <v>-6378.97</v>
          </cell>
          <cell r="Z872">
            <v>2006</v>
          </cell>
        </row>
        <row r="873">
          <cell r="D873">
            <v>-10000</v>
          </cell>
          <cell r="Z873">
            <v>2006</v>
          </cell>
        </row>
        <row r="874">
          <cell r="D874">
            <v>-13317.91</v>
          </cell>
          <cell r="Z874">
            <v>2006</v>
          </cell>
        </row>
        <row r="875">
          <cell r="D875">
            <v>-4027.09</v>
          </cell>
          <cell r="Z875">
            <v>2007</v>
          </cell>
        </row>
        <row r="876">
          <cell r="D876">
            <v>-5965.51</v>
          </cell>
          <cell r="Z876">
            <v>2007</v>
          </cell>
        </row>
        <row r="877">
          <cell r="D877">
            <v>-2475</v>
          </cell>
          <cell r="Z877">
            <v>2007</v>
          </cell>
        </row>
        <row r="878">
          <cell r="D878">
            <v>-10000</v>
          </cell>
          <cell r="Z878">
            <v>2007</v>
          </cell>
        </row>
        <row r="879">
          <cell r="D879">
            <v>-1616.91</v>
          </cell>
          <cell r="Z879">
            <v>2007</v>
          </cell>
        </row>
        <row r="880">
          <cell r="D880">
            <v>-3137.97</v>
          </cell>
          <cell r="Z880">
            <v>2007</v>
          </cell>
        </row>
        <row r="881">
          <cell r="D881">
            <v>-1885.31</v>
          </cell>
          <cell r="Z881">
            <v>2007</v>
          </cell>
        </row>
        <row r="882">
          <cell r="D882">
            <v>-3504.14</v>
          </cell>
          <cell r="Z882">
            <v>2008</v>
          </cell>
        </row>
        <row r="883">
          <cell r="D883">
            <v>-6066.37</v>
          </cell>
          <cell r="Z883">
            <v>2008</v>
          </cell>
        </row>
        <row r="884">
          <cell r="D884">
            <v>-67050</v>
          </cell>
          <cell r="Z884">
            <v>2008</v>
          </cell>
        </row>
        <row r="885">
          <cell r="D885">
            <v>-4957</v>
          </cell>
          <cell r="Z885">
            <v>2008</v>
          </cell>
        </row>
        <row r="886">
          <cell r="D886">
            <v>-1278.5</v>
          </cell>
          <cell r="Z886">
            <v>2008</v>
          </cell>
        </row>
        <row r="887">
          <cell r="D887">
            <v>-10501.97</v>
          </cell>
          <cell r="Z887">
            <v>2008</v>
          </cell>
        </row>
        <row r="888">
          <cell r="D888">
            <v>-3935.54</v>
          </cell>
          <cell r="Z888">
            <v>2008</v>
          </cell>
        </row>
        <row r="889">
          <cell r="D889">
            <v>-11831.52</v>
          </cell>
          <cell r="Z889">
            <v>2008</v>
          </cell>
        </row>
        <row r="890">
          <cell r="D890">
            <v>-11248.66</v>
          </cell>
          <cell r="Z890">
            <v>2009</v>
          </cell>
        </row>
        <row r="891">
          <cell r="D891">
            <v>-4389.74</v>
          </cell>
          <cell r="Z891">
            <v>2009</v>
          </cell>
        </row>
        <row r="892">
          <cell r="D892">
            <v>-18000.330000000002</v>
          </cell>
          <cell r="Z892">
            <v>2009</v>
          </cell>
        </row>
        <row r="893">
          <cell r="D893">
            <v>-2532570.2400000002</v>
          </cell>
          <cell r="Z893">
            <v>2009</v>
          </cell>
        </row>
        <row r="894">
          <cell r="D894">
            <v>-36300</v>
          </cell>
          <cell r="Z894">
            <v>2009</v>
          </cell>
        </row>
        <row r="895">
          <cell r="D895">
            <v>-582</v>
          </cell>
          <cell r="Z895">
            <v>2009</v>
          </cell>
        </row>
        <row r="896">
          <cell r="D896">
            <v>-186.04</v>
          </cell>
          <cell r="Z896">
            <v>2009</v>
          </cell>
        </row>
        <row r="897">
          <cell r="D897">
            <v>-2193.21</v>
          </cell>
          <cell r="Z897">
            <v>2009</v>
          </cell>
        </row>
        <row r="898">
          <cell r="D898">
            <v>-2396</v>
          </cell>
          <cell r="Z898">
            <v>2009</v>
          </cell>
        </row>
        <row r="899">
          <cell r="D899">
            <v>-124.03</v>
          </cell>
          <cell r="Z899">
            <v>2009</v>
          </cell>
        </row>
        <row r="900">
          <cell r="D900">
            <v>-2337.5</v>
          </cell>
          <cell r="Z900">
            <v>2010</v>
          </cell>
        </row>
        <row r="901">
          <cell r="D901">
            <v>2396</v>
          </cell>
          <cell r="Z901">
            <v>2010</v>
          </cell>
        </row>
        <row r="902">
          <cell r="Z902">
            <v>2010</v>
          </cell>
        </row>
        <row r="903">
          <cell r="D903">
            <v>-41968.13</v>
          </cell>
          <cell r="Z903">
            <v>2009</v>
          </cell>
        </row>
        <row r="904">
          <cell r="D904">
            <v>-30331.88</v>
          </cell>
          <cell r="Z904">
            <v>2009</v>
          </cell>
        </row>
        <row r="905">
          <cell r="D905">
            <v>-8817.25</v>
          </cell>
          <cell r="Z905">
            <v>2009</v>
          </cell>
        </row>
        <row r="906">
          <cell r="D906">
            <v>-16232.83</v>
          </cell>
          <cell r="Z906">
            <v>2009</v>
          </cell>
        </row>
        <row r="907">
          <cell r="D907">
            <v>-9443.0400000000009</v>
          </cell>
          <cell r="Z907">
            <v>2009</v>
          </cell>
        </row>
        <row r="908">
          <cell r="D908">
            <v>-9138.16</v>
          </cell>
          <cell r="Z908">
            <v>2009</v>
          </cell>
        </row>
        <row r="909">
          <cell r="D909">
            <v>-2640</v>
          </cell>
          <cell r="Z909">
            <v>2009</v>
          </cell>
        </row>
        <row r="910">
          <cell r="D910">
            <v>-3567.74</v>
          </cell>
          <cell r="Z910">
            <v>2009</v>
          </cell>
        </row>
        <row r="911">
          <cell r="D911">
            <v>-9250.76</v>
          </cell>
          <cell r="Z911">
            <v>2009</v>
          </cell>
        </row>
        <row r="912">
          <cell r="D912">
            <v>-8952.08</v>
          </cell>
          <cell r="Z912">
            <v>2009</v>
          </cell>
        </row>
        <row r="913">
          <cell r="D913">
            <v>-8571.42</v>
          </cell>
          <cell r="Z913">
            <v>2009</v>
          </cell>
        </row>
        <row r="914">
          <cell r="D914">
            <v>-3809.52</v>
          </cell>
          <cell r="Z914">
            <v>2009</v>
          </cell>
        </row>
        <row r="915">
          <cell r="D915">
            <v>-33479520</v>
          </cell>
          <cell r="Z915">
            <v>2009</v>
          </cell>
        </row>
        <row r="916">
          <cell r="D916">
            <v>-31272998.399999999</v>
          </cell>
          <cell r="Z916">
            <v>2009</v>
          </cell>
        </row>
        <row r="917">
          <cell r="D917">
            <v>-253065.60000000001</v>
          </cell>
          <cell r="Z917">
            <v>2009</v>
          </cell>
        </row>
        <row r="918">
          <cell r="D918">
            <v>-30994160.780000001</v>
          </cell>
          <cell r="Z918">
            <v>2009</v>
          </cell>
        </row>
        <row r="919">
          <cell r="D919">
            <v>-65600</v>
          </cell>
          <cell r="Z919">
            <v>2009</v>
          </cell>
        </row>
        <row r="920">
          <cell r="D920">
            <v>-65600</v>
          </cell>
          <cell r="Z920">
            <v>2009</v>
          </cell>
        </row>
        <row r="921">
          <cell r="D921">
            <v>-9336.2000000000007</v>
          </cell>
          <cell r="Z921">
            <v>2010</v>
          </cell>
        </row>
        <row r="922">
          <cell r="D922">
            <v>-11256.46</v>
          </cell>
          <cell r="Z922">
            <v>2010</v>
          </cell>
        </row>
        <row r="923">
          <cell r="D923">
            <v>-6339.17</v>
          </cell>
          <cell r="Z923">
            <v>2010</v>
          </cell>
        </row>
        <row r="924">
          <cell r="D924">
            <v>-8571.42</v>
          </cell>
          <cell r="Z924">
            <v>2010</v>
          </cell>
        </row>
        <row r="925">
          <cell r="D925">
            <v>-4861.59</v>
          </cell>
          <cell r="Z925">
            <v>2010</v>
          </cell>
        </row>
        <row r="926">
          <cell r="D926">
            <v>-9735.32</v>
          </cell>
          <cell r="Z926">
            <v>2010</v>
          </cell>
        </row>
        <row r="927">
          <cell r="D927">
            <v>-65600</v>
          </cell>
          <cell r="Z927">
            <v>2010</v>
          </cell>
        </row>
        <row r="928">
          <cell r="D928">
            <v>-10801.47</v>
          </cell>
          <cell r="Z928">
            <v>2010</v>
          </cell>
        </row>
        <row r="929">
          <cell r="D929">
            <v>-1735.73</v>
          </cell>
          <cell r="Z929">
            <v>2010</v>
          </cell>
        </row>
        <row r="930">
          <cell r="D930">
            <v>-15778</v>
          </cell>
          <cell r="Z930">
            <v>2010</v>
          </cell>
        </row>
        <row r="931">
          <cell r="D931">
            <v>-12000</v>
          </cell>
          <cell r="Z931">
            <v>2010</v>
          </cell>
        </row>
        <row r="932">
          <cell r="Z932">
            <v>2010</v>
          </cell>
        </row>
        <row r="933">
          <cell r="D933">
            <v>-130146</v>
          </cell>
          <cell r="Z933">
            <v>1999</v>
          </cell>
        </row>
        <row r="934">
          <cell r="D934">
            <v>-340240.99</v>
          </cell>
          <cell r="Z934">
            <v>2000</v>
          </cell>
        </row>
        <row r="935">
          <cell r="D935">
            <v>-637732.97</v>
          </cell>
          <cell r="Z935">
            <v>2000</v>
          </cell>
        </row>
        <row r="936">
          <cell r="D936">
            <v>-430819.84000000003</v>
          </cell>
          <cell r="Z936">
            <v>2000</v>
          </cell>
        </row>
        <row r="937">
          <cell r="D937">
            <v>-363668.02</v>
          </cell>
          <cell r="Z937">
            <v>2000</v>
          </cell>
        </row>
        <row r="938">
          <cell r="D938">
            <v>-159675.45000000001</v>
          </cell>
          <cell r="Z938">
            <v>2001</v>
          </cell>
        </row>
        <row r="939">
          <cell r="E939">
            <v>288092.68</v>
          </cell>
          <cell r="Z939">
            <v>2001</v>
          </cell>
        </row>
        <row r="940">
          <cell r="E940">
            <v>1601214.32</v>
          </cell>
          <cell r="Z940">
            <v>2001</v>
          </cell>
        </row>
        <row r="941">
          <cell r="D941">
            <v>-41793.39</v>
          </cell>
          <cell r="Z941">
            <v>2001</v>
          </cell>
        </row>
        <row r="942">
          <cell r="D942">
            <v>-10000000</v>
          </cell>
          <cell r="Z942">
            <v>2008</v>
          </cell>
        </row>
        <row r="943">
          <cell r="D943">
            <v>-10211.94</v>
          </cell>
          <cell r="Z943">
            <v>2008</v>
          </cell>
        </row>
        <row r="944">
          <cell r="D944">
            <v>-3220652.49</v>
          </cell>
          <cell r="Z944">
            <v>2008</v>
          </cell>
        </row>
        <row r="945">
          <cell r="D945">
            <v>-71497736.349999994</v>
          </cell>
          <cell r="Z945">
            <v>2008</v>
          </cell>
        </row>
        <row r="946">
          <cell r="D946">
            <v>-8038.19</v>
          </cell>
          <cell r="Z946">
            <v>2008</v>
          </cell>
        </row>
        <row r="947">
          <cell r="D947">
            <v>-32850000</v>
          </cell>
          <cell r="Z947">
            <v>2008</v>
          </cell>
        </row>
        <row r="948">
          <cell r="D948">
            <v>-18000000</v>
          </cell>
          <cell r="Z948">
            <v>2008</v>
          </cell>
        </row>
        <row r="949">
          <cell r="D949">
            <v>-11380524.52</v>
          </cell>
          <cell r="Z949">
            <v>2008</v>
          </cell>
        </row>
        <row r="950">
          <cell r="D950">
            <v>-7000000</v>
          </cell>
          <cell r="Z950">
            <v>2008</v>
          </cell>
        </row>
        <row r="951">
          <cell r="D951">
            <v>-5762754.8600000003</v>
          </cell>
          <cell r="Z951">
            <v>2008</v>
          </cell>
        </row>
        <row r="952">
          <cell r="D952">
            <v>-489988.15</v>
          </cell>
          <cell r="Z952">
            <v>2008</v>
          </cell>
        </row>
        <row r="953">
          <cell r="D953">
            <v>-2155.14</v>
          </cell>
          <cell r="Z953">
            <v>2009</v>
          </cell>
        </row>
        <row r="954">
          <cell r="D954">
            <v>-2150.61</v>
          </cell>
          <cell r="Z954">
            <v>2009</v>
          </cell>
        </row>
        <row r="955">
          <cell r="D955">
            <v>-2496.61</v>
          </cell>
          <cell r="Z955">
            <v>2009</v>
          </cell>
        </row>
        <row r="956">
          <cell r="D956">
            <v>-2797.4</v>
          </cell>
          <cell r="Z956">
            <v>2009</v>
          </cell>
        </row>
        <row r="957">
          <cell r="D957">
            <v>-8519551.6300000008</v>
          </cell>
          <cell r="Z957">
            <v>2009</v>
          </cell>
        </row>
        <row r="958">
          <cell r="D958">
            <v>-4996936.8899999997</v>
          </cell>
          <cell r="Z958">
            <v>2009</v>
          </cell>
        </row>
        <row r="959">
          <cell r="D959">
            <v>-13516488.52</v>
          </cell>
          <cell r="Z959">
            <v>2009</v>
          </cell>
        </row>
        <row r="960">
          <cell r="D960">
            <v>-717022.96</v>
          </cell>
          <cell r="Z960">
            <v>2009</v>
          </cell>
        </row>
        <row r="961">
          <cell r="D961">
            <v>-280000</v>
          </cell>
          <cell r="Z961">
            <v>2009</v>
          </cell>
        </row>
        <row r="962">
          <cell r="D962">
            <v>-576.59</v>
          </cell>
          <cell r="Z962">
            <v>2009</v>
          </cell>
        </row>
        <row r="963">
          <cell r="D963">
            <v>-108.18</v>
          </cell>
          <cell r="Z963">
            <v>2009</v>
          </cell>
        </row>
        <row r="964">
          <cell r="D964">
            <v>-5428.97</v>
          </cell>
          <cell r="Z964">
            <v>2009</v>
          </cell>
        </row>
        <row r="965">
          <cell r="D965">
            <v>-397.74</v>
          </cell>
          <cell r="Z965">
            <v>2009</v>
          </cell>
        </row>
        <row r="966">
          <cell r="D966">
            <v>-1800</v>
          </cell>
          <cell r="Z966">
            <v>2009</v>
          </cell>
        </row>
        <row r="967">
          <cell r="D967">
            <v>-1179.29</v>
          </cell>
          <cell r="Z967">
            <v>2009</v>
          </cell>
        </row>
        <row r="968">
          <cell r="D968">
            <v>-2962.76</v>
          </cell>
          <cell r="Z968">
            <v>2009</v>
          </cell>
        </row>
        <row r="969">
          <cell r="D969">
            <v>-2536.1999999999998</v>
          </cell>
          <cell r="Z969">
            <v>2009</v>
          </cell>
        </row>
        <row r="970">
          <cell r="D970">
            <v>-2391.66</v>
          </cell>
          <cell r="Z970">
            <v>2009</v>
          </cell>
        </row>
        <row r="971">
          <cell r="Z971">
            <v>2010</v>
          </cell>
        </row>
        <row r="972">
          <cell r="D972">
            <v>-161249.14000000001</v>
          </cell>
          <cell r="Z972">
            <v>2002</v>
          </cell>
        </row>
        <row r="973">
          <cell r="D973">
            <v>-500000</v>
          </cell>
          <cell r="Z973">
            <v>2002</v>
          </cell>
        </row>
        <row r="974">
          <cell r="D974">
            <v>-500000</v>
          </cell>
          <cell r="Z974">
            <v>2002</v>
          </cell>
        </row>
        <row r="975">
          <cell r="D975">
            <v>-73106.28</v>
          </cell>
          <cell r="Z975">
            <v>2003</v>
          </cell>
        </row>
        <row r="976">
          <cell r="D976">
            <v>-9189352.8800000008</v>
          </cell>
          <cell r="Z976">
            <v>2003</v>
          </cell>
        </row>
        <row r="977">
          <cell r="D977">
            <v>18980.259999999998</v>
          </cell>
          <cell r="Z977">
            <v>2003</v>
          </cell>
        </row>
        <row r="978">
          <cell r="D978">
            <v>-19769.580000000002</v>
          </cell>
          <cell r="Z978">
            <v>2003</v>
          </cell>
        </row>
        <row r="979">
          <cell r="E979">
            <v>2221645.42</v>
          </cell>
          <cell r="Z979">
            <v>2004</v>
          </cell>
        </row>
        <row r="980">
          <cell r="D980">
            <v>-33603.629999999997</v>
          </cell>
          <cell r="Z980">
            <v>2004</v>
          </cell>
        </row>
        <row r="981">
          <cell r="E981">
            <v>4250000</v>
          </cell>
          <cell r="Z981">
            <v>2004</v>
          </cell>
        </row>
        <row r="982">
          <cell r="D982">
            <v>154047</v>
          </cell>
          <cell r="Z982">
            <v>2004</v>
          </cell>
        </row>
        <row r="983">
          <cell r="E983">
            <v>1900559</v>
          </cell>
          <cell r="Z983">
            <v>2004</v>
          </cell>
        </row>
        <row r="984">
          <cell r="E984">
            <v>3814441</v>
          </cell>
          <cell r="Z984">
            <v>2004</v>
          </cell>
        </row>
        <row r="985">
          <cell r="E985">
            <v>-2856000</v>
          </cell>
          <cell r="Z985">
            <v>2004</v>
          </cell>
        </row>
        <row r="986">
          <cell r="E986">
            <v>-2814909.06</v>
          </cell>
          <cell r="Z986">
            <v>2004</v>
          </cell>
        </row>
        <row r="987">
          <cell r="D987">
            <v>-457714</v>
          </cell>
          <cell r="Z987">
            <v>2004</v>
          </cell>
        </row>
        <row r="988">
          <cell r="D988">
            <v>-115177.77</v>
          </cell>
          <cell r="Z988">
            <v>2004</v>
          </cell>
        </row>
        <row r="989">
          <cell r="D989">
            <v>-24258.32</v>
          </cell>
          <cell r="Z989">
            <v>2004</v>
          </cell>
        </row>
        <row r="990">
          <cell r="D990">
            <v>2006.28</v>
          </cell>
          <cell r="Z990">
            <v>2004</v>
          </cell>
        </row>
        <row r="991">
          <cell r="D991">
            <v>31597.34</v>
          </cell>
          <cell r="Z991">
            <v>2004</v>
          </cell>
        </row>
        <row r="992">
          <cell r="D992">
            <v>401770</v>
          </cell>
          <cell r="Z992">
            <v>2004</v>
          </cell>
        </row>
        <row r="993">
          <cell r="E993">
            <v>115177.76</v>
          </cell>
          <cell r="Z993">
            <v>2004</v>
          </cell>
        </row>
        <row r="994">
          <cell r="E994">
            <v>2814909.05</v>
          </cell>
          <cell r="Z994">
            <v>2004</v>
          </cell>
        </row>
        <row r="995">
          <cell r="E995">
            <v>1300000</v>
          </cell>
          <cell r="Z995">
            <v>2005</v>
          </cell>
        </row>
        <row r="996">
          <cell r="D996">
            <v>-2481.14</v>
          </cell>
          <cell r="Z996">
            <v>2005</v>
          </cell>
        </row>
        <row r="997">
          <cell r="D997">
            <v>-2993.98</v>
          </cell>
          <cell r="Z997">
            <v>2005</v>
          </cell>
        </row>
        <row r="998">
          <cell r="D998">
            <v>-396295</v>
          </cell>
          <cell r="Z998">
            <v>2005</v>
          </cell>
        </row>
        <row r="999">
          <cell r="E999">
            <v>2690514</v>
          </cell>
          <cell r="Z999">
            <v>2005</v>
          </cell>
        </row>
        <row r="1000">
          <cell r="D1000">
            <v>-2024</v>
          </cell>
          <cell r="Z1000">
            <v>2006</v>
          </cell>
        </row>
        <row r="1001">
          <cell r="E1001">
            <v>9919344</v>
          </cell>
          <cell r="Z1001">
            <v>2006</v>
          </cell>
        </row>
        <row r="1002">
          <cell r="D1002">
            <v>-2024</v>
          </cell>
          <cell r="Z1002">
            <v>2007</v>
          </cell>
        </row>
        <row r="1003">
          <cell r="D1003">
            <v>-5853.86</v>
          </cell>
          <cell r="Z1003">
            <v>2007</v>
          </cell>
        </row>
        <row r="1004">
          <cell r="E1004">
            <v>17147814.199999999</v>
          </cell>
          <cell r="Z1004">
            <v>2007</v>
          </cell>
        </row>
        <row r="1005">
          <cell r="D1005">
            <v>-5043.21</v>
          </cell>
          <cell r="Z1005">
            <v>2007</v>
          </cell>
        </row>
        <row r="1006">
          <cell r="D1006">
            <v>-53435.360000000001</v>
          </cell>
          <cell r="Z1006">
            <v>2007</v>
          </cell>
        </row>
        <row r="1007">
          <cell r="D1007">
            <v>-4536.41</v>
          </cell>
          <cell r="Z1007">
            <v>2007</v>
          </cell>
        </row>
        <row r="1008">
          <cell r="D1008">
            <v>-2024</v>
          </cell>
          <cell r="Z1008">
            <v>2008</v>
          </cell>
        </row>
        <row r="1009">
          <cell r="E1009">
            <v>39074761</v>
          </cell>
          <cell r="Z1009">
            <v>2008</v>
          </cell>
        </row>
        <row r="1010">
          <cell r="E1010">
            <v>2203553.92</v>
          </cell>
          <cell r="Z1010">
            <v>2008</v>
          </cell>
        </row>
        <row r="1011">
          <cell r="E1011">
            <v>-79194.36</v>
          </cell>
          <cell r="Z1011">
            <v>2008</v>
          </cell>
        </row>
        <row r="1012">
          <cell r="E1012">
            <v>-43307.19</v>
          </cell>
          <cell r="Z1012">
            <v>2008</v>
          </cell>
        </row>
        <row r="1013">
          <cell r="E1013">
            <v>-1539.36</v>
          </cell>
          <cell r="Z1013">
            <v>2008</v>
          </cell>
        </row>
        <row r="1014">
          <cell r="E1014">
            <v>-10.15</v>
          </cell>
          <cell r="Z1014">
            <v>2008</v>
          </cell>
        </row>
        <row r="1015">
          <cell r="D1015">
            <v>43307.19</v>
          </cell>
          <cell r="Z1015">
            <v>2008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IRR"/>
      <sheetName val="HL Value Creation"/>
      <sheetName val="HL Char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W10">
            <v>32.5</v>
          </cell>
          <cell r="X10">
            <v>199.1</v>
          </cell>
        </row>
        <row r="11">
          <cell r="W11">
            <v>45.12</v>
          </cell>
          <cell r="X11">
            <v>3209</v>
          </cell>
        </row>
        <row r="12">
          <cell r="W12">
            <v>84</v>
          </cell>
          <cell r="X12">
            <v>477.7</v>
          </cell>
        </row>
        <row r="13">
          <cell r="W13">
            <v>46.7</v>
          </cell>
          <cell r="X13">
            <v>706.44</v>
          </cell>
        </row>
        <row r="14">
          <cell r="W14">
            <v>29.263999999999999</v>
          </cell>
          <cell r="X14">
            <v>201.76400000000001</v>
          </cell>
        </row>
        <row r="15">
          <cell r="W15">
            <v>33.65</v>
          </cell>
          <cell r="X15">
            <v>397.14285714285722</v>
          </cell>
        </row>
        <row r="16">
          <cell r="W16">
            <v>36.9</v>
          </cell>
          <cell r="X16">
            <v>693.2</v>
          </cell>
        </row>
        <row r="17">
          <cell r="W17">
            <v>64.959999999999994</v>
          </cell>
          <cell r="X17">
            <v>376.5</v>
          </cell>
        </row>
        <row r="18">
          <cell r="W18">
            <v>70.12</v>
          </cell>
          <cell r="X18">
            <v>1161.5999999999999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IRR"/>
      <sheetName val="HL Value Creation"/>
      <sheetName val="HL Char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X10" t="str">
            <v>PIPE</v>
          </cell>
        </row>
        <row r="11">
          <cell r="X11" t="str">
            <v>Roll-up</v>
          </cell>
        </row>
        <row r="12">
          <cell r="X12" t="str">
            <v>Buy-and-Build</v>
          </cell>
        </row>
        <row r="13">
          <cell r="X13" t="str">
            <v>Growth</v>
          </cell>
        </row>
        <row r="14">
          <cell r="X14" t="str">
            <v>Growth</v>
          </cell>
        </row>
        <row r="15">
          <cell r="X15" t="str">
            <v>Buy-out</v>
          </cell>
        </row>
        <row r="16">
          <cell r="X16" t="str">
            <v>Buy-out</v>
          </cell>
        </row>
        <row r="17">
          <cell r="X17" t="str">
            <v>Growth</v>
          </cell>
        </row>
        <row r="18">
          <cell r="X18" t="str">
            <v>Buy-out</v>
          </cell>
        </row>
        <row r="19">
          <cell r="X19" t="str">
            <v>Growth</v>
          </cell>
        </row>
        <row r="20">
          <cell r="X20" t="str">
            <v>Growth</v>
          </cell>
        </row>
        <row r="21">
          <cell r="X21" t="str">
            <v>Growth</v>
          </cell>
        </row>
        <row r="22">
          <cell r="X22" t="str">
            <v>Buy-out</v>
          </cell>
        </row>
        <row r="24">
          <cell r="X24" t="str">
            <v>Buy-out</v>
          </cell>
        </row>
        <row r="25">
          <cell r="X25" t="str">
            <v>Growth</v>
          </cell>
        </row>
        <row r="26">
          <cell r="X26" t="str">
            <v>Growth</v>
          </cell>
        </row>
        <row r="27">
          <cell r="X27" t="str">
            <v>Buy-out</v>
          </cell>
        </row>
        <row r="28">
          <cell r="X28" t="str">
            <v>Buy-out</v>
          </cell>
        </row>
        <row r="29">
          <cell r="X29" t="str">
            <v>Buy-out</v>
          </cell>
        </row>
        <row r="30">
          <cell r="X30" t="str">
            <v>Buy-out</v>
          </cell>
        </row>
        <row r="31">
          <cell r="X31" t="str">
            <v>Growth</v>
          </cell>
        </row>
        <row r="32">
          <cell r="X32" t="str">
            <v>Growth</v>
          </cell>
        </row>
        <row r="33">
          <cell r="X33" t="str">
            <v>Buy-out</v>
          </cell>
        </row>
        <row r="34">
          <cell r="X34" t="str">
            <v>Buy-out</v>
          </cell>
        </row>
        <row r="35">
          <cell r="X35" t="str">
            <v>Growth</v>
          </cell>
        </row>
        <row r="36">
          <cell r="X36" t="str">
            <v>Growth</v>
          </cell>
        </row>
        <row r="38">
          <cell r="X38" t="str">
            <v>Growth</v>
          </cell>
        </row>
        <row r="39">
          <cell r="X39" t="str">
            <v>Buy-out</v>
          </cell>
        </row>
        <row r="40">
          <cell r="X40" t="str">
            <v>Buy-out</v>
          </cell>
        </row>
        <row r="41">
          <cell r="X41" t="str">
            <v>Growth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Table of Contents"/>
      <sheetName val="Section 1"/>
      <sheetName val="Portfolio Summary - Cash Basis"/>
      <sheetName val="Performance Summary By Invest"/>
      <sheetName val="Summary of PE Invest. Perf."/>
      <sheetName val="Private Equity Benchmarks"/>
      <sheetName val="Investment Portfolio Assessment"/>
      <sheetName val="Sum. Liquidated Part."/>
      <sheetName val="Time Weighted Returns"/>
      <sheetName val="IRR Analysis"/>
      <sheetName val="Analysis Alt. Inv. Alloc."/>
      <sheetName val="Section 2"/>
      <sheetName val="Commit. By Vintage Year"/>
      <sheetName val="Quart. Cash Flow Summary"/>
      <sheetName val="Port. Strat. Div. MV"/>
      <sheetName val="Port. Strat. Div. TE"/>
      <sheetName val="Und. Inv. Div. Industry Ex Lex"/>
      <sheetName val="Und. Inv. Div. Industry"/>
      <sheetName val="Und. Inv. Div. Geography"/>
      <sheetName val="Cost Reconciliation"/>
      <sheetName val="Number of Holdings"/>
      <sheetName val="Public vs. Private Holdings"/>
      <sheetName val="Section 3"/>
      <sheetName val="Qualitative Review"/>
      <sheetName val="1 - Advanced Technology Ventu"/>
      <sheetName val="2 - Apollo Investment Fund V,"/>
      <sheetName val="3 - Blackstone Capital Partne"/>
      <sheetName val="4 - Falcon Mezzanine Partners"/>
      <sheetName val="5 - GESD Investors, L.P."/>
      <sheetName val="6 - Gores Capital Partners, L"/>
      <sheetName val="7 - Green Equity Investors IV"/>
      <sheetName val="8 - Kelso Investment Associat"/>
      <sheetName val="9 - KPS Special Situation Fun"/>
      <sheetName val="10 - Levine Leichtman Capital "/>
      <sheetName val="11 - Lexington Partners - Hami"/>
      <sheetName val="10 - Lighthouse Capital Partne"/>
      <sheetName val="11 - Lindsay Goldberg &amp; Bessem"/>
      <sheetName val="14 - Madison Dearborn Capital "/>
      <sheetName val="15 - Nautic Partners V, L.P."/>
      <sheetName val="12 - New Enterprise Associates"/>
      <sheetName val="13 - Platinum Equity Capital P"/>
      <sheetName val="14 - TPG Partners IV, L.P."/>
      <sheetName val="Port. Comp. List. Partnership"/>
      <sheetName val="Top 10 Company Holdings"/>
      <sheetName val="Cost and Fair MV"/>
      <sheetName val="Section 6"/>
      <sheetName val="Real Estate Summary"/>
      <sheetName val="Real Estate Review"/>
      <sheetName val="APPENDIX A"/>
      <sheetName val="Performance Rating Guidelines"/>
      <sheetName val="APPENDIX B"/>
      <sheetName val="Glossary of Terms"/>
      <sheetName val="sys_color_palette"/>
      <sheetName val="sys_messages"/>
      <sheetName val="sys_font_sizes"/>
      <sheetName val="sys_format_masks"/>
      <sheetName val="Executive Summary"/>
      <sheetName val="Section 4"/>
      <sheetName val="1 - Apollo Investment Fund V,"/>
      <sheetName val="2 - Blackstone Capital Partne"/>
      <sheetName val="3 - Falcon Mezzanine Partners"/>
      <sheetName val="4 - GESD Investors, L.P."/>
      <sheetName val="5 - Gores Capital Partners, L"/>
      <sheetName val="6 - Green Equity Investors IV"/>
      <sheetName val="7 - Kelso Investment Associat"/>
      <sheetName val="8 - KPS Special Situation Fun"/>
      <sheetName val="9 - Levine Leichtman Capital "/>
      <sheetName val="Section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CIQHiddenCacheSheet"/>
      <sheetName val="START HERE"/>
      <sheetName val="Source Data--&gt;"/>
      <sheetName val="Gross Funds 1-4"/>
      <sheetName val="Gross Funds 5-7"/>
      <sheetName val="Net CFs"/>
      <sheetName val="Operating Metrics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Summary - Gross"/>
      <sheetName val="Gray Box"/>
      <sheetName val="Fund VII"/>
      <sheetName val="Fund VI"/>
      <sheetName val="Fund V"/>
      <sheetName val="Fund IV"/>
      <sheetName val="Investments Table"/>
      <sheetName val="Fund VI Value Attribution"/>
      <sheetName val="Value Attribution"/>
      <sheetName val="Fund"/>
      <sheetName val="H&amp;F Sector"/>
      <sheetName val="Slices - Category"/>
      <sheetName val="TEV"/>
      <sheetName val="Purchase Multiples"/>
      <sheetName val="Slices - Range"/>
      <sheetName val="Investments - Custom"/>
      <sheetName val="Value Creation"/>
      <sheetName val="Company Identifier Tabs--&gt;"/>
      <sheetName val="CIQ GP Lookup"/>
      <sheetName val="Identifier Tool"/>
      <sheetName val="Upload Tabs--&gt;"/>
      <sheetName val="Companies Upload"/>
      <sheetName val="Links Upload"/>
      <sheetName val="Transactions Formulas"/>
      <sheetName val="Transactions Upload"/>
      <sheetName val="Operating Formulas"/>
      <sheetName val="Operating Link Upload"/>
      <sheetName val="Operating Upload"/>
      <sheetName val="SPI Data--&gt;"/>
      <sheetName val="spi_generalpartners"/>
      <sheetName val="spi_funds"/>
      <sheetName val="spi_companies"/>
      <sheetName val="spi_links"/>
      <sheetName val="spi_gics"/>
      <sheetName val="spi_net_benchmarking"/>
      <sheetName val="spi_users"/>
      <sheetName val="Lists &amp; Catego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42">
          <cell r="I42" t="str">
            <v>IQ29627679</v>
          </cell>
          <cell r="J42" t="str">
            <v>IQ53839770</v>
          </cell>
          <cell r="K42" t="str">
            <v>IQ32181</v>
          </cell>
          <cell r="L42" t="str">
            <v>IQ373226</v>
          </cell>
          <cell r="M42" t="str">
            <v>IQ75962247</v>
          </cell>
        </row>
        <row r="43">
          <cell r="I43" t="str">
            <v>IQ39130285</v>
          </cell>
          <cell r="J43" t="str">
            <v>IQ260589685</v>
          </cell>
          <cell r="K43" t="str">
            <v>IQ241584650</v>
          </cell>
          <cell r="L43" t="str">
            <v>IQ208366071</v>
          </cell>
          <cell r="M43" t="str">
            <v>IQ47799997</v>
          </cell>
        </row>
        <row r="44">
          <cell r="I44" t="str">
            <v>IQ33170</v>
          </cell>
          <cell r="J44" t="str">
            <v>IQ46448332</v>
          </cell>
          <cell r="K44" t="str">
            <v>IQ60220274</v>
          </cell>
          <cell r="L44" t="str">
            <v>IQ78337392</v>
          </cell>
          <cell r="M44" t="str">
            <v>IQ51540921</v>
          </cell>
        </row>
        <row r="45">
          <cell r="I45" t="str">
            <v>IQ216608013</v>
          </cell>
          <cell r="J45" t="str">
            <v>IQ4172703</v>
          </cell>
          <cell r="K45" t="str">
            <v>IQ23763</v>
          </cell>
          <cell r="L45" t="str">
            <v>IQ699326</v>
          </cell>
          <cell r="M45" t="str">
            <v>IQ633081</v>
          </cell>
        </row>
        <row r="46">
          <cell r="I46" t="str">
            <v>IQ1063894</v>
          </cell>
          <cell r="J46" t="str">
            <v>IQ192089</v>
          </cell>
          <cell r="K46" t="str">
            <v>IQ1051325</v>
          </cell>
          <cell r="L46" t="str">
            <v>IQ9514876</v>
          </cell>
          <cell r="M46" t="str">
            <v>IQ103493</v>
          </cell>
        </row>
        <row r="47">
          <cell r="I47" t="str">
            <v>IQ346919</v>
          </cell>
          <cell r="J47" t="str">
            <v>IQ42415750</v>
          </cell>
          <cell r="K47" t="str">
            <v>IQ83640371</v>
          </cell>
          <cell r="L47" t="str">
            <v>IQ39794747</v>
          </cell>
          <cell r="M47" t="str">
            <v>IQ26365531</v>
          </cell>
        </row>
        <row r="48">
          <cell r="I48" t="str">
            <v>IQ874816</v>
          </cell>
          <cell r="J48" t="str">
            <v>IQ173610707</v>
          </cell>
          <cell r="K48" t="str">
            <v>IQ897629</v>
          </cell>
          <cell r="L48" t="str">
            <v>IQ46513274</v>
          </cell>
          <cell r="M48" t="str">
            <v>IQ8222032</v>
          </cell>
        </row>
        <row r="49">
          <cell r="I49" t="str">
            <v>IQ9735175</v>
          </cell>
          <cell r="J49" t="str">
            <v>IQ5705772</v>
          </cell>
          <cell r="K49" t="str">
            <v>IQ165682936</v>
          </cell>
          <cell r="L49" t="str">
            <v>IQ128107011</v>
          </cell>
          <cell r="M49" t="str">
            <v>IQ132366959</v>
          </cell>
        </row>
        <row r="50">
          <cell r="I50" t="str">
            <v>IQ109894</v>
          </cell>
          <cell r="J50" t="str">
            <v>IQ6681741</v>
          </cell>
          <cell r="K50" t="str">
            <v>IQ3815518</v>
          </cell>
          <cell r="L50" t="str">
            <v>IQ13361413</v>
          </cell>
          <cell r="M50" t="str">
            <v>IQ21885</v>
          </cell>
        </row>
        <row r="51">
          <cell r="I51" t="str">
            <v>IQ4877824</v>
          </cell>
          <cell r="J51" t="str">
            <v>IQ111588539</v>
          </cell>
          <cell r="K51" t="str">
            <v>IQ42435546</v>
          </cell>
          <cell r="L51" t="str">
            <v>IQ28070530</v>
          </cell>
          <cell r="M51" t="str">
            <v>IQ37344679</v>
          </cell>
        </row>
        <row r="52">
          <cell r="I52" t="str">
            <v>IQ2668681</v>
          </cell>
          <cell r="J52" t="str">
            <v>IQ740535</v>
          </cell>
          <cell r="K52" t="str">
            <v>IQ386024</v>
          </cell>
          <cell r="L52" t="str">
            <v>IQ29096</v>
          </cell>
          <cell r="M52" t="str">
            <v>IQ368470</v>
          </cell>
        </row>
        <row r="53">
          <cell r="I53" t="str">
            <v>IQ680934</v>
          </cell>
          <cell r="J53" t="str">
            <v>IQ680720</v>
          </cell>
          <cell r="K53" t="str">
            <v>IQ41352849</v>
          </cell>
          <cell r="L53" t="str">
            <v>IQ242439042</v>
          </cell>
          <cell r="M53" t="str">
            <v>IQ23353524</v>
          </cell>
        </row>
        <row r="54">
          <cell r="I54" t="str">
            <v>IQ6458474</v>
          </cell>
          <cell r="J54" t="str">
            <v>IQ26442745</v>
          </cell>
          <cell r="K54" t="str">
            <v>IQ4002835</v>
          </cell>
          <cell r="L54" t="str">
            <v>IQ207367816</v>
          </cell>
          <cell r="M54" t="str">
            <v>IQ25549915</v>
          </cell>
        </row>
        <row r="55">
          <cell r="I55" t="str">
            <v>IQ159278</v>
          </cell>
          <cell r="J55" t="str">
            <v>IQ11940033</v>
          </cell>
          <cell r="K55" t="str">
            <v>IQ39744308</v>
          </cell>
        </row>
        <row r="56">
          <cell r="I56" t="str">
            <v>IQ128317</v>
          </cell>
          <cell r="J56" t="str">
            <v>IQ24158938</v>
          </cell>
          <cell r="K56" t="str">
            <v>IQ81854578</v>
          </cell>
          <cell r="L56" t="str">
            <v>IQ254123672</v>
          </cell>
          <cell r="M56" t="str">
            <v>IQ879845</v>
          </cell>
        </row>
        <row r="57">
          <cell r="I57" t="str">
            <v>IQ21261</v>
          </cell>
          <cell r="J57" t="str">
            <v>IQ47192317</v>
          </cell>
          <cell r="K57" t="str">
            <v>IQ46236585</v>
          </cell>
          <cell r="L57" t="str">
            <v>IQ128105511</v>
          </cell>
          <cell r="M57" t="str">
            <v>IQ30825286</v>
          </cell>
        </row>
        <row r="58">
          <cell r="I58" t="str">
            <v>IQ129555216</v>
          </cell>
          <cell r="J58" t="str">
            <v>IQ184333612</v>
          </cell>
          <cell r="K58" t="str">
            <v>IQ4564528</v>
          </cell>
          <cell r="L58" t="str">
            <v>IQ106124</v>
          </cell>
          <cell r="M58" t="str">
            <v>IQ6910535</v>
          </cell>
        </row>
        <row r="59">
          <cell r="I59" t="str">
            <v>IQ27707</v>
          </cell>
          <cell r="J59" t="str">
            <v>IQ2567320</v>
          </cell>
          <cell r="K59" t="str">
            <v>IQ1592882</v>
          </cell>
          <cell r="L59" t="str">
            <v>IQ31280</v>
          </cell>
          <cell r="M59" t="str">
            <v>IQ1899193</v>
          </cell>
        </row>
        <row r="60">
          <cell r="I60" t="str">
            <v>IQ91957938</v>
          </cell>
          <cell r="J60" t="str">
            <v>IQ701591</v>
          </cell>
          <cell r="K60" t="str">
            <v>IQ2728395</v>
          </cell>
          <cell r="L60" t="str">
            <v>IQ23329903</v>
          </cell>
          <cell r="M60" t="str">
            <v>IQ2699409</v>
          </cell>
        </row>
        <row r="61">
          <cell r="I61" t="str">
            <v>IQ23443234</v>
          </cell>
          <cell r="J61" t="str">
            <v>IQ33391649</v>
          </cell>
          <cell r="K61" t="str">
            <v>IQ30661514</v>
          </cell>
          <cell r="L61" t="str">
            <v>IQ261571118</v>
          </cell>
          <cell r="M61" t="str">
            <v>IQ215873009</v>
          </cell>
        </row>
        <row r="62">
          <cell r="I62" t="str">
            <v>IQ178976</v>
          </cell>
          <cell r="J62" t="str">
            <v>IQ51835882</v>
          </cell>
          <cell r="K62" t="str">
            <v>IQ6490762</v>
          </cell>
          <cell r="L62" t="str">
            <v>IQ935536</v>
          </cell>
          <cell r="M62" t="str">
            <v>IQ51752947</v>
          </cell>
        </row>
        <row r="63">
          <cell r="I63" t="str">
            <v>IQ6139568</v>
          </cell>
          <cell r="J63" t="str">
            <v>IQ244734059</v>
          </cell>
          <cell r="K63" t="str">
            <v>IQ34120092</v>
          </cell>
        </row>
        <row r="64">
          <cell r="I64" t="str">
            <v>IQ4864931</v>
          </cell>
          <cell r="J64" t="str">
            <v>IQ138396889</v>
          </cell>
          <cell r="K64" t="str">
            <v>IQ99286313</v>
          </cell>
          <cell r="L64" t="str">
            <v>IQ52164546</v>
          </cell>
          <cell r="M64" t="str">
            <v>IQ46484166</v>
          </cell>
        </row>
        <row r="65">
          <cell r="I65" t="str">
            <v>IQ11609797</v>
          </cell>
        </row>
        <row r="66">
          <cell r="I66" t="str">
            <v>IQ422760</v>
          </cell>
          <cell r="J66" t="str">
            <v>IQ25694897</v>
          </cell>
          <cell r="K66" t="str">
            <v>IQ36405</v>
          </cell>
          <cell r="L66" t="str">
            <v>IQ35158678</v>
          </cell>
          <cell r="M66" t="str">
            <v>IQ26502882</v>
          </cell>
        </row>
        <row r="67">
          <cell r="I67" t="str">
            <v>IQ9328129</v>
          </cell>
          <cell r="J67" t="str">
            <v>IQ79161058</v>
          </cell>
          <cell r="K67" t="str">
            <v>IQ7009878</v>
          </cell>
          <cell r="L67" t="str">
            <v>IQ22746748</v>
          </cell>
          <cell r="M67" t="str">
            <v>IQ38610394</v>
          </cell>
        </row>
        <row r="68">
          <cell r="I68" t="str">
            <v>IQ26189</v>
          </cell>
          <cell r="J68" t="str">
            <v>IQ5469159</v>
          </cell>
          <cell r="K68" t="str">
            <v>IQ109365434</v>
          </cell>
          <cell r="L68" t="str">
            <v>IQ7871992</v>
          </cell>
          <cell r="M68" t="str">
            <v>IQ114904123</v>
          </cell>
        </row>
        <row r="69">
          <cell r="I69" t="str">
            <v>IQ27393</v>
          </cell>
          <cell r="J69" t="str">
            <v>IQ228633707</v>
          </cell>
          <cell r="K69" t="str">
            <v>IQ208797397</v>
          </cell>
          <cell r="L69" t="str">
            <v>IQ47575186</v>
          </cell>
          <cell r="M69" t="str">
            <v>IQ228881090</v>
          </cell>
        </row>
        <row r="70">
          <cell r="I70" t="str">
            <v>IQ48933961</v>
          </cell>
          <cell r="J70" t="str">
            <v>IQ29364</v>
          </cell>
          <cell r="K70" t="str">
            <v>IQ99811505</v>
          </cell>
          <cell r="L70" t="str">
            <v>IQ26424942</v>
          </cell>
          <cell r="M70" t="str">
            <v>IQ8142692</v>
          </cell>
        </row>
        <row r="71">
          <cell r="I71" t="str">
            <v>IQ139705</v>
          </cell>
          <cell r="J71" t="str">
            <v>IQ275201</v>
          </cell>
          <cell r="K71" t="str">
            <v>IQ35189049</v>
          </cell>
          <cell r="L71" t="str">
            <v>IQ361090</v>
          </cell>
          <cell r="M71" t="str">
            <v>IQ956017</v>
          </cell>
        </row>
        <row r="72">
          <cell r="I72" t="str">
            <v>IQ25812479</v>
          </cell>
          <cell r="J72" t="str">
            <v>IQ105307228</v>
          </cell>
          <cell r="K72" t="str">
            <v>IQ904911</v>
          </cell>
          <cell r="L72" t="str">
            <v>IQ133975744</v>
          </cell>
          <cell r="M72" t="str">
            <v>IQ109693688</v>
          </cell>
        </row>
        <row r="73">
          <cell r="I73" t="str">
            <v>IQ5092809</v>
          </cell>
          <cell r="J73" t="str">
            <v>IQ11940577</v>
          </cell>
          <cell r="K73" t="str">
            <v>IQ22386364</v>
          </cell>
          <cell r="L73" t="str">
            <v>IQ4793228</v>
          </cell>
          <cell r="M73" t="str">
            <v>IQ7717786</v>
          </cell>
        </row>
        <row r="74">
          <cell r="I74" t="str">
            <v>IQ13757558</v>
          </cell>
          <cell r="J74" t="str">
            <v>IQ22620824</v>
          </cell>
          <cell r="K74" t="str">
            <v>IQ34181819</v>
          </cell>
          <cell r="L74" t="str">
            <v>IQ4253719</v>
          </cell>
          <cell r="M74" t="str">
            <v>IQ207093701</v>
          </cell>
        </row>
        <row r="75">
          <cell r="I75" t="str">
            <v>IQ26161</v>
          </cell>
          <cell r="J75" t="str">
            <v>IQ98728336</v>
          </cell>
        </row>
        <row r="76">
          <cell r="I76" t="str">
            <v>IQ9858322</v>
          </cell>
          <cell r="J76" t="str">
            <v>IQ22337</v>
          </cell>
          <cell r="K76" t="str">
            <v>IQ280978</v>
          </cell>
          <cell r="L76" t="str">
            <v>IQ519214</v>
          </cell>
          <cell r="M76" t="str">
            <v>IQ10655349</v>
          </cell>
        </row>
        <row r="77">
          <cell r="I77" t="str">
            <v>IQ30613</v>
          </cell>
          <cell r="J77" t="str">
            <v>IQ8059421</v>
          </cell>
          <cell r="K77" t="str">
            <v>IQ6477296</v>
          </cell>
          <cell r="L77" t="str">
            <v>IQ5479898</v>
          </cell>
          <cell r="M77" t="str">
            <v>IQ688587</v>
          </cell>
        </row>
        <row r="78">
          <cell r="I78" t="str">
            <v>IQ1587453</v>
          </cell>
          <cell r="J78" t="str">
            <v>IQ39405759</v>
          </cell>
          <cell r="K78" t="str">
            <v>IQ6713626</v>
          </cell>
          <cell r="L78" t="str">
            <v>IQ377086</v>
          </cell>
          <cell r="M78" t="str">
            <v>IQ4773508</v>
          </cell>
        </row>
        <row r="79">
          <cell r="I79" t="str">
            <v>IQ34284</v>
          </cell>
          <cell r="J79" t="str">
            <v>IQ171071464</v>
          </cell>
          <cell r="K79" t="str">
            <v>IQ34283</v>
          </cell>
          <cell r="L79" t="str">
            <v>IQ36194878</v>
          </cell>
          <cell r="M79" t="str">
            <v>IQ4475616</v>
          </cell>
        </row>
        <row r="80">
          <cell r="I80" t="str">
            <v>IQ20119</v>
          </cell>
          <cell r="J80" t="str">
            <v>IQ2202826</v>
          </cell>
          <cell r="K80" t="str">
            <v>IQ4323277</v>
          </cell>
          <cell r="L80" t="str">
            <v>IQ880263</v>
          </cell>
          <cell r="M80" t="str">
            <v>IQ46299035</v>
          </cell>
        </row>
        <row r="81">
          <cell r="I81" t="str">
            <v>IQ313509</v>
          </cell>
          <cell r="J81" t="str">
            <v>IQ36732</v>
          </cell>
          <cell r="K81" t="str">
            <v>IQ36731</v>
          </cell>
          <cell r="L81" t="str">
            <v>IQ315260</v>
          </cell>
          <cell r="M81" t="str">
            <v>IQ208645616</v>
          </cell>
        </row>
        <row r="82">
          <cell r="I82" t="str">
            <v>IQ39644354</v>
          </cell>
        </row>
        <row r="83">
          <cell r="I83" t="str">
            <v>IQ4326684</v>
          </cell>
          <cell r="J83" t="str">
            <v>IQ6920968</v>
          </cell>
          <cell r="K83" t="str">
            <v>IQ47468679</v>
          </cell>
          <cell r="L83" t="str">
            <v>IQ30742532</v>
          </cell>
          <cell r="M83" t="str">
            <v>IQ84608519</v>
          </cell>
        </row>
        <row r="84">
          <cell r="I84" t="str">
            <v>IQ91092</v>
          </cell>
          <cell r="J84" t="str">
            <v>IQ24657552</v>
          </cell>
          <cell r="K84" t="str">
            <v>IQ113456104</v>
          </cell>
          <cell r="L84" t="str">
            <v>IQ24657981</v>
          </cell>
          <cell r="M84" t="str">
            <v>IQ10600514</v>
          </cell>
        </row>
        <row r="85">
          <cell r="I85" t="str">
            <v>IQ621976</v>
          </cell>
          <cell r="J85" t="str">
            <v>IQ9588367</v>
          </cell>
          <cell r="K85" t="str">
            <v>IQ47317874</v>
          </cell>
          <cell r="L85" t="str">
            <v>IQ138627328</v>
          </cell>
          <cell r="M85" t="str">
            <v>IQ297014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 HERE"/>
      <sheetName val="Source Data--&gt;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Summary - Gross"/>
      <sheetName val="Gray Box"/>
      <sheetName val="Investments Table"/>
      <sheetName val="Value Attribution"/>
      <sheetName val="Slices - Category"/>
      <sheetName val="Slices - Range"/>
      <sheetName val="Investments - Custom"/>
      <sheetName val="Value Creation"/>
      <sheetName val="Company Identifier Tabs--&gt;"/>
      <sheetName val="CIQ GP Lookup"/>
      <sheetName val="Identifier Tool"/>
      <sheetName val="Upload Tabs--&gt;"/>
      <sheetName val="Companies Upload"/>
      <sheetName val="Links Upload"/>
      <sheetName val="Transactions Formulas"/>
      <sheetName val="Transactions Upload"/>
      <sheetName val="Operating Formulas"/>
      <sheetName val="Operating Link Upload"/>
      <sheetName val="Operating Upload"/>
      <sheetName val="_CIQHiddenCacheSheet"/>
      <sheetName val="Attribute Formulas"/>
      <sheetName val="Attribute Upload"/>
      <sheetName val="Attribute Type Upload"/>
      <sheetName val="SPI Data--&gt;"/>
      <sheetName val="spi_generalpartners"/>
      <sheetName val="spi_funds"/>
      <sheetName val="spi_companies"/>
      <sheetName val="spi_links"/>
      <sheetName val="spi_gics"/>
      <sheetName val="spi_net_benchmarking"/>
      <sheetName val="spi_users"/>
      <sheetName val="spi_attribute_types"/>
      <sheetName val="Lists &amp; Catego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2">
          <cell r="J42" t="str">
            <v>IQ29627679</v>
          </cell>
          <cell r="K42" t="str">
            <v>IQ53839770</v>
          </cell>
          <cell r="L42" t="str">
            <v>IQ32181</v>
          </cell>
          <cell r="M42" t="str">
            <v>IQ373226</v>
          </cell>
          <cell r="N42" t="str">
            <v>IQ96081</v>
          </cell>
        </row>
        <row r="43">
          <cell r="J43" t="str">
            <v>IQ39130285</v>
          </cell>
          <cell r="K43" t="str">
            <v>IQ283085890</v>
          </cell>
          <cell r="L43" t="str">
            <v>IQ241584650</v>
          </cell>
          <cell r="M43" t="str">
            <v>IQ208366071</v>
          </cell>
          <cell r="N43" t="str">
            <v>IQ47799997</v>
          </cell>
        </row>
        <row r="44">
          <cell r="J44" t="str">
            <v>IQ33170</v>
          </cell>
          <cell r="K44" t="str">
            <v>IQ46448332</v>
          </cell>
          <cell r="L44" t="str">
            <v>IQ60220274</v>
          </cell>
          <cell r="M44" t="str">
            <v>IQ78337392</v>
          </cell>
          <cell r="N44" t="str">
            <v>IQ51540971</v>
          </cell>
        </row>
        <row r="45">
          <cell r="J45" t="str">
            <v>IQ216608013</v>
          </cell>
          <cell r="K45" t="str">
            <v>IQ4172703</v>
          </cell>
          <cell r="L45" t="str">
            <v>IQ23763</v>
          </cell>
          <cell r="M45" t="str">
            <v>IQ699326</v>
          </cell>
          <cell r="N45" t="str">
            <v>IQ633081</v>
          </cell>
        </row>
        <row r="46">
          <cell r="J46" t="str">
            <v>IQ1063894</v>
          </cell>
          <cell r="K46" t="str">
            <v>IQ192089</v>
          </cell>
          <cell r="L46" t="str">
            <v>IQ1051325</v>
          </cell>
          <cell r="M46" t="str">
            <v>IQ9514876</v>
          </cell>
          <cell r="N46" t="str">
            <v>IQ856173</v>
          </cell>
        </row>
        <row r="47">
          <cell r="J47" t="str">
            <v>IQ346919</v>
          </cell>
          <cell r="K47" t="str">
            <v>IQ42415750</v>
          </cell>
          <cell r="L47" t="str">
            <v>IQ26365531</v>
          </cell>
          <cell r="M47" t="str">
            <v>IQ83640371</v>
          </cell>
          <cell r="N47" t="str">
            <v>IQ39794747</v>
          </cell>
        </row>
        <row r="48">
          <cell r="J48" t="str">
            <v>IQ874816</v>
          </cell>
          <cell r="K48" t="str">
            <v>IQ173610707</v>
          </cell>
          <cell r="L48" t="str">
            <v>IQ897629</v>
          </cell>
          <cell r="M48" t="str">
            <v>IQ250726319</v>
          </cell>
          <cell r="N48" t="str">
            <v>IQ8222032</v>
          </cell>
        </row>
        <row r="49">
          <cell r="J49" t="str">
            <v>IQ9735175</v>
          </cell>
          <cell r="K49" t="str">
            <v>IQ165682936</v>
          </cell>
          <cell r="L49" t="str">
            <v>IQ132366959</v>
          </cell>
          <cell r="M49" t="str">
            <v>IQ5705772</v>
          </cell>
          <cell r="N49" t="str">
            <v>IQ128107011</v>
          </cell>
        </row>
        <row r="50">
          <cell r="J50" t="str">
            <v>IQ109894</v>
          </cell>
          <cell r="K50" t="str">
            <v>IQ6681741</v>
          </cell>
          <cell r="L50" t="str">
            <v>IQ3815518</v>
          </cell>
          <cell r="M50" t="str">
            <v>IQ13361413</v>
          </cell>
          <cell r="N50" t="str">
            <v>IQ21885</v>
          </cell>
        </row>
        <row r="51">
          <cell r="J51" t="str">
            <v>IQ4877824</v>
          </cell>
          <cell r="K51" t="str">
            <v>IQ111588539</v>
          </cell>
          <cell r="L51" t="str">
            <v>IQ42435546</v>
          </cell>
          <cell r="M51" t="str">
            <v>IQ28070530</v>
          </cell>
          <cell r="N51" t="str">
            <v>IQ4549582</v>
          </cell>
        </row>
        <row r="52">
          <cell r="J52" t="str">
            <v>IQ2668681</v>
          </cell>
          <cell r="K52" t="str">
            <v>IQ740535</v>
          </cell>
          <cell r="L52" t="str">
            <v>IQ368470</v>
          </cell>
          <cell r="M52" t="str">
            <v>IQ386024</v>
          </cell>
          <cell r="N52" t="str">
            <v>IQ331654</v>
          </cell>
        </row>
        <row r="53">
          <cell r="J53" t="str">
            <v>IQ680934</v>
          </cell>
          <cell r="K53" t="str">
            <v>IQ680720</v>
          </cell>
          <cell r="L53" t="str">
            <v>IQ41352849</v>
          </cell>
          <cell r="M53" t="str">
            <v>IQ229102886</v>
          </cell>
          <cell r="N53" t="str">
            <v>IQ242439042</v>
          </cell>
        </row>
        <row r="54">
          <cell r="J54" t="str">
            <v>IQ6458474</v>
          </cell>
          <cell r="K54" t="str">
            <v>IQ26442745</v>
          </cell>
          <cell r="L54" t="str">
            <v>IQ4002835</v>
          </cell>
          <cell r="M54" t="str">
            <v>IQ207367816</v>
          </cell>
          <cell r="N54" t="str">
            <v>IQ25549915</v>
          </cell>
        </row>
        <row r="55">
          <cell r="J55" t="str">
            <v>IQ159278</v>
          </cell>
          <cell r="K55" t="str">
            <v>IQ11940033</v>
          </cell>
          <cell r="L55" t="str">
            <v>IQ39744308</v>
          </cell>
        </row>
        <row r="56">
          <cell r="J56" t="str">
            <v>IQ128317</v>
          </cell>
          <cell r="K56" t="str">
            <v>IQ24158938</v>
          </cell>
          <cell r="L56" t="str">
            <v>IQ254123672</v>
          </cell>
          <cell r="M56" t="str">
            <v>IQ81854578</v>
          </cell>
          <cell r="N56" t="str">
            <v>IQ879845</v>
          </cell>
        </row>
        <row r="57">
          <cell r="J57" t="str">
            <v>IQ21261</v>
          </cell>
          <cell r="K57" t="str">
            <v>IQ47192317</v>
          </cell>
          <cell r="L57" t="str">
            <v>IQ46236585</v>
          </cell>
          <cell r="M57" t="str">
            <v>IQ52093431</v>
          </cell>
          <cell r="N57" t="str">
            <v>IQ30825286</v>
          </cell>
        </row>
        <row r="58">
          <cell r="J58" t="str">
            <v>IQ129555216</v>
          </cell>
          <cell r="K58" t="str">
            <v>IQ184333612</v>
          </cell>
          <cell r="L58" t="str">
            <v>IQ4564528</v>
          </cell>
          <cell r="M58" t="str">
            <v>IQ106124</v>
          </cell>
          <cell r="N58" t="str">
            <v>IQ638680</v>
          </cell>
        </row>
        <row r="59">
          <cell r="J59" t="str">
            <v>IQ27707</v>
          </cell>
          <cell r="K59" t="str">
            <v>IQ2567320</v>
          </cell>
          <cell r="L59" t="str">
            <v>IQ1592882</v>
          </cell>
          <cell r="M59" t="str">
            <v>IQ93832</v>
          </cell>
          <cell r="N59" t="str">
            <v>IQ31280</v>
          </cell>
        </row>
        <row r="60">
          <cell r="J60" t="str">
            <v>IQ91957938</v>
          </cell>
          <cell r="K60" t="str">
            <v>IQ701591</v>
          </cell>
          <cell r="L60" t="str">
            <v>IQ2728395</v>
          </cell>
          <cell r="M60" t="str">
            <v>IQ2699409</v>
          </cell>
          <cell r="N60" t="str">
            <v>IQ21814964</v>
          </cell>
        </row>
        <row r="61">
          <cell r="J61" t="str">
            <v>IQ23443234</v>
          </cell>
          <cell r="K61" t="str">
            <v>IQ33391649</v>
          </cell>
          <cell r="L61" t="str">
            <v>IQ223155152</v>
          </cell>
          <cell r="M61" t="str">
            <v>IQ30661514</v>
          </cell>
          <cell r="N61" t="str">
            <v>IQ261571118</v>
          </cell>
        </row>
        <row r="62">
          <cell r="J62" t="str">
            <v>IQ178976</v>
          </cell>
          <cell r="K62" t="str">
            <v>IQ51835882</v>
          </cell>
          <cell r="L62" t="str">
            <v>IQ6490762</v>
          </cell>
          <cell r="M62" t="str">
            <v>IQ935536</v>
          </cell>
          <cell r="N62" t="str">
            <v>IQ145140056</v>
          </cell>
        </row>
        <row r="63">
          <cell r="J63" t="str">
            <v>IQ244734059</v>
          </cell>
          <cell r="K63" t="str">
            <v>IQ6139568</v>
          </cell>
          <cell r="L63" t="str">
            <v>IQ34120092</v>
          </cell>
        </row>
        <row r="64">
          <cell r="J64" t="str">
            <v>IQ4864931</v>
          </cell>
          <cell r="K64" t="str">
            <v>IQ138396889</v>
          </cell>
          <cell r="L64" t="str">
            <v>IQ99286313</v>
          </cell>
          <cell r="M64" t="str">
            <v>IQ52164546</v>
          </cell>
          <cell r="N64" t="str">
            <v>IQ25036829</v>
          </cell>
        </row>
        <row r="65">
          <cell r="J65" t="str">
            <v>IQ11609797</v>
          </cell>
        </row>
        <row r="66">
          <cell r="J66" t="str">
            <v>IQ422760</v>
          </cell>
          <cell r="K66" t="str">
            <v>IQ25694897</v>
          </cell>
          <cell r="L66" t="str">
            <v>IQ36405</v>
          </cell>
          <cell r="M66" t="str">
            <v>IQ35158678</v>
          </cell>
          <cell r="N66" t="str">
            <v>IQ26502882</v>
          </cell>
        </row>
        <row r="67">
          <cell r="J67" t="str">
            <v>IQ9328129</v>
          </cell>
          <cell r="K67" t="str">
            <v>IQ79161058</v>
          </cell>
          <cell r="L67" t="str">
            <v>IQ7009878</v>
          </cell>
          <cell r="M67" t="str">
            <v>IQ22746748</v>
          </cell>
          <cell r="N67" t="str">
            <v>IQ216260733</v>
          </cell>
        </row>
        <row r="68">
          <cell r="J68" t="str">
            <v>IQ26189</v>
          </cell>
          <cell r="K68" t="str">
            <v>IQ5469159</v>
          </cell>
          <cell r="L68" t="str">
            <v>IQ109365434</v>
          </cell>
          <cell r="M68" t="str">
            <v>IQ23952896</v>
          </cell>
          <cell r="N68" t="str">
            <v>IQ7871992</v>
          </cell>
        </row>
        <row r="69">
          <cell r="J69" t="str">
            <v>IQ27393</v>
          </cell>
          <cell r="K69" t="str">
            <v>IQ228633707</v>
          </cell>
          <cell r="L69" t="str">
            <v>IQ208797397</v>
          </cell>
          <cell r="M69" t="str">
            <v>IQ228881090</v>
          </cell>
          <cell r="N69" t="str">
            <v>IQ47575186</v>
          </cell>
        </row>
        <row r="70">
          <cell r="J70" t="str">
            <v>IQ48933961</v>
          </cell>
          <cell r="K70" t="str">
            <v>IQ29364</v>
          </cell>
          <cell r="L70" t="str">
            <v>IQ99811505</v>
          </cell>
          <cell r="M70" t="str">
            <v>IQ214520588</v>
          </cell>
          <cell r="N70" t="str">
            <v>IQ26424942</v>
          </cell>
        </row>
        <row r="71">
          <cell r="J71" t="str">
            <v>IQ139705</v>
          </cell>
          <cell r="K71" t="str">
            <v>IQ35189049</v>
          </cell>
          <cell r="L71" t="str">
            <v>IQ275201</v>
          </cell>
          <cell r="M71" t="str">
            <v>IQ361090</v>
          </cell>
          <cell r="N71" t="str">
            <v>IQ127516626</v>
          </cell>
        </row>
        <row r="72">
          <cell r="J72" t="str">
            <v>IQ25812479</v>
          </cell>
          <cell r="K72" t="str">
            <v>IQ105307228</v>
          </cell>
          <cell r="L72" t="str">
            <v>IQ904911</v>
          </cell>
          <cell r="M72" t="str">
            <v>IQ133975744</v>
          </cell>
          <cell r="N72" t="str">
            <v>IQ109693688</v>
          </cell>
        </row>
        <row r="73">
          <cell r="J73" t="str">
            <v>IQ5092809</v>
          </cell>
          <cell r="K73" t="str">
            <v>IQ11940577</v>
          </cell>
          <cell r="L73" t="str">
            <v>IQ7717786</v>
          </cell>
          <cell r="M73" t="str">
            <v>IQ22386364</v>
          </cell>
          <cell r="N73" t="str">
            <v>IQ4793228</v>
          </cell>
        </row>
        <row r="74">
          <cell r="J74" t="str">
            <v>IQ13757558</v>
          </cell>
          <cell r="K74" t="str">
            <v>IQ22620824</v>
          </cell>
          <cell r="L74" t="str">
            <v>IQ34181819</v>
          </cell>
          <cell r="M74" t="str">
            <v>IQ4253719</v>
          </cell>
          <cell r="N74" t="str">
            <v>IQ207093701</v>
          </cell>
        </row>
        <row r="75">
          <cell r="J75" t="str">
            <v>IQ26161</v>
          </cell>
          <cell r="K75" t="str">
            <v>IQ98728336</v>
          </cell>
        </row>
        <row r="76">
          <cell r="J76" t="str">
            <v>IQ9858322</v>
          </cell>
          <cell r="K76" t="str">
            <v>IQ22337</v>
          </cell>
          <cell r="L76" t="str">
            <v>IQ280978</v>
          </cell>
          <cell r="M76" t="str">
            <v>IQ519214</v>
          </cell>
          <cell r="N76" t="str">
            <v>IQ10655349</v>
          </cell>
        </row>
        <row r="77">
          <cell r="J77" t="str">
            <v>IQ30613</v>
          </cell>
          <cell r="K77" t="str">
            <v>IQ8059421</v>
          </cell>
          <cell r="L77" t="str">
            <v>IQ6477296</v>
          </cell>
          <cell r="M77" t="str">
            <v>IQ5479898</v>
          </cell>
          <cell r="N77" t="str">
            <v>IQ688587</v>
          </cell>
        </row>
        <row r="78">
          <cell r="J78" t="str">
            <v>IQ1587453</v>
          </cell>
          <cell r="K78" t="str">
            <v>IQ39405759</v>
          </cell>
          <cell r="L78" t="str">
            <v>IQ6713626</v>
          </cell>
          <cell r="M78" t="str">
            <v>IQ377086</v>
          </cell>
          <cell r="N78" t="str">
            <v>IQ4773508</v>
          </cell>
        </row>
        <row r="79">
          <cell r="J79" t="str">
            <v>IQ34284</v>
          </cell>
          <cell r="K79" t="str">
            <v>IQ171071464</v>
          </cell>
          <cell r="L79" t="str">
            <v>IQ36194878</v>
          </cell>
          <cell r="M79" t="str">
            <v>IQ34283</v>
          </cell>
          <cell r="N79" t="str">
            <v>IQ4475616</v>
          </cell>
        </row>
        <row r="80">
          <cell r="J80" t="str">
            <v>IQ20119</v>
          </cell>
          <cell r="K80" t="str">
            <v>IQ2202826</v>
          </cell>
          <cell r="L80" t="str">
            <v>IQ4323277</v>
          </cell>
          <cell r="M80" t="str">
            <v>IQ880263</v>
          </cell>
          <cell r="N80" t="str">
            <v>IQ46299035</v>
          </cell>
        </row>
        <row r="81">
          <cell r="J81" t="str">
            <v>IQ313509</v>
          </cell>
          <cell r="K81" t="str">
            <v>IQ36732</v>
          </cell>
          <cell r="L81" t="str">
            <v>IQ36731</v>
          </cell>
          <cell r="M81" t="str">
            <v>IQ315260</v>
          </cell>
          <cell r="N81" t="str">
            <v>IQ208645616</v>
          </cell>
        </row>
        <row r="82">
          <cell r="J82" t="str">
            <v>IQ39644354</v>
          </cell>
        </row>
        <row r="83">
          <cell r="J83" t="str">
            <v>IQ4326684</v>
          </cell>
          <cell r="K83" t="str">
            <v>IQ6920968</v>
          </cell>
          <cell r="L83" t="str">
            <v>IQ47468679</v>
          </cell>
          <cell r="M83" t="str">
            <v>IQ30742532</v>
          </cell>
          <cell r="N83" t="str">
            <v>IQ141601538</v>
          </cell>
        </row>
        <row r="84">
          <cell r="J84" t="str">
            <v>IQ91092</v>
          </cell>
          <cell r="K84" t="str">
            <v>IQ24657552</v>
          </cell>
          <cell r="L84" t="str">
            <v>IQ264506813</v>
          </cell>
          <cell r="M84" t="str">
            <v>IQ113456104</v>
          </cell>
          <cell r="N84" t="str">
            <v>IQ24657981</v>
          </cell>
        </row>
        <row r="85">
          <cell r="J85" t="str">
            <v>IQ621976</v>
          </cell>
          <cell r="K85" t="str">
            <v>IQ9588367</v>
          </cell>
          <cell r="L85" t="str">
            <v>IQ47317874</v>
          </cell>
          <cell r="M85" t="str">
            <v>IQ138627328</v>
          </cell>
          <cell r="N85" t="str">
            <v>IQ297014</v>
          </cell>
        </row>
        <row r="86">
          <cell r="J86" t="str">
            <v>IQ11212024</v>
          </cell>
          <cell r="K86" t="str">
            <v>IQ47231411</v>
          </cell>
          <cell r="L86" t="str">
            <v>IQ47022733</v>
          </cell>
          <cell r="M86" t="str">
            <v>IQ229081278</v>
          </cell>
          <cell r="N86" t="str">
            <v>IQ111618636</v>
          </cell>
        </row>
        <row r="87">
          <cell r="J87" t="str">
            <v>IQ24161095</v>
          </cell>
          <cell r="K87" t="str">
            <v>IQ27629813</v>
          </cell>
          <cell r="L87" t="str">
            <v>IQ279750</v>
          </cell>
          <cell r="M87" t="str">
            <v>IQ347555</v>
          </cell>
          <cell r="N87" t="str">
            <v>IQ695929</v>
          </cell>
        </row>
        <row r="88">
          <cell r="J88" t="str">
            <v>IQ26671368</v>
          </cell>
          <cell r="K88" t="str">
            <v>IQ225965284</v>
          </cell>
          <cell r="L88" t="str">
            <v>IQ417616</v>
          </cell>
          <cell r="M88" t="str">
            <v>IQ245966258</v>
          </cell>
          <cell r="N88" t="str">
            <v>IQ42188746</v>
          </cell>
        </row>
        <row r="89">
          <cell r="J89" t="str">
            <v>IQ251230</v>
          </cell>
          <cell r="K89" t="str">
            <v>IQ3554648</v>
          </cell>
          <cell r="L89" t="str">
            <v>IQ254679</v>
          </cell>
          <cell r="M89" t="str">
            <v>IQ428083</v>
          </cell>
          <cell r="N89" t="str">
            <v>IQ42598141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e Chart"/>
      <sheetName val="Line Graph"/>
      <sheetName val="DT Man-hours Chart"/>
    </sheetNames>
    <sheetDataSet>
      <sheetData sheetId="0"/>
      <sheetData sheetId="1" refreshError="1"/>
      <sheetData sheetId="2">
        <row r="2">
          <cell r="A2" t="str">
            <v>Product RFPs</v>
          </cell>
          <cell r="B2">
            <v>45.5</v>
          </cell>
          <cell r="C2">
            <v>70</v>
          </cell>
          <cell r="D2">
            <v>182</v>
          </cell>
          <cell r="E2">
            <v>217</v>
          </cell>
          <cell r="F2">
            <v>45.5</v>
          </cell>
          <cell r="G2">
            <v>80.5</v>
          </cell>
          <cell r="H2">
            <v>35</v>
          </cell>
          <cell r="I2">
            <v>217</v>
          </cell>
          <cell r="J2">
            <v>245</v>
          </cell>
          <cell r="K2">
            <v>80.5</v>
          </cell>
          <cell r="L2">
            <v>136.5</v>
          </cell>
          <cell r="M2">
            <v>126</v>
          </cell>
        </row>
        <row r="3">
          <cell r="A3" t="str">
            <v>Consultant RFPs</v>
          </cell>
          <cell r="B3">
            <v>81</v>
          </cell>
          <cell r="C3">
            <v>81</v>
          </cell>
          <cell r="D3">
            <v>27</v>
          </cell>
          <cell r="E3">
            <v>81</v>
          </cell>
          <cell r="F3">
            <v>54</v>
          </cell>
          <cell r="G3">
            <v>108</v>
          </cell>
          <cell r="H3">
            <v>81</v>
          </cell>
          <cell r="I3">
            <v>27</v>
          </cell>
          <cell r="J3">
            <v>27</v>
          </cell>
          <cell r="K3">
            <v>81</v>
          </cell>
          <cell r="L3">
            <v>54</v>
          </cell>
          <cell r="M3">
            <v>54</v>
          </cell>
        </row>
        <row r="4">
          <cell r="A4" t="str">
            <v>Database Updates</v>
          </cell>
          <cell r="B4">
            <v>4</v>
          </cell>
          <cell r="C4">
            <v>4</v>
          </cell>
          <cell r="D4">
            <v>14</v>
          </cell>
          <cell r="E4">
            <v>14</v>
          </cell>
          <cell r="F4">
            <v>14</v>
          </cell>
          <cell r="G4">
            <v>14</v>
          </cell>
          <cell r="H4">
            <v>14</v>
          </cell>
          <cell r="I4">
            <v>14</v>
          </cell>
          <cell r="J4">
            <v>14</v>
          </cell>
          <cell r="K4">
            <v>14</v>
          </cell>
          <cell r="L4">
            <v>14</v>
          </cell>
          <cell r="M4">
            <v>14</v>
          </cell>
        </row>
        <row r="5">
          <cell r="A5" t="str">
            <v>Finals Pres</v>
          </cell>
          <cell r="B5">
            <v>36</v>
          </cell>
          <cell r="C5">
            <v>12</v>
          </cell>
          <cell r="D5">
            <v>7.8</v>
          </cell>
          <cell r="E5">
            <v>6</v>
          </cell>
          <cell r="F5">
            <v>31.2</v>
          </cell>
          <cell r="G5">
            <v>31.2</v>
          </cell>
          <cell r="H5">
            <v>7.8</v>
          </cell>
          <cell r="I5">
            <v>7.8</v>
          </cell>
          <cell r="J5">
            <v>6</v>
          </cell>
          <cell r="K5">
            <v>31.2</v>
          </cell>
          <cell r="L5">
            <v>42</v>
          </cell>
          <cell r="M5">
            <v>7.8</v>
          </cell>
        </row>
        <row r="6">
          <cell r="A6" t="str">
            <v>Pres. Updates</v>
          </cell>
          <cell r="B6">
            <v>45</v>
          </cell>
          <cell r="C6">
            <v>0</v>
          </cell>
          <cell r="D6">
            <v>45</v>
          </cell>
          <cell r="E6">
            <v>45</v>
          </cell>
          <cell r="F6">
            <v>0</v>
          </cell>
          <cell r="G6">
            <v>45</v>
          </cell>
          <cell r="H6">
            <v>45</v>
          </cell>
          <cell r="I6">
            <v>0</v>
          </cell>
          <cell r="J6">
            <v>45</v>
          </cell>
          <cell r="K6">
            <v>45</v>
          </cell>
          <cell r="L6">
            <v>0</v>
          </cell>
          <cell r="M6">
            <v>45</v>
          </cell>
        </row>
        <row r="7">
          <cell r="A7" t="str">
            <v>Database Maintenance</v>
          </cell>
          <cell r="B7">
            <v>32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</row>
        <row r="8">
          <cell r="A8" t="str">
            <v>PPP Package</v>
          </cell>
          <cell r="B8">
            <v>12</v>
          </cell>
          <cell r="C8">
            <v>12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 Sum by Inv"/>
      <sheetName val="Fund Type, VY &amp; Orig"/>
      <sheetName val="PE Benchmark"/>
      <sheetName val="PE Benchmark (2)"/>
      <sheetName val="Cost Basis"/>
      <sheetName val="Inv Pfl Assess"/>
      <sheetName val="Inv Pfl Assess (2)"/>
      <sheetName val="Comm by VY"/>
      <sheetName val="Qtrly Cash Flow"/>
      <sheetName val="Divers by MV1-data(a)"/>
      <sheetName val="Divers by MV(a)"/>
      <sheetName val="divers by exp--data"/>
      <sheetName val="Divers by exp"/>
      <sheetName val="Industry Divers-data"/>
      <sheetName val="Industry Divers"/>
      <sheetName val="Industry Div data excluded FOF"/>
      <sheetName val="Industry Divers excluded FOF"/>
      <sheetName val="Geo Divers data"/>
      <sheetName val="Geo Divers"/>
      <sheetName val="Pub VS Priv data"/>
      <sheetName val="Pub v Pri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308">
          <cell r="H308" t="str">
            <v xml:space="preserve">Public    </v>
          </cell>
        </row>
        <row r="309">
          <cell r="H309" t="str">
            <v xml:space="preserve">Public    </v>
          </cell>
        </row>
        <row r="310">
          <cell r="H310" t="str">
            <v xml:space="preserve">Public    </v>
          </cell>
        </row>
        <row r="311">
          <cell r="H311" t="str">
            <v xml:space="preserve">Public    </v>
          </cell>
        </row>
        <row r="312">
          <cell r="H312" t="str">
            <v xml:space="preserve">Public    </v>
          </cell>
        </row>
        <row r="313">
          <cell r="H313" t="str">
            <v xml:space="preserve">Public    </v>
          </cell>
        </row>
        <row r="314">
          <cell r="H314" t="str">
            <v xml:space="preserve">Public    </v>
          </cell>
        </row>
        <row r="315">
          <cell r="H315" t="str">
            <v xml:space="preserve">Public    </v>
          </cell>
        </row>
        <row r="316">
          <cell r="H316" t="str">
            <v xml:space="preserve">Public    </v>
          </cell>
        </row>
        <row r="317">
          <cell r="H317" t="str">
            <v xml:space="preserve">Public    </v>
          </cell>
        </row>
        <row r="318">
          <cell r="H318" t="str">
            <v xml:space="preserve">Public    </v>
          </cell>
        </row>
        <row r="319">
          <cell r="H319" t="str">
            <v xml:space="preserve">Public    </v>
          </cell>
        </row>
        <row r="320">
          <cell r="H320" t="str">
            <v xml:space="preserve">Public    </v>
          </cell>
        </row>
        <row r="321">
          <cell r="H321" t="str">
            <v xml:space="preserve">Public    </v>
          </cell>
        </row>
        <row r="322">
          <cell r="H322" t="str">
            <v xml:space="preserve">Public    </v>
          </cell>
        </row>
        <row r="323">
          <cell r="H323" t="str">
            <v xml:space="preserve">Public    </v>
          </cell>
        </row>
        <row r="324">
          <cell r="H324" t="str">
            <v xml:space="preserve">Public    </v>
          </cell>
        </row>
        <row r="325">
          <cell r="H325" t="str">
            <v xml:space="preserve">Public    </v>
          </cell>
        </row>
        <row r="326">
          <cell r="H326" t="str">
            <v xml:space="preserve">Public    </v>
          </cell>
        </row>
        <row r="327">
          <cell r="H327" t="str">
            <v xml:space="preserve">Public    </v>
          </cell>
        </row>
        <row r="328">
          <cell r="H328" t="str">
            <v xml:space="preserve">Public    </v>
          </cell>
        </row>
        <row r="329">
          <cell r="H329" t="str">
            <v xml:space="preserve">Public    </v>
          </cell>
        </row>
        <row r="330">
          <cell r="H330" t="str">
            <v xml:space="preserve">Public    </v>
          </cell>
        </row>
        <row r="331">
          <cell r="H331" t="str">
            <v xml:space="preserve">Public    </v>
          </cell>
        </row>
        <row r="332">
          <cell r="H332" t="str">
            <v xml:space="preserve">Public    </v>
          </cell>
        </row>
        <row r="333">
          <cell r="H333" t="str">
            <v xml:space="preserve">Public    </v>
          </cell>
        </row>
        <row r="334">
          <cell r="H334" t="str">
            <v xml:space="preserve">Public    </v>
          </cell>
        </row>
        <row r="335">
          <cell r="H335" t="str">
            <v xml:space="preserve">Public    </v>
          </cell>
        </row>
        <row r="336">
          <cell r="H336" t="str">
            <v xml:space="preserve">Public    </v>
          </cell>
        </row>
        <row r="337">
          <cell r="H337" t="str">
            <v xml:space="preserve">Public    </v>
          </cell>
        </row>
        <row r="338">
          <cell r="H338" t="str">
            <v xml:space="preserve">Public    </v>
          </cell>
        </row>
        <row r="339">
          <cell r="H339" t="str">
            <v xml:space="preserve">Public    </v>
          </cell>
        </row>
        <row r="340">
          <cell r="H340" t="str">
            <v xml:space="preserve">Public    </v>
          </cell>
        </row>
        <row r="341">
          <cell r="H341" t="str">
            <v xml:space="preserve">Public    </v>
          </cell>
        </row>
      </sheetData>
      <sheetData sheetId="2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emplate"/>
      <sheetName val="Report"/>
      <sheetName val="DT_P_Template"/>
      <sheetName val="PFPos"/>
      <sheetName val="PFLoans"/>
      <sheetName val="Stats1"/>
      <sheetName val="Stats2"/>
      <sheetName val="Stats3"/>
      <sheetName val="PvtPFPos"/>
      <sheetName val="PvtPFLoans"/>
      <sheetName val="PvtStats1"/>
      <sheetName val="PvtStats2"/>
      <sheetName val="PvtStats3"/>
      <sheetName val="IRDur"/>
    </sheetNames>
    <sheetDataSet>
      <sheetData sheetId="0">
        <row r="5">
          <cell r="D5">
            <v>44165</v>
          </cell>
        </row>
        <row r="9">
          <cell r="D9">
            <v>479</v>
          </cell>
        </row>
        <row r="15">
          <cell r="D15" t="str">
            <v>EUR</v>
          </cell>
        </row>
        <row r="17">
          <cell r="D17" t="str">
            <v>VG-PD UT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Table of Contents"/>
      <sheetName val="Section 1"/>
      <sheetName val="Portfolio Summary - Cash Basis"/>
      <sheetName val="Performance Summary By Invest"/>
      <sheetName val="Summary of PE Invest. Perf."/>
      <sheetName val="Private Equity Benchmarks"/>
      <sheetName val="Investment Portfolio Assessment"/>
      <sheetName val="Sum. Liquidated Part."/>
      <sheetName val="Time Weighted Returns"/>
      <sheetName val="IRR Analysis"/>
      <sheetName val="Analysis Alt. Inv. Alloc."/>
      <sheetName val="Section 2"/>
      <sheetName val="Commit. By Vintage Year"/>
      <sheetName val="Quart. Cash Flow Summary"/>
      <sheetName val="Port. Strat. Div. MV"/>
      <sheetName val="Port. Strat. Div. TE"/>
      <sheetName val="Und. Inv. Div. Industry Ex Lexi"/>
      <sheetName val="Und. Inv. Div. Industry"/>
      <sheetName val="Und. Inv. Div. Geography"/>
      <sheetName val="Cost Reconciliation"/>
      <sheetName val="Number of Holdings"/>
      <sheetName val="Public vs. Private Holdings"/>
      <sheetName val="Section 3"/>
      <sheetName val="Qualitative Review"/>
      <sheetName val="1 - Advanced Technology Ventu"/>
      <sheetName val="2 - Apollo Investment Fund V,"/>
      <sheetName val="3 - Blackstone Capital Partne"/>
      <sheetName val="4 - Falcon Mezzanine Partners"/>
      <sheetName val="5 - GESD Investors, L.P."/>
      <sheetName val="6 - Gores Capital Partners, L"/>
      <sheetName val="7 - Green Equity Investors IV"/>
      <sheetName val="8 - Kelso Investment Associat"/>
      <sheetName val="9 - Kohlberg Investors V, L.P"/>
      <sheetName val="10 - KPS Special Situation Fun"/>
      <sheetName val="11 - Levine Leichtman Capital "/>
      <sheetName val="12 - Lexington Partners - Hami"/>
      <sheetName val="13 - Lighthouse Capital Partne"/>
      <sheetName val="14 - Lindsay Goldberg &amp; Bessem"/>
      <sheetName val="15 - Madison Dearborn Capital "/>
      <sheetName val="16 - Nautic Partners V, L.P."/>
      <sheetName val="17 - New Enterprise Associates"/>
      <sheetName val="18 - Oak Investment Partners X"/>
      <sheetName val="19 - Platinum Equity Capital P"/>
      <sheetName val="20 - TPG Partners IV, L.P."/>
      <sheetName val="Section 4"/>
      <sheetName val="Port. Comp. List. Partnership"/>
      <sheetName val="Top 10 Company Holdings"/>
      <sheetName val="Cost and Fair MV"/>
      <sheetName val="Section 6"/>
      <sheetName val="Real Estate Summary"/>
      <sheetName val="Real Estate Review"/>
      <sheetName val="APPENDIX A"/>
      <sheetName val="Performance Rating Guidelines"/>
      <sheetName val="APPENDIX B"/>
      <sheetName val="Glossary of Terms"/>
      <sheetName val="sys_color_palette"/>
      <sheetName val="sys_messages"/>
      <sheetName val="sys_font_sizes"/>
      <sheetName val="sys_format_ma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6">
          <cell r="I6" t="str">
            <v>Private</v>
          </cell>
        </row>
        <row r="7">
          <cell r="I7" t="str">
            <v>Private</v>
          </cell>
        </row>
        <row r="8">
          <cell r="I8" t="str">
            <v>Private</v>
          </cell>
        </row>
        <row r="9">
          <cell r="I9" t="str">
            <v>Private</v>
          </cell>
        </row>
        <row r="10">
          <cell r="I10" t="str">
            <v>Private</v>
          </cell>
        </row>
        <row r="11">
          <cell r="I11" t="str">
            <v>Private</v>
          </cell>
        </row>
        <row r="12">
          <cell r="I12" t="str">
            <v>Public</v>
          </cell>
        </row>
        <row r="13">
          <cell r="I13" t="str">
            <v>Private</v>
          </cell>
        </row>
        <row r="14">
          <cell r="I14" t="str">
            <v>Private</v>
          </cell>
        </row>
        <row r="15">
          <cell r="I15" t="str">
            <v>Private</v>
          </cell>
        </row>
        <row r="16">
          <cell r="I16" t="str">
            <v>Private</v>
          </cell>
        </row>
        <row r="17">
          <cell r="I17" t="str">
            <v>Private</v>
          </cell>
        </row>
        <row r="18">
          <cell r="I18" t="str">
            <v>Private</v>
          </cell>
        </row>
        <row r="19">
          <cell r="I19" t="str">
            <v>Public</v>
          </cell>
        </row>
        <row r="20">
          <cell r="I20" t="str">
            <v>Private</v>
          </cell>
        </row>
        <row r="21">
          <cell r="I21" t="str">
            <v>Private</v>
          </cell>
        </row>
        <row r="22">
          <cell r="I22" t="str">
            <v>Private</v>
          </cell>
        </row>
        <row r="23">
          <cell r="I23" t="str">
            <v>Private</v>
          </cell>
        </row>
        <row r="24">
          <cell r="I24" t="str">
            <v>Private</v>
          </cell>
        </row>
        <row r="25">
          <cell r="I25" t="str">
            <v>Private</v>
          </cell>
        </row>
        <row r="26">
          <cell r="I26" t="str">
            <v>Private</v>
          </cell>
        </row>
        <row r="27">
          <cell r="I27" t="str">
            <v>Private</v>
          </cell>
        </row>
        <row r="28">
          <cell r="I28" t="str">
            <v>Private</v>
          </cell>
        </row>
        <row r="29">
          <cell r="I29" t="str">
            <v>Private</v>
          </cell>
        </row>
        <row r="30">
          <cell r="I30" t="str">
            <v>Private</v>
          </cell>
        </row>
        <row r="31">
          <cell r="I31" t="str">
            <v>Private</v>
          </cell>
        </row>
        <row r="32">
          <cell r="I32" t="str">
            <v>Private</v>
          </cell>
        </row>
        <row r="33">
          <cell r="I33" t="str">
            <v>Private</v>
          </cell>
        </row>
        <row r="34">
          <cell r="I34" t="str">
            <v>Private</v>
          </cell>
        </row>
        <row r="46">
          <cell r="I46" t="str">
            <v>Public</v>
          </cell>
        </row>
        <row r="47">
          <cell r="I47" t="str">
            <v>Private</v>
          </cell>
        </row>
        <row r="48">
          <cell r="I48" t="str">
            <v>Private</v>
          </cell>
        </row>
        <row r="49">
          <cell r="I49" t="str">
            <v>Public</v>
          </cell>
        </row>
        <row r="50">
          <cell r="I50" t="str">
            <v>Public</v>
          </cell>
        </row>
        <row r="51">
          <cell r="I51" t="str">
            <v>Private</v>
          </cell>
        </row>
        <row r="52">
          <cell r="I52" t="str">
            <v>Public</v>
          </cell>
        </row>
        <row r="53">
          <cell r="I53" t="str">
            <v>Private</v>
          </cell>
        </row>
        <row r="54">
          <cell r="I54" t="str">
            <v>Public</v>
          </cell>
        </row>
        <row r="55">
          <cell r="I55" t="str">
            <v>Private</v>
          </cell>
        </row>
        <row r="56">
          <cell r="I56" t="str">
            <v>Public</v>
          </cell>
        </row>
        <row r="57">
          <cell r="I57" t="str">
            <v>Public</v>
          </cell>
        </row>
        <row r="58">
          <cell r="I58" t="str">
            <v>Public</v>
          </cell>
        </row>
        <row r="70">
          <cell r="I70" t="str">
            <v>Private</v>
          </cell>
        </row>
        <row r="71">
          <cell r="I71" t="str">
            <v>Private</v>
          </cell>
        </row>
        <row r="72">
          <cell r="I72" t="str">
            <v>Private</v>
          </cell>
        </row>
        <row r="73">
          <cell r="I73" t="str">
            <v>Private</v>
          </cell>
        </row>
        <row r="74">
          <cell r="I74" t="str">
            <v>Private</v>
          </cell>
        </row>
        <row r="75">
          <cell r="I75" t="str">
            <v>Private</v>
          </cell>
        </row>
        <row r="76">
          <cell r="I76" t="str">
            <v>Public</v>
          </cell>
        </row>
        <row r="77">
          <cell r="I77" t="str">
            <v>Private</v>
          </cell>
        </row>
        <row r="78">
          <cell r="I78" t="str">
            <v>Private</v>
          </cell>
        </row>
        <row r="79">
          <cell r="I79" t="str">
            <v>Public</v>
          </cell>
        </row>
        <row r="91">
          <cell r="I91" t="str">
            <v>Private</v>
          </cell>
        </row>
        <row r="92">
          <cell r="I92" t="str">
            <v>Private</v>
          </cell>
        </row>
        <row r="93">
          <cell r="I93" t="str">
            <v>Private</v>
          </cell>
        </row>
        <row r="94">
          <cell r="I94" t="str">
            <v>Private</v>
          </cell>
        </row>
        <row r="95">
          <cell r="I95" t="str">
            <v>Public</v>
          </cell>
        </row>
        <row r="96">
          <cell r="I96" t="str">
            <v>Private</v>
          </cell>
        </row>
        <row r="97">
          <cell r="I97" t="str">
            <v>Private</v>
          </cell>
        </row>
        <row r="98">
          <cell r="I98" t="str">
            <v>Private</v>
          </cell>
        </row>
        <row r="110">
          <cell r="I110" t="str">
            <v>Private</v>
          </cell>
        </row>
        <row r="111">
          <cell r="I111" t="str">
            <v>Private</v>
          </cell>
        </row>
        <row r="112">
          <cell r="I112" t="str">
            <v>Private</v>
          </cell>
        </row>
        <row r="113">
          <cell r="I113" t="str">
            <v>Private</v>
          </cell>
        </row>
        <row r="114">
          <cell r="I114" t="str">
            <v>Private</v>
          </cell>
        </row>
        <row r="115">
          <cell r="I115" t="str">
            <v>Private</v>
          </cell>
        </row>
        <row r="116">
          <cell r="I116" t="str">
            <v>Private</v>
          </cell>
        </row>
        <row r="128">
          <cell r="I128" t="str">
            <v>Private</v>
          </cell>
        </row>
        <row r="129">
          <cell r="I129" t="str">
            <v>Public</v>
          </cell>
        </row>
        <row r="130">
          <cell r="I130" t="str">
            <v>Private</v>
          </cell>
        </row>
        <row r="142">
          <cell r="I142" t="str">
            <v>Private</v>
          </cell>
        </row>
        <row r="143">
          <cell r="I143" t="str">
            <v>Private</v>
          </cell>
        </row>
        <row r="144">
          <cell r="I144" t="str">
            <v>Private</v>
          </cell>
        </row>
        <row r="156">
          <cell r="I156" t="str">
            <v>Private</v>
          </cell>
        </row>
        <row r="157">
          <cell r="I157" t="str">
            <v>Private</v>
          </cell>
        </row>
        <row r="158">
          <cell r="I158" t="str">
            <v>Private</v>
          </cell>
        </row>
        <row r="170">
          <cell r="I170" t="str">
            <v>Private</v>
          </cell>
        </row>
        <row r="182">
          <cell r="I182" t="str">
            <v>Private</v>
          </cell>
        </row>
        <row r="183">
          <cell r="I183" t="str">
            <v>Private</v>
          </cell>
        </row>
        <row r="184">
          <cell r="I184" t="str">
            <v>Private</v>
          </cell>
        </row>
        <row r="185">
          <cell r="I185" t="str">
            <v>Private</v>
          </cell>
        </row>
        <row r="186">
          <cell r="I186" t="str">
            <v>Private</v>
          </cell>
        </row>
        <row r="187">
          <cell r="I187" t="str">
            <v>Private</v>
          </cell>
        </row>
        <row r="188">
          <cell r="I188" t="str">
            <v>Private</v>
          </cell>
        </row>
        <row r="189">
          <cell r="I189" t="str">
            <v>Private</v>
          </cell>
        </row>
        <row r="190">
          <cell r="I190" t="str">
            <v>Private</v>
          </cell>
        </row>
        <row r="191">
          <cell r="I191" t="str">
            <v>Private</v>
          </cell>
        </row>
        <row r="192">
          <cell r="I192" t="str">
            <v>Private</v>
          </cell>
        </row>
        <row r="193">
          <cell r="I193" t="str">
            <v>Private</v>
          </cell>
        </row>
        <row r="194">
          <cell r="I194" t="str">
            <v>Private</v>
          </cell>
        </row>
        <row r="195">
          <cell r="I195" t="str">
            <v>Private</v>
          </cell>
        </row>
        <row r="196">
          <cell r="I196" t="str">
            <v>Private</v>
          </cell>
        </row>
        <row r="197">
          <cell r="I197" t="str">
            <v>Private</v>
          </cell>
        </row>
        <row r="198">
          <cell r="I198" t="str">
            <v>Private</v>
          </cell>
        </row>
        <row r="199">
          <cell r="I199" t="str">
            <v>Private</v>
          </cell>
        </row>
        <row r="200">
          <cell r="I200" t="str">
            <v>Private</v>
          </cell>
        </row>
        <row r="201">
          <cell r="I201" t="str">
            <v>Private</v>
          </cell>
        </row>
        <row r="202">
          <cell r="I202" t="str">
            <v>Private</v>
          </cell>
        </row>
        <row r="203">
          <cell r="I203" t="str">
            <v>Private</v>
          </cell>
        </row>
        <row r="204">
          <cell r="I204" t="str">
            <v>Private</v>
          </cell>
        </row>
        <row r="205">
          <cell r="I205" t="str">
            <v>Private</v>
          </cell>
        </row>
        <row r="206">
          <cell r="I206" t="str">
            <v>Private</v>
          </cell>
        </row>
        <row r="207">
          <cell r="I207" t="str">
            <v>Private</v>
          </cell>
        </row>
        <row r="208">
          <cell r="I208" t="str">
            <v>Private</v>
          </cell>
        </row>
        <row r="209">
          <cell r="I209" t="str">
            <v>Private</v>
          </cell>
        </row>
        <row r="210">
          <cell r="I210" t="str">
            <v>Private</v>
          </cell>
        </row>
        <row r="211">
          <cell r="I211" t="str">
            <v>Private</v>
          </cell>
        </row>
        <row r="212">
          <cell r="I212" t="str">
            <v>Private</v>
          </cell>
        </row>
        <row r="213">
          <cell r="I213" t="str">
            <v>Private</v>
          </cell>
        </row>
        <row r="214">
          <cell r="I214" t="str">
            <v>Private</v>
          </cell>
        </row>
        <row r="215">
          <cell r="I215" t="str">
            <v>Private</v>
          </cell>
        </row>
        <row r="216">
          <cell r="I216" t="str">
            <v>Private</v>
          </cell>
        </row>
        <row r="217">
          <cell r="I217" t="str">
            <v>Private</v>
          </cell>
        </row>
        <row r="218">
          <cell r="I218" t="str">
            <v>Private</v>
          </cell>
        </row>
        <row r="219">
          <cell r="I219" t="str">
            <v>Private</v>
          </cell>
        </row>
        <row r="220">
          <cell r="I220" t="str">
            <v>Private</v>
          </cell>
        </row>
        <row r="221">
          <cell r="I221" t="str">
            <v>Private</v>
          </cell>
        </row>
        <row r="222">
          <cell r="I222" t="str">
            <v>Private</v>
          </cell>
        </row>
        <row r="223">
          <cell r="I223" t="str">
            <v>Private</v>
          </cell>
        </row>
        <row r="224">
          <cell r="I224" t="str">
            <v>Private</v>
          </cell>
        </row>
        <row r="225">
          <cell r="I225" t="str">
            <v>Private</v>
          </cell>
        </row>
        <row r="226">
          <cell r="I226" t="str">
            <v>Private</v>
          </cell>
        </row>
        <row r="227">
          <cell r="I227" t="str">
            <v>Private</v>
          </cell>
        </row>
        <row r="228">
          <cell r="I228" t="str">
            <v>Private</v>
          </cell>
        </row>
        <row r="229">
          <cell r="I229" t="str">
            <v>Private</v>
          </cell>
        </row>
        <row r="230">
          <cell r="I230" t="str">
            <v>Private</v>
          </cell>
        </row>
        <row r="231">
          <cell r="I231" t="str">
            <v>Private</v>
          </cell>
        </row>
        <row r="232">
          <cell r="I232" t="str">
            <v>Private</v>
          </cell>
        </row>
        <row r="236">
          <cell r="I236" t="str">
            <v>Private</v>
          </cell>
        </row>
        <row r="237">
          <cell r="I237" t="str">
            <v>Private</v>
          </cell>
        </row>
        <row r="238">
          <cell r="I238" t="str">
            <v>Private</v>
          </cell>
        </row>
        <row r="239">
          <cell r="I239" t="str">
            <v>Private</v>
          </cell>
        </row>
        <row r="240">
          <cell r="I240" t="str">
            <v>Private</v>
          </cell>
        </row>
        <row r="241">
          <cell r="I241" t="str">
            <v>Private</v>
          </cell>
        </row>
        <row r="242">
          <cell r="I242" t="str">
            <v>Private</v>
          </cell>
        </row>
        <row r="254">
          <cell r="I254" t="str">
            <v>Private</v>
          </cell>
        </row>
        <row r="255">
          <cell r="I255" t="str">
            <v>Private</v>
          </cell>
        </row>
        <row r="256">
          <cell r="I256" t="str">
            <v>Private</v>
          </cell>
        </row>
        <row r="257">
          <cell r="I257" t="str">
            <v>Public</v>
          </cell>
        </row>
        <row r="258">
          <cell r="I258" t="str">
            <v>Private</v>
          </cell>
        </row>
        <row r="259">
          <cell r="I259" t="str">
            <v>Private</v>
          </cell>
        </row>
        <row r="260">
          <cell r="I260" t="str">
            <v>Private</v>
          </cell>
        </row>
        <row r="261">
          <cell r="I261" t="str">
            <v>Private</v>
          </cell>
        </row>
        <row r="262">
          <cell r="I262" t="str">
            <v>Private</v>
          </cell>
        </row>
        <row r="263">
          <cell r="I263" t="str">
            <v>Private</v>
          </cell>
        </row>
        <row r="264">
          <cell r="I264" t="str">
            <v>Private</v>
          </cell>
        </row>
        <row r="265">
          <cell r="I265" t="str">
            <v>Private</v>
          </cell>
        </row>
        <row r="266">
          <cell r="I266" t="str">
            <v>Private</v>
          </cell>
        </row>
        <row r="267">
          <cell r="I267" t="str">
            <v>Private</v>
          </cell>
        </row>
        <row r="268">
          <cell r="I268" t="str">
            <v>Private</v>
          </cell>
        </row>
        <row r="269">
          <cell r="I269" t="str">
            <v>Private</v>
          </cell>
        </row>
        <row r="270">
          <cell r="I270" t="str">
            <v>Private</v>
          </cell>
        </row>
        <row r="271">
          <cell r="I271" t="str">
            <v>Private</v>
          </cell>
        </row>
        <row r="272">
          <cell r="I272" t="str">
            <v>Private</v>
          </cell>
        </row>
        <row r="273">
          <cell r="I273" t="str">
            <v>Private</v>
          </cell>
        </row>
        <row r="274">
          <cell r="I274" t="str">
            <v>Private</v>
          </cell>
        </row>
        <row r="275">
          <cell r="I275" t="str">
            <v>Private</v>
          </cell>
        </row>
        <row r="276">
          <cell r="I276" t="str">
            <v>Private</v>
          </cell>
        </row>
        <row r="277">
          <cell r="I277" t="str">
            <v>Private</v>
          </cell>
        </row>
        <row r="278">
          <cell r="I278" t="str">
            <v>Private</v>
          </cell>
        </row>
        <row r="279">
          <cell r="I279" t="str">
            <v>Private</v>
          </cell>
        </row>
        <row r="280">
          <cell r="I280" t="str">
            <v>Private</v>
          </cell>
        </row>
        <row r="281">
          <cell r="I281" t="str">
            <v>Private</v>
          </cell>
        </row>
        <row r="282">
          <cell r="I282" t="str">
            <v>Private</v>
          </cell>
        </row>
        <row r="283">
          <cell r="I283" t="str">
            <v>Private</v>
          </cell>
        </row>
        <row r="284">
          <cell r="I284" t="str">
            <v>Private</v>
          </cell>
        </row>
        <row r="285">
          <cell r="I285" t="str">
            <v>Private</v>
          </cell>
        </row>
        <row r="286">
          <cell r="I286" t="str">
            <v>Private</v>
          </cell>
        </row>
        <row r="287">
          <cell r="I287" t="str">
            <v>Private</v>
          </cell>
        </row>
        <row r="288">
          <cell r="I288" t="str">
            <v>Private</v>
          </cell>
        </row>
        <row r="289">
          <cell r="I289" t="str">
            <v>Private</v>
          </cell>
        </row>
        <row r="290">
          <cell r="I290" t="str">
            <v>Private</v>
          </cell>
        </row>
        <row r="291">
          <cell r="I291" t="str">
            <v>Private</v>
          </cell>
        </row>
        <row r="292">
          <cell r="I292" t="str">
            <v>Private</v>
          </cell>
        </row>
        <row r="293">
          <cell r="I293" t="str">
            <v>Private</v>
          </cell>
        </row>
        <row r="294">
          <cell r="I294" t="str">
            <v>Private</v>
          </cell>
        </row>
        <row r="295">
          <cell r="I295" t="str">
            <v>Private</v>
          </cell>
        </row>
        <row r="296">
          <cell r="I296" t="str">
            <v>Private</v>
          </cell>
        </row>
        <row r="308">
          <cell r="I308" t="str">
            <v>Private</v>
          </cell>
        </row>
        <row r="309">
          <cell r="I309" t="str">
            <v>Private</v>
          </cell>
        </row>
        <row r="310">
          <cell r="I310" t="str">
            <v>Private</v>
          </cell>
        </row>
        <row r="311">
          <cell r="I311" t="str">
            <v>Private</v>
          </cell>
        </row>
        <row r="312">
          <cell r="I312" t="str">
            <v>Private</v>
          </cell>
        </row>
        <row r="324">
          <cell r="I324" t="str">
            <v>Private</v>
          </cell>
        </row>
        <row r="325">
          <cell r="I325" t="str">
            <v>Private</v>
          </cell>
        </row>
        <row r="326">
          <cell r="I326" t="str">
            <v>Private</v>
          </cell>
        </row>
        <row r="327">
          <cell r="I327" t="str">
            <v>Private</v>
          </cell>
        </row>
        <row r="328">
          <cell r="I328" t="str">
            <v>Private</v>
          </cell>
        </row>
        <row r="329">
          <cell r="I329" t="str">
            <v>Public</v>
          </cell>
        </row>
        <row r="330">
          <cell r="I330" t="str">
            <v>Private</v>
          </cell>
        </row>
        <row r="331">
          <cell r="I331" t="str">
            <v>Private</v>
          </cell>
        </row>
        <row r="343">
          <cell r="I343" t="str">
            <v>Private</v>
          </cell>
        </row>
        <row r="344">
          <cell r="I344" t="str">
            <v>Private</v>
          </cell>
        </row>
        <row r="345">
          <cell r="I345" t="str">
            <v>Private</v>
          </cell>
        </row>
        <row r="346">
          <cell r="I346" t="str">
            <v>Private</v>
          </cell>
        </row>
        <row r="347">
          <cell r="I347" t="str">
            <v>Private</v>
          </cell>
        </row>
        <row r="348">
          <cell r="I348" t="str">
            <v>Private</v>
          </cell>
        </row>
        <row r="349">
          <cell r="I349" t="str">
            <v>Private</v>
          </cell>
        </row>
        <row r="350">
          <cell r="I350" t="str">
            <v>Private</v>
          </cell>
        </row>
        <row r="351">
          <cell r="I351" t="str">
            <v>Private</v>
          </cell>
        </row>
        <row r="352">
          <cell r="I352" t="str">
            <v>Public</v>
          </cell>
        </row>
        <row r="353">
          <cell r="I353" t="str">
            <v>Private</v>
          </cell>
        </row>
        <row r="365">
          <cell r="I365" t="str">
            <v>Private</v>
          </cell>
        </row>
        <row r="366">
          <cell r="I366" t="str">
            <v>Private</v>
          </cell>
        </row>
        <row r="367">
          <cell r="I367" t="str">
            <v>Public</v>
          </cell>
        </row>
        <row r="368">
          <cell r="I368" t="str">
            <v>Private</v>
          </cell>
        </row>
        <row r="369">
          <cell r="I369" t="str">
            <v>Private</v>
          </cell>
        </row>
        <row r="370">
          <cell r="I370" t="str">
            <v>Private</v>
          </cell>
        </row>
        <row r="371">
          <cell r="I371" t="str">
            <v>Public</v>
          </cell>
        </row>
        <row r="372">
          <cell r="I372" t="str">
            <v>Private</v>
          </cell>
        </row>
        <row r="373">
          <cell r="I373" t="str">
            <v>Private</v>
          </cell>
        </row>
        <row r="374">
          <cell r="I374" t="str">
            <v>Private</v>
          </cell>
        </row>
        <row r="375">
          <cell r="I375" t="str">
            <v>Private</v>
          </cell>
        </row>
        <row r="376">
          <cell r="I376" t="str">
            <v>Private</v>
          </cell>
        </row>
        <row r="377">
          <cell r="I377" t="str">
            <v>Private</v>
          </cell>
        </row>
        <row r="378">
          <cell r="I378" t="str">
            <v>Private</v>
          </cell>
        </row>
        <row r="379">
          <cell r="I379" t="str">
            <v>Private</v>
          </cell>
        </row>
        <row r="380">
          <cell r="I380" t="str">
            <v>Public</v>
          </cell>
        </row>
        <row r="381">
          <cell r="I381" t="str">
            <v>Private</v>
          </cell>
        </row>
        <row r="382">
          <cell r="I382" t="str">
            <v>Private</v>
          </cell>
        </row>
        <row r="383">
          <cell r="I383" t="str">
            <v>Private</v>
          </cell>
        </row>
        <row r="384">
          <cell r="I384" t="str">
            <v>Private</v>
          </cell>
        </row>
        <row r="385">
          <cell r="I385" t="str">
            <v>Private</v>
          </cell>
        </row>
        <row r="397">
          <cell r="I397" t="str">
            <v>Public</v>
          </cell>
        </row>
        <row r="398">
          <cell r="I398" t="str">
            <v>Private</v>
          </cell>
        </row>
        <row r="399">
          <cell r="I399" t="str">
            <v>Private</v>
          </cell>
        </row>
        <row r="400">
          <cell r="I400" t="str">
            <v>Private</v>
          </cell>
        </row>
        <row r="401">
          <cell r="I401" t="str">
            <v>Private</v>
          </cell>
        </row>
        <row r="413">
          <cell r="I413" t="str">
            <v>Private</v>
          </cell>
        </row>
        <row r="414">
          <cell r="I414" t="str">
            <v>Private</v>
          </cell>
        </row>
        <row r="415">
          <cell r="I415" t="str">
            <v>Private</v>
          </cell>
        </row>
        <row r="427">
          <cell r="I427" t="str">
            <v>Private</v>
          </cell>
        </row>
        <row r="428">
          <cell r="I428" t="str">
            <v>Private</v>
          </cell>
        </row>
        <row r="429">
          <cell r="I429" t="str">
            <v>Private</v>
          </cell>
        </row>
        <row r="430">
          <cell r="I430" t="str">
            <v>Private</v>
          </cell>
        </row>
        <row r="431">
          <cell r="I431" t="str">
            <v>Private</v>
          </cell>
        </row>
        <row r="432">
          <cell r="I432" t="str">
            <v>Private</v>
          </cell>
        </row>
        <row r="433">
          <cell r="I433" t="str">
            <v>Private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ntrol"/>
      <sheetName val="Template"/>
      <sheetName val="Report"/>
      <sheetName val="Report_PLE"/>
      <sheetName val="Report_ELE"/>
      <sheetName val="SAATracker"/>
      <sheetName val="Checks"/>
      <sheetName val="Config"/>
      <sheetName val="PvtReport"/>
      <sheetName val="GPOverview"/>
      <sheetName val="Hedge Accounting"/>
      <sheetName val="InfraRE_SEI"/>
      <sheetName val="InfraRE_AC"/>
      <sheetName val="17Capital"/>
      <sheetName val="Broad Street Amor"/>
      <sheetName val="AGI"/>
      <sheetName val="AGI trade tickets"/>
      <sheetName val="Fasanara"/>
      <sheetName val="Oldrep"/>
      <sheetName val="RemovedPositions"/>
      <sheetName val="o1"/>
      <sheetName val="o2"/>
      <sheetName val="o3"/>
      <sheetName val="o4"/>
      <sheetName val="NACE"/>
      <sheetName val="Pvt_ratings"/>
    </sheetNames>
    <sheetDataSet>
      <sheetData sheetId="0">
        <row r="2">
          <cell r="G2">
            <v>45138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P2">
            <v>0.90851276460434272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Disclosure"/>
      <sheetName val="DT_P1"/>
      <sheetName val="Valluga"/>
      <sheetName val="ACM"/>
      <sheetName val="Apera"/>
      <sheetName val="BLK"/>
      <sheetName val="BPT"/>
      <sheetName val="CVC"/>
      <sheetName val="HCM"/>
      <sheetName val="HPS"/>
      <sheetName val="TKH"/>
      <sheetName val="BPTCred"/>
    </sheetNames>
    <sheetDataSet>
      <sheetData sheetId="0"/>
      <sheetData sheetId="1"/>
      <sheetData sheetId="2"/>
      <sheetData sheetId="3">
        <row r="22">
          <cell r="Y22" t="str">
            <v>ACM</v>
          </cell>
        </row>
        <row r="23">
          <cell r="Y23" t="str">
            <v>Apera</v>
          </cell>
        </row>
        <row r="24">
          <cell r="Y24" t="str">
            <v>BLK</v>
          </cell>
        </row>
        <row r="25">
          <cell r="Y25" t="str">
            <v>BPT</v>
          </cell>
        </row>
        <row r="26">
          <cell r="Y26" t="str">
            <v>CVC</v>
          </cell>
        </row>
        <row r="27">
          <cell r="Y27" t="str">
            <v>HCM</v>
          </cell>
        </row>
        <row r="28">
          <cell r="Y28" t="str">
            <v>TKH</v>
          </cell>
        </row>
        <row r="29">
          <cell r="Y29" t="str">
            <v>BPTCred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y Cai" refreshedDate="46181.659184374999" createdVersion="8" refreshedVersion="8" minRefreshableVersion="3" recordCount="580" xr:uid="{F5B7F28C-D310-4EA9-A1BC-3BBB14F40E26}">
  <cacheSource type="worksheet">
    <worksheetSource name="FundPerfTbl"/>
  </cacheSource>
  <cacheFields count="30">
    <cacheField name="fund_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month_end" numFmtId="14">
      <sharedItems containsSemiMixedTypes="0" containsNonDate="0" containsDate="1" containsString="0" minDate="2015-10-31T00:00:00" maxDate="2026-06-01T00:00:00" count="128"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</sharedItems>
    </cacheField>
    <cacheField name="redemptions" numFmtId="14">
      <sharedItems containsNonDate="0" containsString="0" containsBlank="1"/>
    </cacheField>
    <cacheField name="sgg_nav" numFmtId="0">
      <sharedItems containsString="0" containsBlank="1" containsNumber="1" minValue="4489879.72" maxValue="10396928.17"/>
    </cacheField>
    <cacheField name="sgg_nav_source" numFmtId="0">
      <sharedItems containsBlank="1"/>
    </cacheField>
    <cacheField name="nav" numFmtId="0">
      <sharedItems containsString="0" containsBlank="1" containsNumber="1" containsInteger="1" minValue="73970000" maxValue="8120000000"/>
    </cacheField>
    <cacheField name="nav_source" numFmtId="0">
      <sharedItems containsBlank="1"/>
    </cacheField>
    <cacheField name="nav_per_share" numFmtId="0">
      <sharedItems containsString="0" containsBlank="1" containsNumber="1" minValue="10" maxValue="63.92"/>
    </cacheField>
    <cacheField name="nav_per_share_source" numFmtId="0">
      <sharedItems containsBlank="1"/>
    </cacheField>
    <cacheField name="distributions_per_share" numFmtId="0">
      <sharedItems containsString="0" containsBlank="1" containsNumber="1" minValue="0" maxValue="1.137"/>
    </cacheField>
    <cacheField name="distributions_per_share_source" numFmtId="0">
      <sharedItems containsBlank="1"/>
    </cacheField>
    <cacheField name="monthly_return" numFmtId="0">
      <sharedItems containsString="0" containsBlank="1" containsNumber="1" minValue="-4.8000000000000001E-2" maxValue="0.15409999999999999"/>
    </cacheField>
    <cacheField name="monthly_return_source" numFmtId="0">
      <sharedItems containsBlank="1"/>
    </cacheField>
    <cacheField name="nport_portfolio_count" numFmtId="0">
      <sharedItems containsString="0" containsBlank="1" containsNumber="1" containsInteger="1" minValue="1" maxValue="1133"/>
    </cacheField>
    <cacheField name="gav" numFmtId="0">
      <sharedItems containsString="0" containsBlank="1" containsNumber="1" containsInteger="1" minValue="2700000" maxValue="7210000000"/>
    </cacheField>
    <cacheField name="gav_source" numFmtId="0">
      <sharedItems containsBlank="1"/>
    </cacheField>
    <cacheField name="shares_outstanding" numFmtId="0">
      <sharedItems containsString="0" containsBlank="1" containsNumber="1" containsInteger="1" minValue="2410487" maxValue="625004069"/>
    </cacheField>
    <cacheField name="shares_outstanding_source" numFmtId="0">
      <sharedItems containsBlank="1"/>
    </cacheField>
    <cacheField name="shares_owned" numFmtId="0">
      <sharedItems containsString="0" containsBlank="1" containsNumber="1" minValue="88825.724000000002" maxValue="1798496.4569999999"/>
    </cacheField>
    <cacheField name="shares_owned_source" numFmtId="0">
      <sharedItems containsBlank="1"/>
    </cacheField>
    <cacheField name="sgg_purchases" numFmtId="0">
      <sharedItems containsString="0" containsBlank="1" containsNumber="1" containsInteger="1" minValue="0" maxValue="10000000"/>
    </cacheField>
    <cacheField name="sgg_purchases_source" numFmtId="0">
      <sharedItems containsBlank="1"/>
    </cacheField>
    <cacheField name="sgg_redemptions" numFmtId="0">
      <sharedItems containsString="0" containsBlank="1" containsNumber="1" minValue="0" maxValue="5348745.12"/>
    </cacheField>
    <cacheField name="sgg_redemptions_source" numFmtId="0">
      <sharedItems containsBlank="1"/>
    </cacheField>
    <cacheField name="sgg_distributions" numFmtId="0">
      <sharedItems containsString="0" containsBlank="1" containsNumber="1" minValue="0" maxValue="262308.39"/>
    </cacheField>
    <cacheField name="sgg_distributions_source" numFmtId="0">
      <sharedItems containsBlank="1"/>
    </cacheField>
    <cacheField name="gp_count" numFmtId="0">
      <sharedItems containsNonDate="0" containsString="0" containsBlank="1"/>
    </cacheField>
    <cacheField name="gp_count_source" numFmtId="0">
      <sharedItems containsNonDate="0" containsString="0" containsBlank="1"/>
    </cacheField>
    <cacheField name="fund_name" numFmtId="0">
      <sharedItems/>
    </cacheField>
    <cacheField name="strateg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x v="0"/>
    <x v="0"/>
    <m/>
    <m/>
    <m/>
    <m/>
    <m/>
    <n v="26.04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0"/>
    <x v="1"/>
    <m/>
    <m/>
    <m/>
    <m/>
    <m/>
    <n v="28.71"/>
    <s v="pitchbook"/>
    <m/>
    <m/>
    <n v="0.1024"/>
    <s v="pitchbook"/>
    <m/>
    <m/>
    <m/>
    <m/>
    <m/>
    <m/>
    <m/>
    <m/>
    <m/>
    <m/>
    <m/>
    <m/>
    <m/>
    <m/>
    <m/>
    <s v="Bow River Evergreen PE"/>
    <s v="private_equity"/>
  </r>
  <r>
    <x v="0"/>
    <x v="2"/>
    <m/>
    <m/>
    <m/>
    <m/>
    <m/>
    <n v="28.78"/>
    <s v="pitchbook"/>
    <m/>
    <m/>
    <n v="2.5999999999999999E-3"/>
    <s v="pitchbook"/>
    <m/>
    <m/>
    <m/>
    <m/>
    <m/>
    <m/>
    <m/>
    <m/>
    <m/>
    <m/>
    <m/>
    <m/>
    <m/>
    <m/>
    <m/>
    <s v="Bow River Evergreen PE"/>
    <s v="private_equity"/>
  </r>
  <r>
    <x v="0"/>
    <x v="3"/>
    <m/>
    <m/>
    <m/>
    <m/>
    <m/>
    <n v="28.83"/>
    <s v="pitchbook"/>
    <m/>
    <m/>
    <n v="1.6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4"/>
    <m/>
    <m/>
    <m/>
    <m/>
    <m/>
    <n v="29.26"/>
    <s v="pitchbook"/>
    <m/>
    <m/>
    <n v="1.49E-2"/>
    <s v="pitchbook"/>
    <m/>
    <m/>
    <m/>
    <m/>
    <m/>
    <m/>
    <m/>
    <m/>
    <m/>
    <m/>
    <m/>
    <m/>
    <m/>
    <m/>
    <m/>
    <s v="Bow River Evergreen PE"/>
    <s v="private_equity"/>
  </r>
  <r>
    <x v="0"/>
    <x v="5"/>
    <m/>
    <m/>
    <m/>
    <m/>
    <m/>
    <n v="29.26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6"/>
    <m/>
    <m/>
    <m/>
    <m/>
    <m/>
    <n v="29.6"/>
    <s v="pitchbook"/>
    <m/>
    <m/>
    <n v="1.18E-2"/>
    <s v="pitchbook"/>
    <m/>
    <m/>
    <m/>
    <m/>
    <m/>
    <m/>
    <m/>
    <m/>
    <m/>
    <m/>
    <m/>
    <m/>
    <m/>
    <m/>
    <m/>
    <s v="Bow River Evergreen PE"/>
    <s v="private_equity"/>
  </r>
  <r>
    <x v="0"/>
    <x v="7"/>
    <m/>
    <m/>
    <m/>
    <m/>
    <m/>
    <n v="29.58"/>
    <s v="pitchbook"/>
    <m/>
    <m/>
    <n v="-8.0000000000000004E-4"/>
    <s v="pitchbook"/>
    <m/>
    <m/>
    <m/>
    <m/>
    <m/>
    <m/>
    <m/>
    <m/>
    <m/>
    <m/>
    <m/>
    <m/>
    <m/>
    <m/>
    <m/>
    <s v="Bow River Evergreen PE"/>
    <s v="private_equity"/>
  </r>
  <r>
    <x v="0"/>
    <x v="8"/>
    <m/>
    <m/>
    <m/>
    <m/>
    <m/>
    <n v="30.39"/>
    <s v="pitchbook"/>
    <m/>
    <m/>
    <n v="2.73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9"/>
    <m/>
    <m/>
    <m/>
    <m/>
    <m/>
    <n v="31.19"/>
    <s v="pitchbook"/>
    <m/>
    <m/>
    <n v="2.64E-2"/>
    <s v="pitchbook"/>
    <m/>
    <m/>
    <m/>
    <m/>
    <m/>
    <m/>
    <m/>
    <m/>
    <m/>
    <m/>
    <m/>
    <m/>
    <m/>
    <m/>
    <m/>
    <s v="Bow River Evergreen PE"/>
    <s v="private_equity"/>
  </r>
  <r>
    <x v="0"/>
    <x v="10"/>
    <m/>
    <m/>
    <m/>
    <m/>
    <m/>
    <n v="31.77"/>
    <s v="pitchbook"/>
    <m/>
    <m/>
    <n v="1.8599999999999998E-2"/>
    <s v="pitchbook"/>
    <n v="32"/>
    <m/>
    <m/>
    <n v="2869318"/>
    <s v="N-CSR"/>
    <m/>
    <m/>
    <m/>
    <m/>
    <m/>
    <m/>
    <m/>
    <m/>
    <m/>
    <m/>
    <s v="Bow River Evergreen PE"/>
    <s v="private_equity"/>
  </r>
  <r>
    <x v="0"/>
    <x v="11"/>
    <m/>
    <m/>
    <m/>
    <m/>
    <m/>
    <n v="31.79"/>
    <s v="pitchbook"/>
    <m/>
    <m/>
    <n v="6.9999999999999999E-4"/>
    <s v="pitchbook"/>
    <m/>
    <m/>
    <m/>
    <m/>
    <m/>
    <m/>
    <m/>
    <m/>
    <m/>
    <m/>
    <m/>
    <m/>
    <m/>
    <m/>
    <m/>
    <s v="Bow River Evergreen PE"/>
    <s v="private_equity"/>
  </r>
  <r>
    <x v="0"/>
    <x v="12"/>
    <m/>
    <m/>
    <m/>
    <m/>
    <m/>
    <n v="33.04"/>
    <s v="pitchbook"/>
    <m/>
    <m/>
    <n v="3.93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13"/>
    <m/>
    <m/>
    <m/>
    <n v="127850000"/>
    <s v="pitchbook"/>
    <n v="33.840000000000003"/>
    <s v="pitchbook"/>
    <m/>
    <m/>
    <n v="2.4199999999999999E-2"/>
    <s v="pitchbook"/>
    <n v="40"/>
    <m/>
    <m/>
    <m/>
    <m/>
    <m/>
    <m/>
    <m/>
    <m/>
    <m/>
    <m/>
    <m/>
    <m/>
    <m/>
    <m/>
    <s v="Bow River Evergreen PE"/>
    <s v="private_equity"/>
  </r>
  <r>
    <x v="0"/>
    <x v="14"/>
    <m/>
    <m/>
    <m/>
    <n v="131660000"/>
    <s v="pitchbook"/>
    <n v="34.520000000000003"/>
    <s v="pitchbook"/>
    <m/>
    <m/>
    <n v="0.02"/>
    <s v="pitchbook"/>
    <m/>
    <m/>
    <m/>
    <m/>
    <m/>
    <m/>
    <m/>
    <m/>
    <m/>
    <m/>
    <m/>
    <m/>
    <m/>
    <m/>
    <m/>
    <s v="Bow River Evergreen PE"/>
    <s v="private_equity"/>
  </r>
  <r>
    <x v="0"/>
    <x v="15"/>
    <m/>
    <m/>
    <m/>
    <n v="141200000"/>
    <s v="pitchbook"/>
    <n v="36.01"/>
    <s v="pitchbook"/>
    <m/>
    <m/>
    <n v="4.32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6"/>
    <m/>
    <m/>
    <m/>
    <n v="150110000"/>
    <s v="pitchbook"/>
    <n v="36.75"/>
    <s v="pitchbook"/>
    <m/>
    <m/>
    <n v="2.0400000000000001E-2"/>
    <s v="pitchbook"/>
    <n v="46"/>
    <m/>
    <m/>
    <n v="4085205"/>
    <s v="N-CSRS"/>
    <m/>
    <m/>
    <m/>
    <m/>
    <m/>
    <m/>
    <m/>
    <m/>
    <m/>
    <m/>
    <s v="Bow River Evergreen PE"/>
    <s v="private_equity"/>
  </r>
  <r>
    <x v="0"/>
    <x v="17"/>
    <m/>
    <m/>
    <m/>
    <n v="152780000"/>
    <s v="pitchbook"/>
    <n v="36.76"/>
    <s v="pitchbook"/>
    <m/>
    <m/>
    <n v="4.0000000000000002E-4"/>
    <s v="pitchbook"/>
    <m/>
    <m/>
    <m/>
    <m/>
    <m/>
    <m/>
    <m/>
    <m/>
    <m/>
    <m/>
    <m/>
    <m/>
    <m/>
    <m/>
    <m/>
    <s v="Bow River Evergreen PE"/>
    <s v="private_equity"/>
  </r>
  <r>
    <x v="0"/>
    <x v="18"/>
    <m/>
    <m/>
    <m/>
    <n v="172670000"/>
    <s v="pitchbook"/>
    <n v="38.409999999999997"/>
    <s v="pitchbook"/>
    <m/>
    <m/>
    <n v="4.49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9"/>
    <m/>
    <m/>
    <m/>
    <n v="181180000"/>
    <s v="pitchbook"/>
    <n v="38.380000000000003"/>
    <s v="pitchbook"/>
    <m/>
    <m/>
    <n v="6.3E-3"/>
    <s v="pitchbook"/>
    <n v="53"/>
    <m/>
    <m/>
    <m/>
    <m/>
    <m/>
    <m/>
    <m/>
    <m/>
    <m/>
    <m/>
    <m/>
    <m/>
    <m/>
    <m/>
    <s v="Bow River Evergreen PE"/>
    <s v="private_equity"/>
  </r>
  <r>
    <x v="0"/>
    <x v="20"/>
    <m/>
    <m/>
    <m/>
    <n v="191620000"/>
    <s v="pitchbook"/>
    <n v="38.01"/>
    <s v="pitchbook"/>
    <m/>
    <m/>
    <n v="-9.7000000000000003E-3"/>
    <s v="pitchbook"/>
    <m/>
    <m/>
    <m/>
    <m/>
    <m/>
    <m/>
    <m/>
    <m/>
    <m/>
    <m/>
    <m/>
    <m/>
    <m/>
    <m/>
    <m/>
    <s v="Bow River Evergreen PE"/>
    <s v="private_equity"/>
  </r>
  <r>
    <x v="0"/>
    <x v="21"/>
    <m/>
    <m/>
    <m/>
    <n v="206170000"/>
    <s v="pitchbook"/>
    <n v="38.6"/>
    <s v="pitchbook"/>
    <m/>
    <m/>
    <n v="1.5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22"/>
    <m/>
    <m/>
    <m/>
    <n v="217280000"/>
    <s v="pitchbook"/>
    <n v="39.5"/>
    <s v="pitchbook"/>
    <m/>
    <m/>
    <n v="2.3199999999999998E-2"/>
    <s v="pitchbook"/>
    <n v="64"/>
    <n v="230020000"/>
    <s v="pitchbook"/>
    <n v="5341595"/>
    <s v="N-CSR"/>
    <m/>
    <m/>
    <m/>
    <m/>
    <m/>
    <m/>
    <m/>
    <m/>
    <m/>
    <m/>
    <s v="Bow River Evergreen PE"/>
    <s v="private_equity"/>
  </r>
  <r>
    <x v="0"/>
    <x v="23"/>
    <m/>
    <m/>
    <m/>
    <n v="227980000"/>
    <s v="pitchbook"/>
    <n v="39.68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4"/>
    <m/>
    <m/>
    <m/>
    <n v="238290000"/>
    <s v="pitchbook"/>
    <n v="40.130000000000003"/>
    <s v="pitchbook"/>
    <m/>
    <m/>
    <n v="1.14E-2"/>
    <s v="pitchbook"/>
    <m/>
    <m/>
    <m/>
    <m/>
    <m/>
    <m/>
    <m/>
    <m/>
    <m/>
    <m/>
    <m/>
    <m/>
    <m/>
    <m/>
    <m/>
    <s v="Bow River Evergreen PE"/>
    <s v="private_equity"/>
  </r>
  <r>
    <x v="0"/>
    <x v="25"/>
    <m/>
    <m/>
    <m/>
    <n v="247830000"/>
    <s v="pitchbook"/>
    <n v="39.92"/>
    <s v="pitchbook"/>
    <m/>
    <m/>
    <n v="-5.3E-3"/>
    <s v="pitchbook"/>
    <n v="79"/>
    <m/>
    <m/>
    <m/>
    <m/>
    <m/>
    <m/>
    <m/>
    <m/>
    <m/>
    <m/>
    <m/>
    <m/>
    <m/>
    <m/>
    <s v="Bow River Evergreen PE"/>
    <s v="private_equity"/>
  </r>
  <r>
    <x v="0"/>
    <x v="26"/>
    <m/>
    <m/>
    <m/>
    <n v="257890000"/>
    <s v="pitchbook"/>
    <n v="39.76"/>
    <s v="pitchbook"/>
    <m/>
    <m/>
    <n v="-3.8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27"/>
    <m/>
    <m/>
    <m/>
    <n v="269150000"/>
    <s v="pitchbook"/>
    <n v="39.94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8"/>
    <m/>
    <m/>
    <m/>
    <n v="279610000"/>
    <s v="pitchbook"/>
    <n v="39.869999999999997"/>
    <s v="pitchbook"/>
    <m/>
    <m/>
    <n v="-1.8E-3"/>
    <s v="pitchbook"/>
    <n v="88"/>
    <n v="292180000"/>
    <s v="pitchbook"/>
    <n v="6459606"/>
    <s v="N-CSRS"/>
    <m/>
    <m/>
    <m/>
    <m/>
    <m/>
    <m/>
    <m/>
    <m/>
    <m/>
    <m/>
    <s v="Bow River Evergreen PE"/>
    <s v="private_equity"/>
  </r>
  <r>
    <x v="0"/>
    <x v="29"/>
    <m/>
    <m/>
    <m/>
    <n v="286020000"/>
    <s v="pitchbook"/>
    <n v="39.75"/>
    <s v="pitchbook"/>
    <m/>
    <m/>
    <n v="-3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30"/>
    <m/>
    <m/>
    <m/>
    <n v="296020000"/>
    <s v="pitchbook"/>
    <n v="40.18"/>
    <s v="pitchbook"/>
    <m/>
    <m/>
    <n v="1.0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1"/>
    <m/>
    <m/>
    <m/>
    <n v="299140000"/>
    <s v="pitchbook"/>
    <n v="39.39"/>
    <s v="pitchbook"/>
    <m/>
    <m/>
    <n v="8.0999999999999996E-3"/>
    <s v="pitchbook"/>
    <n v="96"/>
    <m/>
    <m/>
    <m/>
    <m/>
    <m/>
    <m/>
    <m/>
    <m/>
    <m/>
    <m/>
    <m/>
    <m/>
    <m/>
    <m/>
    <s v="Bow River Evergreen PE"/>
    <s v="private_equity"/>
  </r>
  <r>
    <x v="0"/>
    <x v="32"/>
    <m/>
    <m/>
    <m/>
    <n v="314370000"/>
    <s v="pitchbook"/>
    <n v="39.39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33"/>
    <m/>
    <m/>
    <m/>
    <n v="325700000"/>
    <s v="pitchbook"/>
    <n v="39.94"/>
    <s v="pitchbook"/>
    <m/>
    <m/>
    <n v="1.41E-2"/>
    <s v="pitchbook"/>
    <m/>
    <m/>
    <m/>
    <m/>
    <m/>
    <m/>
    <m/>
    <m/>
    <m/>
    <m/>
    <m/>
    <m/>
    <m/>
    <m/>
    <m/>
    <s v="Bow River Evergreen PE"/>
    <s v="private_equity"/>
  </r>
  <r>
    <x v="0"/>
    <x v="34"/>
    <m/>
    <m/>
    <m/>
    <n v="341380000"/>
    <s v="pitchbook"/>
    <n v="40.090000000000003"/>
    <s v="pitchbook"/>
    <m/>
    <m/>
    <n v="3.8E-3"/>
    <s v="pitchbook"/>
    <n v="98"/>
    <n v="353810000"/>
    <s v="pitchbook"/>
    <m/>
    <m/>
    <m/>
    <m/>
    <m/>
    <m/>
    <m/>
    <m/>
    <m/>
    <m/>
    <m/>
    <m/>
    <s v="Bow River Evergreen PE"/>
    <s v="private_equity"/>
  </r>
  <r>
    <x v="0"/>
    <x v="35"/>
    <m/>
    <m/>
    <m/>
    <n v="352740000"/>
    <s v="pitchbook"/>
    <n v="40.409999999999997"/>
    <s v="pitchbook"/>
    <m/>
    <m/>
    <n v="7.7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36"/>
    <m/>
    <m/>
    <m/>
    <n v="357990000"/>
    <s v="pitchbook"/>
    <n v="40.409999999999997"/>
    <s v="pitchbook"/>
    <m/>
    <m/>
    <n v="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37"/>
    <m/>
    <m/>
    <m/>
    <n v="369270000"/>
    <s v="pitchbook"/>
    <n v="40.69"/>
    <s v="pitchbook"/>
    <m/>
    <m/>
    <n v="6.7999999999999996E-3"/>
    <s v="pitchbook"/>
    <n v="98"/>
    <m/>
    <m/>
    <m/>
    <m/>
    <m/>
    <m/>
    <m/>
    <m/>
    <m/>
    <m/>
    <m/>
    <m/>
    <m/>
    <m/>
    <s v="Bow River Evergreen PE"/>
    <s v="private_equity"/>
  </r>
  <r>
    <x v="0"/>
    <x v="38"/>
    <m/>
    <m/>
    <m/>
    <n v="380550000"/>
    <s v="pitchbook"/>
    <n v="41.15"/>
    <s v="pitchbook"/>
    <m/>
    <m/>
    <n v="1.12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9"/>
    <m/>
    <m/>
    <m/>
    <n v="395660000"/>
    <s v="pitchbook"/>
    <n v="42"/>
    <s v="pitchbook"/>
    <m/>
    <m/>
    <n v="2.06E-2"/>
    <s v="pitchbook"/>
    <m/>
    <m/>
    <m/>
    <m/>
    <m/>
    <m/>
    <m/>
    <m/>
    <m/>
    <m/>
    <m/>
    <m/>
    <m/>
    <m/>
    <m/>
    <s v="Bow River Evergreen PE"/>
    <s v="private_equity"/>
  </r>
  <r>
    <x v="0"/>
    <x v="40"/>
    <m/>
    <m/>
    <m/>
    <n v="400100000"/>
    <s v="pitchbook"/>
    <n v="41.9"/>
    <s v="pitchbook"/>
    <m/>
    <m/>
    <n v="-2.3E-3"/>
    <s v="pitchbook"/>
    <n v="105"/>
    <n v="412100000"/>
    <s v="pitchbook"/>
    <n v="8965808"/>
    <s v="N-CSRS"/>
    <m/>
    <m/>
    <m/>
    <m/>
    <m/>
    <m/>
    <m/>
    <m/>
    <m/>
    <m/>
    <s v="Bow River Evergreen PE"/>
    <s v="private_equity"/>
  </r>
  <r>
    <x v="0"/>
    <x v="41"/>
    <m/>
    <m/>
    <m/>
    <n v="427670000"/>
    <s v="pitchbook"/>
    <n v="43.45"/>
    <s v="pitchbook"/>
    <m/>
    <m/>
    <n v="3.7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2"/>
    <m/>
    <m/>
    <m/>
    <n v="438230000"/>
    <s v="pitchbook"/>
    <n v="43.98"/>
    <s v="pitchbook"/>
    <m/>
    <m/>
    <n v="1.2E-2"/>
    <s v="pitchbook"/>
    <m/>
    <m/>
    <m/>
    <m/>
    <m/>
    <m/>
    <m/>
    <m/>
    <m/>
    <m/>
    <m/>
    <m/>
    <m/>
    <m/>
    <m/>
    <s v="Bow River Evergreen PE"/>
    <s v="private_equity"/>
  </r>
  <r>
    <x v="0"/>
    <x v="43"/>
    <m/>
    <m/>
    <m/>
    <n v="446350000"/>
    <s v="pitchbook"/>
    <n v="43.37"/>
    <s v="pitchbook"/>
    <m/>
    <m/>
    <n v="1.8E-3"/>
    <s v="pitchbook"/>
    <n v="106"/>
    <m/>
    <m/>
    <m/>
    <m/>
    <m/>
    <m/>
    <m/>
    <m/>
    <m/>
    <m/>
    <m/>
    <m/>
    <m/>
    <m/>
    <s v="Bow River Evergreen PE"/>
    <s v="private_equity"/>
  </r>
  <r>
    <x v="0"/>
    <x v="44"/>
    <m/>
    <m/>
    <m/>
    <n v="459740000"/>
    <s v="pitchbook"/>
    <n v="43.36"/>
    <s v="pitchbook"/>
    <m/>
    <m/>
    <n v="-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45"/>
    <m/>
    <m/>
    <m/>
    <n v="476530000"/>
    <s v="pitchbook"/>
    <n v="43.93"/>
    <s v="pitchbook"/>
    <m/>
    <m/>
    <n v="1.3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6"/>
    <m/>
    <m/>
    <m/>
    <n v="486790000"/>
    <s v="pitchbook"/>
    <n v="44.29"/>
    <s v="pitchbook"/>
    <m/>
    <m/>
    <n v="8.2000000000000007E-3"/>
    <s v="pitchbook"/>
    <n v="112"/>
    <n v="519920000"/>
    <s v="pitchbook"/>
    <n v="10327322"/>
    <s v="N-CSR"/>
    <m/>
    <m/>
    <m/>
    <m/>
    <m/>
    <m/>
    <m/>
    <m/>
    <m/>
    <m/>
    <s v="Bow River Evergreen PE"/>
    <s v="private_equity"/>
  </r>
  <r>
    <x v="0"/>
    <x v="47"/>
    <m/>
    <m/>
    <m/>
    <n v="509290000"/>
    <s v="pitchbook"/>
    <n v="44.88"/>
    <s v="pitchbook"/>
    <m/>
    <m/>
    <n v="1.34E-2"/>
    <s v="pitchbook"/>
    <m/>
    <m/>
    <m/>
    <m/>
    <m/>
    <m/>
    <m/>
    <m/>
    <m/>
    <m/>
    <m/>
    <m/>
    <m/>
    <m/>
    <m/>
    <s v="Bow River Evergreen PE"/>
    <s v="private_equity"/>
  </r>
  <r>
    <x v="0"/>
    <x v="48"/>
    <m/>
    <m/>
    <m/>
    <n v="530130000"/>
    <s v="pitchbook"/>
    <n v="45.83"/>
    <s v="pitchbook"/>
    <m/>
    <m/>
    <n v="2.12E-2"/>
    <s v="pitchbook"/>
    <m/>
    <m/>
    <m/>
    <m/>
    <m/>
    <m/>
    <m/>
    <m/>
    <m/>
    <m/>
    <m/>
    <m/>
    <m/>
    <m/>
    <m/>
    <s v="Bow River Evergreen PE"/>
    <s v="private_equity"/>
  </r>
  <r>
    <x v="0"/>
    <x v="49"/>
    <m/>
    <m/>
    <m/>
    <n v="552750000"/>
    <s v="pitchbook"/>
    <n v="45.85"/>
    <s v="pitchbook"/>
    <n v="0"/>
    <s v="yfinance"/>
    <n v="4.0000000000000002E-4"/>
    <s v="pitchbook"/>
    <n v="121"/>
    <m/>
    <m/>
    <m/>
    <m/>
    <m/>
    <m/>
    <m/>
    <m/>
    <m/>
    <m/>
    <m/>
    <m/>
    <m/>
    <m/>
    <s v="Bow River Evergreen PE"/>
    <s v="private_equity"/>
  </r>
  <r>
    <x v="0"/>
    <x v="50"/>
    <m/>
    <m/>
    <m/>
    <n v="565090000"/>
    <s v="pitchbook"/>
    <n v="45.9"/>
    <s v="pitchbook"/>
    <n v="0"/>
    <s v="yfinance"/>
    <n v="1.1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1"/>
    <m/>
    <m/>
    <m/>
    <n v="600190000"/>
    <s v="pitchbook"/>
    <n v="47.24"/>
    <s v="pitchbook"/>
    <n v="0"/>
    <s v="yfinance"/>
    <n v="2.90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52"/>
    <m/>
    <m/>
    <m/>
    <n v="617640000"/>
    <s v="pitchbook"/>
    <n v="47.8"/>
    <s v="pitchbook"/>
    <n v="0"/>
    <s v="yfinance"/>
    <n v="1.1900000000000001E-2"/>
    <s v="pitchbook"/>
    <n v="131"/>
    <n v="632440000"/>
    <s v="pitchbook"/>
    <n v="12219603"/>
    <s v="N-CSRS"/>
    <m/>
    <m/>
    <m/>
    <m/>
    <m/>
    <m/>
    <m/>
    <m/>
    <m/>
    <m/>
    <s v="Bow River Evergreen PE"/>
    <s v="private_equity"/>
  </r>
  <r>
    <x v="0"/>
    <x v="53"/>
    <m/>
    <m/>
    <m/>
    <n v="633880000"/>
    <s v="pitchbook"/>
    <n v="47.94"/>
    <s v="pitchbook"/>
    <n v="0"/>
    <s v="yfinance"/>
    <n v="2.8E-3"/>
    <s v="pitchbook"/>
    <m/>
    <m/>
    <m/>
    <m/>
    <m/>
    <m/>
    <m/>
    <m/>
    <m/>
    <m/>
    <m/>
    <m/>
    <m/>
    <m/>
    <m/>
    <s v="Bow River Evergreen PE"/>
    <s v="private_equity"/>
  </r>
  <r>
    <x v="0"/>
    <x v="54"/>
    <m/>
    <m/>
    <m/>
    <n v="658210000"/>
    <s v="pitchbook"/>
    <n v="48.48"/>
    <s v="pitchbook"/>
    <n v="0"/>
    <s v="yfinance"/>
    <n v="1.15E-2"/>
    <s v="pitchbook"/>
    <m/>
    <m/>
    <m/>
    <m/>
    <m/>
    <m/>
    <m/>
    <m/>
    <m/>
    <m/>
    <m/>
    <m/>
    <m/>
    <m/>
    <m/>
    <s v="Bow River Evergreen PE"/>
    <s v="private_equity"/>
  </r>
  <r>
    <x v="0"/>
    <x v="55"/>
    <m/>
    <m/>
    <m/>
    <n v="669420000"/>
    <s v="pitchbook"/>
    <n v="47.54"/>
    <s v="pitchbook"/>
    <n v="1.137"/>
    <s v="yfinance"/>
    <n v="4.0000000000000001E-3"/>
    <s v="pitchbook"/>
    <n v="142"/>
    <m/>
    <m/>
    <m/>
    <m/>
    <m/>
    <m/>
    <m/>
    <m/>
    <m/>
    <m/>
    <m/>
    <m/>
    <m/>
    <m/>
    <s v="Bow River Evergreen PE"/>
    <s v="private_equity"/>
  </r>
  <r>
    <x v="0"/>
    <x v="56"/>
    <m/>
    <m/>
    <m/>
    <n v="701580000"/>
    <s v="pitchbook"/>
    <n v="47.77"/>
    <s v="pitchbook"/>
    <n v="0"/>
    <s v="yfinance"/>
    <n v="5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7"/>
    <m/>
    <m/>
    <m/>
    <n v="735550000"/>
    <s v="pitchbook"/>
    <n v="48.8"/>
    <s v="pitchbook"/>
    <n v="0"/>
    <s v="yfinance"/>
    <n v="2.14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58"/>
    <m/>
    <m/>
    <m/>
    <n v="774220000"/>
    <s v="pitchbook"/>
    <n v="49.69"/>
    <s v="pitchbook"/>
    <n v="0"/>
    <s v="yfinance"/>
    <n v="1.8200000000000001E-2"/>
    <s v="pitchbook"/>
    <n v="147"/>
    <n v="817800000"/>
    <s v="pitchbook"/>
    <n v="14550293"/>
    <s v="N-CSR"/>
    <m/>
    <m/>
    <m/>
    <m/>
    <m/>
    <m/>
    <m/>
    <m/>
    <m/>
    <m/>
    <s v="Bow River Evergreen PE"/>
    <s v="private_equity"/>
  </r>
  <r>
    <x v="0"/>
    <x v="59"/>
    <m/>
    <m/>
    <m/>
    <n v="807000000"/>
    <s v="pitchbook"/>
    <n v="50.09"/>
    <s v="pitchbook"/>
    <n v="0"/>
    <s v="yfinance"/>
    <n v="8.0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60"/>
    <m/>
    <m/>
    <m/>
    <n v="826540000"/>
    <s v="pitchbook"/>
    <n v="50.8"/>
    <s v="pitchbook"/>
    <n v="0"/>
    <s v="yfinance"/>
    <n v="1.42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1"/>
    <m/>
    <m/>
    <m/>
    <n v="849670000"/>
    <s v="pitchbook"/>
    <n v="50.82"/>
    <s v="pitchbook"/>
    <n v="0"/>
    <s v="yfinance"/>
    <n v="4.0000000000000002E-4"/>
    <s v="pitchbook"/>
    <n v="157"/>
    <m/>
    <m/>
    <m/>
    <m/>
    <m/>
    <m/>
    <m/>
    <m/>
    <m/>
    <m/>
    <m/>
    <m/>
    <m/>
    <m/>
    <s v="Bow River Evergreen PE"/>
    <s v="private_equity"/>
  </r>
  <r>
    <x v="0"/>
    <x v="62"/>
    <m/>
    <m/>
    <m/>
    <n v="894140000"/>
    <s v="pitchbook"/>
    <n v="50.72"/>
    <s v="pitchbook"/>
    <m/>
    <m/>
    <n v="-2E-3"/>
    <s v="pitchbook"/>
    <m/>
    <m/>
    <m/>
    <m/>
    <m/>
    <m/>
    <m/>
    <m/>
    <m/>
    <m/>
    <m/>
    <m/>
    <m/>
    <m/>
    <m/>
    <s v="Bow River Evergreen PE"/>
    <s v="private_equity"/>
  </r>
  <r>
    <x v="0"/>
    <x v="63"/>
    <m/>
    <m/>
    <m/>
    <n v="942530000"/>
    <s v="pitchbook"/>
    <n v="51.69"/>
    <s v="pitchbook"/>
    <m/>
    <m/>
    <n v="1.90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64"/>
    <m/>
    <m/>
    <m/>
    <n v="1000000000"/>
    <s v="pitchbook"/>
    <n v="52.03"/>
    <s v="pitchbook"/>
    <m/>
    <m/>
    <n v="6.6E-3"/>
    <s v="pitchbook"/>
    <n v="176"/>
    <n v="1040000000"/>
    <s v="pitchbook"/>
    <n v="18405421"/>
    <s v="N-CSRS"/>
    <m/>
    <m/>
    <m/>
    <m/>
    <m/>
    <m/>
    <m/>
    <m/>
    <m/>
    <m/>
    <s v="Bow River Evergreen PE"/>
    <s v="private_equity"/>
  </r>
  <r>
    <x v="0"/>
    <x v="65"/>
    <m/>
    <m/>
    <m/>
    <n v="1050000000"/>
    <s v="pitchbook"/>
    <n v="52.68"/>
    <s v="pitchbook"/>
    <m/>
    <m/>
    <n v="1.25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6"/>
    <m/>
    <m/>
    <m/>
    <n v="1090000000"/>
    <s v="pitchbook"/>
    <n v="54.36"/>
    <s v="pitchbook"/>
    <m/>
    <m/>
    <n v="3.18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67"/>
    <m/>
    <m/>
    <m/>
    <n v="1120000000"/>
    <s v="pitchbook"/>
    <n v="53.75"/>
    <s v="pitchbook"/>
    <m/>
    <m/>
    <n v="-1.1299999999999999E-2"/>
    <s v="pitchbook"/>
    <n v="185"/>
    <m/>
    <m/>
    <m/>
    <m/>
    <m/>
    <m/>
    <m/>
    <m/>
    <m/>
    <m/>
    <m/>
    <m/>
    <m/>
    <m/>
    <s v="Bow River Evergreen PE"/>
    <s v="private_equity"/>
  </r>
  <r>
    <x v="0"/>
    <x v="68"/>
    <m/>
    <n v="5059902.13"/>
    <s v="direct fund statement"/>
    <n v="1160000000"/>
    <s v="pitchbook"/>
    <n v="54.39"/>
    <s v="pitchbook"/>
    <m/>
    <m/>
    <n v="1.2E-2"/>
    <s v="pitchbook"/>
    <m/>
    <m/>
    <m/>
    <m/>
    <m/>
    <n v="93030.179000000004"/>
    <s v="direct fund statement"/>
    <n v="5000000"/>
    <s v="direct fund statement"/>
    <n v="0"/>
    <s v="direct fund statement"/>
    <n v="0"/>
    <s v="direct fund statement"/>
    <m/>
    <m/>
    <s v="Bow River Evergreen PE"/>
    <s v="private_equity"/>
  </r>
  <r>
    <x v="0"/>
    <x v="69"/>
    <m/>
    <n v="5094704.72"/>
    <s v="direct fund statement"/>
    <n v="1190000000"/>
    <s v="pitchbook"/>
    <n v="54.76"/>
    <s v="pitchbook"/>
    <m/>
    <m/>
    <n v="6.8999999999999999E-3"/>
    <s v="pitchbook"/>
    <m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0"/>
    <m/>
    <n v="5114594.58"/>
    <s v="direct fund statement"/>
    <n v="1220000000"/>
    <s v="pitchbook"/>
    <n v="54.98"/>
    <s v="pitchbook"/>
    <m/>
    <m/>
    <n v="3.8999999999999998E-3"/>
    <s v="pitchbook"/>
    <n v="198"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1"/>
    <m/>
    <n v="5132009.82"/>
    <s v="black diamond"/>
    <n v="1240000000"/>
    <s v="pitchbook"/>
    <n v="55.17"/>
    <s v="pitchbook"/>
    <m/>
    <m/>
    <n v="3.3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72"/>
    <m/>
    <m/>
    <m/>
    <m/>
    <m/>
    <n v="55.56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1"/>
    <x v="31"/>
    <m/>
    <m/>
    <m/>
    <m/>
    <m/>
    <n v="10"/>
    <s v="pitchbook"/>
    <m/>
    <m/>
    <m/>
    <m/>
    <m/>
    <m/>
    <m/>
    <m/>
    <m/>
    <m/>
    <m/>
    <m/>
    <m/>
    <m/>
    <m/>
    <m/>
    <m/>
    <m/>
    <m/>
    <s v="Carlyle Alpinvest"/>
    <s v="private_equity"/>
  </r>
  <r>
    <x v="1"/>
    <x v="32"/>
    <m/>
    <m/>
    <m/>
    <n v="185800000"/>
    <s v="pitchbook"/>
    <n v="10.08"/>
    <s v="pitchbook"/>
    <m/>
    <m/>
    <n v="8.0000000000000002E-3"/>
    <s v="pitchbook"/>
    <m/>
    <m/>
    <m/>
    <m/>
    <m/>
    <m/>
    <m/>
    <m/>
    <m/>
    <m/>
    <m/>
    <m/>
    <m/>
    <m/>
    <m/>
    <s v="Carlyle Alpinvest"/>
    <s v="private_equity"/>
  </r>
  <r>
    <x v="1"/>
    <x v="33"/>
    <m/>
    <m/>
    <m/>
    <n v="189310000"/>
    <s v="pitchbook"/>
    <n v="10.27"/>
    <s v="pitchbook"/>
    <m/>
    <m/>
    <n v="1.8800000000000001E-2"/>
    <s v="pitchbook"/>
    <m/>
    <m/>
    <m/>
    <m/>
    <m/>
    <m/>
    <m/>
    <m/>
    <m/>
    <m/>
    <m/>
    <m/>
    <m/>
    <m/>
    <m/>
    <s v="Carlyle Alpinvest"/>
    <s v="private_equity"/>
  </r>
  <r>
    <x v="1"/>
    <x v="34"/>
    <m/>
    <m/>
    <m/>
    <n v="190250000"/>
    <s v="pitchbook"/>
    <n v="10.32"/>
    <s v="pitchbook"/>
    <m/>
    <m/>
    <n v="4.8999999999999998E-3"/>
    <s v="pitchbook"/>
    <n v="134"/>
    <m/>
    <m/>
    <n v="18427054"/>
    <s v="N-CSR"/>
    <m/>
    <m/>
    <m/>
    <m/>
    <m/>
    <m/>
    <m/>
    <m/>
    <m/>
    <m/>
    <s v="Carlyle Alpinvest"/>
    <s v="private_equity"/>
  </r>
  <r>
    <x v="1"/>
    <x v="35"/>
    <m/>
    <m/>
    <m/>
    <n v="190530000"/>
    <s v="pitchbook"/>
    <n v="10.34"/>
    <s v="pitchbook"/>
    <m/>
    <m/>
    <n v="1.9E-3"/>
    <s v="pitchbook"/>
    <m/>
    <m/>
    <m/>
    <m/>
    <m/>
    <m/>
    <m/>
    <m/>
    <m/>
    <m/>
    <m/>
    <m/>
    <m/>
    <m/>
    <m/>
    <s v="Carlyle Alpinvest"/>
    <s v="private_equity"/>
  </r>
  <r>
    <x v="1"/>
    <x v="36"/>
    <m/>
    <m/>
    <m/>
    <n v="198720000"/>
    <s v="pitchbook"/>
    <n v="10.74"/>
    <s v="pitchbook"/>
    <m/>
    <m/>
    <n v="3.8699999999999998E-2"/>
    <s v="pitchbook"/>
    <m/>
    <m/>
    <m/>
    <m/>
    <m/>
    <m/>
    <m/>
    <m/>
    <m/>
    <m/>
    <m/>
    <m/>
    <m/>
    <m/>
    <m/>
    <s v="Carlyle Alpinvest"/>
    <s v="private_equity"/>
  </r>
  <r>
    <x v="1"/>
    <x v="37"/>
    <m/>
    <m/>
    <m/>
    <n v="203490000"/>
    <s v="pitchbook"/>
    <n v="10.99"/>
    <s v="pitchbook"/>
    <m/>
    <m/>
    <n v="2.3300000000000001E-2"/>
    <s v="pitchbook"/>
    <n v="136"/>
    <m/>
    <m/>
    <m/>
    <m/>
    <m/>
    <m/>
    <m/>
    <m/>
    <m/>
    <m/>
    <m/>
    <m/>
    <m/>
    <m/>
    <s v="Carlyle Alpinvest"/>
    <s v="private_equity"/>
  </r>
  <r>
    <x v="1"/>
    <x v="38"/>
    <m/>
    <m/>
    <m/>
    <n v="208950000"/>
    <s v="pitchbook"/>
    <n v="11.19"/>
    <s v="pitchbook"/>
    <n v="0"/>
    <s v="yfinance"/>
    <n v="1.8200000000000001E-2"/>
    <s v="pitchbook"/>
    <m/>
    <m/>
    <m/>
    <m/>
    <m/>
    <m/>
    <m/>
    <m/>
    <m/>
    <m/>
    <m/>
    <m/>
    <m/>
    <m/>
    <m/>
    <s v="Carlyle Alpinvest"/>
    <s v="private_equity"/>
  </r>
  <r>
    <x v="1"/>
    <x v="39"/>
    <m/>
    <m/>
    <m/>
    <n v="224020000"/>
    <s v="pitchbook"/>
    <n v="11.18"/>
    <s v="pitchbook"/>
    <n v="0"/>
    <s v="yfinance"/>
    <n v="-8.9999999999999998E-4"/>
    <s v="pitchbook"/>
    <m/>
    <m/>
    <m/>
    <m/>
    <m/>
    <m/>
    <m/>
    <m/>
    <m/>
    <m/>
    <m/>
    <m/>
    <m/>
    <m/>
    <m/>
    <s v="Carlyle Alpinvest"/>
    <s v="private_equity"/>
  </r>
  <r>
    <x v="1"/>
    <x v="40"/>
    <m/>
    <m/>
    <m/>
    <n v="255740000"/>
    <s v="pitchbook"/>
    <n v="11.56"/>
    <s v="pitchbook"/>
    <n v="0"/>
    <s v="yfinance"/>
    <n v="3.39E-2"/>
    <s v="pitchbook"/>
    <n v="132"/>
    <m/>
    <m/>
    <n v="22123474"/>
    <s v="N-CSRS"/>
    <m/>
    <m/>
    <m/>
    <m/>
    <m/>
    <m/>
    <m/>
    <m/>
    <m/>
    <m/>
    <s v="Carlyle Alpinvest"/>
    <s v="private_equity"/>
  </r>
  <r>
    <x v="1"/>
    <x v="41"/>
    <m/>
    <m/>
    <m/>
    <n v="260590000"/>
    <s v="pitchbook"/>
    <n v="11.44"/>
    <s v="pitchbook"/>
    <n v="0"/>
    <s v="yfinance"/>
    <n v="-1.03E-2"/>
    <s v="pitchbook"/>
    <m/>
    <m/>
    <m/>
    <m/>
    <m/>
    <m/>
    <m/>
    <m/>
    <m/>
    <m/>
    <m/>
    <m/>
    <m/>
    <m/>
    <m/>
    <s v="Carlyle Alpinvest"/>
    <s v="private_equity"/>
  </r>
  <r>
    <x v="1"/>
    <x v="42"/>
    <m/>
    <m/>
    <m/>
    <n v="282750000"/>
    <s v="pitchbook"/>
    <n v="11.48"/>
    <s v="pitchbook"/>
    <n v="0"/>
    <s v="yfinance"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43"/>
    <m/>
    <m/>
    <m/>
    <n v="311630000"/>
    <s v="pitchbook"/>
    <n v="11.73"/>
    <s v="pitchbook"/>
    <n v="0"/>
    <s v="yfinance"/>
    <n v="2.3599999999999999E-2"/>
    <s v="pitchbook"/>
    <n v="157"/>
    <m/>
    <m/>
    <m/>
    <m/>
    <m/>
    <m/>
    <m/>
    <m/>
    <m/>
    <m/>
    <m/>
    <m/>
    <m/>
    <m/>
    <s v="Carlyle Alpinvest"/>
    <s v="private_equity"/>
  </r>
  <r>
    <x v="1"/>
    <x v="44"/>
    <m/>
    <m/>
    <m/>
    <n v="357360000"/>
    <s v="pitchbook"/>
    <n v="11.88"/>
    <s v="pitchbook"/>
    <n v="0"/>
    <s v="yfinance"/>
    <n v="1.2800000000000001E-2"/>
    <s v="pitchbook"/>
    <m/>
    <m/>
    <m/>
    <m/>
    <m/>
    <m/>
    <m/>
    <m/>
    <m/>
    <m/>
    <m/>
    <m/>
    <m/>
    <m/>
    <m/>
    <s v="Carlyle Alpinvest"/>
    <s v="private_equity"/>
  </r>
  <r>
    <x v="1"/>
    <x v="45"/>
    <m/>
    <m/>
    <m/>
    <n v="393340000"/>
    <s v="pitchbook"/>
    <n v="11.98"/>
    <s v="pitchbook"/>
    <n v="0"/>
    <s v="yfinance"/>
    <n v="8.3999999999999995E-3"/>
    <s v="pitchbook"/>
    <m/>
    <m/>
    <m/>
    <m/>
    <m/>
    <m/>
    <m/>
    <m/>
    <m/>
    <m/>
    <m/>
    <m/>
    <m/>
    <m/>
    <m/>
    <s v="Carlyle Alpinvest"/>
    <s v="private_equity"/>
  </r>
  <r>
    <x v="1"/>
    <x v="46"/>
    <m/>
    <m/>
    <m/>
    <n v="439700000"/>
    <s v="pitchbook"/>
    <n v="12.17"/>
    <s v="pitchbook"/>
    <n v="0"/>
    <s v="yfinance"/>
    <n v="1.5900000000000001E-2"/>
    <s v="pitchbook"/>
    <n v="162"/>
    <m/>
    <m/>
    <n v="36141096"/>
    <s v="N-CSR"/>
    <m/>
    <m/>
    <m/>
    <m/>
    <m/>
    <m/>
    <m/>
    <m/>
    <m/>
    <m/>
    <s v="Carlyle Alpinvest"/>
    <s v="private_equity"/>
  </r>
  <r>
    <x v="1"/>
    <x v="47"/>
    <m/>
    <m/>
    <m/>
    <n v="476210000"/>
    <s v="pitchbook"/>
    <n v="12.17"/>
    <s v="pitchbook"/>
    <n v="0"/>
    <s v="yfinance"/>
    <n v="0"/>
    <s v="pitchbook"/>
    <m/>
    <m/>
    <m/>
    <m/>
    <m/>
    <m/>
    <m/>
    <m/>
    <m/>
    <m/>
    <m/>
    <m/>
    <m/>
    <m/>
    <m/>
    <s v="Carlyle Alpinvest"/>
    <s v="private_equity"/>
  </r>
  <r>
    <x v="1"/>
    <x v="48"/>
    <m/>
    <m/>
    <m/>
    <n v="523910000"/>
    <s v="pitchbook"/>
    <n v="12.03"/>
    <s v="pitchbook"/>
    <n v="0"/>
    <s v="yfinance"/>
    <n v="-1.15E-2"/>
    <s v="pitchbook"/>
    <m/>
    <m/>
    <m/>
    <m/>
    <m/>
    <m/>
    <m/>
    <m/>
    <m/>
    <m/>
    <m/>
    <m/>
    <m/>
    <m/>
    <m/>
    <s v="Carlyle Alpinvest"/>
    <s v="private_equity"/>
  </r>
  <r>
    <x v="1"/>
    <x v="49"/>
    <m/>
    <m/>
    <m/>
    <n v="614060000"/>
    <s v="pitchbook"/>
    <n v="12.55"/>
    <s v="pitchbook"/>
    <n v="0"/>
    <s v="yfinance"/>
    <n v="4.3200000000000002E-2"/>
    <s v="pitchbook"/>
    <n v="180"/>
    <m/>
    <m/>
    <m/>
    <m/>
    <m/>
    <m/>
    <m/>
    <m/>
    <m/>
    <m/>
    <m/>
    <m/>
    <m/>
    <m/>
    <s v="Carlyle Alpinvest"/>
    <s v="private_equity"/>
  </r>
  <r>
    <x v="1"/>
    <x v="50"/>
    <m/>
    <m/>
    <m/>
    <n v="683190000"/>
    <s v="pitchbook"/>
    <n v="12.64"/>
    <s v="pitchbook"/>
    <n v="0"/>
    <s v="yfinance"/>
    <n v="7.1999999999999998E-3"/>
    <s v="pitchbook"/>
    <m/>
    <m/>
    <m/>
    <m/>
    <m/>
    <m/>
    <m/>
    <m/>
    <m/>
    <m/>
    <m/>
    <m/>
    <m/>
    <m/>
    <m/>
    <s v="Carlyle Alpinvest"/>
    <s v="private_equity"/>
  </r>
  <r>
    <x v="1"/>
    <x v="51"/>
    <m/>
    <m/>
    <m/>
    <n v="798380000"/>
    <s v="pitchbook"/>
    <n v="12.99"/>
    <s v="pitchbook"/>
    <m/>
    <m/>
    <n v="2.7699999999999999E-2"/>
    <s v="pitchbook"/>
    <m/>
    <m/>
    <m/>
    <m/>
    <m/>
    <m/>
    <m/>
    <m/>
    <m/>
    <m/>
    <m/>
    <m/>
    <m/>
    <m/>
    <m/>
    <s v="Carlyle Alpinvest"/>
    <s v="private_equity"/>
  </r>
  <r>
    <x v="1"/>
    <x v="52"/>
    <m/>
    <m/>
    <m/>
    <n v="916970000"/>
    <s v="pitchbook"/>
    <n v="13.23"/>
    <s v="pitchbook"/>
    <m/>
    <m/>
    <n v="1.8499999999999999E-2"/>
    <s v="pitchbook"/>
    <n v="201"/>
    <n v="986410000"/>
    <s v="pitchbook"/>
    <n v="64327455"/>
    <s v="N-CSRS"/>
    <m/>
    <m/>
    <m/>
    <m/>
    <m/>
    <m/>
    <m/>
    <m/>
    <m/>
    <m/>
    <s v="Carlyle Alpinvest"/>
    <s v="private_equity"/>
  </r>
  <r>
    <x v="1"/>
    <x v="53"/>
    <m/>
    <m/>
    <m/>
    <n v="1040000000"/>
    <s v="pitchbook"/>
    <n v="13.26"/>
    <s v="pitchbook"/>
    <m/>
    <m/>
    <n v="2.3E-3"/>
    <s v="pitchbook"/>
    <m/>
    <m/>
    <m/>
    <m/>
    <m/>
    <m/>
    <m/>
    <m/>
    <m/>
    <m/>
    <m/>
    <m/>
    <m/>
    <m/>
    <m/>
    <s v="Carlyle Alpinvest"/>
    <s v="private_equity"/>
  </r>
  <r>
    <x v="1"/>
    <x v="54"/>
    <m/>
    <m/>
    <m/>
    <n v="1190000000"/>
    <s v="pitchbook"/>
    <n v="13.27"/>
    <s v="pitchbook"/>
    <m/>
    <m/>
    <n v="8.0000000000000004E-4"/>
    <s v="pitchbook"/>
    <m/>
    <m/>
    <m/>
    <m/>
    <m/>
    <m/>
    <m/>
    <m/>
    <m/>
    <m/>
    <m/>
    <m/>
    <m/>
    <m/>
    <m/>
    <s v="Carlyle Alpinvest"/>
    <s v="private_equity"/>
  </r>
  <r>
    <x v="1"/>
    <x v="55"/>
    <m/>
    <m/>
    <m/>
    <n v="1350000000"/>
    <s v="pitchbook"/>
    <n v="13.65"/>
    <s v="pitchbook"/>
    <n v="0.03"/>
    <s v="pitchbook"/>
    <n v="3.0499999999999999E-2"/>
    <s v="pitchbook"/>
    <n v="237"/>
    <m/>
    <m/>
    <m/>
    <m/>
    <m/>
    <m/>
    <m/>
    <m/>
    <m/>
    <m/>
    <m/>
    <m/>
    <m/>
    <m/>
    <s v="Carlyle Alpinvest"/>
    <s v="private_equity"/>
  </r>
  <r>
    <x v="1"/>
    <x v="56"/>
    <m/>
    <m/>
    <m/>
    <n v="1530000000"/>
    <s v="pitchbook"/>
    <n v="13.89"/>
    <s v="pitchbook"/>
    <m/>
    <m/>
    <n v="1.7600000000000001E-2"/>
    <s v="pitchbook"/>
    <m/>
    <m/>
    <m/>
    <m/>
    <m/>
    <m/>
    <m/>
    <m/>
    <m/>
    <m/>
    <m/>
    <m/>
    <m/>
    <m/>
    <m/>
    <s v="Carlyle Alpinvest"/>
    <s v="private_equity"/>
  </r>
  <r>
    <x v="1"/>
    <x v="57"/>
    <m/>
    <m/>
    <m/>
    <n v="1680000000"/>
    <s v="pitchbook"/>
    <n v="13.97"/>
    <s v="pitchbook"/>
    <m/>
    <m/>
    <n v="5.7999999999999996E-3"/>
    <s v="pitchbook"/>
    <m/>
    <m/>
    <m/>
    <m/>
    <m/>
    <m/>
    <m/>
    <m/>
    <m/>
    <m/>
    <m/>
    <m/>
    <m/>
    <m/>
    <m/>
    <s v="Carlyle Alpinvest"/>
    <s v="private_equity"/>
  </r>
  <r>
    <x v="1"/>
    <x v="58"/>
    <m/>
    <m/>
    <m/>
    <n v="1870000000"/>
    <s v="pitchbook"/>
    <n v="14.21"/>
    <s v="pitchbook"/>
    <m/>
    <m/>
    <n v="1.72E-2"/>
    <s v="pitchbook"/>
    <n v="256"/>
    <n v="2000000000"/>
    <s v="pitchbook"/>
    <n v="109207969"/>
    <s v="N-CSR"/>
    <m/>
    <m/>
    <m/>
    <m/>
    <m/>
    <m/>
    <m/>
    <m/>
    <m/>
    <m/>
    <s v="Carlyle Alpinvest"/>
    <s v="private_equity"/>
  </r>
  <r>
    <x v="1"/>
    <x v="59"/>
    <m/>
    <m/>
    <m/>
    <n v="2040000000"/>
    <s v="pitchbook"/>
    <n v="14.26"/>
    <s v="pitchbook"/>
    <m/>
    <m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60"/>
    <m/>
    <m/>
    <m/>
    <n v="2250000000"/>
    <s v="pitchbook"/>
    <n v="14.61"/>
    <s v="pitchbook"/>
    <m/>
    <m/>
    <n v="2.4500000000000001E-2"/>
    <s v="pitchbook"/>
    <m/>
    <m/>
    <m/>
    <m/>
    <m/>
    <m/>
    <m/>
    <m/>
    <m/>
    <m/>
    <m/>
    <m/>
    <m/>
    <m/>
    <m/>
    <s v="Carlyle Alpinvest"/>
    <s v="private_equity"/>
  </r>
  <r>
    <x v="1"/>
    <x v="61"/>
    <m/>
    <m/>
    <m/>
    <n v="2520000000"/>
    <s v="pitchbook"/>
    <m/>
    <m/>
    <m/>
    <m/>
    <n v="2.6700000000000002E-2"/>
    <s v="pitchbook"/>
    <n v="276"/>
    <m/>
    <m/>
    <m/>
    <m/>
    <m/>
    <m/>
    <m/>
    <m/>
    <m/>
    <m/>
    <m/>
    <m/>
    <m/>
    <m/>
    <s v="Carlyle Alpinvest"/>
    <s v="private_equity"/>
  </r>
  <r>
    <x v="1"/>
    <x v="62"/>
    <m/>
    <m/>
    <m/>
    <n v="2670000000"/>
    <s v="pitchbook"/>
    <m/>
    <m/>
    <m/>
    <m/>
    <n v="3.3E-3"/>
    <s v="pitchbook"/>
    <m/>
    <m/>
    <m/>
    <m/>
    <m/>
    <m/>
    <m/>
    <m/>
    <m/>
    <m/>
    <m/>
    <m/>
    <m/>
    <m/>
    <m/>
    <s v="Carlyle Alpinvest"/>
    <s v="private_equity"/>
  </r>
  <r>
    <x v="1"/>
    <x v="63"/>
    <m/>
    <m/>
    <m/>
    <n v="2930000000"/>
    <s v="pitchbook"/>
    <m/>
    <m/>
    <m/>
    <m/>
    <n v="1.46E-2"/>
    <s v="pitchbook"/>
    <m/>
    <m/>
    <m/>
    <m/>
    <m/>
    <m/>
    <m/>
    <m/>
    <m/>
    <m/>
    <m/>
    <m/>
    <m/>
    <m/>
    <m/>
    <s v="Carlyle Alpinvest"/>
    <s v="private_equity"/>
  </r>
  <r>
    <x v="1"/>
    <x v="64"/>
    <m/>
    <m/>
    <m/>
    <n v="3220000000"/>
    <s v="pitchbook"/>
    <m/>
    <m/>
    <m/>
    <m/>
    <n v="1.5100000000000001E-2"/>
    <s v="pitchbook"/>
    <n v="214"/>
    <m/>
    <m/>
    <n v="160560646"/>
    <s v="N-CSRS"/>
    <m/>
    <m/>
    <m/>
    <m/>
    <m/>
    <m/>
    <m/>
    <m/>
    <m/>
    <m/>
    <s v="Carlyle Alpinvest"/>
    <s v="private_equity"/>
  </r>
  <r>
    <x v="1"/>
    <x v="65"/>
    <m/>
    <m/>
    <m/>
    <n v="3390000000"/>
    <s v="pitchbook"/>
    <m/>
    <m/>
    <m/>
    <m/>
    <n v="6.4999999999999997E-3"/>
    <s v="pitchbook"/>
    <m/>
    <m/>
    <m/>
    <m/>
    <m/>
    <m/>
    <m/>
    <m/>
    <m/>
    <m/>
    <m/>
    <m/>
    <m/>
    <m/>
    <m/>
    <s v="Carlyle Alpinvest"/>
    <s v="private_equity"/>
  </r>
  <r>
    <x v="1"/>
    <x v="66"/>
    <m/>
    <m/>
    <m/>
    <n v="3660000000"/>
    <s v="pitchbook"/>
    <m/>
    <m/>
    <m/>
    <m/>
    <n v="6.4000000000000003E-3"/>
    <s v="pitchbook"/>
    <m/>
    <m/>
    <m/>
    <m/>
    <m/>
    <m/>
    <m/>
    <m/>
    <m/>
    <m/>
    <m/>
    <m/>
    <m/>
    <m/>
    <m/>
    <s v="Carlyle Alpinvest"/>
    <s v="private_equity"/>
  </r>
  <r>
    <x v="1"/>
    <x v="67"/>
    <m/>
    <m/>
    <m/>
    <n v="3900000000"/>
    <s v="pitchbook"/>
    <m/>
    <m/>
    <n v="0.1"/>
    <s v="pitchbook"/>
    <n v="1.72E-2"/>
    <s v="pitchbook"/>
    <n v="274"/>
    <m/>
    <m/>
    <m/>
    <m/>
    <m/>
    <m/>
    <m/>
    <m/>
    <m/>
    <m/>
    <m/>
    <m/>
    <m/>
    <m/>
    <s v="Carlyle Alpinvest"/>
    <s v="private_equity"/>
  </r>
  <r>
    <x v="1"/>
    <x v="68"/>
    <m/>
    <m/>
    <m/>
    <n v="4080000000"/>
    <s v="pitchbook"/>
    <m/>
    <m/>
    <m/>
    <m/>
    <n v="1.5100000000000001E-2"/>
    <s v="pitchbook"/>
    <m/>
    <m/>
    <m/>
    <m/>
    <m/>
    <m/>
    <m/>
    <m/>
    <m/>
    <m/>
    <m/>
    <m/>
    <m/>
    <m/>
    <m/>
    <s v="Carlyle Alpinvest"/>
    <s v="private_equity"/>
  </r>
  <r>
    <x v="1"/>
    <x v="69"/>
    <m/>
    <n v="5075614.3600000003"/>
    <s v="direct fund statement"/>
    <n v="4330000000"/>
    <s v="pitchbook"/>
    <m/>
    <m/>
    <m/>
    <m/>
    <n v="2.3E-2"/>
    <s v="pitchbook"/>
    <m/>
    <m/>
    <m/>
    <m/>
    <m/>
    <n v="315059.86099999998"/>
    <s v="direct fund statement"/>
    <m/>
    <m/>
    <m/>
    <m/>
    <m/>
    <m/>
    <m/>
    <m/>
    <s v="Carlyle Alpinvest"/>
    <s v="private_equity"/>
  </r>
  <r>
    <x v="1"/>
    <x v="70"/>
    <m/>
    <n v="5078764.96"/>
    <s v="direct fund statement"/>
    <n v="4420000000"/>
    <s v="pitchbook"/>
    <m/>
    <m/>
    <m/>
    <m/>
    <n v="-2.18E-2"/>
    <s v="pitchbook"/>
    <n v="317"/>
    <m/>
    <m/>
    <m/>
    <m/>
    <n v="315059.86099999998"/>
    <s v="direct fund statement"/>
    <n v="0"/>
    <s v="direct fund statement"/>
    <n v="0"/>
    <s v="direct fund statement"/>
    <n v="0"/>
    <s v="direct fund statement"/>
    <m/>
    <m/>
    <s v="Carlyle Alpinvest"/>
    <s v="private_equity"/>
  </r>
  <r>
    <x v="1"/>
    <x v="71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1"/>
    <x v="72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2"/>
    <x v="13"/>
    <m/>
    <m/>
    <m/>
    <n v="85580000"/>
    <s v="pitchbook"/>
    <n v="10"/>
    <s v="pitchbook"/>
    <n v="0"/>
    <s v="yfinance"/>
    <m/>
    <m/>
    <m/>
    <m/>
    <m/>
    <m/>
    <m/>
    <m/>
    <m/>
    <m/>
    <m/>
    <m/>
    <m/>
    <m/>
    <m/>
    <m/>
    <m/>
    <s v="Cliffwater"/>
    <s v="private_credit"/>
  </r>
  <r>
    <x v="2"/>
    <x v="14"/>
    <m/>
    <m/>
    <m/>
    <n v="96430000"/>
    <s v="pitchbook"/>
    <n v="10.09"/>
    <s v="pitchbook"/>
    <n v="0"/>
    <s v="yfinance"/>
    <n v="8.9999999999999993E-3"/>
    <s v="pitchbook"/>
    <m/>
    <m/>
    <m/>
    <m/>
    <m/>
    <m/>
    <m/>
    <m/>
    <m/>
    <m/>
    <m/>
    <m/>
    <m/>
    <m/>
    <m/>
    <s v="Cliffwater"/>
    <s v="private_credit"/>
  </r>
  <r>
    <x v="2"/>
    <x v="15"/>
    <m/>
    <m/>
    <m/>
    <n v="136190000"/>
    <s v="pitchbook"/>
    <n v="10.24"/>
    <s v="pitchbook"/>
    <n v="0"/>
    <s v="yfinance"/>
    <n v="1.49E-2"/>
    <s v="pitchbook"/>
    <m/>
    <m/>
    <m/>
    <m/>
    <m/>
    <m/>
    <m/>
    <m/>
    <m/>
    <m/>
    <m/>
    <m/>
    <m/>
    <m/>
    <m/>
    <s v="Cliffwater"/>
    <s v="private_credit"/>
  </r>
  <r>
    <x v="2"/>
    <x v="16"/>
    <m/>
    <m/>
    <m/>
    <n v="163430000"/>
    <s v="pitchbook"/>
    <n v="10.4"/>
    <s v="pitchbook"/>
    <n v="0"/>
    <s v="yfinance"/>
    <n v="1.5599999999999999E-2"/>
    <s v="pitchbook"/>
    <n v="29"/>
    <n v="164090000"/>
    <s v="pitchbook"/>
    <n v="15764541"/>
    <s v="N-CSRS"/>
    <m/>
    <m/>
    <m/>
    <m/>
    <m/>
    <m/>
    <m/>
    <m/>
    <m/>
    <m/>
    <s v="Cliffwater"/>
    <s v="private_credit"/>
  </r>
  <r>
    <x v="2"/>
    <x v="17"/>
    <m/>
    <m/>
    <m/>
    <n v="188490000"/>
    <s v="pitchbook"/>
    <n v="10.47"/>
    <s v="pitchbook"/>
    <n v="0"/>
    <s v="yfinance"/>
    <n v="6.7000000000000002E-3"/>
    <s v="pitchbook"/>
    <m/>
    <m/>
    <m/>
    <m/>
    <m/>
    <m/>
    <m/>
    <m/>
    <m/>
    <m/>
    <m/>
    <m/>
    <m/>
    <m/>
    <m/>
    <s v="Cliffwater"/>
    <s v="private_credit"/>
  </r>
  <r>
    <x v="2"/>
    <x v="18"/>
    <m/>
    <m/>
    <m/>
    <n v="218920000"/>
    <s v="pitchbook"/>
    <n v="10.39"/>
    <s v="pitchbook"/>
    <n v="0.24"/>
    <s v="pitchbook"/>
    <n v="1.52E-2"/>
    <s v="pitchbook"/>
    <m/>
    <m/>
    <m/>
    <m/>
    <m/>
    <m/>
    <m/>
    <m/>
    <m/>
    <m/>
    <m/>
    <m/>
    <m/>
    <m/>
    <m/>
    <s v="Cliffwater"/>
    <s v="private_credit"/>
  </r>
  <r>
    <x v="2"/>
    <x v="19"/>
    <m/>
    <m/>
    <m/>
    <n v="268960000"/>
    <s v="pitchbook"/>
    <n v="10.41"/>
    <s v="pitchbook"/>
    <n v="0.08"/>
    <s v="pitchbook"/>
    <n v="0.01"/>
    <s v="pitchbook"/>
    <n v="52"/>
    <m/>
    <m/>
    <m/>
    <m/>
    <m/>
    <m/>
    <m/>
    <m/>
    <m/>
    <m/>
    <m/>
    <m/>
    <m/>
    <m/>
    <s v="Cliffwater"/>
    <s v="private_credit"/>
  </r>
  <r>
    <x v="2"/>
    <x v="20"/>
    <m/>
    <m/>
    <m/>
    <n v="322280000"/>
    <s v="pitchbook"/>
    <n v="10.5"/>
    <s v="pitchbook"/>
    <n v="0"/>
    <s v="yfinance"/>
    <n v="8.6E-3"/>
    <s v="pitchbook"/>
    <m/>
    <m/>
    <m/>
    <m/>
    <m/>
    <m/>
    <m/>
    <m/>
    <m/>
    <m/>
    <m/>
    <m/>
    <m/>
    <m/>
    <m/>
    <s v="Cliffwater"/>
    <s v="private_credit"/>
  </r>
  <r>
    <x v="2"/>
    <x v="21"/>
    <m/>
    <m/>
    <m/>
    <n v="414530000"/>
    <s v="pitchbook"/>
    <n v="10.6"/>
    <s v="pitchbook"/>
    <n v="0"/>
    <s v="yfinance"/>
    <n v="9.4999999999999998E-3"/>
    <s v="pitchbook"/>
    <m/>
    <m/>
    <m/>
    <m/>
    <m/>
    <m/>
    <m/>
    <m/>
    <m/>
    <m/>
    <m/>
    <m/>
    <m/>
    <m/>
    <m/>
    <s v="Cliffwater"/>
    <s v="private_credit"/>
  </r>
  <r>
    <x v="2"/>
    <x v="22"/>
    <m/>
    <m/>
    <m/>
    <n v="472560000"/>
    <s v="pitchbook"/>
    <n v="10.78"/>
    <s v="pitchbook"/>
    <n v="0"/>
    <s v="yfinance"/>
    <n v="1.7000000000000001E-2"/>
    <s v="pitchbook"/>
    <n v="63"/>
    <n v="504430000"/>
    <s v="pitchbook"/>
    <n v="43957538"/>
    <s v="N-CSR"/>
    <m/>
    <m/>
    <m/>
    <m/>
    <m/>
    <m/>
    <m/>
    <m/>
    <m/>
    <m/>
    <s v="Cliffwater"/>
    <s v="private_credit"/>
  </r>
  <r>
    <x v="2"/>
    <x v="23"/>
    <m/>
    <m/>
    <m/>
    <n v="545840000"/>
    <s v="pitchbook"/>
    <n v="10.63"/>
    <s v="pitchbook"/>
    <n v="0.24"/>
    <s v="pitchbook"/>
    <n v="8.6E-3"/>
    <s v="pitchbook"/>
    <m/>
    <m/>
    <m/>
    <m/>
    <m/>
    <m/>
    <m/>
    <m/>
    <m/>
    <m/>
    <m/>
    <m/>
    <m/>
    <m/>
    <m/>
    <s v="Cliffwater"/>
    <s v="private_credit"/>
  </r>
  <r>
    <x v="2"/>
    <x v="24"/>
    <m/>
    <m/>
    <m/>
    <n v="620190000"/>
    <s v="pitchbook"/>
    <n v="10.77"/>
    <s v="pitchbook"/>
    <n v="0"/>
    <s v="yfinance"/>
    <n v="1.32E-2"/>
    <s v="pitchbook"/>
    <m/>
    <m/>
    <m/>
    <m/>
    <m/>
    <m/>
    <m/>
    <m/>
    <m/>
    <m/>
    <m/>
    <m/>
    <m/>
    <m/>
    <m/>
    <s v="Cliffwater"/>
    <s v="private_credit"/>
  </r>
  <r>
    <x v="2"/>
    <x v="25"/>
    <m/>
    <m/>
    <m/>
    <n v="686370000"/>
    <s v="pitchbook"/>
    <n v="10.86"/>
    <s v="pitchbook"/>
    <n v="0"/>
    <s v="yfinance"/>
    <n v="8.3999999999999995E-3"/>
    <s v="pitchbook"/>
    <n v="103"/>
    <m/>
    <m/>
    <m/>
    <m/>
    <m/>
    <m/>
    <m/>
    <m/>
    <m/>
    <m/>
    <m/>
    <m/>
    <m/>
    <m/>
    <s v="Cliffwater"/>
    <s v="private_credit"/>
  </r>
  <r>
    <x v="2"/>
    <x v="26"/>
    <m/>
    <m/>
    <m/>
    <n v="743820000"/>
    <s v="pitchbook"/>
    <n v="10.69"/>
    <s v="pitchbook"/>
    <n v="0.24"/>
    <s v="pitchbook"/>
    <n v="6.8999999999999999E-3"/>
    <s v="pitchbook"/>
    <m/>
    <m/>
    <m/>
    <m/>
    <m/>
    <m/>
    <m/>
    <m/>
    <m/>
    <m/>
    <m/>
    <m/>
    <m/>
    <m/>
    <m/>
    <s v="Cliffwater"/>
    <s v="private_credit"/>
  </r>
  <r>
    <x v="2"/>
    <x v="27"/>
    <m/>
    <m/>
    <m/>
    <n v="852780000"/>
    <s v="pitchbook"/>
    <n v="10.76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28"/>
    <m/>
    <m/>
    <m/>
    <n v="948110000"/>
    <s v="pitchbook"/>
    <n v="10.8"/>
    <s v="pitchbook"/>
    <m/>
    <m/>
    <n v="3.7000000000000002E-3"/>
    <s v="pitchbook"/>
    <n v="102"/>
    <n v="983310000"/>
    <s v="pitchbook"/>
    <n v="88015209"/>
    <s v="N-CSRS"/>
    <m/>
    <m/>
    <m/>
    <m/>
    <m/>
    <m/>
    <m/>
    <m/>
    <m/>
    <m/>
    <s v="Cliffwater"/>
    <s v="private_credit"/>
  </r>
  <r>
    <x v="2"/>
    <x v="29"/>
    <m/>
    <m/>
    <m/>
    <n v="1010000000"/>
    <s v="pitchbook"/>
    <n v="10.62"/>
    <s v="pitchbook"/>
    <n v="0.24"/>
    <s v="pitchbook"/>
    <n v="5.8999999999999999E-3"/>
    <s v="pitchbook"/>
    <m/>
    <m/>
    <m/>
    <m/>
    <m/>
    <m/>
    <m/>
    <m/>
    <m/>
    <m/>
    <m/>
    <m/>
    <m/>
    <m/>
    <m/>
    <s v="Cliffwater"/>
    <s v="private_credit"/>
  </r>
  <r>
    <x v="2"/>
    <x v="30"/>
    <m/>
    <m/>
    <m/>
    <n v="1080000000"/>
    <s v="pitchbook"/>
    <n v="10.72"/>
    <s v="pitchbook"/>
    <m/>
    <m/>
    <n v="9.4000000000000004E-3"/>
    <s v="pitchbook"/>
    <m/>
    <m/>
    <m/>
    <m/>
    <m/>
    <m/>
    <m/>
    <m/>
    <m/>
    <m/>
    <m/>
    <m/>
    <m/>
    <m/>
    <m/>
    <s v="Cliffwater"/>
    <s v="private_credit"/>
  </r>
  <r>
    <x v="2"/>
    <x v="31"/>
    <m/>
    <m/>
    <m/>
    <n v="1170000000"/>
    <s v="pitchbook"/>
    <n v="10.58"/>
    <s v="pitchbook"/>
    <n v="0.27"/>
    <s v="pitchbook"/>
    <n v="1.2200000000000001E-2"/>
    <s v="pitchbook"/>
    <n v="112"/>
    <m/>
    <m/>
    <m/>
    <m/>
    <m/>
    <m/>
    <m/>
    <m/>
    <m/>
    <m/>
    <m/>
    <m/>
    <m/>
    <m/>
    <s v="Cliffwater"/>
    <s v="private_credit"/>
  </r>
  <r>
    <x v="2"/>
    <x v="32"/>
    <m/>
    <m/>
    <m/>
    <n v="1250000000"/>
    <s v="pitchbook"/>
    <n v="10.67"/>
    <s v="pitchbook"/>
    <m/>
    <m/>
    <n v="8.5000000000000006E-3"/>
    <s v="pitchbook"/>
    <m/>
    <m/>
    <m/>
    <m/>
    <m/>
    <m/>
    <m/>
    <m/>
    <m/>
    <m/>
    <m/>
    <m/>
    <m/>
    <m/>
    <m/>
    <s v="Cliffwater"/>
    <s v="private_credit"/>
  </r>
  <r>
    <x v="2"/>
    <x v="33"/>
    <m/>
    <m/>
    <m/>
    <n v="1390000000"/>
    <s v="pitchbook"/>
    <n v="10.76"/>
    <s v="pitchbook"/>
    <m/>
    <m/>
    <n v="8.3999999999999995E-3"/>
    <s v="pitchbook"/>
    <m/>
    <m/>
    <m/>
    <m/>
    <m/>
    <m/>
    <m/>
    <m/>
    <m/>
    <m/>
    <m/>
    <m/>
    <m/>
    <m/>
    <m/>
    <s v="Cliffwater"/>
    <s v="private_credit"/>
  </r>
  <r>
    <x v="2"/>
    <x v="34"/>
    <m/>
    <m/>
    <m/>
    <n v="1480000000"/>
    <s v="pitchbook"/>
    <n v="10.85"/>
    <s v="pitchbook"/>
    <m/>
    <m/>
    <n v="8.3999999999999995E-3"/>
    <s v="pitchbook"/>
    <n v="158"/>
    <n v="1510000000"/>
    <s v="pitchbook"/>
    <n v="136178510"/>
    <s v="N-CSR"/>
    <m/>
    <m/>
    <m/>
    <m/>
    <m/>
    <m/>
    <m/>
    <m/>
    <m/>
    <m/>
    <s v="Cliffwater"/>
    <s v="private_credit"/>
  </r>
  <r>
    <x v="2"/>
    <x v="35"/>
    <m/>
    <m/>
    <m/>
    <n v="1550000000"/>
    <s v="pitchbook"/>
    <n v="10.66"/>
    <s v="pitchbook"/>
    <n v="0.27"/>
    <s v="pitchbook"/>
    <n v="7.4999999999999997E-3"/>
    <s v="pitchbook"/>
    <m/>
    <m/>
    <m/>
    <m/>
    <m/>
    <m/>
    <m/>
    <m/>
    <m/>
    <m/>
    <m/>
    <m/>
    <m/>
    <m/>
    <m/>
    <s v="Cliffwater"/>
    <s v="private_credit"/>
  </r>
  <r>
    <x v="2"/>
    <x v="36"/>
    <m/>
    <m/>
    <m/>
    <n v="1690000000"/>
    <s v="pitchbook"/>
    <n v="10.77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37"/>
    <m/>
    <m/>
    <m/>
    <n v="1830000000"/>
    <s v="pitchbook"/>
    <n v="10.9"/>
    <s v="pitchbook"/>
    <m/>
    <m/>
    <n v="1.21E-2"/>
    <s v="pitchbook"/>
    <n v="202"/>
    <m/>
    <m/>
    <m/>
    <m/>
    <m/>
    <m/>
    <m/>
    <m/>
    <m/>
    <m/>
    <m/>
    <m/>
    <m/>
    <m/>
    <s v="Cliffwater"/>
    <s v="private_credit"/>
  </r>
  <r>
    <x v="2"/>
    <x v="38"/>
    <m/>
    <m/>
    <m/>
    <n v="1900000000"/>
    <s v="pitchbook"/>
    <n v="10.74"/>
    <s v="pitchbook"/>
    <n v="0.27"/>
    <s v="pitchbook"/>
    <n v="1.06E-2"/>
    <s v="pitchbook"/>
    <m/>
    <m/>
    <m/>
    <m/>
    <m/>
    <m/>
    <m/>
    <m/>
    <m/>
    <m/>
    <m/>
    <m/>
    <m/>
    <m/>
    <m/>
    <s v="Cliffwater"/>
    <s v="private_credit"/>
  </r>
  <r>
    <x v="2"/>
    <x v="39"/>
    <m/>
    <m/>
    <m/>
    <n v="2040000000"/>
    <s v="pitchbook"/>
    <n v="10.85"/>
    <s v="pitchbook"/>
    <m/>
    <m/>
    <n v="1.0200000000000001E-2"/>
    <s v="pitchbook"/>
    <m/>
    <m/>
    <m/>
    <m/>
    <m/>
    <m/>
    <m/>
    <m/>
    <m/>
    <m/>
    <m/>
    <m/>
    <m/>
    <m/>
    <m/>
    <s v="Cliffwater"/>
    <s v="private_credit"/>
  </r>
  <r>
    <x v="2"/>
    <x v="40"/>
    <m/>
    <m/>
    <m/>
    <n v="2220000000"/>
    <s v="pitchbook"/>
    <n v="10.98"/>
    <s v="pitchbook"/>
    <m/>
    <m/>
    <n v="1.2E-2"/>
    <s v="pitchbook"/>
    <n v="262"/>
    <n v="2370000000"/>
    <s v="pitchbook"/>
    <n v="202250888"/>
    <s v="N-CSRS"/>
    <m/>
    <m/>
    <m/>
    <m/>
    <m/>
    <m/>
    <m/>
    <m/>
    <m/>
    <m/>
    <s v="Cliffwater"/>
    <s v="private_credit"/>
  </r>
  <r>
    <x v="2"/>
    <x v="41"/>
    <m/>
    <m/>
    <m/>
    <n v="2320000000"/>
    <s v="pitchbook"/>
    <n v="10.76"/>
    <s v="pitchbook"/>
    <n v="0.3"/>
    <s v="pitchbook"/>
    <n v="7.6E-3"/>
    <s v="pitchbook"/>
    <m/>
    <m/>
    <m/>
    <m/>
    <m/>
    <m/>
    <m/>
    <m/>
    <m/>
    <m/>
    <m/>
    <m/>
    <m/>
    <m/>
    <m/>
    <s v="Cliffwater"/>
    <s v="private_credit"/>
  </r>
  <r>
    <x v="2"/>
    <x v="42"/>
    <m/>
    <m/>
    <m/>
    <n v="2370000000"/>
    <s v="pitchbook"/>
    <n v="10.88"/>
    <s v="pitchbook"/>
    <m/>
    <m/>
    <n v="1.12E-2"/>
    <s v="pitchbook"/>
    <m/>
    <m/>
    <m/>
    <m/>
    <m/>
    <m/>
    <m/>
    <m/>
    <m/>
    <m/>
    <m/>
    <m/>
    <m/>
    <m/>
    <m/>
    <s v="Cliffwater"/>
    <s v="private_credit"/>
  </r>
  <r>
    <x v="2"/>
    <x v="43"/>
    <m/>
    <m/>
    <m/>
    <n v="2510000000"/>
    <s v="pitchbook"/>
    <n v="10.72"/>
    <s v="pitchbook"/>
    <n v="0.3"/>
    <s v="pitchbook"/>
    <n v="1.3100000000000001E-2"/>
    <s v="pitchbook"/>
    <n v="322"/>
    <m/>
    <m/>
    <m/>
    <m/>
    <m/>
    <m/>
    <m/>
    <m/>
    <m/>
    <m/>
    <m/>
    <m/>
    <m/>
    <m/>
    <s v="Cliffwater"/>
    <s v="private_credit"/>
  </r>
  <r>
    <x v="2"/>
    <x v="44"/>
    <m/>
    <m/>
    <m/>
    <n v="2670000000"/>
    <s v="pitchbook"/>
    <n v="10.83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45"/>
    <m/>
    <m/>
    <m/>
    <n v="2870000000"/>
    <s v="pitchbook"/>
    <n v="10.91"/>
    <s v="pitchbook"/>
    <m/>
    <m/>
    <n v="7.4000000000000003E-3"/>
    <s v="pitchbook"/>
    <m/>
    <m/>
    <m/>
    <m/>
    <m/>
    <m/>
    <m/>
    <m/>
    <m/>
    <m/>
    <m/>
    <m/>
    <m/>
    <m/>
    <m/>
    <s v="Cliffwater"/>
    <s v="private_credit"/>
  </r>
  <r>
    <x v="2"/>
    <x v="46"/>
    <m/>
    <m/>
    <m/>
    <n v="2860000000"/>
    <s v="pitchbook"/>
    <n v="10.7"/>
    <s v="pitchbook"/>
    <n v="0.3"/>
    <s v="pitchbook"/>
    <n v="8.3999999999999995E-3"/>
    <s v="pitchbook"/>
    <n v="337"/>
    <m/>
    <m/>
    <n v="273382804"/>
    <s v="N-CSR"/>
    <m/>
    <m/>
    <m/>
    <m/>
    <m/>
    <m/>
    <m/>
    <m/>
    <m/>
    <m/>
    <s v="Cliffwater"/>
    <s v="private_credit"/>
  </r>
  <r>
    <x v="2"/>
    <x v="47"/>
    <m/>
    <m/>
    <m/>
    <n v="3110000000"/>
    <s v="pitchbook"/>
    <n v="10.9"/>
    <s v="pitchbook"/>
    <m/>
    <m/>
    <n v="1.8700000000000001E-2"/>
    <s v="pitchbook"/>
    <m/>
    <m/>
    <m/>
    <m/>
    <m/>
    <m/>
    <m/>
    <m/>
    <m/>
    <m/>
    <m/>
    <m/>
    <m/>
    <m/>
    <m/>
    <s v="Cliffwater"/>
    <s v="private_credit"/>
  </r>
  <r>
    <x v="2"/>
    <x v="48"/>
    <m/>
    <m/>
    <m/>
    <n v="3250000000"/>
    <s v="pitchbook"/>
    <n v="11.05"/>
    <s v="pitchbook"/>
    <m/>
    <m/>
    <n v="1.38E-2"/>
    <s v="pitchbook"/>
    <m/>
    <m/>
    <m/>
    <m/>
    <m/>
    <m/>
    <m/>
    <m/>
    <m/>
    <m/>
    <m/>
    <m/>
    <m/>
    <m/>
    <m/>
    <s v="Cliffwater"/>
    <s v="private_credit"/>
  </r>
  <r>
    <x v="2"/>
    <x v="49"/>
    <m/>
    <m/>
    <m/>
    <n v="3440000000"/>
    <s v="pitchbook"/>
    <n v="11.19"/>
    <s v="pitchbook"/>
    <m/>
    <m/>
    <n v="1.2699999999999999E-2"/>
    <s v="pitchbook"/>
    <n v="363"/>
    <m/>
    <m/>
    <m/>
    <m/>
    <m/>
    <m/>
    <m/>
    <m/>
    <m/>
    <m/>
    <m/>
    <m/>
    <m/>
    <m/>
    <s v="Cliffwater"/>
    <s v="private_credit"/>
  </r>
  <r>
    <x v="2"/>
    <x v="50"/>
    <m/>
    <m/>
    <m/>
    <n v="3570000000"/>
    <s v="pitchbook"/>
    <n v="10.97"/>
    <s v="pitchbook"/>
    <n v="0.31"/>
    <s v="pitchbook"/>
    <n v="8.0000000000000002E-3"/>
    <s v="pitchbook"/>
    <m/>
    <m/>
    <m/>
    <m/>
    <m/>
    <m/>
    <m/>
    <m/>
    <m/>
    <m/>
    <m/>
    <m/>
    <m/>
    <m/>
    <m/>
    <s v="Cliffwater"/>
    <s v="private_credit"/>
  </r>
  <r>
    <x v="2"/>
    <x v="51"/>
    <m/>
    <m/>
    <m/>
    <n v="3740000000"/>
    <s v="pitchbook"/>
    <n v="11.11"/>
    <s v="pitchbook"/>
    <m/>
    <m/>
    <n v="1.2800000000000001E-2"/>
    <s v="pitchbook"/>
    <m/>
    <m/>
    <m/>
    <m/>
    <m/>
    <m/>
    <m/>
    <m/>
    <m/>
    <m/>
    <m/>
    <m/>
    <m/>
    <m/>
    <m/>
    <s v="Cliffwater"/>
    <s v="private_credit"/>
  </r>
  <r>
    <x v="2"/>
    <x v="52"/>
    <m/>
    <m/>
    <m/>
    <n v="3960000000"/>
    <s v="pitchbook"/>
    <n v="11.18"/>
    <s v="pitchbook"/>
    <m/>
    <m/>
    <n v="6.3E-3"/>
    <s v="pitchbook"/>
    <n v="327"/>
    <n v="4130000000"/>
    <s v="pitchbook"/>
    <n v="355032566"/>
    <s v="N-CSRS"/>
    <m/>
    <m/>
    <m/>
    <m/>
    <m/>
    <m/>
    <m/>
    <m/>
    <m/>
    <m/>
    <s v="Cliffwater"/>
    <s v="private_credit"/>
  </r>
  <r>
    <x v="2"/>
    <x v="53"/>
    <m/>
    <m/>
    <m/>
    <n v="4140000000"/>
    <s v="pitchbook"/>
    <n v="10.96"/>
    <s v="pitchbook"/>
    <n v="0.31"/>
    <m/>
    <n v="7.9000000000000008E-3"/>
    <s v="pitchbook"/>
    <m/>
    <m/>
    <m/>
    <m/>
    <m/>
    <m/>
    <m/>
    <m/>
    <m/>
    <m/>
    <m/>
    <m/>
    <m/>
    <m/>
    <m/>
    <s v="Cliffwater"/>
    <s v="private_credit"/>
  </r>
  <r>
    <x v="2"/>
    <x v="54"/>
    <m/>
    <m/>
    <m/>
    <n v="4330000000"/>
    <s v="pitchbook"/>
    <n v="11.06"/>
    <s v="pitchbook"/>
    <m/>
    <m/>
    <n v="9.1000000000000004E-3"/>
    <s v="pitchbook"/>
    <m/>
    <m/>
    <m/>
    <m/>
    <m/>
    <m/>
    <m/>
    <m/>
    <m/>
    <m/>
    <m/>
    <m/>
    <m/>
    <m/>
    <m/>
    <s v="Cliffwater"/>
    <s v="private_credit"/>
  </r>
  <r>
    <x v="2"/>
    <x v="55"/>
    <m/>
    <m/>
    <m/>
    <n v="4560000000"/>
    <s v="pitchbook"/>
    <n v="10.84"/>
    <s v="pitchbook"/>
    <n v="0.31"/>
    <s v="pitchbook"/>
    <n v="7.7999999999999996E-3"/>
    <s v="pitchbook"/>
    <n v="396"/>
    <m/>
    <m/>
    <m/>
    <m/>
    <m/>
    <m/>
    <m/>
    <m/>
    <m/>
    <m/>
    <m/>
    <m/>
    <m/>
    <m/>
    <s v="Cliffwater"/>
    <s v="private_credit"/>
  </r>
  <r>
    <x v="2"/>
    <x v="56"/>
    <m/>
    <m/>
    <m/>
    <n v="4820000000"/>
    <s v="pitchbook"/>
    <n v="10.91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57"/>
    <m/>
    <m/>
    <m/>
    <n v="5110000000"/>
    <s v="pitchbook"/>
    <n v="10.99"/>
    <s v="pitchbook"/>
    <m/>
    <m/>
    <n v="7.3000000000000001E-3"/>
    <s v="pitchbook"/>
    <m/>
    <m/>
    <m/>
    <m/>
    <m/>
    <m/>
    <m/>
    <m/>
    <m/>
    <m/>
    <m/>
    <m/>
    <m/>
    <m/>
    <m/>
    <s v="Cliffwater"/>
    <s v="private_credit"/>
  </r>
  <r>
    <x v="2"/>
    <x v="58"/>
    <m/>
    <m/>
    <m/>
    <n v="5320000000"/>
    <s v="pitchbook"/>
    <n v="11.15"/>
    <s v="pitchbook"/>
    <m/>
    <m/>
    <n v="1.46E-2"/>
    <s v="pitchbook"/>
    <n v="420"/>
    <n v="5650000000"/>
    <s v="pitchbook"/>
    <n v="477664544"/>
    <s v="N-CSR"/>
    <m/>
    <m/>
    <m/>
    <m/>
    <m/>
    <m/>
    <m/>
    <m/>
    <m/>
    <m/>
    <s v="Cliffwater"/>
    <s v="private_credit"/>
  </r>
  <r>
    <x v="2"/>
    <x v="59"/>
    <m/>
    <m/>
    <m/>
    <n v="5460000000"/>
    <s v="pitchbook"/>
    <n v="10.91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0"/>
    <m/>
    <m/>
    <m/>
    <n v="5810000000"/>
    <s v="pitchbook"/>
    <n v="11.07"/>
    <s v="pitchbook"/>
    <m/>
    <m/>
    <n v="1.47E-2"/>
    <s v="pitchbook"/>
    <m/>
    <m/>
    <m/>
    <m/>
    <m/>
    <m/>
    <m/>
    <m/>
    <m/>
    <m/>
    <m/>
    <m/>
    <m/>
    <m/>
    <m/>
    <s v="Cliffwater"/>
    <s v="private_credit"/>
  </r>
  <r>
    <x v="2"/>
    <x v="61"/>
    <m/>
    <m/>
    <m/>
    <n v="5970000000"/>
    <s v="pitchbook"/>
    <n v="11.16"/>
    <s v="pitchbook"/>
    <m/>
    <m/>
    <n v="8.0999999999999996E-3"/>
    <s v="pitchbook"/>
    <n v="461"/>
    <m/>
    <m/>
    <m/>
    <m/>
    <m/>
    <m/>
    <m/>
    <m/>
    <m/>
    <m/>
    <m/>
    <m/>
    <m/>
    <m/>
    <s v="Cliffwater"/>
    <s v="private_credit"/>
  </r>
  <r>
    <x v="2"/>
    <x v="62"/>
    <m/>
    <m/>
    <m/>
    <n v="6260000000"/>
    <s v="pitchbook"/>
    <n v="10.92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3"/>
    <m/>
    <m/>
    <m/>
    <n v="6610000000"/>
    <s v="pitchbook"/>
    <n v="11.01"/>
    <s v="pitchbook"/>
    <m/>
    <m/>
    <n v="8.2000000000000007E-3"/>
    <s v="pitchbook"/>
    <m/>
    <m/>
    <m/>
    <m/>
    <m/>
    <m/>
    <m/>
    <m/>
    <m/>
    <m/>
    <m/>
    <m/>
    <m/>
    <m/>
    <m/>
    <s v="Cliffwater"/>
    <s v="private_credit"/>
  </r>
  <r>
    <x v="2"/>
    <x v="64"/>
    <m/>
    <m/>
    <m/>
    <n v="6930000000"/>
    <s v="pitchbook"/>
    <n v="11.11"/>
    <s v="pitchbook"/>
    <m/>
    <m/>
    <n v="9.1000000000000004E-3"/>
    <s v="pitchbook"/>
    <n v="442"/>
    <n v="7210000000"/>
    <s v="pitchbook"/>
    <n v="625004069"/>
    <s v="N-CSRS"/>
    <m/>
    <m/>
    <m/>
    <m/>
    <m/>
    <m/>
    <m/>
    <m/>
    <m/>
    <m/>
    <s v="Cliffwater"/>
    <s v="private_credit"/>
  </r>
  <r>
    <x v="2"/>
    <x v="65"/>
    <m/>
    <m/>
    <m/>
    <n v="7210000000"/>
    <s v="pitchbook"/>
    <n v="10.91"/>
    <s v="pitchbook"/>
    <n v="0.31"/>
    <s v="pitchbook"/>
    <n v="9.7000000000000003E-3"/>
    <s v="pitchbook"/>
    <m/>
    <m/>
    <m/>
    <m/>
    <m/>
    <m/>
    <m/>
    <m/>
    <m/>
    <m/>
    <m/>
    <m/>
    <m/>
    <m/>
    <m/>
    <s v="Cliffwater"/>
    <s v="private_credit"/>
  </r>
  <r>
    <x v="2"/>
    <x v="66"/>
    <m/>
    <m/>
    <m/>
    <n v="7550000000"/>
    <s v="pitchbook"/>
    <n v="11.02"/>
    <s v="pitchbook"/>
    <m/>
    <m/>
    <n v="1.01E-2"/>
    <s v="pitchbook"/>
    <m/>
    <m/>
    <m/>
    <m/>
    <m/>
    <m/>
    <m/>
    <m/>
    <m/>
    <m/>
    <m/>
    <m/>
    <m/>
    <m/>
    <m/>
    <s v="Cliffwater"/>
    <s v="private_credit"/>
  </r>
  <r>
    <x v="2"/>
    <x v="67"/>
    <m/>
    <n v="9747520.2899999991"/>
    <s v="direct fund statement"/>
    <n v="7460000000"/>
    <s v="pitchbook"/>
    <n v="10.81"/>
    <s v="pitchbook"/>
    <n v="0.28999999999999998"/>
    <s v="pitchbook"/>
    <n v="7.4000000000000003E-3"/>
    <s v="pitchbook"/>
    <n v="501"/>
    <m/>
    <m/>
    <m/>
    <m/>
    <n v="901713.255"/>
    <s v="direct fund statement"/>
    <n v="10000000"/>
    <s v="direct fund statement"/>
    <n v="0"/>
    <s v="direct fund statement"/>
    <n v="262308.39"/>
    <s v="direct fund statement"/>
    <m/>
    <m/>
    <s v="Cliffwater"/>
    <s v="private_credit"/>
  </r>
  <r>
    <x v="2"/>
    <x v="68"/>
    <m/>
    <n v="9810640.2100000009"/>
    <s v="direct fund statement"/>
    <n v="7840000000"/>
    <s v="pitchbook"/>
    <n v="10.88"/>
    <s v="pitchbook"/>
    <m/>
    <m/>
    <n v="6.4999999999999997E-3"/>
    <s v="pitchbook"/>
    <m/>
    <m/>
    <m/>
    <m/>
    <m/>
    <n v="901713.255"/>
    <s v="direct fund statement"/>
    <n v="0"/>
    <s v="direct fund statement"/>
    <n v="0"/>
    <s v="direct fund statement"/>
    <n v="0"/>
    <s v="direct fund statement"/>
    <m/>
    <m/>
    <s v="Cliffwater"/>
    <s v="private_credit"/>
  </r>
  <r>
    <x v="2"/>
    <x v="69"/>
    <m/>
    <n v="9855725.8800000008"/>
    <s v="direct fund statement"/>
    <n v="8120000000"/>
    <s v="pitchbook"/>
    <n v="10.93"/>
    <s v="pitchbook"/>
    <m/>
    <m/>
    <n v="4.5999999999999999E-3"/>
    <s v="pitchbook"/>
    <m/>
    <m/>
    <m/>
    <m/>
    <m/>
    <n v="901713.255"/>
    <s v="direct fund statement"/>
    <m/>
    <m/>
    <m/>
    <m/>
    <m/>
    <m/>
    <m/>
    <m/>
    <s v="Cliffwater"/>
    <s v="private_credit"/>
  </r>
  <r>
    <x v="2"/>
    <x v="70"/>
    <m/>
    <n v="4564503.76"/>
    <s v="direct fund statement"/>
    <n v="7800000000"/>
    <s v="pitchbook"/>
    <n v="11.01"/>
    <s v="pitchbook"/>
    <m/>
    <m/>
    <n v="7.3000000000000001E-3"/>
    <s v="pitchbook"/>
    <n v="587"/>
    <m/>
    <m/>
    <m/>
    <m/>
    <n v="414577.99800000002"/>
    <s v="direct fund statement"/>
    <n v="0"/>
    <s v="direct fund statement"/>
    <n v="5348745.12"/>
    <s v="direct fund statement"/>
    <n v="0"/>
    <s v="direct fund statement"/>
    <m/>
    <m/>
    <s v="Cliffwater"/>
    <s v="private_credit"/>
  </r>
  <r>
    <x v="2"/>
    <x v="71"/>
    <m/>
    <n v="4489879.72"/>
    <s v="direct fund statement"/>
    <n v="7860000000"/>
    <s v="pitchbook"/>
    <n v="10.83"/>
    <s v="pitchbook"/>
    <n v="0.27"/>
    <s v="pitchbook"/>
    <n v="8.8000000000000005E-3"/>
    <s v="pitchbook"/>
    <m/>
    <m/>
    <m/>
    <m/>
    <m/>
    <n v="414577.99800000002"/>
    <s v="direct fund statement"/>
    <n v="0"/>
    <s v="direct fund statement"/>
    <n v="0"/>
    <s v="direct fund statement"/>
    <n v="113801.66"/>
    <s v="direct fund statement"/>
    <m/>
    <m/>
    <s v="Cliffwater"/>
    <s v="private_credit"/>
  </r>
  <r>
    <x v="2"/>
    <x v="72"/>
    <m/>
    <m/>
    <m/>
    <m/>
    <m/>
    <n v="10.87"/>
    <s v="pitchbook"/>
    <m/>
    <m/>
    <m/>
    <m/>
    <m/>
    <m/>
    <m/>
    <m/>
    <m/>
    <m/>
    <m/>
    <m/>
    <m/>
    <m/>
    <m/>
    <m/>
    <m/>
    <m/>
    <m/>
    <s v="Cliffwater"/>
    <s v="private_credit"/>
  </r>
  <r>
    <x v="3"/>
    <x v="47"/>
    <m/>
    <m/>
    <m/>
    <m/>
    <m/>
    <m/>
    <m/>
    <m/>
    <m/>
    <n v="1.34E-2"/>
    <s v="factsheet"/>
    <m/>
    <m/>
    <m/>
    <m/>
    <m/>
    <m/>
    <m/>
    <m/>
    <m/>
    <m/>
    <m/>
    <m/>
    <m/>
    <m/>
    <m/>
    <s v="Coller Secondaries"/>
    <s v="secondaries"/>
  </r>
  <r>
    <x v="3"/>
    <x v="48"/>
    <m/>
    <m/>
    <m/>
    <m/>
    <m/>
    <m/>
    <m/>
    <m/>
    <m/>
    <n v="8.6999999999999994E-3"/>
    <s v="factsheet"/>
    <m/>
    <m/>
    <m/>
    <m/>
    <m/>
    <m/>
    <m/>
    <m/>
    <m/>
    <m/>
    <m/>
    <m/>
    <m/>
    <m/>
    <m/>
    <s v="Coller Secondaries"/>
    <s v="secondaries"/>
  </r>
  <r>
    <x v="3"/>
    <x v="49"/>
    <m/>
    <m/>
    <m/>
    <m/>
    <m/>
    <m/>
    <m/>
    <m/>
    <m/>
    <n v="1.3599999999999999E-2"/>
    <s v="factsheet"/>
    <n v="60"/>
    <m/>
    <m/>
    <m/>
    <m/>
    <m/>
    <m/>
    <m/>
    <m/>
    <m/>
    <m/>
    <m/>
    <m/>
    <m/>
    <m/>
    <s v="Coller Secondaries"/>
    <s v="secondaries"/>
  </r>
  <r>
    <x v="3"/>
    <x v="50"/>
    <m/>
    <m/>
    <m/>
    <m/>
    <m/>
    <m/>
    <m/>
    <m/>
    <m/>
    <n v="1.9E-3"/>
    <s v="factsheet"/>
    <m/>
    <m/>
    <m/>
    <m/>
    <m/>
    <m/>
    <m/>
    <m/>
    <m/>
    <m/>
    <m/>
    <m/>
    <m/>
    <m/>
    <m/>
    <s v="Coller Secondaries"/>
    <s v="secondaries"/>
  </r>
  <r>
    <x v="3"/>
    <x v="51"/>
    <m/>
    <m/>
    <m/>
    <m/>
    <m/>
    <m/>
    <m/>
    <m/>
    <m/>
    <n v="4.8999999999999998E-3"/>
    <s v="factsheet"/>
    <m/>
    <m/>
    <m/>
    <m/>
    <m/>
    <m/>
    <m/>
    <m/>
    <m/>
    <m/>
    <m/>
    <m/>
    <m/>
    <m/>
    <m/>
    <s v="Coller Secondaries"/>
    <s v="secondaries"/>
  </r>
  <r>
    <x v="3"/>
    <x v="52"/>
    <m/>
    <m/>
    <m/>
    <m/>
    <m/>
    <m/>
    <m/>
    <m/>
    <m/>
    <n v="4.0000000000000002E-4"/>
    <s v="factsheet"/>
    <n v="63"/>
    <m/>
    <m/>
    <n v="67286832"/>
    <s v="N-CSRS"/>
    <m/>
    <m/>
    <m/>
    <m/>
    <m/>
    <m/>
    <m/>
    <m/>
    <m/>
    <m/>
    <s v="Coller Secondaries"/>
    <s v="secondaries"/>
  </r>
  <r>
    <x v="3"/>
    <x v="53"/>
    <m/>
    <m/>
    <m/>
    <m/>
    <m/>
    <m/>
    <m/>
    <m/>
    <m/>
    <n v="2.24E-2"/>
    <s v="factsheet"/>
    <m/>
    <m/>
    <m/>
    <m/>
    <m/>
    <m/>
    <m/>
    <m/>
    <m/>
    <m/>
    <m/>
    <m/>
    <m/>
    <m/>
    <m/>
    <s v="Coller Secondaries"/>
    <s v="secondaries"/>
  </r>
  <r>
    <x v="3"/>
    <x v="54"/>
    <m/>
    <m/>
    <m/>
    <m/>
    <m/>
    <m/>
    <m/>
    <m/>
    <m/>
    <n v="6.1999999999999998E-3"/>
    <s v="factsheet"/>
    <m/>
    <m/>
    <m/>
    <m/>
    <m/>
    <m/>
    <m/>
    <m/>
    <m/>
    <m/>
    <m/>
    <m/>
    <m/>
    <m/>
    <m/>
    <s v="Coller Secondaries"/>
    <s v="secondaries"/>
  </r>
  <r>
    <x v="3"/>
    <x v="55"/>
    <m/>
    <m/>
    <m/>
    <m/>
    <m/>
    <m/>
    <m/>
    <m/>
    <m/>
    <n v="4.82E-2"/>
    <s v="factsheet"/>
    <n v="81"/>
    <m/>
    <m/>
    <m/>
    <m/>
    <m/>
    <m/>
    <m/>
    <m/>
    <m/>
    <m/>
    <m/>
    <m/>
    <m/>
    <m/>
    <s v="Coller Secondaries"/>
    <s v="secondaries"/>
  </r>
  <r>
    <x v="3"/>
    <x v="56"/>
    <m/>
    <m/>
    <m/>
    <m/>
    <m/>
    <m/>
    <m/>
    <m/>
    <m/>
    <n v="1.5E-3"/>
    <s v="factsheet"/>
    <m/>
    <m/>
    <m/>
    <m/>
    <m/>
    <m/>
    <m/>
    <m/>
    <m/>
    <m/>
    <m/>
    <m/>
    <m/>
    <m/>
    <m/>
    <s v="Coller Secondaries"/>
    <s v="secondaries"/>
  </r>
  <r>
    <x v="3"/>
    <x v="57"/>
    <m/>
    <m/>
    <m/>
    <m/>
    <m/>
    <m/>
    <m/>
    <m/>
    <m/>
    <n v="-5.9999999999999995E-4"/>
    <s v="factsheet"/>
    <m/>
    <m/>
    <m/>
    <m/>
    <m/>
    <m/>
    <m/>
    <m/>
    <m/>
    <m/>
    <m/>
    <m/>
    <m/>
    <m/>
    <m/>
    <s v="Coller Secondaries"/>
    <s v="secondaries"/>
  </r>
  <r>
    <x v="3"/>
    <x v="58"/>
    <m/>
    <m/>
    <m/>
    <m/>
    <m/>
    <m/>
    <m/>
    <m/>
    <m/>
    <n v="3.2599999999999997E-2"/>
    <s v="factsheet"/>
    <n v="90"/>
    <m/>
    <m/>
    <m/>
    <m/>
    <m/>
    <m/>
    <m/>
    <m/>
    <m/>
    <m/>
    <m/>
    <m/>
    <m/>
    <m/>
    <s v="Coller Secondaries"/>
    <s v="secondaries"/>
  </r>
  <r>
    <x v="3"/>
    <x v="59"/>
    <m/>
    <m/>
    <m/>
    <m/>
    <m/>
    <m/>
    <m/>
    <m/>
    <m/>
    <n v="1.0200000000000001E-2"/>
    <s v="factsheet"/>
    <m/>
    <m/>
    <m/>
    <m/>
    <m/>
    <m/>
    <m/>
    <m/>
    <m/>
    <m/>
    <m/>
    <m/>
    <m/>
    <m/>
    <m/>
    <s v="Coller Secondaries"/>
    <s v="secondaries"/>
  </r>
  <r>
    <x v="3"/>
    <x v="60"/>
    <m/>
    <m/>
    <m/>
    <m/>
    <m/>
    <m/>
    <m/>
    <m/>
    <m/>
    <n v="7.3000000000000001E-3"/>
    <s v="factsheet"/>
    <m/>
    <m/>
    <m/>
    <m/>
    <m/>
    <m/>
    <m/>
    <m/>
    <m/>
    <m/>
    <m/>
    <m/>
    <m/>
    <m/>
    <m/>
    <s v="Coller Secondaries"/>
    <s v="secondaries"/>
  </r>
  <r>
    <x v="3"/>
    <x v="61"/>
    <m/>
    <m/>
    <m/>
    <m/>
    <m/>
    <m/>
    <m/>
    <m/>
    <m/>
    <n v="3.7600000000000001E-2"/>
    <s v="factsheet"/>
    <m/>
    <m/>
    <m/>
    <m/>
    <m/>
    <m/>
    <m/>
    <m/>
    <m/>
    <m/>
    <m/>
    <m/>
    <m/>
    <m/>
    <m/>
    <s v="Coller Secondaries"/>
    <s v="secondaries"/>
  </r>
  <r>
    <x v="3"/>
    <x v="62"/>
    <m/>
    <m/>
    <m/>
    <m/>
    <m/>
    <m/>
    <m/>
    <m/>
    <m/>
    <n v="1.1900000000000001E-2"/>
    <s v="factsheet"/>
    <m/>
    <m/>
    <m/>
    <m/>
    <m/>
    <m/>
    <m/>
    <m/>
    <m/>
    <m/>
    <m/>
    <m/>
    <m/>
    <m/>
    <m/>
    <s v="Coller Secondaries"/>
    <s v="secondaries"/>
  </r>
  <r>
    <x v="3"/>
    <x v="63"/>
    <m/>
    <m/>
    <m/>
    <m/>
    <m/>
    <m/>
    <m/>
    <m/>
    <m/>
    <n v="1.1299999999999999E-2"/>
    <s v="factsheet"/>
    <m/>
    <m/>
    <m/>
    <m/>
    <m/>
    <m/>
    <m/>
    <m/>
    <m/>
    <m/>
    <m/>
    <m/>
    <m/>
    <m/>
    <m/>
    <s v="Coller Secondaries"/>
    <s v="secondaries"/>
  </r>
  <r>
    <x v="3"/>
    <x v="64"/>
    <m/>
    <m/>
    <m/>
    <m/>
    <m/>
    <m/>
    <m/>
    <m/>
    <m/>
    <n v="1.9099999999999999E-2"/>
    <s v="factsheet"/>
    <m/>
    <m/>
    <m/>
    <m/>
    <m/>
    <m/>
    <m/>
    <m/>
    <m/>
    <m/>
    <m/>
    <m/>
    <m/>
    <m/>
    <m/>
    <s v="Coller Secondaries"/>
    <s v="secondaries"/>
  </r>
  <r>
    <x v="3"/>
    <x v="65"/>
    <m/>
    <m/>
    <m/>
    <m/>
    <m/>
    <m/>
    <m/>
    <m/>
    <m/>
    <n v="5.7000000000000002E-3"/>
    <s v="factsheet"/>
    <m/>
    <m/>
    <m/>
    <m/>
    <m/>
    <m/>
    <m/>
    <m/>
    <m/>
    <m/>
    <m/>
    <m/>
    <m/>
    <m/>
    <m/>
    <s v="Coller Secondaries"/>
    <s v="secondaries"/>
  </r>
  <r>
    <x v="3"/>
    <x v="66"/>
    <m/>
    <m/>
    <m/>
    <m/>
    <m/>
    <m/>
    <m/>
    <m/>
    <m/>
    <n v="5.7999999999999996E-3"/>
    <s v="factsheet"/>
    <m/>
    <m/>
    <m/>
    <m/>
    <m/>
    <m/>
    <m/>
    <m/>
    <m/>
    <m/>
    <m/>
    <m/>
    <m/>
    <m/>
    <m/>
    <s v="Coller Secondaries"/>
    <s v="secondaries"/>
  </r>
  <r>
    <x v="3"/>
    <x v="67"/>
    <m/>
    <m/>
    <m/>
    <m/>
    <m/>
    <m/>
    <m/>
    <m/>
    <m/>
    <n v="1.44E-2"/>
    <s v="factsheet"/>
    <m/>
    <m/>
    <m/>
    <m/>
    <m/>
    <m/>
    <m/>
    <m/>
    <m/>
    <m/>
    <m/>
    <m/>
    <m/>
    <m/>
    <m/>
    <s v="Coller Secondaries"/>
    <s v="secondaries"/>
  </r>
  <r>
    <x v="3"/>
    <x v="68"/>
    <m/>
    <n v="9973022.5500000007"/>
    <s v="direct fund statement"/>
    <m/>
    <m/>
    <m/>
    <m/>
    <m/>
    <m/>
    <n v="-2.7000000000000001E-3"/>
    <s v="factsheet"/>
    <m/>
    <m/>
    <m/>
    <m/>
    <m/>
    <n v="1798496.4569999999"/>
    <s v="direct fund statement"/>
    <n v="10000000"/>
    <s v="direct fund statement"/>
    <n v="0"/>
    <s v="direct fund statement"/>
    <n v="0"/>
    <s v="direct fund statement"/>
    <m/>
    <m/>
    <s v="Coller Secondaries"/>
    <s v="secondaries"/>
  </r>
  <r>
    <x v="3"/>
    <x v="69"/>
    <m/>
    <n v="10199273.41"/>
    <s v="direct fund statement"/>
    <m/>
    <m/>
    <m/>
    <m/>
    <m/>
    <m/>
    <n v="2.2700000000000001E-2"/>
    <s v="factsheet"/>
    <m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3"/>
    <x v="70"/>
    <m/>
    <n v="10396928.17"/>
    <s v="direct fund statement"/>
    <m/>
    <m/>
    <m/>
    <m/>
    <m/>
    <m/>
    <n v="1.9400000000000001E-2"/>
    <s v="factsheet"/>
    <n v="180"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4"/>
    <x v="48"/>
    <m/>
    <m/>
    <m/>
    <m/>
    <m/>
    <n v="10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4"/>
    <x v="49"/>
    <m/>
    <m/>
    <m/>
    <n v="73970000"/>
    <s v="pitchbook"/>
    <n v="10.039999999999999"/>
    <s v="pitchbook"/>
    <m/>
    <m/>
    <n v="4.0000000000000001E-3"/>
    <s v="pitchbook"/>
    <n v="55"/>
    <n v="73680000"/>
    <s v="pitchbook"/>
    <m/>
    <m/>
    <m/>
    <m/>
    <m/>
    <m/>
    <m/>
    <m/>
    <m/>
    <m/>
    <m/>
    <m/>
    <s v="Stepstone PC Income"/>
    <s v="private_credit"/>
  </r>
  <r>
    <x v="4"/>
    <x v="50"/>
    <m/>
    <m/>
    <m/>
    <n v="76100000"/>
    <s v="pitchbook"/>
    <n v="10.119999999999999"/>
    <s v="pitchbook"/>
    <m/>
    <m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1"/>
    <m/>
    <m/>
    <m/>
    <n v="94630000"/>
    <s v="pitchbook"/>
    <n v="10.19"/>
    <s v="pitchbook"/>
    <m/>
    <m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2"/>
    <m/>
    <m/>
    <m/>
    <n v="115850000"/>
    <s v="pitchbook"/>
    <n v="10.26"/>
    <s v="pitchbook"/>
    <m/>
    <m/>
    <n v="6.8999999999999999E-3"/>
    <s v="pitchbook"/>
    <n v="196"/>
    <m/>
    <m/>
    <m/>
    <m/>
    <m/>
    <m/>
    <m/>
    <m/>
    <m/>
    <m/>
    <m/>
    <m/>
    <m/>
    <m/>
    <s v="Stepstone PC Income"/>
    <s v="private_credit"/>
  </r>
  <r>
    <x v="4"/>
    <x v="53"/>
    <m/>
    <m/>
    <m/>
    <n v="153260000"/>
    <s v="pitchbook"/>
    <n v="10.14"/>
    <s v="pitchbook"/>
    <n v="0.2"/>
    <s v="pitchbook"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4"/>
    <m/>
    <m/>
    <m/>
    <n v="165000000"/>
    <s v="pitchbook"/>
    <n v="10.199999999999999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5"/>
    <m/>
    <m/>
    <m/>
    <n v="167640000"/>
    <s v="pitchbook"/>
    <n v="10.07"/>
    <s v="pitchbook"/>
    <n v="0.21"/>
    <s v="pitchbook"/>
    <n v="7.6E-3"/>
    <s v="pitchbook"/>
    <n v="298"/>
    <n v="222330000"/>
    <s v="pitchbook"/>
    <n v="16744559"/>
    <s v="N-CSR"/>
    <m/>
    <m/>
    <m/>
    <m/>
    <m/>
    <m/>
    <m/>
    <m/>
    <m/>
    <m/>
    <s v="Stepstone PC Income"/>
    <s v="private_credit"/>
  </r>
  <r>
    <x v="4"/>
    <x v="56"/>
    <m/>
    <m/>
    <m/>
    <n v="761750000"/>
    <s v="pitchbook"/>
    <n v="10.15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57"/>
    <m/>
    <m/>
    <m/>
    <n v="782190000"/>
    <s v="pitchbook"/>
    <n v="10.210000000000001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8"/>
    <m/>
    <m/>
    <m/>
    <n v="807060000"/>
    <s v="pitchbook"/>
    <n v="10.28"/>
    <s v="pitchbook"/>
    <m/>
    <m/>
    <n v="6.8999999999999999E-3"/>
    <s v="pitchbook"/>
    <n v="544"/>
    <m/>
    <m/>
    <m/>
    <m/>
    <m/>
    <m/>
    <m/>
    <m/>
    <m/>
    <m/>
    <m/>
    <m/>
    <m/>
    <m/>
    <s v="Stepstone PC Income"/>
    <s v="private_credit"/>
  </r>
  <r>
    <x v="4"/>
    <x v="59"/>
    <m/>
    <m/>
    <m/>
    <n v="865860000"/>
    <s v="pitchbook"/>
    <n v="10.119999999999999"/>
    <s v="pitchbook"/>
    <n v="0.2"/>
    <s v="pitchbook"/>
    <n v="4.4999999999999997E-3"/>
    <s v="pitchbook"/>
    <m/>
    <m/>
    <m/>
    <m/>
    <m/>
    <m/>
    <m/>
    <m/>
    <m/>
    <m/>
    <m/>
    <m/>
    <m/>
    <m/>
    <m/>
    <s v="Stepstone PC Income"/>
    <s v="private_credit"/>
  </r>
  <r>
    <x v="4"/>
    <x v="60"/>
    <m/>
    <m/>
    <m/>
    <n v="889040000"/>
    <s v="pitchbook"/>
    <n v="10.199999999999999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1"/>
    <m/>
    <m/>
    <m/>
    <n v="896730000"/>
    <s v="pitchbook"/>
    <n v="10.29"/>
    <s v="pitchbook"/>
    <m/>
    <m/>
    <n v="8.8000000000000005E-3"/>
    <s v="pitchbook"/>
    <n v="710"/>
    <n v="1110000000"/>
    <s v="pitchbook"/>
    <n v="87517119"/>
    <s v="N-CSRS"/>
    <m/>
    <m/>
    <m/>
    <m/>
    <m/>
    <m/>
    <m/>
    <m/>
    <m/>
    <m/>
    <s v="Stepstone PC Income"/>
    <s v="private_credit"/>
  </r>
  <r>
    <x v="4"/>
    <x v="62"/>
    <m/>
    <m/>
    <m/>
    <n v="935790000"/>
    <s v="pitchbook"/>
    <n v="10.130000000000001"/>
    <s v="pitchbook"/>
    <n v="0.23"/>
    <s v="pitchbook"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3"/>
    <m/>
    <m/>
    <m/>
    <n v="954000000"/>
    <s v="pitchbook"/>
    <n v="10.220000000000001"/>
    <s v="pitchbook"/>
    <m/>
    <m/>
    <n v="8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4"/>
    <m/>
    <m/>
    <m/>
    <n v="966850000"/>
    <s v="pitchbook"/>
    <n v="10.29"/>
    <s v="pitchbook"/>
    <m/>
    <m/>
    <n v="6.7999999999999996E-3"/>
    <s v="pitchbook"/>
    <n v="846"/>
    <m/>
    <m/>
    <m/>
    <m/>
    <m/>
    <m/>
    <m/>
    <m/>
    <m/>
    <m/>
    <m/>
    <m/>
    <m/>
    <m/>
    <s v="Stepstone PC Income"/>
    <s v="private_credit"/>
  </r>
  <r>
    <x v="4"/>
    <x v="65"/>
    <m/>
    <m/>
    <m/>
    <n v="978760000"/>
    <s v="pitchbook"/>
    <n v="10.14"/>
    <s v="pitchbook"/>
    <n v="0.24"/>
    <s v="pitchbook"/>
    <n v="9.1000000000000004E-3"/>
    <s v="pitchbook"/>
    <m/>
    <m/>
    <m/>
    <m/>
    <m/>
    <m/>
    <m/>
    <m/>
    <m/>
    <m/>
    <m/>
    <m/>
    <m/>
    <m/>
    <m/>
    <s v="Stepstone PC Income"/>
    <s v="private_credit"/>
  </r>
  <r>
    <x v="4"/>
    <x v="66"/>
    <m/>
    <m/>
    <m/>
    <n v="1000000000"/>
    <s v="pitchbook"/>
    <n v="10.220000000000001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7"/>
    <m/>
    <n v="4897959.18"/>
    <s v="direct fund statement"/>
    <n v="1020000000"/>
    <s v="pitchbook"/>
    <n v="10.08"/>
    <s v="pitchbook"/>
    <n v="0.24"/>
    <s v="pitchbook"/>
    <n v="1.0200000000000001E-2"/>
    <s v="pitchbook"/>
    <n v="1017"/>
    <n v="1370000000"/>
    <s v="pitchbook"/>
    <n v="101338975"/>
    <s v="N-CSR"/>
    <n v="485908.64899999998"/>
    <s v="direct fund statement"/>
    <n v="5000000"/>
    <s v="direct fund statement"/>
    <n v="0"/>
    <s v="direct fund statement"/>
    <n v="118561.71"/>
    <s v="direct fund statement"/>
    <m/>
    <m/>
    <s v="Stepstone PC Income"/>
    <s v="private_credit"/>
  </r>
  <r>
    <x v="4"/>
    <x v="68"/>
    <m/>
    <n v="4936831.87"/>
    <s v="direct fund statement"/>
    <n v="1050000000"/>
    <s v="pitchbook"/>
    <n v="10.16"/>
    <s v="pitchbook"/>
    <m/>
    <m/>
    <n v="7.9000000000000008E-3"/>
    <s v="pitchbook"/>
    <m/>
    <m/>
    <m/>
    <m/>
    <m/>
    <n v="485908.64899999998"/>
    <s v="direct fund statement"/>
    <m/>
    <m/>
    <m/>
    <m/>
    <m/>
    <m/>
    <m/>
    <m/>
    <s v="Stepstone PC Income"/>
    <s v="private_credit"/>
  </r>
  <r>
    <x v="4"/>
    <x v="69"/>
    <m/>
    <n v="4956268.22"/>
    <s v="direct fund statement"/>
    <n v="1070000000"/>
    <s v="pitchbook"/>
    <n v="10.199999999999999"/>
    <s v="pitchbook"/>
    <m/>
    <m/>
    <n v="3.8999999999999998E-3"/>
    <s v="pitchbook"/>
    <m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0"/>
    <m/>
    <n v="4975704.57"/>
    <s v="direct fund statement"/>
    <n v="1050000000"/>
    <s v="pitchbook"/>
    <n v="10.24"/>
    <s v="pitchbook"/>
    <m/>
    <m/>
    <n v="3.8999999999999998E-3"/>
    <s v="pitchbook"/>
    <n v="1133"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1"/>
    <m/>
    <n v="4888241.01"/>
    <s v="direct fund statement"/>
    <n v="1080000000"/>
    <s v="pitchbook"/>
    <n v="10.06"/>
    <s v="pitchbook"/>
    <n v="0.25"/>
    <s v="pitchbook"/>
    <n v="6.7000000000000002E-3"/>
    <s v="pitchbook"/>
    <m/>
    <m/>
    <m/>
    <m/>
    <m/>
    <n v="485908.64899999998"/>
    <s v="direct fund statement"/>
    <n v="0"/>
    <s v="direct fund statement"/>
    <n v="0"/>
    <s v="direct fund statement"/>
    <n v="119970.85"/>
    <s v="direct fund statement"/>
    <m/>
    <m/>
    <s v="Stepstone PC Income"/>
    <s v="private_credit"/>
  </r>
  <r>
    <x v="4"/>
    <x v="72"/>
    <m/>
    <m/>
    <m/>
    <m/>
    <m/>
    <n v="10.119999999999999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5"/>
    <x v="5"/>
    <m/>
    <m/>
    <m/>
    <m/>
    <m/>
    <n v="26.72"/>
    <s v="pitchbook"/>
    <n v="0"/>
    <s v="yfinance"/>
    <m/>
    <m/>
    <m/>
    <m/>
    <m/>
    <m/>
    <m/>
    <m/>
    <m/>
    <m/>
    <m/>
    <m/>
    <m/>
    <m/>
    <m/>
    <m/>
    <m/>
    <s v="Stepstone Private Markets"/>
    <s v="secondaries"/>
  </r>
  <r>
    <x v="5"/>
    <x v="6"/>
    <m/>
    <m/>
    <m/>
    <m/>
    <m/>
    <n v="27.06"/>
    <s v="pitchbook"/>
    <n v="0"/>
    <s v="yfinance"/>
    <n v="1.26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7"/>
    <m/>
    <m/>
    <m/>
    <m/>
    <m/>
    <n v="31.23"/>
    <s v="pitchbook"/>
    <n v="0"/>
    <s v="yfinance"/>
    <n v="0.15409999999999999"/>
    <s v="pitchbook"/>
    <n v="22"/>
    <m/>
    <m/>
    <m/>
    <m/>
    <m/>
    <m/>
    <m/>
    <m/>
    <m/>
    <m/>
    <m/>
    <m/>
    <m/>
    <m/>
    <s v="Stepstone Private Markets"/>
    <s v="secondaries"/>
  </r>
  <r>
    <x v="5"/>
    <x v="8"/>
    <m/>
    <m/>
    <m/>
    <m/>
    <m/>
    <n v="31.29"/>
    <s v="pitchbook"/>
    <n v="0"/>
    <s v="yfinance"/>
    <n v="1.9E-3"/>
    <s v="pitchbook"/>
    <m/>
    <m/>
    <m/>
    <m/>
    <m/>
    <m/>
    <m/>
    <m/>
    <m/>
    <m/>
    <m/>
    <m/>
    <m/>
    <m/>
    <m/>
    <s v="Stepstone Private Markets"/>
    <s v="secondaries"/>
  </r>
  <r>
    <x v="5"/>
    <x v="9"/>
    <m/>
    <m/>
    <m/>
    <m/>
    <m/>
    <n v="31.77"/>
    <s v="pitchbook"/>
    <n v="0"/>
    <s v="yfinance"/>
    <n v="1.5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0"/>
    <m/>
    <m/>
    <m/>
    <m/>
    <m/>
    <n v="32.729999999999997"/>
    <s v="pitchbook"/>
    <n v="0"/>
    <s v="yfinance"/>
    <n v="3.0200000000000001E-2"/>
    <s v="pitchbook"/>
    <n v="43"/>
    <n v="115180000"/>
    <s v="pitchbook"/>
    <n v="2410487"/>
    <s v="N-CSR"/>
    <m/>
    <m/>
    <m/>
    <m/>
    <m/>
    <m/>
    <m/>
    <m/>
    <m/>
    <m/>
    <s v="Stepstone Private Markets"/>
    <s v="secondaries"/>
  </r>
  <r>
    <x v="5"/>
    <x v="11"/>
    <m/>
    <m/>
    <m/>
    <m/>
    <m/>
    <n v="33.99"/>
    <s v="pitchbook"/>
    <n v="0"/>
    <s v="yfinance"/>
    <n v="3.85E-2"/>
    <s v="pitchbook"/>
    <m/>
    <m/>
    <m/>
    <m/>
    <m/>
    <m/>
    <m/>
    <m/>
    <m/>
    <m/>
    <m/>
    <m/>
    <m/>
    <m/>
    <m/>
    <s v="Stepstone Private Markets"/>
    <s v="secondaries"/>
  </r>
  <r>
    <x v="5"/>
    <x v="12"/>
    <m/>
    <m/>
    <m/>
    <m/>
    <m/>
    <n v="35.770000000000003"/>
    <s v="pitchbook"/>
    <n v="0"/>
    <s v="yfinance"/>
    <n v="5.2400000000000002E-2"/>
    <s v="pitchbook"/>
    <m/>
    <m/>
    <m/>
    <m/>
    <m/>
    <m/>
    <m/>
    <m/>
    <m/>
    <m/>
    <m/>
    <m/>
    <m/>
    <m/>
    <m/>
    <s v="Stepstone Private Markets"/>
    <s v="secondaries"/>
  </r>
  <r>
    <x v="5"/>
    <x v="13"/>
    <m/>
    <m/>
    <m/>
    <m/>
    <m/>
    <n v="36.159999999999997"/>
    <s v="pitchbook"/>
    <n v="0"/>
    <s v="yfinance"/>
    <n v="1.09E-2"/>
    <s v="pitchbook"/>
    <n v="57"/>
    <m/>
    <m/>
    <m/>
    <m/>
    <m/>
    <m/>
    <m/>
    <m/>
    <m/>
    <m/>
    <m/>
    <m/>
    <m/>
    <m/>
    <s v="Stepstone Private Markets"/>
    <s v="secondaries"/>
  </r>
  <r>
    <x v="5"/>
    <x v="14"/>
    <m/>
    <m/>
    <m/>
    <m/>
    <m/>
    <n v="38"/>
    <s v="pitchbook"/>
    <n v="0"/>
    <s v="yfinance"/>
    <n v="5.0900000000000001E-2"/>
    <s v="pitchbook"/>
    <m/>
    <m/>
    <m/>
    <m/>
    <m/>
    <m/>
    <m/>
    <m/>
    <m/>
    <m/>
    <m/>
    <m/>
    <m/>
    <m/>
    <m/>
    <s v="Stepstone Private Markets"/>
    <s v="secondaries"/>
  </r>
  <r>
    <x v="5"/>
    <x v="15"/>
    <m/>
    <m/>
    <m/>
    <m/>
    <m/>
    <n v="40.270000000000003"/>
    <s v="pitchbook"/>
    <n v="0"/>
    <s v="yfinance"/>
    <n v="5.9700000000000003E-2"/>
    <s v="pitchbook"/>
    <m/>
    <m/>
    <m/>
    <m/>
    <m/>
    <m/>
    <m/>
    <m/>
    <m/>
    <m/>
    <m/>
    <m/>
    <m/>
    <m/>
    <m/>
    <s v="Stepstone Private Markets"/>
    <s v="secondaries"/>
  </r>
  <r>
    <x v="5"/>
    <x v="16"/>
    <m/>
    <m/>
    <m/>
    <m/>
    <m/>
    <n v="40.22"/>
    <s v="pitchbook"/>
    <n v="0"/>
    <s v="yfinance"/>
    <n v="-1.1999999999999999E-3"/>
    <s v="pitchbook"/>
    <n v="69"/>
    <n v="222650000"/>
    <s v="pitchbook"/>
    <n v="4725736"/>
    <s v="N-CSRS"/>
    <m/>
    <m/>
    <m/>
    <m/>
    <m/>
    <m/>
    <m/>
    <m/>
    <m/>
    <m/>
    <s v="Stepstone Private Markets"/>
    <s v="secondaries"/>
  </r>
  <r>
    <x v="5"/>
    <x v="17"/>
    <m/>
    <m/>
    <m/>
    <m/>
    <m/>
    <n v="39.840000000000003"/>
    <s v="pitchbook"/>
    <n v="0.14000000000000001"/>
    <s v="pitchbook"/>
    <n v="-9.4000000000000004E-3"/>
    <s v="pitchbook"/>
    <m/>
    <m/>
    <m/>
    <m/>
    <m/>
    <m/>
    <m/>
    <m/>
    <m/>
    <m/>
    <m/>
    <m/>
    <m/>
    <m/>
    <m/>
    <s v="Stepstone Private Markets"/>
    <s v="secondaries"/>
  </r>
  <r>
    <x v="5"/>
    <x v="18"/>
    <m/>
    <m/>
    <m/>
    <m/>
    <m/>
    <n v="40.6"/>
    <s v="pitchbook"/>
    <m/>
    <m/>
    <n v="1.90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9"/>
    <m/>
    <m/>
    <m/>
    <m/>
    <m/>
    <n v="41.17"/>
    <s v="pitchbook"/>
    <m/>
    <m/>
    <n v="2.3599999999999999E-2"/>
    <s v="pitchbook"/>
    <n v="98"/>
    <m/>
    <m/>
    <m/>
    <m/>
    <m/>
    <m/>
    <m/>
    <m/>
    <m/>
    <m/>
    <m/>
    <m/>
    <m/>
    <m/>
    <s v="Stepstone Private Markets"/>
    <s v="secondaries"/>
  </r>
  <r>
    <x v="5"/>
    <x v="20"/>
    <m/>
    <m/>
    <m/>
    <m/>
    <m/>
    <n v="41.33"/>
    <s v="pitchbook"/>
    <n v="0.09"/>
    <s v="pitchbook"/>
    <n v="3.8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21"/>
    <m/>
    <m/>
    <m/>
    <m/>
    <m/>
    <n v="41.67"/>
    <s v="pitchbook"/>
    <m/>
    <m/>
    <n v="8.2000000000000007E-3"/>
    <s v="pitchbook"/>
    <m/>
    <m/>
    <m/>
    <m/>
    <m/>
    <m/>
    <m/>
    <m/>
    <m/>
    <m/>
    <m/>
    <m/>
    <m/>
    <m/>
    <m/>
    <s v="Stepstone Private Markets"/>
    <s v="secondaries"/>
  </r>
  <r>
    <x v="5"/>
    <x v="22"/>
    <m/>
    <m/>
    <m/>
    <m/>
    <m/>
    <n v="43.07"/>
    <s v="pitchbook"/>
    <m/>
    <m/>
    <n v="3.5900000000000001E-2"/>
    <s v="pitchbook"/>
    <n v="107"/>
    <n v="496220000"/>
    <s v="pitchbook"/>
    <n v="10337778"/>
    <s v="N-CSR"/>
    <m/>
    <m/>
    <m/>
    <m/>
    <m/>
    <m/>
    <m/>
    <m/>
    <m/>
    <m/>
    <s v="Stepstone Private Markets"/>
    <s v="secondaries"/>
  </r>
  <r>
    <x v="5"/>
    <x v="23"/>
    <m/>
    <m/>
    <m/>
    <m/>
    <m/>
    <n v="43.65"/>
    <s v="pitchbook"/>
    <m/>
    <m/>
    <n v="1.35E-2"/>
    <s v="pitchbook"/>
    <m/>
    <m/>
    <m/>
    <m/>
    <m/>
    <m/>
    <m/>
    <m/>
    <m/>
    <m/>
    <m/>
    <m/>
    <m/>
    <m/>
    <m/>
    <s v="Stepstone Private Markets"/>
    <s v="secondaries"/>
  </r>
  <r>
    <x v="5"/>
    <x v="24"/>
    <m/>
    <m/>
    <m/>
    <m/>
    <m/>
    <n v="43.97"/>
    <s v="pitchbook"/>
    <m/>
    <m/>
    <n v="7.3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5"/>
    <m/>
    <m/>
    <m/>
    <m/>
    <m/>
    <n v="43.6"/>
    <s v="pitchbook"/>
    <m/>
    <m/>
    <n v="-1.1000000000000001E-3"/>
    <s v="pitchbook"/>
    <n v="135"/>
    <m/>
    <m/>
    <m/>
    <m/>
    <m/>
    <m/>
    <m/>
    <m/>
    <m/>
    <m/>
    <m/>
    <m/>
    <m/>
    <m/>
    <s v="Stepstone Private Markets"/>
    <s v="secondaries"/>
  </r>
  <r>
    <x v="5"/>
    <x v="26"/>
    <m/>
    <m/>
    <m/>
    <m/>
    <m/>
    <n v="43.71"/>
    <s v="pitchbook"/>
    <m/>
    <m/>
    <n v="2.5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7"/>
    <m/>
    <m/>
    <m/>
    <m/>
    <m/>
    <n v="43.32"/>
    <s v="pitchbook"/>
    <m/>
    <m/>
    <n v="-8.8999999999999999E-3"/>
    <s v="pitchbook"/>
    <m/>
    <m/>
    <m/>
    <m/>
    <m/>
    <m/>
    <m/>
    <m/>
    <m/>
    <m/>
    <m/>
    <m/>
    <m/>
    <m/>
    <m/>
    <s v="Stepstone Private Markets"/>
    <s v="secondaries"/>
  </r>
  <r>
    <x v="5"/>
    <x v="28"/>
    <m/>
    <m/>
    <m/>
    <m/>
    <m/>
    <n v="43.26"/>
    <s v="pitchbook"/>
    <m/>
    <m/>
    <n v="-1.4E-3"/>
    <s v="pitchbook"/>
    <n v="140"/>
    <n v="869720000"/>
    <s v="pitchbook"/>
    <n v="16729144"/>
    <s v="N-CSRS"/>
    <m/>
    <m/>
    <m/>
    <m/>
    <m/>
    <m/>
    <m/>
    <m/>
    <m/>
    <m/>
    <s v="Stepstone Private Markets"/>
    <s v="secondaries"/>
  </r>
  <r>
    <x v="5"/>
    <x v="29"/>
    <m/>
    <m/>
    <m/>
    <m/>
    <m/>
    <n v="43.5"/>
    <s v="pitchbook"/>
    <n v="0.4"/>
    <s v="pitchbook"/>
    <n v="5.4999999999999997E-3"/>
    <s v="pitchbook"/>
    <m/>
    <m/>
    <m/>
    <m/>
    <m/>
    <m/>
    <m/>
    <m/>
    <m/>
    <m/>
    <m/>
    <m/>
    <m/>
    <m/>
    <m/>
    <s v="Stepstone Private Markets"/>
    <s v="secondaries"/>
  </r>
  <r>
    <x v="5"/>
    <x v="30"/>
    <m/>
    <m/>
    <m/>
    <m/>
    <m/>
    <n v="44.16"/>
    <s v="pitchbook"/>
    <m/>
    <m/>
    <n v="1.52E-2"/>
    <s v="pitchbook"/>
    <m/>
    <m/>
    <m/>
    <m/>
    <m/>
    <m/>
    <m/>
    <m/>
    <m/>
    <m/>
    <m/>
    <m/>
    <m/>
    <m/>
    <m/>
    <s v="Stepstone Private Markets"/>
    <s v="secondaries"/>
  </r>
  <r>
    <x v="5"/>
    <x v="31"/>
    <m/>
    <m/>
    <m/>
    <m/>
    <m/>
    <n v="43.75"/>
    <s v="pitchbook"/>
    <m/>
    <m/>
    <n v="4.8999999999999998E-3"/>
    <s v="pitchbook"/>
    <n v="150"/>
    <m/>
    <m/>
    <m/>
    <m/>
    <m/>
    <m/>
    <m/>
    <m/>
    <m/>
    <m/>
    <m/>
    <m/>
    <m/>
    <m/>
    <s v="Stepstone Private Markets"/>
    <s v="secondaries"/>
  </r>
  <r>
    <x v="5"/>
    <x v="32"/>
    <m/>
    <m/>
    <m/>
    <m/>
    <m/>
    <n v="45.98"/>
    <s v="pitchbook"/>
    <m/>
    <m/>
    <n v="5.09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33"/>
    <m/>
    <m/>
    <m/>
    <m/>
    <m/>
    <n v="45.74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4"/>
    <m/>
    <m/>
    <m/>
    <n v="1050000000"/>
    <s v="pitchbook"/>
    <n v="46.15"/>
    <s v="pitchbook"/>
    <m/>
    <m/>
    <n v="8.9999999999999993E-3"/>
    <s v="pitchbook"/>
    <n v="158"/>
    <n v="1150000000"/>
    <s v="pitchbook"/>
    <m/>
    <m/>
    <m/>
    <m/>
    <m/>
    <m/>
    <m/>
    <m/>
    <m/>
    <m/>
    <m/>
    <m/>
    <s v="Stepstone Private Markets"/>
    <s v="secondaries"/>
  </r>
  <r>
    <x v="5"/>
    <x v="35"/>
    <m/>
    <m/>
    <m/>
    <m/>
    <m/>
    <n v="46.46"/>
    <s v="pitchbook"/>
    <m/>
    <m/>
    <n v="6.7000000000000002E-3"/>
    <s v="pitchbook"/>
    <m/>
    <m/>
    <m/>
    <m/>
    <m/>
    <m/>
    <m/>
    <m/>
    <m/>
    <m/>
    <m/>
    <m/>
    <m/>
    <m/>
    <m/>
    <s v="Stepstone Private Markets"/>
    <s v="secondaries"/>
  </r>
  <r>
    <x v="5"/>
    <x v="36"/>
    <m/>
    <m/>
    <m/>
    <m/>
    <m/>
    <n v="46.22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7"/>
    <m/>
    <m/>
    <m/>
    <m/>
    <m/>
    <n v="47.44"/>
    <s v="pitchbook"/>
    <m/>
    <m/>
    <n v="2.64E-2"/>
    <s v="pitchbook"/>
    <n v="166"/>
    <m/>
    <m/>
    <m/>
    <m/>
    <m/>
    <m/>
    <m/>
    <m/>
    <m/>
    <m/>
    <m/>
    <m/>
    <m/>
    <m/>
    <s v="Stepstone Private Markets"/>
    <s v="secondaries"/>
  </r>
  <r>
    <x v="5"/>
    <x v="38"/>
    <m/>
    <m/>
    <m/>
    <n v="1360000000"/>
    <s v="pitchbook"/>
    <n v="48.29"/>
    <s v="pitchbook"/>
    <m/>
    <m/>
    <n v="1.78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39"/>
    <m/>
    <m/>
    <m/>
    <n v="1450000000"/>
    <s v="pitchbook"/>
    <n v="47.45"/>
    <s v="pitchbook"/>
    <m/>
    <m/>
    <n v="-1.73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0"/>
    <m/>
    <m/>
    <m/>
    <n v="1540000000"/>
    <s v="pitchbook"/>
    <n v="47.2"/>
    <s v="pitchbook"/>
    <m/>
    <m/>
    <n v="-5.3E-3"/>
    <s v="pitchbook"/>
    <n v="178"/>
    <n v="1560000000"/>
    <s v="pitchbook"/>
    <m/>
    <m/>
    <m/>
    <m/>
    <m/>
    <m/>
    <m/>
    <m/>
    <m/>
    <m/>
    <m/>
    <m/>
    <s v="Stepstone Private Markets"/>
    <s v="secondaries"/>
  </r>
  <r>
    <x v="5"/>
    <x v="41"/>
    <m/>
    <m/>
    <m/>
    <n v="1570000000"/>
    <s v="pitchbook"/>
    <n v="47.19"/>
    <s v="pitchbook"/>
    <m/>
    <m/>
    <n v="-2.0000000000000001E-4"/>
    <s v="pitchbook"/>
    <m/>
    <m/>
    <m/>
    <m/>
    <m/>
    <m/>
    <m/>
    <m/>
    <m/>
    <m/>
    <m/>
    <m/>
    <m/>
    <m/>
    <m/>
    <s v="Stepstone Private Markets"/>
    <s v="secondaries"/>
  </r>
  <r>
    <x v="5"/>
    <x v="42"/>
    <m/>
    <m/>
    <m/>
    <n v="1690000000"/>
    <s v="pitchbook"/>
    <n v="48.51"/>
    <s v="pitchbook"/>
    <m/>
    <m/>
    <n v="3.13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43"/>
    <m/>
    <m/>
    <m/>
    <n v="1790000000"/>
    <s v="pitchbook"/>
    <n v="49.39"/>
    <s v="pitchbook"/>
    <m/>
    <m/>
    <n v="1.8100000000000002E-2"/>
    <s v="pitchbook"/>
    <n v="190"/>
    <m/>
    <m/>
    <m/>
    <m/>
    <m/>
    <m/>
    <m/>
    <m/>
    <m/>
    <m/>
    <m/>
    <m/>
    <m/>
    <m/>
    <s v="Stepstone Private Markets"/>
    <s v="secondaries"/>
  </r>
  <r>
    <x v="5"/>
    <x v="44"/>
    <m/>
    <m/>
    <m/>
    <n v="1920000000"/>
    <s v="pitchbook"/>
    <n v="50.16"/>
    <s v="pitchbook"/>
    <m/>
    <m/>
    <n v="1.5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5"/>
    <m/>
    <m/>
    <m/>
    <n v="2090000000"/>
    <s v="pitchbook"/>
    <n v="50.64"/>
    <s v="pitchbook"/>
    <m/>
    <m/>
    <n v="9.5999999999999992E-3"/>
    <s v="pitchbook"/>
    <m/>
    <m/>
    <m/>
    <m/>
    <m/>
    <m/>
    <m/>
    <m/>
    <m/>
    <m/>
    <m/>
    <m/>
    <m/>
    <m/>
    <m/>
    <s v="Stepstone Private Markets"/>
    <s v="secondaries"/>
  </r>
  <r>
    <x v="5"/>
    <x v="46"/>
    <m/>
    <m/>
    <m/>
    <n v="2320000000"/>
    <s v="pitchbook"/>
    <n v="52.49"/>
    <s v="pitchbook"/>
    <m/>
    <m/>
    <n v="3.6499999999999998E-2"/>
    <s v="pitchbook"/>
    <n v="206"/>
    <n v="2340000000"/>
    <s v="pitchbook"/>
    <n v="37651634"/>
    <s v="N-CSR"/>
    <m/>
    <m/>
    <m/>
    <m/>
    <m/>
    <m/>
    <m/>
    <m/>
    <m/>
    <m/>
    <s v="Stepstone Private Markets"/>
    <s v="secondaries"/>
  </r>
  <r>
    <x v="5"/>
    <x v="47"/>
    <m/>
    <m/>
    <m/>
    <n v="2450000000"/>
    <s v="pitchbook"/>
    <n v="51.87"/>
    <s v="pitchbook"/>
    <m/>
    <m/>
    <n v="-1.18E-2"/>
    <s v="pitchbook"/>
    <m/>
    <m/>
    <m/>
    <m/>
    <m/>
    <m/>
    <m/>
    <m/>
    <m/>
    <m/>
    <m/>
    <m/>
    <m/>
    <m/>
    <m/>
    <s v="Stepstone Private Markets"/>
    <s v="secondaries"/>
  </r>
  <r>
    <x v="5"/>
    <x v="48"/>
    <m/>
    <m/>
    <m/>
    <n v="2640000000"/>
    <s v="pitchbook"/>
    <n v="52.45"/>
    <s v="pitchbook"/>
    <m/>
    <m/>
    <n v="1.12E-2"/>
    <s v="pitchbook"/>
    <m/>
    <m/>
    <m/>
    <m/>
    <m/>
    <m/>
    <m/>
    <m/>
    <m/>
    <m/>
    <m/>
    <m/>
    <m/>
    <m/>
    <m/>
    <s v="Stepstone Private Markets"/>
    <s v="secondaries"/>
  </r>
  <r>
    <x v="5"/>
    <x v="49"/>
    <m/>
    <m/>
    <m/>
    <n v="2760000000"/>
    <s v="pitchbook"/>
    <n v="52.21"/>
    <s v="pitchbook"/>
    <n v="0.16"/>
    <s v="pitchbook"/>
    <n v="1E-3"/>
    <s v="pitchbook"/>
    <n v="221"/>
    <m/>
    <m/>
    <m/>
    <m/>
    <m/>
    <m/>
    <m/>
    <m/>
    <m/>
    <m/>
    <m/>
    <m/>
    <m/>
    <m/>
    <s v="Stepstone Private Markets"/>
    <s v="secondaries"/>
  </r>
  <r>
    <x v="5"/>
    <x v="50"/>
    <m/>
    <m/>
    <m/>
    <n v="2930000000"/>
    <s v="pitchbook"/>
    <n v="53.05"/>
    <s v="pitchbook"/>
    <m/>
    <m/>
    <n v="1.61E-2"/>
    <s v="pitchbook"/>
    <m/>
    <m/>
    <m/>
    <m/>
    <m/>
    <m/>
    <m/>
    <m/>
    <m/>
    <m/>
    <m/>
    <m/>
    <m/>
    <m/>
    <m/>
    <s v="Stepstone Private Markets"/>
    <s v="secondaries"/>
  </r>
  <r>
    <x v="5"/>
    <x v="51"/>
    <m/>
    <m/>
    <m/>
    <n v="3100000000"/>
    <s v="pitchbook"/>
    <n v="53.66"/>
    <s v="pitchbook"/>
    <m/>
    <m/>
    <n v="1.15E-2"/>
    <s v="pitchbook"/>
    <m/>
    <m/>
    <m/>
    <m/>
    <m/>
    <m/>
    <m/>
    <m/>
    <m/>
    <m/>
    <m/>
    <m/>
    <m/>
    <m/>
    <m/>
    <s v="Stepstone Private Markets"/>
    <s v="secondaries"/>
  </r>
  <r>
    <x v="5"/>
    <x v="52"/>
    <m/>
    <m/>
    <m/>
    <n v="3250000000"/>
    <s v="pitchbook"/>
    <n v="54.97"/>
    <s v="pitchbook"/>
    <m/>
    <m/>
    <n v="2.4400000000000002E-2"/>
    <s v="pitchbook"/>
    <n v="300"/>
    <n v="3350000000"/>
    <s v="pitchbook"/>
    <n v="46858698"/>
    <s v="N-CSRS"/>
    <m/>
    <m/>
    <m/>
    <m/>
    <m/>
    <m/>
    <m/>
    <m/>
    <m/>
    <m/>
    <s v="Stepstone Private Markets"/>
    <s v="secondaries"/>
  </r>
  <r>
    <x v="5"/>
    <x v="53"/>
    <m/>
    <m/>
    <m/>
    <n v="3400000000"/>
    <s v="pitchbook"/>
    <n v="55.08"/>
    <s v="pitchbook"/>
    <m/>
    <m/>
    <n v="2E-3"/>
    <s v="pitchbook"/>
    <m/>
    <m/>
    <m/>
    <m/>
    <m/>
    <m/>
    <m/>
    <m/>
    <m/>
    <m/>
    <m/>
    <m/>
    <m/>
    <m/>
    <m/>
    <s v="Stepstone Private Markets"/>
    <s v="secondaries"/>
  </r>
  <r>
    <x v="5"/>
    <x v="54"/>
    <m/>
    <m/>
    <m/>
    <n v="3590000000"/>
    <s v="pitchbook"/>
    <n v="55.69"/>
    <s v="pitchbook"/>
    <m/>
    <m/>
    <n v="1.11E-2"/>
    <s v="pitchbook"/>
    <m/>
    <m/>
    <m/>
    <m/>
    <m/>
    <m/>
    <m/>
    <m/>
    <m/>
    <m/>
    <m/>
    <m/>
    <m/>
    <m/>
    <m/>
    <s v="Stepstone Private Markets"/>
    <s v="secondaries"/>
  </r>
  <r>
    <x v="5"/>
    <x v="55"/>
    <m/>
    <m/>
    <m/>
    <n v="3680000000"/>
    <s v="pitchbook"/>
    <n v="55.06"/>
    <s v="pitchbook"/>
    <n v="0.03"/>
    <s v="pitchbook"/>
    <n v="-3.5999999999999999E-3"/>
    <s v="pitchbook"/>
    <n v="349"/>
    <m/>
    <m/>
    <m/>
    <m/>
    <m/>
    <m/>
    <m/>
    <m/>
    <m/>
    <m/>
    <m/>
    <m/>
    <m/>
    <m/>
    <s v="Stepstone Private Markets"/>
    <s v="secondaries"/>
  </r>
  <r>
    <x v="5"/>
    <x v="56"/>
    <m/>
    <m/>
    <m/>
    <n v="3920000000"/>
    <s v="pitchbook"/>
    <n v="55.7"/>
    <s v="pitchbook"/>
    <m/>
    <m/>
    <n v="1.1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57"/>
    <m/>
    <m/>
    <m/>
    <n v="4100000000"/>
    <s v="pitchbook"/>
    <n v="55.78"/>
    <s v="pitchbook"/>
    <m/>
    <m/>
    <n v="1.4E-3"/>
    <s v="pitchbook"/>
    <m/>
    <m/>
    <m/>
    <m/>
    <m/>
    <m/>
    <m/>
    <m/>
    <m/>
    <m/>
    <m/>
    <m/>
    <m/>
    <m/>
    <m/>
    <s v="Stepstone Private Markets"/>
    <s v="secondaries"/>
  </r>
  <r>
    <x v="5"/>
    <x v="58"/>
    <m/>
    <m/>
    <m/>
    <n v="4200000000"/>
    <s v="pitchbook"/>
    <n v="55.62"/>
    <s v="pitchbook"/>
    <m/>
    <m/>
    <n v="-2.8999999999999998E-3"/>
    <s v="pitchbook"/>
    <n v="360"/>
    <n v="4410000000"/>
    <s v="pitchbook"/>
    <n v="59765181"/>
    <s v="N-CSR"/>
    <m/>
    <m/>
    <m/>
    <m/>
    <m/>
    <m/>
    <m/>
    <m/>
    <m/>
    <m/>
    <s v="Stepstone Private Markets"/>
    <s v="secondaries"/>
  </r>
  <r>
    <x v="5"/>
    <x v="59"/>
    <m/>
    <m/>
    <m/>
    <n v="4420000000"/>
    <s v="pitchbook"/>
    <n v="56.2"/>
    <s v="pitchbook"/>
    <m/>
    <m/>
    <n v="1.04E-2"/>
    <s v="pitchbook"/>
    <m/>
    <m/>
    <m/>
    <m/>
    <m/>
    <m/>
    <m/>
    <m/>
    <m/>
    <m/>
    <m/>
    <m/>
    <m/>
    <m/>
    <m/>
    <s v="Stepstone Private Markets"/>
    <s v="secondaries"/>
  </r>
  <r>
    <x v="5"/>
    <x v="60"/>
    <m/>
    <m/>
    <m/>
    <n v="4710000000"/>
    <s v="pitchbook"/>
    <n v="57.79"/>
    <s v="pitchbook"/>
    <m/>
    <m/>
    <n v="2.8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61"/>
    <m/>
    <m/>
    <m/>
    <n v="4870000000"/>
    <s v="pitchbook"/>
    <n v="58.9"/>
    <s v="pitchbook"/>
    <n v="0.01"/>
    <s v="pitchbook"/>
    <n v="2.2599999999999999E-2"/>
    <s v="pitchbook"/>
    <n v="389"/>
    <m/>
    <m/>
    <m/>
    <m/>
    <m/>
    <m/>
    <m/>
    <m/>
    <m/>
    <m/>
    <m/>
    <m/>
    <m/>
    <m/>
    <s v="Stepstone Private Markets"/>
    <s v="secondaries"/>
  </r>
  <r>
    <x v="5"/>
    <x v="62"/>
    <m/>
    <m/>
    <m/>
    <n v="5050000000"/>
    <s v="pitchbook"/>
    <n v="59.03"/>
    <s v="pitchbook"/>
    <m/>
    <m/>
    <n v="2.2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63"/>
    <m/>
    <m/>
    <m/>
    <n v="5270000000"/>
    <s v="pitchbook"/>
    <n v="59.29"/>
    <s v="pitchbook"/>
    <m/>
    <m/>
    <n v="4.4000000000000003E-3"/>
    <s v="pitchbook"/>
    <m/>
    <m/>
    <m/>
    <m/>
    <m/>
    <m/>
    <m/>
    <m/>
    <m/>
    <m/>
    <m/>
    <m/>
    <m/>
    <m/>
    <m/>
    <s v="Stepstone Private Markets"/>
    <s v="secondaries"/>
  </r>
  <r>
    <x v="5"/>
    <x v="64"/>
    <m/>
    <m/>
    <m/>
    <n v="5220000000"/>
    <s v="pitchbook"/>
    <n v="60.68"/>
    <s v="pitchbook"/>
    <m/>
    <m/>
    <n v="2.3400000000000001E-2"/>
    <s v="pitchbook"/>
    <n v="433"/>
    <n v="5380000000"/>
    <s v="pitchbook"/>
    <m/>
    <m/>
    <m/>
    <m/>
    <m/>
    <m/>
    <m/>
    <m/>
    <m/>
    <m/>
    <m/>
    <m/>
    <s v="Stepstone Private Markets"/>
    <s v="secondaries"/>
  </r>
  <r>
    <x v="5"/>
    <x v="65"/>
    <m/>
    <m/>
    <m/>
    <n v="5430000000"/>
    <s v="pitchbook"/>
    <n v="61.28"/>
    <s v="pitchbook"/>
    <m/>
    <m/>
    <n v="9.9000000000000008E-3"/>
    <s v="pitchbook"/>
    <m/>
    <m/>
    <m/>
    <m/>
    <m/>
    <m/>
    <m/>
    <m/>
    <m/>
    <m/>
    <m/>
    <m/>
    <m/>
    <m/>
    <m/>
    <s v="Stepstone Private Markets"/>
    <s v="secondaries"/>
  </r>
  <r>
    <x v="5"/>
    <x v="66"/>
    <m/>
    <m/>
    <m/>
    <n v="5530000000"/>
    <s v="pitchbook"/>
    <n v="61.05"/>
    <s v="pitchbook"/>
    <m/>
    <m/>
    <n v="-3.8E-3"/>
    <s v="pitchbook"/>
    <m/>
    <m/>
    <m/>
    <m/>
    <m/>
    <m/>
    <m/>
    <m/>
    <m/>
    <m/>
    <m/>
    <m/>
    <m/>
    <m/>
    <m/>
    <s v="Stepstone Private Markets"/>
    <s v="secondaries"/>
  </r>
  <r>
    <x v="5"/>
    <x v="67"/>
    <m/>
    <n v="9909076.1400000006"/>
    <s v="direct fund statement"/>
    <n v="5510000000"/>
    <s v="pitchbook"/>
    <n v="61.03"/>
    <s v="pitchbook"/>
    <m/>
    <m/>
    <n v="8.0000000000000002E-3"/>
    <s v="pitchbook"/>
    <n v="503"/>
    <m/>
    <m/>
    <m/>
    <m/>
    <n v="162364.01999999999"/>
    <s v="direct fund statement"/>
    <n v="10000000"/>
    <s v="direct fund statement"/>
    <n v="0"/>
    <s v="direct fund statement"/>
    <n v="82139.960000000006"/>
    <s v="direct fund statement"/>
    <m/>
    <m/>
    <s v="Stepstone Private Markets"/>
    <s v="secondaries"/>
  </r>
  <r>
    <x v="5"/>
    <x v="68"/>
    <m/>
    <n v="10038967.359999999"/>
    <s v="direct fund statement"/>
    <n v="5730000000"/>
    <s v="pitchbook"/>
    <n v="61.83"/>
    <s v="pitchbook"/>
    <m/>
    <m/>
    <n v="1.3100000000000001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69"/>
    <m/>
    <n v="10012989.109999999"/>
    <s v="direct fund statement"/>
    <n v="5860000000"/>
    <s v="pitchbook"/>
    <n v="61.67"/>
    <s v="pitchbook"/>
    <m/>
    <m/>
    <n v="-2.5999999999999999E-3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0"/>
    <m/>
    <n v="9974021.75"/>
    <s v="direct fund statement"/>
    <n v="5760000000"/>
    <s v="pitchbook"/>
    <n v="61.43"/>
    <s v="pitchbook"/>
    <m/>
    <m/>
    <n v="-3.8999999999999998E-3"/>
    <s v="pitchbook"/>
    <n v="591"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1"/>
    <m/>
    <n v="10318233.470000001"/>
    <s v="direct fund statement"/>
    <n v="6090000000"/>
    <s v="pitchbook"/>
    <n v="63.55"/>
    <s v="pitchbook"/>
    <m/>
    <m/>
    <n v="3.4500000000000003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2"/>
    <m/>
    <m/>
    <m/>
    <m/>
    <m/>
    <n v="63.92"/>
    <s v="pitchbook"/>
    <m/>
    <m/>
    <m/>
    <m/>
    <m/>
    <m/>
    <m/>
    <m/>
    <m/>
    <m/>
    <m/>
    <m/>
    <m/>
    <m/>
    <m/>
    <m/>
    <m/>
    <m/>
    <m/>
    <s v="Stepstone Private Markets"/>
    <s v="secondaries"/>
  </r>
  <r>
    <x v="6"/>
    <x v="30"/>
    <m/>
    <m/>
    <m/>
    <m/>
    <m/>
    <n v="27.4"/>
    <s v="yfinance"/>
    <n v="0"/>
    <s v="yfinance"/>
    <n v="9.5899999999999999E-2"/>
    <s v="factsheet"/>
    <m/>
    <m/>
    <m/>
    <m/>
    <m/>
    <m/>
    <m/>
    <m/>
    <m/>
    <m/>
    <m/>
    <m/>
    <m/>
    <m/>
    <m/>
    <s v="Stepstone PV/Growth"/>
    <s v="venture"/>
  </r>
  <r>
    <x v="6"/>
    <x v="31"/>
    <m/>
    <m/>
    <m/>
    <m/>
    <m/>
    <n v="27.4"/>
    <s v="yfinance"/>
    <n v="0"/>
    <s v="yfinance"/>
    <n v="4.8800000000000003E-2"/>
    <s v="factsheet"/>
    <n v="9"/>
    <m/>
    <m/>
    <m/>
    <m/>
    <m/>
    <m/>
    <m/>
    <m/>
    <m/>
    <m/>
    <m/>
    <m/>
    <m/>
    <m/>
    <s v="Stepstone PV/Growth"/>
    <s v="venture"/>
  </r>
  <r>
    <x v="6"/>
    <x v="32"/>
    <m/>
    <m/>
    <m/>
    <m/>
    <m/>
    <n v="28.73"/>
    <s v="yfinance"/>
    <n v="0"/>
    <s v="yfinance"/>
    <n v="5.3199999999999997E-2"/>
    <s v="factsheet"/>
    <m/>
    <m/>
    <m/>
    <m/>
    <m/>
    <m/>
    <m/>
    <m/>
    <m/>
    <m/>
    <m/>
    <m/>
    <m/>
    <m/>
    <m/>
    <s v="Stepstone PV/Growth"/>
    <s v="venture"/>
  </r>
  <r>
    <x v="6"/>
    <x v="33"/>
    <m/>
    <m/>
    <m/>
    <m/>
    <m/>
    <n v="30.26"/>
    <s v="yfinance"/>
    <n v="0"/>
    <s v="yfinance"/>
    <n v="-4.8000000000000001E-2"/>
    <s v="factsheet"/>
    <m/>
    <m/>
    <m/>
    <m/>
    <m/>
    <m/>
    <m/>
    <m/>
    <m/>
    <m/>
    <m/>
    <m/>
    <m/>
    <m/>
    <m/>
    <s v="Stepstone PV/Growth"/>
    <s v="venture"/>
  </r>
  <r>
    <x v="6"/>
    <x v="34"/>
    <m/>
    <m/>
    <m/>
    <m/>
    <m/>
    <n v="30.12"/>
    <s v="yfinance"/>
    <n v="0"/>
    <s v="yfinance"/>
    <n v="5.9999999999999995E-4"/>
    <s v="factsheet"/>
    <n v="15"/>
    <m/>
    <m/>
    <n v="6167112"/>
    <s v="N-CSR"/>
    <m/>
    <m/>
    <m/>
    <m/>
    <m/>
    <m/>
    <m/>
    <m/>
    <m/>
    <m/>
    <s v="Stepstone PV/Growth"/>
    <s v="venture"/>
  </r>
  <r>
    <x v="6"/>
    <x v="35"/>
    <m/>
    <m/>
    <m/>
    <m/>
    <m/>
    <n v="30.13"/>
    <s v="yfinance"/>
    <n v="0"/>
    <s v="yfinance"/>
    <n v="2.8999999999999998E-3"/>
    <s v="factsheet"/>
    <m/>
    <m/>
    <m/>
    <m/>
    <m/>
    <m/>
    <m/>
    <m/>
    <m/>
    <m/>
    <m/>
    <m/>
    <m/>
    <m/>
    <m/>
    <s v="Stepstone PV/Growth"/>
    <s v="venture"/>
  </r>
  <r>
    <x v="6"/>
    <x v="36"/>
    <m/>
    <m/>
    <m/>
    <m/>
    <m/>
    <n v="30.22"/>
    <s v="yfinance"/>
    <n v="0"/>
    <s v="yfinance"/>
    <n v="-2.9999999999999997E-4"/>
    <s v="factsheet"/>
    <m/>
    <m/>
    <m/>
    <m/>
    <m/>
    <m/>
    <m/>
    <m/>
    <m/>
    <m/>
    <m/>
    <m/>
    <m/>
    <m/>
    <m/>
    <s v="Stepstone PV/Growth"/>
    <s v="venture"/>
  </r>
  <r>
    <x v="6"/>
    <x v="37"/>
    <m/>
    <m/>
    <m/>
    <m/>
    <m/>
    <n v="30.21"/>
    <s v="yfinance"/>
    <n v="0"/>
    <s v="yfinance"/>
    <n v="2.35E-2"/>
    <s v="factsheet"/>
    <n v="30"/>
    <m/>
    <m/>
    <m/>
    <m/>
    <m/>
    <m/>
    <m/>
    <m/>
    <m/>
    <m/>
    <m/>
    <m/>
    <m/>
    <m/>
    <s v="Stepstone PV/Growth"/>
    <s v="venture"/>
  </r>
  <r>
    <x v="6"/>
    <x v="38"/>
    <m/>
    <m/>
    <m/>
    <m/>
    <m/>
    <n v="30.92"/>
    <s v="yfinance"/>
    <n v="0"/>
    <s v="yfinance"/>
    <n v="5.1999999999999998E-3"/>
    <s v="factsheet"/>
    <m/>
    <m/>
    <m/>
    <m/>
    <m/>
    <m/>
    <m/>
    <m/>
    <m/>
    <m/>
    <m/>
    <m/>
    <m/>
    <m/>
    <m/>
    <s v="Stepstone PV/Growth"/>
    <s v="venture"/>
  </r>
  <r>
    <x v="6"/>
    <x v="39"/>
    <m/>
    <m/>
    <m/>
    <m/>
    <m/>
    <n v="31.08"/>
    <s v="yfinance"/>
    <n v="0"/>
    <s v="yfinance"/>
    <n v="4.8899999999999999E-2"/>
    <s v="factsheet"/>
    <m/>
    <m/>
    <m/>
    <m/>
    <m/>
    <m/>
    <m/>
    <m/>
    <m/>
    <m/>
    <m/>
    <m/>
    <m/>
    <m/>
    <m/>
    <s v="Stepstone PV/Growth"/>
    <s v="venture"/>
  </r>
  <r>
    <x v="6"/>
    <x v="40"/>
    <m/>
    <m/>
    <m/>
    <m/>
    <m/>
    <n v="32.6"/>
    <s v="yfinance"/>
    <n v="0"/>
    <s v="yfinance"/>
    <n v="5.1999999999999998E-3"/>
    <s v="factsheet"/>
    <n v="45"/>
    <m/>
    <m/>
    <m/>
    <m/>
    <m/>
    <m/>
    <m/>
    <m/>
    <m/>
    <m/>
    <m/>
    <m/>
    <m/>
    <m/>
    <s v="Stepstone PV/Growth"/>
    <s v="venture"/>
  </r>
  <r>
    <x v="6"/>
    <x v="41"/>
    <m/>
    <m/>
    <m/>
    <m/>
    <m/>
    <n v="32.770000000000003"/>
    <s v="yfinance"/>
    <n v="0"/>
    <s v="yfinance"/>
    <n v="2.5000000000000001E-2"/>
    <s v="factsheet"/>
    <m/>
    <m/>
    <m/>
    <m/>
    <m/>
    <m/>
    <m/>
    <m/>
    <m/>
    <m/>
    <m/>
    <m/>
    <m/>
    <m/>
    <m/>
    <s v="Stepstone PV/Growth"/>
    <s v="venture"/>
  </r>
  <r>
    <x v="6"/>
    <x v="42"/>
    <m/>
    <m/>
    <m/>
    <m/>
    <m/>
    <n v="33.590000000000003"/>
    <s v="yfinance"/>
    <n v="0"/>
    <s v="yfinance"/>
    <n v="4.4999999999999997E-3"/>
    <s v="factsheet"/>
    <m/>
    <m/>
    <m/>
    <m/>
    <m/>
    <m/>
    <m/>
    <m/>
    <m/>
    <m/>
    <m/>
    <m/>
    <m/>
    <m/>
    <m/>
    <s v="Stepstone PV/Growth"/>
    <s v="venture"/>
  </r>
  <r>
    <x v="6"/>
    <x v="43"/>
    <m/>
    <m/>
    <m/>
    <m/>
    <m/>
    <n v="33.74"/>
    <s v="yfinance"/>
    <n v="0"/>
    <s v="yfinance"/>
    <n v="4.53E-2"/>
    <s v="factsheet"/>
    <m/>
    <m/>
    <m/>
    <m/>
    <m/>
    <m/>
    <m/>
    <m/>
    <m/>
    <m/>
    <m/>
    <m/>
    <m/>
    <m/>
    <m/>
    <s v="Stepstone PV/Growth"/>
    <s v="venture"/>
  </r>
  <r>
    <x v="6"/>
    <x v="44"/>
    <m/>
    <m/>
    <m/>
    <m/>
    <m/>
    <n v="35.270000000000003"/>
    <s v="yfinance"/>
    <n v="0"/>
    <s v="yfinance"/>
    <n v="-4.7999999999999996E-3"/>
    <s v="factsheet"/>
    <m/>
    <m/>
    <m/>
    <m/>
    <m/>
    <m/>
    <m/>
    <m/>
    <m/>
    <m/>
    <m/>
    <m/>
    <m/>
    <m/>
    <m/>
    <s v="Stepstone PV/Growth"/>
    <s v="venture"/>
  </r>
  <r>
    <x v="6"/>
    <x v="45"/>
    <m/>
    <m/>
    <m/>
    <m/>
    <m/>
    <n v="35.1"/>
    <s v="yfinance"/>
    <n v="0"/>
    <s v="yfinance"/>
    <n v="1.2500000000000001E-2"/>
    <s v="factsheet"/>
    <m/>
    <m/>
    <m/>
    <m/>
    <m/>
    <m/>
    <m/>
    <m/>
    <m/>
    <m/>
    <m/>
    <m/>
    <m/>
    <m/>
    <m/>
    <s v="Stepstone PV/Growth"/>
    <s v="venture"/>
  </r>
  <r>
    <x v="6"/>
    <x v="46"/>
    <m/>
    <m/>
    <m/>
    <m/>
    <m/>
    <n v="35.54"/>
    <s v="yfinance"/>
    <n v="0"/>
    <s v="yfinance"/>
    <n v="2.87E-2"/>
    <s v="factsheet"/>
    <m/>
    <m/>
    <m/>
    <m/>
    <m/>
    <m/>
    <m/>
    <m/>
    <m/>
    <m/>
    <m/>
    <m/>
    <m/>
    <m/>
    <m/>
    <s v="Stepstone PV/Growth"/>
    <s v="venture"/>
  </r>
  <r>
    <x v="6"/>
    <x v="47"/>
    <m/>
    <m/>
    <m/>
    <m/>
    <m/>
    <n v="36.56"/>
    <s v="yfinance"/>
    <n v="0"/>
    <s v="yfinance"/>
    <n v="-3.0000000000000001E-3"/>
    <s v="factsheet"/>
    <m/>
    <m/>
    <m/>
    <m/>
    <m/>
    <m/>
    <m/>
    <m/>
    <m/>
    <m/>
    <m/>
    <m/>
    <m/>
    <m/>
    <m/>
    <s v="Stepstone PV/Growth"/>
    <s v="venture"/>
  </r>
  <r>
    <x v="6"/>
    <x v="48"/>
    <m/>
    <m/>
    <m/>
    <m/>
    <m/>
    <n v="36.450000000000003"/>
    <s v="yfinance"/>
    <n v="0"/>
    <s v="yfinance"/>
    <n v="1.5900000000000001E-2"/>
    <s v="factsheet"/>
    <m/>
    <m/>
    <m/>
    <m/>
    <m/>
    <m/>
    <m/>
    <m/>
    <m/>
    <m/>
    <m/>
    <m/>
    <m/>
    <m/>
    <m/>
    <s v="Stepstone PV/Growth"/>
    <s v="venture"/>
  </r>
  <r>
    <x v="6"/>
    <x v="49"/>
    <m/>
    <m/>
    <m/>
    <m/>
    <m/>
    <n v="37.03"/>
    <s v="yfinance"/>
    <n v="0"/>
    <s v="yfinance"/>
    <n v="2.4E-2"/>
    <s v="factsheet"/>
    <m/>
    <m/>
    <m/>
    <m/>
    <m/>
    <m/>
    <m/>
    <m/>
    <m/>
    <m/>
    <m/>
    <m/>
    <m/>
    <m/>
    <m/>
    <s v="Stepstone PV/Growth"/>
    <s v="venture"/>
  </r>
  <r>
    <x v="6"/>
    <x v="50"/>
    <m/>
    <m/>
    <m/>
    <m/>
    <m/>
    <n v="37.92"/>
    <s v="yfinance"/>
    <n v="0"/>
    <s v="yfinance"/>
    <n v="5.7999999999999996E-3"/>
    <s v="factsheet"/>
    <m/>
    <m/>
    <m/>
    <m/>
    <m/>
    <m/>
    <m/>
    <m/>
    <m/>
    <m/>
    <m/>
    <m/>
    <m/>
    <m/>
    <m/>
    <s v="Stepstone PV/Growth"/>
    <s v="venture"/>
  </r>
  <r>
    <x v="6"/>
    <x v="51"/>
    <m/>
    <m/>
    <m/>
    <m/>
    <m/>
    <n v="38.14"/>
    <s v="yfinance"/>
    <n v="0"/>
    <s v="yfinance"/>
    <n v="1.6799999999999999E-2"/>
    <s v="factsheet"/>
    <m/>
    <m/>
    <m/>
    <m/>
    <m/>
    <m/>
    <m/>
    <m/>
    <m/>
    <m/>
    <m/>
    <m/>
    <m/>
    <m/>
    <m/>
    <s v="Stepstone PV/Growth"/>
    <s v="venture"/>
  </r>
  <r>
    <x v="6"/>
    <x v="52"/>
    <m/>
    <m/>
    <m/>
    <m/>
    <m/>
    <n v="38.78"/>
    <s v="yfinance"/>
    <n v="0"/>
    <s v="yfinance"/>
    <n v="2.3E-3"/>
    <s v="factsheet"/>
    <m/>
    <m/>
    <m/>
    <m/>
    <m/>
    <m/>
    <m/>
    <m/>
    <m/>
    <m/>
    <m/>
    <m/>
    <m/>
    <m/>
    <m/>
    <s v="Stepstone PV/Growth"/>
    <s v="venture"/>
  </r>
  <r>
    <x v="6"/>
    <x v="53"/>
    <m/>
    <m/>
    <m/>
    <m/>
    <m/>
    <n v="38.869999999999997"/>
    <s v="yfinance"/>
    <n v="0"/>
    <s v="yfinance"/>
    <n v="5.4000000000000003E-3"/>
    <s v="factsheet"/>
    <m/>
    <m/>
    <m/>
    <m/>
    <m/>
    <m/>
    <m/>
    <m/>
    <m/>
    <m/>
    <m/>
    <m/>
    <m/>
    <m/>
    <m/>
    <s v="Stepstone PV/Growth"/>
    <s v="venture"/>
  </r>
  <r>
    <x v="6"/>
    <x v="54"/>
    <m/>
    <m/>
    <m/>
    <m/>
    <m/>
    <n v="39.08"/>
    <s v="yfinance"/>
    <n v="0"/>
    <s v="yfinance"/>
    <n v="2.1000000000000001E-2"/>
    <s v="factsheet"/>
    <m/>
    <m/>
    <m/>
    <m/>
    <m/>
    <m/>
    <m/>
    <m/>
    <m/>
    <m/>
    <m/>
    <m/>
    <m/>
    <m/>
    <m/>
    <s v="Stepstone PV/Growth"/>
    <s v="venture"/>
  </r>
  <r>
    <x v="6"/>
    <x v="55"/>
    <m/>
    <m/>
    <m/>
    <m/>
    <m/>
    <n v="39.9"/>
    <s v="yfinance"/>
    <n v="0"/>
    <s v="yfinance"/>
    <n v="2.3900000000000001E-2"/>
    <s v="factsheet"/>
    <m/>
    <m/>
    <m/>
    <m/>
    <m/>
    <m/>
    <m/>
    <m/>
    <m/>
    <m/>
    <m/>
    <m/>
    <m/>
    <m/>
    <m/>
    <s v="Stepstone PV/Growth"/>
    <s v="venture"/>
  </r>
  <r>
    <x v="6"/>
    <x v="56"/>
    <m/>
    <m/>
    <m/>
    <m/>
    <m/>
    <n v="40.61"/>
    <s v="yfinance"/>
    <n v="0"/>
    <s v="yfinance"/>
    <n v="2.12E-2"/>
    <s v="factsheet"/>
    <m/>
    <m/>
    <m/>
    <m/>
    <m/>
    <m/>
    <m/>
    <m/>
    <m/>
    <m/>
    <m/>
    <m/>
    <m/>
    <m/>
    <m/>
    <s v="Stepstone PV/Growth"/>
    <s v="venture"/>
  </r>
  <r>
    <x v="6"/>
    <x v="57"/>
    <m/>
    <m/>
    <m/>
    <m/>
    <m/>
    <n v="41.47"/>
    <s v="yfinance"/>
    <n v="0"/>
    <s v="yfinance"/>
    <n v="1.23E-2"/>
    <s v="factsheet"/>
    <m/>
    <m/>
    <m/>
    <m/>
    <m/>
    <m/>
    <m/>
    <m/>
    <m/>
    <m/>
    <m/>
    <m/>
    <m/>
    <m/>
    <m/>
    <s v="Stepstone PV/Growth"/>
    <s v="venture"/>
  </r>
  <r>
    <x v="6"/>
    <x v="58"/>
    <m/>
    <m/>
    <m/>
    <m/>
    <m/>
    <n v="41.98"/>
    <s v="yfinance"/>
    <n v="0"/>
    <s v="yfinance"/>
    <n v="2.9499999999999998E-2"/>
    <s v="factsheet"/>
    <m/>
    <m/>
    <m/>
    <m/>
    <m/>
    <m/>
    <m/>
    <m/>
    <m/>
    <m/>
    <m/>
    <m/>
    <m/>
    <m/>
    <m/>
    <s v="Stepstone PV/Growth"/>
    <s v="venture"/>
  </r>
  <r>
    <x v="6"/>
    <x v="59"/>
    <m/>
    <m/>
    <m/>
    <m/>
    <m/>
    <n v="43.22"/>
    <s v="yfinance"/>
    <n v="0"/>
    <s v="yfinance"/>
    <n v="5.3E-3"/>
    <s v="factsheet"/>
    <m/>
    <m/>
    <m/>
    <m/>
    <m/>
    <m/>
    <m/>
    <m/>
    <m/>
    <m/>
    <m/>
    <m/>
    <m/>
    <m/>
    <m/>
    <s v="Stepstone PV/Growth"/>
    <s v="venture"/>
  </r>
  <r>
    <x v="6"/>
    <x v="60"/>
    <m/>
    <m/>
    <m/>
    <m/>
    <m/>
    <n v="43.45"/>
    <s v="yfinance"/>
    <n v="0"/>
    <s v="yfinance"/>
    <n v="2.8299999999999999E-2"/>
    <s v="factsheet"/>
    <m/>
    <m/>
    <m/>
    <m/>
    <m/>
    <m/>
    <m/>
    <m/>
    <m/>
    <m/>
    <m/>
    <m/>
    <m/>
    <m/>
    <m/>
    <s v="Stepstone PV/Growth"/>
    <s v="venture"/>
  </r>
  <r>
    <x v="6"/>
    <x v="61"/>
    <m/>
    <m/>
    <m/>
    <m/>
    <m/>
    <n v="44.68"/>
    <s v="yfinance"/>
    <n v="0"/>
    <s v="yfinance"/>
    <n v="7.1999999999999998E-3"/>
    <s v="factsheet"/>
    <m/>
    <m/>
    <m/>
    <m/>
    <m/>
    <m/>
    <m/>
    <m/>
    <m/>
    <m/>
    <m/>
    <m/>
    <m/>
    <m/>
    <m/>
    <s v="Stepstone PV/Growth"/>
    <s v="venture"/>
  </r>
  <r>
    <x v="6"/>
    <x v="62"/>
    <m/>
    <m/>
    <m/>
    <m/>
    <m/>
    <n v="45"/>
    <s v="yfinance"/>
    <n v="0"/>
    <s v="yfinance"/>
    <n v="1.3599999999999999E-2"/>
    <s v="factsheet"/>
    <m/>
    <m/>
    <m/>
    <m/>
    <m/>
    <m/>
    <m/>
    <m/>
    <m/>
    <m/>
    <m/>
    <m/>
    <m/>
    <m/>
    <m/>
    <s v="Stepstone PV/Growth"/>
    <s v="venture"/>
  </r>
  <r>
    <x v="6"/>
    <x v="63"/>
    <m/>
    <m/>
    <m/>
    <m/>
    <m/>
    <n v="45.61"/>
    <s v="yfinance"/>
    <n v="0"/>
    <s v="yfinance"/>
    <n v="2.7400000000000001E-2"/>
    <s v="factsheet"/>
    <m/>
    <m/>
    <m/>
    <m/>
    <m/>
    <m/>
    <m/>
    <m/>
    <m/>
    <m/>
    <m/>
    <m/>
    <m/>
    <m/>
    <m/>
    <s v="Stepstone PV/Growth"/>
    <s v="venture"/>
  </r>
  <r>
    <x v="6"/>
    <x v="64"/>
    <m/>
    <m/>
    <m/>
    <m/>
    <m/>
    <n v="46.86"/>
    <s v="yfinance"/>
    <n v="0"/>
    <s v="yfinance"/>
    <n v="2.1999999999999999E-2"/>
    <s v="factsheet"/>
    <m/>
    <m/>
    <m/>
    <m/>
    <m/>
    <m/>
    <m/>
    <m/>
    <m/>
    <m/>
    <m/>
    <m/>
    <m/>
    <m/>
    <m/>
    <s v="Stepstone PV/Growth"/>
    <s v="venture"/>
  </r>
  <r>
    <x v="6"/>
    <x v="65"/>
    <m/>
    <m/>
    <m/>
    <m/>
    <m/>
    <n v="47.89"/>
    <s v="yfinance"/>
    <n v="0"/>
    <s v="yfinance"/>
    <n v="3.5900000000000001E-2"/>
    <s v="factsheet"/>
    <m/>
    <m/>
    <m/>
    <m/>
    <m/>
    <m/>
    <m/>
    <m/>
    <m/>
    <m/>
    <m/>
    <m/>
    <m/>
    <m/>
    <m/>
    <s v="Stepstone PV/Growth"/>
    <s v="venture"/>
  </r>
  <r>
    <x v="6"/>
    <x v="66"/>
    <m/>
    <m/>
    <m/>
    <m/>
    <m/>
    <n v="49.61"/>
    <s v="yfinance"/>
    <n v="0"/>
    <s v="yfinance"/>
    <n v="5.3600000000000002E-2"/>
    <s v="factsheet"/>
    <m/>
    <m/>
    <m/>
    <m/>
    <m/>
    <m/>
    <m/>
    <m/>
    <m/>
    <m/>
    <m/>
    <m/>
    <m/>
    <m/>
    <m/>
    <s v="Stepstone PV/Growth"/>
    <s v="venture"/>
  </r>
  <r>
    <x v="6"/>
    <x v="67"/>
    <m/>
    <m/>
    <m/>
    <m/>
    <m/>
    <n v="52.27"/>
    <s v="yfinance"/>
    <n v="0"/>
    <s v="yfinance"/>
    <n v="7.8299999999999995E-2"/>
    <s v="factsheet"/>
    <m/>
    <m/>
    <m/>
    <m/>
    <m/>
    <m/>
    <m/>
    <m/>
    <m/>
    <m/>
    <m/>
    <m/>
    <m/>
    <m/>
    <m/>
    <s v="Stepstone PV/Growth"/>
    <s v="venture"/>
  </r>
  <r>
    <x v="6"/>
    <x v="68"/>
    <m/>
    <n v="5051518.92"/>
    <s v="direct fund statement"/>
    <m/>
    <m/>
    <n v="56.29"/>
    <s v="yfinance"/>
    <n v="0"/>
    <s v="yfinance"/>
    <n v="1.03E-2"/>
    <s v="factsheet"/>
    <m/>
    <m/>
    <m/>
    <m/>
    <m/>
    <n v="88825.724000000002"/>
    <s v="direct fund statement"/>
    <n v="5000000"/>
    <s v="direct fund statement"/>
    <n v="0"/>
    <s v="direct fund statement"/>
    <n v="0"/>
    <s v="direct fund statement"/>
    <m/>
    <m/>
    <s v="Stepstone PV/Growth"/>
    <s v="venture"/>
  </r>
  <r>
    <x v="6"/>
    <x v="69"/>
    <m/>
    <n v="5435246.0499999998"/>
    <s v="direct fund statement"/>
    <m/>
    <m/>
    <n v="56.87"/>
    <s v="yfinance"/>
    <n v="0"/>
    <s v="yfinance"/>
    <n v="7.5999999999999998E-2"/>
    <s v="factsheet"/>
    <m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0"/>
    <m/>
    <n v="5505418.3700000001"/>
    <s v="direct fund statement"/>
    <m/>
    <m/>
    <n v="61.19"/>
    <s v="yfinance"/>
    <n v="0"/>
    <s v="yfinance"/>
    <n v="1.29E-2"/>
    <s v="factsheet"/>
    <n v="364"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1"/>
    <m/>
    <n v="5536507.3799999999"/>
    <s v="black diamond"/>
    <m/>
    <m/>
    <n v="61.98"/>
    <s v="yfinance"/>
    <n v="0"/>
    <s v="yfinance"/>
    <n v="5.5999999999999999E-3"/>
    <s v="factsheet"/>
    <m/>
    <m/>
    <m/>
    <m/>
    <m/>
    <m/>
    <m/>
    <m/>
    <m/>
    <m/>
    <m/>
    <m/>
    <m/>
    <m/>
    <m/>
    <s v="Stepstone PV/Growth"/>
    <s v="venture"/>
  </r>
  <r>
    <x v="6"/>
    <x v="72"/>
    <m/>
    <m/>
    <m/>
    <m/>
    <m/>
    <n v="62.33"/>
    <s v="yfinance"/>
    <n v="0"/>
    <s v="yfinance"/>
    <m/>
    <m/>
    <m/>
    <m/>
    <m/>
    <m/>
    <m/>
    <m/>
    <m/>
    <m/>
    <m/>
    <m/>
    <m/>
    <m/>
    <m/>
    <m/>
    <m/>
    <s v="Stepstone PV/Growth"/>
    <s v="venture"/>
  </r>
  <r>
    <x v="7"/>
    <x v="73"/>
    <m/>
    <m/>
    <m/>
    <m/>
    <m/>
    <n v="10.27"/>
    <s v="pitchbook"/>
    <m/>
    <m/>
    <m/>
    <m/>
    <m/>
    <m/>
    <m/>
    <m/>
    <m/>
    <m/>
    <m/>
    <m/>
    <m/>
    <m/>
    <m/>
    <m/>
    <m/>
    <m/>
    <m/>
    <s v="AMG Pantheon"/>
    <s v="secondaries"/>
  </r>
  <r>
    <x v="7"/>
    <x v="74"/>
    <m/>
    <m/>
    <m/>
    <m/>
    <m/>
    <n v="10.26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5"/>
    <m/>
    <m/>
    <m/>
    <m/>
    <m/>
    <n v="10.28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76"/>
    <m/>
    <m/>
    <m/>
    <m/>
    <m/>
    <n v="10.220000000000001"/>
    <s v="pitchbook"/>
    <m/>
    <m/>
    <n v="-5.7999999999999996E-3"/>
    <s v="pitchbook"/>
    <m/>
    <m/>
    <m/>
    <m/>
    <m/>
    <m/>
    <m/>
    <m/>
    <m/>
    <m/>
    <m/>
    <m/>
    <m/>
    <m/>
    <m/>
    <s v="AMG Pantheon"/>
    <s v="secondaries"/>
  </r>
  <r>
    <x v="7"/>
    <x v="77"/>
    <m/>
    <m/>
    <m/>
    <m/>
    <m/>
    <n v="10.210000000000001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8"/>
    <m/>
    <m/>
    <m/>
    <m/>
    <m/>
    <n v="10.29"/>
    <s v="pitchbook"/>
    <m/>
    <m/>
    <n v="7.7999999999999996E-3"/>
    <s v="pitchbook"/>
    <m/>
    <m/>
    <m/>
    <m/>
    <m/>
    <m/>
    <m/>
    <m/>
    <m/>
    <m/>
    <m/>
    <m/>
    <m/>
    <m/>
    <m/>
    <s v="AMG Pantheon"/>
    <s v="secondaries"/>
  </r>
  <r>
    <x v="7"/>
    <x v="79"/>
    <m/>
    <m/>
    <m/>
    <m/>
    <m/>
    <n v="10.29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0"/>
    <m/>
    <m/>
    <m/>
    <m/>
    <m/>
    <n v="10.32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1"/>
    <m/>
    <m/>
    <m/>
    <m/>
    <m/>
    <n v="10.3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2"/>
    <m/>
    <m/>
    <m/>
    <m/>
    <m/>
    <n v="10.36"/>
    <s v="pitchbook"/>
    <m/>
    <m/>
    <n v="3.8999999999999998E-3"/>
    <s v="pitchbook"/>
    <m/>
    <m/>
    <m/>
    <m/>
    <m/>
    <m/>
    <m/>
    <m/>
    <m/>
    <m/>
    <m/>
    <m/>
    <m/>
    <m/>
    <m/>
    <s v="AMG Pantheon"/>
    <s v="secondaries"/>
  </r>
  <r>
    <x v="7"/>
    <x v="83"/>
    <m/>
    <m/>
    <m/>
    <m/>
    <m/>
    <n v="10.39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4"/>
    <m/>
    <m/>
    <m/>
    <m/>
    <m/>
    <n v="10.39"/>
    <s v="pitchbook"/>
    <m/>
    <m/>
    <n v="0"/>
    <s v="pitchbook"/>
    <m/>
    <n v="2700000"/>
    <s v="pitchbook"/>
    <m/>
    <m/>
    <m/>
    <m/>
    <m/>
    <m/>
    <m/>
    <m/>
    <m/>
    <m/>
    <m/>
    <m/>
    <s v="AMG Pantheon"/>
    <s v="secondaries"/>
  </r>
  <r>
    <x v="7"/>
    <x v="85"/>
    <m/>
    <m/>
    <m/>
    <m/>
    <m/>
    <n v="10.35"/>
    <s v="pitchbook"/>
    <m/>
    <m/>
    <n v="-3.8E-3"/>
    <s v="pitchbook"/>
    <m/>
    <m/>
    <m/>
    <m/>
    <m/>
    <m/>
    <m/>
    <m/>
    <m/>
    <m/>
    <m/>
    <m/>
    <m/>
    <m/>
    <m/>
    <s v="AMG Pantheon"/>
    <s v="secondaries"/>
  </r>
  <r>
    <x v="7"/>
    <x v="86"/>
    <m/>
    <m/>
    <m/>
    <m/>
    <m/>
    <n v="10.55"/>
    <s v="pitchbook"/>
    <m/>
    <m/>
    <n v="1.9300000000000001E-2"/>
    <s v="pitchbook"/>
    <m/>
    <m/>
    <m/>
    <m/>
    <m/>
    <m/>
    <m/>
    <m/>
    <m/>
    <m/>
    <m/>
    <m/>
    <m/>
    <m/>
    <m/>
    <s v="AMG Pantheon"/>
    <s v="secondaries"/>
  </r>
  <r>
    <x v="7"/>
    <x v="87"/>
    <m/>
    <m/>
    <m/>
    <m/>
    <m/>
    <n v="10.57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88"/>
    <m/>
    <m/>
    <m/>
    <m/>
    <m/>
    <n v="10.58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89"/>
    <m/>
    <m/>
    <m/>
    <m/>
    <m/>
    <n v="10.72"/>
    <s v="pitchbook"/>
    <m/>
    <m/>
    <n v="1.32E-2"/>
    <s v="pitchbook"/>
    <m/>
    <m/>
    <m/>
    <m/>
    <m/>
    <m/>
    <m/>
    <m/>
    <m/>
    <m/>
    <m/>
    <m/>
    <m/>
    <m/>
    <m/>
    <s v="AMG Pantheon"/>
    <s v="secondaries"/>
  </r>
  <r>
    <x v="7"/>
    <x v="90"/>
    <m/>
    <m/>
    <m/>
    <m/>
    <m/>
    <n v="10.83"/>
    <s v="pitchbook"/>
    <m/>
    <m/>
    <n v="1.03E-2"/>
    <s v="pitchbook"/>
    <m/>
    <m/>
    <m/>
    <m/>
    <m/>
    <m/>
    <m/>
    <m/>
    <m/>
    <m/>
    <m/>
    <m/>
    <m/>
    <m/>
    <m/>
    <s v="AMG Pantheon"/>
    <s v="secondaries"/>
  </r>
  <r>
    <x v="7"/>
    <x v="91"/>
    <m/>
    <m/>
    <m/>
    <m/>
    <m/>
    <n v="10.84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92"/>
    <m/>
    <m/>
    <m/>
    <m/>
    <m/>
    <n v="11.81"/>
    <s v="pitchbook"/>
    <m/>
    <m/>
    <n v="8.9499999999999996E-2"/>
    <s v="pitchbook"/>
    <m/>
    <m/>
    <m/>
    <m/>
    <m/>
    <m/>
    <m/>
    <m/>
    <m/>
    <m/>
    <m/>
    <m/>
    <m/>
    <m/>
    <m/>
    <s v="AMG Pantheon"/>
    <s v="secondaries"/>
  </r>
  <r>
    <x v="7"/>
    <x v="93"/>
    <m/>
    <m/>
    <m/>
    <m/>
    <m/>
    <n v="11.88"/>
    <s v="pitchbook"/>
    <m/>
    <m/>
    <n v="5.8999999999999999E-3"/>
    <s v="pitchbook"/>
    <m/>
    <m/>
    <m/>
    <m/>
    <m/>
    <m/>
    <m/>
    <m/>
    <m/>
    <m/>
    <m/>
    <m/>
    <m/>
    <m/>
    <m/>
    <s v="AMG Pantheon"/>
    <s v="secondaries"/>
  </r>
  <r>
    <x v="7"/>
    <x v="94"/>
    <m/>
    <m/>
    <m/>
    <m/>
    <m/>
    <n v="11.97"/>
    <s v="pitchbook"/>
    <m/>
    <m/>
    <n v="7.6E-3"/>
    <s v="pitchbook"/>
    <m/>
    <m/>
    <m/>
    <m/>
    <m/>
    <m/>
    <m/>
    <m/>
    <m/>
    <m/>
    <m/>
    <m/>
    <m/>
    <m/>
    <m/>
    <s v="AMG Pantheon"/>
    <s v="secondaries"/>
  </r>
  <r>
    <x v="7"/>
    <x v="95"/>
    <m/>
    <m/>
    <m/>
    <m/>
    <m/>
    <n v="12.29"/>
    <s v="pitchbook"/>
    <m/>
    <m/>
    <n v="2.6700000000000002E-2"/>
    <s v="pitchbook"/>
    <m/>
    <m/>
    <m/>
    <m/>
    <m/>
    <m/>
    <m/>
    <m/>
    <m/>
    <m/>
    <m/>
    <m/>
    <m/>
    <m/>
    <m/>
    <s v="AMG Pantheon"/>
    <s v="secondaries"/>
  </r>
  <r>
    <x v="7"/>
    <x v="96"/>
    <m/>
    <m/>
    <m/>
    <m/>
    <m/>
    <n v="12.34"/>
    <s v="pitchbook"/>
    <m/>
    <m/>
    <n v="4.1000000000000003E-3"/>
    <s v="pitchbook"/>
    <m/>
    <n v="5250000"/>
    <s v="pitchbook"/>
    <m/>
    <m/>
    <m/>
    <m/>
    <m/>
    <m/>
    <m/>
    <m/>
    <m/>
    <m/>
    <m/>
    <m/>
    <s v="AMG Pantheon"/>
    <s v="secondaries"/>
  </r>
  <r>
    <x v="7"/>
    <x v="97"/>
    <m/>
    <m/>
    <m/>
    <m/>
    <m/>
    <n v="12.51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98"/>
    <m/>
    <m/>
    <m/>
    <m/>
    <m/>
    <n v="12.62"/>
    <s v="pitchbook"/>
    <m/>
    <m/>
    <n v="8.8000000000000005E-3"/>
    <s v="pitchbook"/>
    <m/>
    <m/>
    <m/>
    <m/>
    <m/>
    <m/>
    <m/>
    <m/>
    <m/>
    <m/>
    <m/>
    <m/>
    <m/>
    <m/>
    <m/>
    <s v="AMG Pantheon"/>
    <s v="secondaries"/>
  </r>
  <r>
    <x v="7"/>
    <x v="99"/>
    <m/>
    <m/>
    <m/>
    <m/>
    <m/>
    <n v="12.63"/>
    <s v="pitchbook"/>
    <m/>
    <m/>
    <n v="1.5E-3"/>
    <s v="pitchbook"/>
    <m/>
    <m/>
    <m/>
    <m/>
    <m/>
    <m/>
    <m/>
    <m/>
    <m/>
    <m/>
    <m/>
    <m/>
    <m/>
    <m/>
    <m/>
    <s v="AMG Pantheon"/>
    <s v="secondaries"/>
  </r>
  <r>
    <x v="7"/>
    <x v="100"/>
    <m/>
    <m/>
    <m/>
    <m/>
    <m/>
    <n v="12.88"/>
    <s v="pitchbook"/>
    <m/>
    <m/>
    <n v="1.9800000000000002E-2"/>
    <s v="pitchbook"/>
    <m/>
    <m/>
    <m/>
    <m/>
    <m/>
    <m/>
    <m/>
    <m/>
    <m/>
    <m/>
    <m/>
    <m/>
    <m/>
    <m/>
    <m/>
    <s v="AMG Pantheon"/>
    <s v="secondaries"/>
  </r>
  <r>
    <x v="7"/>
    <x v="101"/>
    <m/>
    <m/>
    <m/>
    <m/>
    <m/>
    <n v="12.95"/>
    <s v="pitchbook"/>
    <m/>
    <m/>
    <n v="5.4000000000000003E-3"/>
    <s v="pitchbook"/>
    <m/>
    <m/>
    <m/>
    <m/>
    <m/>
    <m/>
    <m/>
    <m/>
    <m/>
    <m/>
    <m/>
    <m/>
    <m/>
    <m/>
    <m/>
    <s v="AMG Pantheon"/>
    <s v="secondaries"/>
  </r>
  <r>
    <x v="7"/>
    <x v="102"/>
    <m/>
    <m/>
    <m/>
    <m/>
    <m/>
    <n v="13.3"/>
    <s v="pitchbook"/>
    <m/>
    <m/>
    <n v="2.7E-2"/>
    <s v="pitchbook"/>
    <m/>
    <n v="7170000"/>
    <s v="pitchbook"/>
    <m/>
    <m/>
    <m/>
    <m/>
    <m/>
    <m/>
    <m/>
    <m/>
    <m/>
    <m/>
    <m/>
    <m/>
    <s v="AMG Pantheon"/>
    <s v="secondaries"/>
  </r>
  <r>
    <x v="7"/>
    <x v="103"/>
    <m/>
    <m/>
    <m/>
    <m/>
    <m/>
    <n v="13.44"/>
    <s v="pitchbook"/>
    <m/>
    <m/>
    <n v="1.0500000000000001E-2"/>
    <s v="pitchbook"/>
    <m/>
    <m/>
    <m/>
    <m/>
    <m/>
    <m/>
    <m/>
    <m/>
    <m/>
    <m/>
    <m/>
    <m/>
    <m/>
    <m/>
    <m/>
    <s v="AMG Pantheon"/>
    <s v="secondaries"/>
  </r>
  <r>
    <x v="7"/>
    <x v="104"/>
    <m/>
    <m/>
    <m/>
    <m/>
    <m/>
    <n v="13.52"/>
    <s v="pitchbook"/>
    <m/>
    <m/>
    <n v="6.0000000000000001E-3"/>
    <s v="pitchbook"/>
    <m/>
    <m/>
    <m/>
    <m/>
    <m/>
    <m/>
    <m/>
    <m/>
    <m/>
    <m/>
    <m/>
    <m/>
    <m/>
    <m/>
    <m/>
    <s v="AMG Pantheon"/>
    <s v="secondaries"/>
  </r>
  <r>
    <x v="7"/>
    <x v="105"/>
    <m/>
    <m/>
    <m/>
    <m/>
    <m/>
    <n v="13.65"/>
    <s v="pitchbook"/>
    <m/>
    <m/>
    <n v="9.5999999999999992E-3"/>
    <s v="pitchbook"/>
    <m/>
    <m/>
    <m/>
    <m/>
    <m/>
    <m/>
    <m/>
    <m/>
    <m/>
    <m/>
    <m/>
    <m/>
    <m/>
    <m/>
    <m/>
    <s v="AMG Pantheon"/>
    <s v="secondaries"/>
  </r>
  <r>
    <x v="7"/>
    <x v="106"/>
    <m/>
    <m/>
    <m/>
    <m/>
    <m/>
    <n v="14"/>
    <s v="pitchbook"/>
    <m/>
    <m/>
    <n v="2.5600000000000001E-2"/>
    <s v="pitchbook"/>
    <m/>
    <m/>
    <m/>
    <m/>
    <m/>
    <m/>
    <m/>
    <m/>
    <m/>
    <m/>
    <m/>
    <m/>
    <m/>
    <m/>
    <m/>
    <s v="AMG Pantheon"/>
    <s v="secondaries"/>
  </r>
  <r>
    <x v="7"/>
    <x v="107"/>
    <m/>
    <m/>
    <m/>
    <m/>
    <m/>
    <n v="14.18"/>
    <s v="pitchbook"/>
    <m/>
    <m/>
    <n v="1.29E-2"/>
    <s v="pitchbook"/>
    <m/>
    <m/>
    <m/>
    <m/>
    <m/>
    <m/>
    <m/>
    <m/>
    <m/>
    <m/>
    <m/>
    <m/>
    <m/>
    <m/>
    <m/>
    <s v="AMG Pantheon"/>
    <s v="secondaries"/>
  </r>
  <r>
    <x v="7"/>
    <x v="108"/>
    <m/>
    <m/>
    <m/>
    <m/>
    <m/>
    <n v="14.22"/>
    <s v="pitchbook"/>
    <m/>
    <m/>
    <n v="2.8E-3"/>
    <s v="pitchbook"/>
    <m/>
    <n v="19040000"/>
    <s v="pitchbook"/>
    <m/>
    <m/>
    <m/>
    <m/>
    <m/>
    <m/>
    <m/>
    <m/>
    <m/>
    <m/>
    <m/>
    <m/>
    <s v="AMG Pantheon"/>
    <s v="secondaries"/>
  </r>
  <r>
    <x v="7"/>
    <x v="109"/>
    <m/>
    <m/>
    <m/>
    <m/>
    <m/>
    <n v="13.86"/>
    <s v="pitchbook"/>
    <m/>
    <m/>
    <n v="-2.53E-2"/>
    <s v="pitchbook"/>
    <m/>
    <m/>
    <m/>
    <m/>
    <m/>
    <m/>
    <m/>
    <m/>
    <m/>
    <m/>
    <m/>
    <m/>
    <m/>
    <m/>
    <m/>
    <s v="AMG Pantheon"/>
    <s v="secondaries"/>
  </r>
  <r>
    <x v="7"/>
    <x v="110"/>
    <m/>
    <m/>
    <m/>
    <m/>
    <m/>
    <n v="13.92"/>
    <s v="pitchbook"/>
    <m/>
    <m/>
    <n v="4.3E-3"/>
    <s v="pitchbook"/>
    <m/>
    <m/>
    <m/>
    <m/>
    <m/>
    <m/>
    <m/>
    <m/>
    <m/>
    <m/>
    <m/>
    <m/>
    <m/>
    <m/>
    <m/>
    <s v="AMG Pantheon"/>
    <s v="secondaries"/>
  </r>
  <r>
    <x v="7"/>
    <x v="111"/>
    <m/>
    <m/>
    <m/>
    <m/>
    <m/>
    <n v="13.25"/>
    <s v="pitchbook"/>
    <n v="0.28999999999999998"/>
    <s v="pitchbook"/>
    <n v="-2.35E-2"/>
    <s v="pitchbook"/>
    <m/>
    <m/>
    <m/>
    <m/>
    <m/>
    <m/>
    <m/>
    <m/>
    <m/>
    <m/>
    <m/>
    <m/>
    <m/>
    <m/>
    <m/>
    <s v="AMG Pantheon"/>
    <s v="secondaries"/>
  </r>
  <r>
    <x v="7"/>
    <x v="112"/>
    <m/>
    <m/>
    <m/>
    <m/>
    <m/>
    <n v="13.3"/>
    <s v="pitchbook"/>
    <m/>
    <m/>
    <n v="3.8E-3"/>
    <s v="pitchbook"/>
    <m/>
    <m/>
    <m/>
    <m/>
    <m/>
    <m/>
    <m/>
    <m/>
    <m/>
    <m/>
    <m/>
    <m/>
    <m/>
    <m/>
    <m/>
    <s v="AMG Pantheon"/>
    <s v="secondaries"/>
  </r>
  <r>
    <x v="7"/>
    <x v="113"/>
    <m/>
    <m/>
    <m/>
    <m/>
    <m/>
    <n v="13.69"/>
    <s v="pitchbook"/>
    <m/>
    <m/>
    <n v="2.93E-2"/>
    <s v="pitchbook"/>
    <m/>
    <m/>
    <m/>
    <m/>
    <m/>
    <m/>
    <m/>
    <m/>
    <m/>
    <m/>
    <m/>
    <m/>
    <m/>
    <m/>
    <m/>
    <s v="AMG Pantheon"/>
    <s v="secondaries"/>
  </r>
  <r>
    <x v="7"/>
    <x v="114"/>
    <m/>
    <m/>
    <m/>
    <m/>
    <m/>
    <n v="13.69"/>
    <s v="pitchbook"/>
    <m/>
    <m/>
    <n v="0"/>
    <s v="pitchbook"/>
    <m/>
    <n v="37050000"/>
    <s v="pitchbook"/>
    <m/>
    <m/>
    <m/>
    <m/>
    <m/>
    <m/>
    <m/>
    <m/>
    <m/>
    <m/>
    <m/>
    <m/>
    <s v="AMG Pantheon"/>
    <s v="secondaries"/>
  </r>
  <r>
    <x v="7"/>
    <x v="115"/>
    <m/>
    <m/>
    <m/>
    <m/>
    <m/>
    <n v="13.94"/>
    <s v="pitchbook"/>
    <m/>
    <m/>
    <n v="1.83E-2"/>
    <s v="pitchbook"/>
    <m/>
    <m/>
    <m/>
    <m/>
    <m/>
    <m/>
    <m/>
    <m/>
    <m/>
    <m/>
    <m/>
    <m/>
    <m/>
    <m/>
    <m/>
    <s v="AMG Pantheon"/>
    <s v="secondaries"/>
  </r>
  <r>
    <x v="7"/>
    <x v="116"/>
    <m/>
    <m/>
    <m/>
    <m/>
    <m/>
    <n v="14.2"/>
    <s v="pitchbook"/>
    <m/>
    <m/>
    <n v="1.8700000000000001E-2"/>
    <s v="pitchbook"/>
    <m/>
    <m/>
    <m/>
    <m/>
    <m/>
    <m/>
    <m/>
    <m/>
    <m/>
    <m/>
    <m/>
    <m/>
    <m/>
    <m/>
    <m/>
    <s v="AMG Pantheon"/>
    <s v="secondaries"/>
  </r>
  <r>
    <x v="7"/>
    <x v="117"/>
    <m/>
    <m/>
    <m/>
    <m/>
    <m/>
    <n v="14.19"/>
    <s v="pitchbook"/>
    <m/>
    <m/>
    <n v="-6.9999999999999999E-4"/>
    <s v="pitchbook"/>
    <m/>
    <m/>
    <m/>
    <m/>
    <m/>
    <m/>
    <m/>
    <m/>
    <m/>
    <m/>
    <m/>
    <m/>
    <m/>
    <m/>
    <m/>
    <s v="AMG Pantheon"/>
    <s v="secondaries"/>
  </r>
  <r>
    <x v="7"/>
    <x v="118"/>
    <m/>
    <m/>
    <m/>
    <m/>
    <m/>
    <n v="14.55"/>
    <s v="pitchbook"/>
    <m/>
    <m/>
    <n v="2.5399999999999999E-2"/>
    <s v="pitchbook"/>
    <m/>
    <m/>
    <m/>
    <m/>
    <m/>
    <m/>
    <m/>
    <m/>
    <m/>
    <m/>
    <m/>
    <m/>
    <m/>
    <m/>
    <m/>
    <s v="AMG Pantheon"/>
    <s v="secondaries"/>
  </r>
  <r>
    <x v="7"/>
    <x v="119"/>
    <m/>
    <m/>
    <m/>
    <m/>
    <m/>
    <n v="14.62"/>
    <s v="pitchbook"/>
    <m/>
    <m/>
    <n v="4.7999999999999996E-3"/>
    <s v="pitchbook"/>
    <m/>
    <m/>
    <m/>
    <m/>
    <m/>
    <m/>
    <m/>
    <m/>
    <m/>
    <m/>
    <m/>
    <m/>
    <m/>
    <m/>
    <m/>
    <s v="AMG Pantheon"/>
    <s v="secondaries"/>
  </r>
  <r>
    <x v="7"/>
    <x v="120"/>
    <m/>
    <m/>
    <m/>
    <m/>
    <m/>
    <n v="14.66"/>
    <s v="pitchbook"/>
    <m/>
    <m/>
    <n v="2.7000000000000001E-3"/>
    <s v="pitchbook"/>
    <m/>
    <n v="62740000"/>
    <s v="pitchbook"/>
    <m/>
    <m/>
    <m/>
    <m/>
    <m/>
    <m/>
    <m/>
    <m/>
    <m/>
    <m/>
    <m/>
    <m/>
    <s v="AMG Pantheon"/>
    <s v="secondaries"/>
  </r>
  <r>
    <x v="7"/>
    <x v="121"/>
    <m/>
    <m/>
    <m/>
    <m/>
    <m/>
    <n v="14.87"/>
    <s v="pitchbook"/>
    <m/>
    <m/>
    <n v="1.43E-2"/>
    <s v="pitchbook"/>
    <m/>
    <m/>
    <m/>
    <m/>
    <m/>
    <m/>
    <m/>
    <m/>
    <m/>
    <m/>
    <m/>
    <m/>
    <m/>
    <m/>
    <m/>
    <s v="AMG Pantheon"/>
    <s v="secondaries"/>
  </r>
  <r>
    <x v="7"/>
    <x v="122"/>
    <m/>
    <m/>
    <m/>
    <m/>
    <m/>
    <n v="15.11"/>
    <s v="pitchbook"/>
    <m/>
    <m/>
    <n v="1.61E-2"/>
    <s v="pitchbook"/>
    <m/>
    <m/>
    <m/>
    <m/>
    <m/>
    <m/>
    <m/>
    <m/>
    <m/>
    <m/>
    <m/>
    <m/>
    <m/>
    <m/>
    <m/>
    <s v="AMG Pantheon"/>
    <s v="secondaries"/>
  </r>
  <r>
    <x v="7"/>
    <x v="123"/>
    <m/>
    <m/>
    <m/>
    <m/>
    <m/>
    <n v="14.27"/>
    <s v="pitchbook"/>
    <m/>
    <m/>
    <n v="8.6999999999999994E-3"/>
    <s v="pitchbook"/>
    <m/>
    <m/>
    <m/>
    <m/>
    <m/>
    <m/>
    <m/>
    <m/>
    <m/>
    <m/>
    <m/>
    <m/>
    <m/>
    <m/>
    <m/>
    <s v="AMG Pantheon"/>
    <s v="secondaries"/>
  </r>
  <r>
    <x v="7"/>
    <x v="124"/>
    <m/>
    <m/>
    <m/>
    <m/>
    <m/>
    <n v="14.23"/>
    <s v="pitchbook"/>
    <m/>
    <m/>
    <n v="-2.8E-3"/>
    <s v="pitchbook"/>
    <m/>
    <m/>
    <m/>
    <m/>
    <m/>
    <m/>
    <m/>
    <m/>
    <m/>
    <m/>
    <m/>
    <m/>
    <m/>
    <m/>
    <m/>
    <s v="AMG Pantheon"/>
    <s v="secondaries"/>
  </r>
  <r>
    <x v="7"/>
    <x v="125"/>
    <m/>
    <m/>
    <m/>
    <m/>
    <m/>
    <n v="14.23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126"/>
    <m/>
    <m/>
    <m/>
    <m/>
    <m/>
    <n v="13.96"/>
    <s v="pitchbook"/>
    <m/>
    <m/>
    <n v="-1.9E-2"/>
    <s v="pitchbook"/>
    <m/>
    <m/>
    <m/>
    <m/>
    <m/>
    <m/>
    <m/>
    <m/>
    <m/>
    <m/>
    <m/>
    <m/>
    <m/>
    <m/>
    <m/>
    <s v="AMG Pantheon"/>
    <s v="secondaries"/>
  </r>
  <r>
    <x v="7"/>
    <x v="127"/>
    <m/>
    <m/>
    <m/>
    <m/>
    <m/>
    <n v="14.05"/>
    <s v="pitchbook"/>
    <m/>
    <m/>
    <n v="6.4000000000000003E-3"/>
    <s v="pitchbook"/>
    <m/>
    <m/>
    <m/>
    <m/>
    <m/>
    <m/>
    <m/>
    <m/>
    <m/>
    <m/>
    <m/>
    <m/>
    <m/>
    <m/>
    <m/>
    <s v="AMG Pantheon"/>
    <s v="secondaries"/>
  </r>
  <r>
    <x v="7"/>
    <x v="0"/>
    <m/>
    <m/>
    <m/>
    <m/>
    <m/>
    <n v="13.95"/>
    <s v="pitchbook"/>
    <m/>
    <m/>
    <n v="-7.1000000000000004E-3"/>
    <s v="pitchbook"/>
    <m/>
    <m/>
    <m/>
    <m/>
    <m/>
    <m/>
    <m/>
    <m/>
    <m/>
    <m/>
    <m/>
    <m/>
    <m/>
    <m/>
    <m/>
    <s v="AMG Pantheon"/>
    <s v="secondaries"/>
  </r>
  <r>
    <x v="7"/>
    <x v="1"/>
    <m/>
    <m/>
    <m/>
    <m/>
    <m/>
    <n v="13.92"/>
    <s v="pitchbook"/>
    <m/>
    <m/>
    <n v="-2.2000000000000001E-3"/>
    <s v="pitchbook"/>
    <n v="1"/>
    <m/>
    <m/>
    <m/>
    <m/>
    <m/>
    <m/>
    <m/>
    <m/>
    <m/>
    <m/>
    <m/>
    <m/>
    <m/>
    <m/>
    <s v="AMG Pantheon"/>
    <s v="secondaries"/>
  </r>
  <r>
    <x v="7"/>
    <x v="2"/>
    <m/>
    <m/>
    <m/>
    <m/>
    <m/>
    <n v="14.78"/>
    <s v="pitchbook"/>
    <m/>
    <m/>
    <n v="6.1800000000000001E-2"/>
    <s v="pitchbook"/>
    <m/>
    <m/>
    <m/>
    <m/>
    <m/>
    <m/>
    <m/>
    <m/>
    <m/>
    <m/>
    <m/>
    <m/>
    <m/>
    <m/>
    <m/>
    <s v="AMG Pantheon"/>
    <s v="secondaries"/>
  </r>
  <r>
    <x v="7"/>
    <x v="3"/>
    <m/>
    <m/>
    <m/>
    <m/>
    <m/>
    <n v="15.1"/>
    <s v="pitchbook"/>
    <m/>
    <m/>
    <n v="2.1700000000000001E-2"/>
    <s v="pitchbook"/>
    <m/>
    <m/>
    <m/>
    <m/>
    <m/>
    <m/>
    <m/>
    <m/>
    <m/>
    <m/>
    <m/>
    <m/>
    <m/>
    <m/>
    <m/>
    <s v="AMG Pantheon"/>
    <s v="secondaries"/>
  </r>
  <r>
    <x v="7"/>
    <x v="4"/>
    <m/>
    <m/>
    <m/>
    <m/>
    <m/>
    <n v="15.01"/>
    <s v="pitchbook"/>
    <m/>
    <m/>
    <n v="-6.0000000000000001E-3"/>
    <s v="pitchbook"/>
    <n v="1"/>
    <n v="148050000"/>
    <s v="pitchbook"/>
    <n v="5811305"/>
    <s v="N-CSRS"/>
    <m/>
    <m/>
    <m/>
    <m/>
    <m/>
    <m/>
    <m/>
    <m/>
    <m/>
    <m/>
    <s v="AMG Pantheon"/>
    <s v="secondaries"/>
  </r>
  <r>
    <x v="7"/>
    <x v="5"/>
    <m/>
    <m/>
    <m/>
    <m/>
    <m/>
    <n v="15.64"/>
    <s v="pitchbook"/>
    <m/>
    <m/>
    <n v="4.2000000000000003E-2"/>
    <s v="pitchbook"/>
    <m/>
    <m/>
    <m/>
    <m/>
    <m/>
    <m/>
    <m/>
    <m/>
    <m/>
    <m/>
    <m/>
    <m/>
    <m/>
    <m/>
    <m/>
    <s v="AMG Pantheon"/>
    <s v="secondaries"/>
  </r>
  <r>
    <x v="7"/>
    <x v="6"/>
    <m/>
    <m/>
    <m/>
    <m/>
    <m/>
    <n v="15.89"/>
    <s v="pitchbook"/>
    <m/>
    <m/>
    <n v="1.6E-2"/>
    <s v="pitchbook"/>
    <m/>
    <m/>
    <m/>
    <m/>
    <m/>
    <m/>
    <m/>
    <m/>
    <m/>
    <m/>
    <m/>
    <m/>
    <m/>
    <m/>
    <m/>
    <s v="AMG Pantheon"/>
    <s v="secondaries"/>
  </r>
  <r>
    <x v="7"/>
    <x v="7"/>
    <m/>
    <m/>
    <m/>
    <m/>
    <m/>
    <n v="16.059999999999999"/>
    <s v="pitchbook"/>
    <m/>
    <m/>
    <n v="2.1700000000000001E-2"/>
    <s v="pitchbook"/>
    <n v="1"/>
    <m/>
    <m/>
    <m/>
    <m/>
    <m/>
    <m/>
    <m/>
    <m/>
    <m/>
    <m/>
    <m/>
    <m/>
    <m/>
    <m/>
    <s v="AMG Pantheon"/>
    <s v="secondaries"/>
  </r>
  <r>
    <x v="7"/>
    <x v="8"/>
    <m/>
    <m/>
    <m/>
    <m/>
    <m/>
    <n v="16.579999999999998"/>
    <s v="pitchbook"/>
    <m/>
    <m/>
    <n v="3.2399999999999998E-2"/>
    <s v="pitchbook"/>
    <m/>
    <m/>
    <m/>
    <m/>
    <m/>
    <m/>
    <m/>
    <m/>
    <m/>
    <m/>
    <m/>
    <m/>
    <m/>
    <m/>
    <m/>
    <s v="AMG Pantheon"/>
    <s v="secondaries"/>
  </r>
  <r>
    <x v="7"/>
    <x v="9"/>
    <m/>
    <m/>
    <m/>
    <m/>
    <m/>
    <n v="17.420000000000002"/>
    <s v="pitchbook"/>
    <m/>
    <m/>
    <n v="5.0700000000000002E-2"/>
    <s v="pitchbook"/>
    <m/>
    <m/>
    <m/>
    <m/>
    <m/>
    <m/>
    <m/>
    <m/>
    <m/>
    <m/>
    <m/>
    <m/>
    <m/>
    <m/>
    <m/>
    <s v="AMG Pantheon"/>
    <s v="secondaries"/>
  </r>
  <r>
    <x v="7"/>
    <x v="10"/>
    <m/>
    <m/>
    <m/>
    <n v="268980000"/>
    <s v="pitchbook"/>
    <n v="17.57"/>
    <s v="pitchbook"/>
    <m/>
    <m/>
    <n v="8.6E-3"/>
    <s v="pitchbook"/>
    <n v="1"/>
    <n v="306390000"/>
    <s v="pitchbook"/>
    <n v="8241191"/>
    <s v="N-CSR"/>
    <m/>
    <m/>
    <m/>
    <m/>
    <m/>
    <m/>
    <m/>
    <m/>
    <m/>
    <m/>
    <s v="AMG Pantheon"/>
    <s v="secondaries"/>
  </r>
  <r>
    <x v="7"/>
    <x v="11"/>
    <m/>
    <m/>
    <m/>
    <m/>
    <m/>
    <n v="18.16"/>
    <s v="pitchbook"/>
    <m/>
    <m/>
    <n v="3.3599999999999998E-2"/>
    <s v="pitchbook"/>
    <m/>
    <m/>
    <m/>
    <m/>
    <m/>
    <m/>
    <m/>
    <m/>
    <m/>
    <m/>
    <m/>
    <m/>
    <m/>
    <m/>
    <m/>
    <s v="AMG Pantheon"/>
    <s v="secondaries"/>
  </r>
  <r>
    <x v="7"/>
    <x v="12"/>
    <m/>
    <m/>
    <m/>
    <m/>
    <m/>
    <n v="18.649999999999999"/>
    <s v="pitchbook"/>
    <m/>
    <m/>
    <n v="2.7E-2"/>
    <s v="pitchbook"/>
    <m/>
    <m/>
    <m/>
    <m/>
    <m/>
    <m/>
    <m/>
    <m/>
    <m/>
    <m/>
    <m/>
    <m/>
    <m/>
    <m/>
    <m/>
    <s v="AMG Pantheon"/>
    <s v="secondaries"/>
  </r>
  <r>
    <x v="7"/>
    <x v="13"/>
    <m/>
    <m/>
    <m/>
    <m/>
    <m/>
    <n v="18.53"/>
    <s v="pitchbook"/>
    <m/>
    <m/>
    <n v="-6.4000000000000003E-3"/>
    <s v="pitchbook"/>
    <n v="1"/>
    <m/>
    <m/>
    <m/>
    <m/>
    <m/>
    <m/>
    <m/>
    <m/>
    <m/>
    <m/>
    <m/>
    <m/>
    <m/>
    <m/>
    <s v="AMG Pantheon"/>
    <s v="secondaries"/>
  </r>
  <r>
    <x v="7"/>
    <x v="14"/>
    <m/>
    <m/>
    <m/>
    <m/>
    <m/>
    <n v="19.100000000000001"/>
    <s v="pitchbook"/>
    <m/>
    <m/>
    <n v="3.0800000000000001E-2"/>
    <s v="pitchbook"/>
    <m/>
    <m/>
    <m/>
    <m/>
    <m/>
    <m/>
    <m/>
    <m/>
    <m/>
    <m/>
    <m/>
    <m/>
    <m/>
    <m/>
    <m/>
    <s v="AMG Pantheon"/>
    <s v="secondaries"/>
  </r>
  <r>
    <x v="7"/>
    <x v="15"/>
    <m/>
    <m/>
    <m/>
    <m/>
    <m/>
    <n v="19.71"/>
    <s v="pitchbook"/>
    <m/>
    <m/>
    <n v="3.1899999999999998E-2"/>
    <s v="pitchbook"/>
    <m/>
    <m/>
    <m/>
    <m/>
    <m/>
    <m/>
    <m/>
    <m/>
    <m/>
    <m/>
    <m/>
    <m/>
    <m/>
    <m/>
    <m/>
    <s v="AMG Pantheon"/>
    <s v="secondaries"/>
  </r>
  <r>
    <x v="7"/>
    <x v="16"/>
    <m/>
    <m/>
    <m/>
    <n v="491230000"/>
    <s v="pitchbook"/>
    <n v="19.57"/>
    <s v="pitchbook"/>
    <m/>
    <m/>
    <n v="-7.1000000000000004E-3"/>
    <s v="pitchbook"/>
    <n v="1"/>
    <n v="528300000"/>
    <s v="pitchbook"/>
    <n v="11673031"/>
    <s v="N-CSRS"/>
    <m/>
    <m/>
    <m/>
    <m/>
    <m/>
    <m/>
    <m/>
    <m/>
    <m/>
    <m/>
    <s v="AMG Pantheon"/>
    <s v="secondaries"/>
  </r>
  <r>
    <x v="7"/>
    <x v="17"/>
    <m/>
    <m/>
    <m/>
    <m/>
    <m/>
    <n v="20.04"/>
    <s v="pitchbook"/>
    <m/>
    <m/>
    <n v="2.4E-2"/>
    <s v="pitchbook"/>
    <m/>
    <m/>
    <m/>
    <m/>
    <m/>
    <m/>
    <m/>
    <m/>
    <m/>
    <m/>
    <m/>
    <m/>
    <m/>
    <m/>
    <m/>
    <s v="AMG Pantheon"/>
    <s v="secondaries"/>
  </r>
  <r>
    <x v="7"/>
    <x v="18"/>
    <m/>
    <m/>
    <m/>
    <m/>
    <m/>
    <n v="20.37"/>
    <s v="pitchbook"/>
    <m/>
    <m/>
    <n v="1.6500000000000001E-2"/>
    <s v="pitchbook"/>
    <m/>
    <m/>
    <m/>
    <m/>
    <m/>
    <m/>
    <m/>
    <m/>
    <m/>
    <m/>
    <m/>
    <m/>
    <m/>
    <m/>
    <m/>
    <s v="AMG Pantheon"/>
    <s v="secondaries"/>
  </r>
  <r>
    <x v="7"/>
    <x v="19"/>
    <m/>
    <m/>
    <m/>
    <m/>
    <m/>
    <n v="19.670000000000002"/>
    <s v="pitchbook"/>
    <m/>
    <m/>
    <n v="1E-3"/>
    <s v="pitchbook"/>
    <n v="1"/>
    <m/>
    <m/>
    <m/>
    <m/>
    <m/>
    <m/>
    <m/>
    <m/>
    <m/>
    <m/>
    <m/>
    <m/>
    <m/>
    <m/>
    <s v="AMG Pantheon"/>
    <s v="secondaries"/>
  </r>
  <r>
    <x v="7"/>
    <x v="20"/>
    <m/>
    <m/>
    <m/>
    <m/>
    <m/>
    <n v="19.67000000000000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21"/>
    <m/>
    <m/>
    <m/>
    <m/>
    <m/>
    <n v="19.87"/>
    <s v="pitchbook"/>
    <m/>
    <m/>
    <n v="1.0200000000000001E-2"/>
    <s v="pitchbook"/>
    <m/>
    <m/>
    <m/>
    <m/>
    <m/>
    <m/>
    <m/>
    <m/>
    <m/>
    <m/>
    <m/>
    <m/>
    <m/>
    <m/>
    <m/>
    <s v="AMG Pantheon"/>
    <s v="secondaries"/>
  </r>
  <r>
    <x v="7"/>
    <x v="22"/>
    <m/>
    <m/>
    <m/>
    <n v="910710000"/>
    <s v="pitchbook"/>
    <n v="20.46"/>
    <s v="pitchbook"/>
    <m/>
    <m/>
    <n v="2.9700000000000001E-2"/>
    <s v="pitchbook"/>
    <n v="1"/>
    <n v="981250000"/>
    <s v="pitchbook"/>
    <n v="16220264"/>
    <s v="N-CSR"/>
    <m/>
    <m/>
    <m/>
    <m/>
    <m/>
    <m/>
    <m/>
    <m/>
    <m/>
    <m/>
    <s v="AMG Pantheon"/>
    <s v="secondaries"/>
  </r>
  <r>
    <x v="7"/>
    <x v="23"/>
    <m/>
    <m/>
    <m/>
    <m/>
    <m/>
    <n v="20.53"/>
    <s v="pitchbook"/>
    <m/>
    <m/>
    <n v="3.3999999999999998E-3"/>
    <s v="pitchbook"/>
    <m/>
    <m/>
    <m/>
    <m/>
    <m/>
    <m/>
    <m/>
    <m/>
    <m/>
    <m/>
    <m/>
    <m/>
    <m/>
    <m/>
    <m/>
    <s v="AMG Pantheon"/>
    <s v="secondaries"/>
  </r>
  <r>
    <x v="7"/>
    <x v="24"/>
    <m/>
    <m/>
    <m/>
    <m/>
    <m/>
    <n v="20.83"/>
    <s v="pitchbook"/>
    <m/>
    <m/>
    <n v="1.46E-2"/>
    <s v="pitchbook"/>
    <m/>
    <m/>
    <m/>
    <m/>
    <m/>
    <m/>
    <m/>
    <m/>
    <m/>
    <m/>
    <m/>
    <m/>
    <m/>
    <m/>
    <m/>
    <s v="AMG Pantheon"/>
    <s v="secondaries"/>
  </r>
  <r>
    <x v="7"/>
    <x v="25"/>
    <m/>
    <m/>
    <m/>
    <m/>
    <m/>
    <n v="20.51"/>
    <s v="pitchbook"/>
    <m/>
    <m/>
    <n v="-1.54E-2"/>
    <s v="pitchbook"/>
    <n v="1"/>
    <m/>
    <m/>
    <m/>
    <m/>
    <m/>
    <m/>
    <m/>
    <m/>
    <m/>
    <m/>
    <m/>
    <m/>
    <m/>
    <m/>
    <s v="AMG Pantheon"/>
    <s v="secondaries"/>
  </r>
  <r>
    <x v="7"/>
    <x v="26"/>
    <m/>
    <m/>
    <m/>
    <m/>
    <m/>
    <n v="20.68"/>
    <s v="pitchbook"/>
    <m/>
    <m/>
    <n v="8.3000000000000001E-3"/>
    <s v="pitchbook"/>
    <m/>
    <m/>
    <m/>
    <m/>
    <m/>
    <m/>
    <m/>
    <m/>
    <m/>
    <m/>
    <m/>
    <m/>
    <m/>
    <m/>
    <m/>
    <s v="AMG Pantheon"/>
    <s v="secondaries"/>
  </r>
  <r>
    <x v="7"/>
    <x v="27"/>
    <m/>
    <m/>
    <m/>
    <m/>
    <m/>
    <n v="20.95"/>
    <s v="pitchbook"/>
    <m/>
    <m/>
    <n v="1.3100000000000001E-2"/>
    <s v="pitchbook"/>
    <m/>
    <m/>
    <m/>
    <m/>
    <m/>
    <m/>
    <m/>
    <m/>
    <m/>
    <m/>
    <m/>
    <m/>
    <m/>
    <m/>
    <m/>
    <s v="AMG Pantheon"/>
    <s v="secondaries"/>
  </r>
  <r>
    <x v="7"/>
    <x v="28"/>
    <m/>
    <m/>
    <m/>
    <n v="1200000000"/>
    <s v="pitchbook"/>
    <n v="20.79"/>
    <s v="pitchbook"/>
    <m/>
    <m/>
    <n v="-7.6E-3"/>
    <s v="pitchbook"/>
    <n v="1"/>
    <n v="1240000000"/>
    <s v="pitchbook"/>
    <n v="18376168"/>
    <s v="N-CSRS"/>
    <m/>
    <m/>
    <m/>
    <m/>
    <m/>
    <m/>
    <m/>
    <m/>
    <m/>
    <m/>
    <s v="AMG Pantheon"/>
    <s v="secondaries"/>
  </r>
  <r>
    <x v="7"/>
    <x v="29"/>
    <m/>
    <m/>
    <m/>
    <m/>
    <m/>
    <n v="20.64"/>
    <s v="pitchbook"/>
    <m/>
    <m/>
    <n v="-7.1999999999999998E-3"/>
    <s v="pitchbook"/>
    <m/>
    <m/>
    <m/>
    <m/>
    <m/>
    <m/>
    <m/>
    <m/>
    <m/>
    <m/>
    <m/>
    <m/>
    <m/>
    <m/>
    <m/>
    <s v="AMG Pantheon"/>
    <s v="secondaries"/>
  </r>
  <r>
    <x v="7"/>
    <x v="30"/>
    <m/>
    <m/>
    <m/>
    <m/>
    <m/>
    <n v="21.14"/>
    <s v="pitchbook"/>
    <m/>
    <m/>
    <n v="2.4199999999999999E-2"/>
    <s v="pitchbook"/>
    <m/>
    <m/>
    <m/>
    <m/>
    <m/>
    <m/>
    <m/>
    <m/>
    <m/>
    <m/>
    <m/>
    <m/>
    <m/>
    <m/>
    <m/>
    <s v="AMG Pantheon"/>
    <s v="secondaries"/>
  </r>
  <r>
    <x v="7"/>
    <x v="31"/>
    <m/>
    <m/>
    <m/>
    <m/>
    <m/>
    <n v="20.91"/>
    <s v="pitchbook"/>
    <m/>
    <m/>
    <n v="8.3000000000000001E-3"/>
    <s v="pitchbook"/>
    <n v="1"/>
    <m/>
    <m/>
    <m/>
    <m/>
    <m/>
    <m/>
    <m/>
    <m/>
    <m/>
    <m/>
    <m/>
    <m/>
    <m/>
    <m/>
    <s v="AMG Pantheon"/>
    <s v="secondaries"/>
  </r>
  <r>
    <x v="7"/>
    <x v="32"/>
    <m/>
    <m/>
    <m/>
    <m/>
    <m/>
    <n v="21.43"/>
    <s v="pitchbook"/>
    <m/>
    <m/>
    <n v="2.4899999999999999E-2"/>
    <s v="pitchbook"/>
    <m/>
    <m/>
    <m/>
    <m/>
    <m/>
    <m/>
    <m/>
    <m/>
    <m/>
    <m/>
    <m/>
    <m/>
    <m/>
    <m/>
    <m/>
    <s v="AMG Pantheon"/>
    <s v="secondaries"/>
  </r>
  <r>
    <x v="7"/>
    <x v="33"/>
    <m/>
    <m/>
    <m/>
    <m/>
    <m/>
    <n v="21.2"/>
    <s v="pitchbook"/>
    <m/>
    <m/>
    <n v="-1.0699999999999999E-2"/>
    <s v="pitchbook"/>
    <m/>
    <m/>
    <m/>
    <m/>
    <m/>
    <m/>
    <m/>
    <m/>
    <m/>
    <m/>
    <m/>
    <m/>
    <m/>
    <m/>
    <m/>
    <s v="AMG Pantheon"/>
    <s v="secondaries"/>
  </r>
  <r>
    <x v="7"/>
    <x v="34"/>
    <m/>
    <m/>
    <m/>
    <n v="1710000000"/>
    <s v="pitchbook"/>
    <n v="21.72"/>
    <s v="pitchbook"/>
    <m/>
    <m/>
    <n v="2.4500000000000001E-2"/>
    <s v="pitchbook"/>
    <n v="1"/>
    <n v="1820000000"/>
    <s v="pitchbook"/>
    <n v="20017479"/>
    <s v="N-CSR"/>
    <m/>
    <m/>
    <m/>
    <m/>
    <m/>
    <m/>
    <m/>
    <m/>
    <m/>
    <m/>
    <s v="AMG Pantheon"/>
    <s v="secondaries"/>
  </r>
  <r>
    <x v="7"/>
    <x v="35"/>
    <m/>
    <m/>
    <m/>
    <m/>
    <m/>
    <n v="21.6"/>
    <s v="pitchbook"/>
    <m/>
    <m/>
    <n v="-5.4999999999999997E-3"/>
    <s v="pitchbook"/>
    <m/>
    <m/>
    <m/>
    <m/>
    <m/>
    <m/>
    <m/>
    <m/>
    <m/>
    <m/>
    <m/>
    <m/>
    <m/>
    <m/>
    <m/>
    <s v="AMG Pantheon"/>
    <s v="secondaries"/>
  </r>
  <r>
    <x v="7"/>
    <x v="36"/>
    <m/>
    <m/>
    <m/>
    <m/>
    <m/>
    <n v="22.24"/>
    <s v="pitchbook"/>
    <m/>
    <m/>
    <n v="2.9600000000000001E-2"/>
    <s v="pitchbook"/>
    <m/>
    <m/>
    <m/>
    <m/>
    <m/>
    <m/>
    <m/>
    <m/>
    <m/>
    <m/>
    <m/>
    <m/>
    <m/>
    <m/>
    <m/>
    <s v="AMG Pantheon"/>
    <s v="secondaries"/>
  </r>
  <r>
    <x v="7"/>
    <x v="37"/>
    <m/>
    <m/>
    <m/>
    <m/>
    <m/>
    <n v="22.48"/>
    <s v="pitchbook"/>
    <m/>
    <m/>
    <n v="1.0800000000000001E-2"/>
    <s v="pitchbook"/>
    <n v="1"/>
    <m/>
    <m/>
    <m/>
    <m/>
    <m/>
    <m/>
    <m/>
    <m/>
    <m/>
    <m/>
    <m/>
    <m/>
    <m/>
    <m/>
    <s v="AMG Pantheon"/>
    <s v="secondaries"/>
  </r>
  <r>
    <x v="7"/>
    <x v="38"/>
    <m/>
    <m/>
    <m/>
    <m/>
    <m/>
    <n v="22.79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39"/>
    <m/>
    <m/>
    <m/>
    <m/>
    <m/>
    <n v="22.93"/>
    <s v="pitchbook"/>
    <m/>
    <m/>
    <n v="6.1000000000000004E-3"/>
    <s v="pitchbook"/>
    <m/>
    <m/>
    <m/>
    <m/>
    <m/>
    <m/>
    <m/>
    <m/>
    <m/>
    <m/>
    <m/>
    <m/>
    <m/>
    <m/>
    <m/>
    <s v="AMG Pantheon"/>
    <s v="secondaries"/>
  </r>
  <r>
    <x v="7"/>
    <x v="40"/>
    <m/>
    <m/>
    <m/>
    <n v="2280000000"/>
    <s v="pitchbook"/>
    <n v="23.12"/>
    <s v="pitchbook"/>
    <m/>
    <m/>
    <n v="8.3000000000000001E-3"/>
    <s v="pitchbook"/>
    <n v="1"/>
    <n v="2420000000"/>
    <s v="pitchbook"/>
    <n v="23441677"/>
    <s v="N-CSRS"/>
    <m/>
    <m/>
    <m/>
    <m/>
    <m/>
    <m/>
    <m/>
    <m/>
    <m/>
    <m/>
    <s v="AMG Pantheon"/>
    <s v="secondaries"/>
  </r>
  <r>
    <x v="7"/>
    <x v="41"/>
    <m/>
    <m/>
    <m/>
    <m/>
    <m/>
    <n v="22.83"/>
    <s v="pitchbook"/>
    <m/>
    <m/>
    <n v="-1.2500000000000001E-2"/>
    <s v="pitchbook"/>
    <m/>
    <m/>
    <m/>
    <m/>
    <m/>
    <m/>
    <m/>
    <m/>
    <m/>
    <m/>
    <m/>
    <m/>
    <m/>
    <m/>
    <m/>
    <s v="AMG Pantheon"/>
    <s v="secondaries"/>
  </r>
  <r>
    <x v="7"/>
    <x v="42"/>
    <m/>
    <m/>
    <m/>
    <m/>
    <m/>
    <n v="23.59"/>
    <s v="pitchbook"/>
    <m/>
    <m/>
    <n v="3.3300000000000003E-2"/>
    <s v="pitchbook"/>
    <m/>
    <m/>
    <m/>
    <m/>
    <m/>
    <m/>
    <m/>
    <m/>
    <m/>
    <m/>
    <m/>
    <m/>
    <m/>
    <m/>
    <m/>
    <s v="AMG Pantheon"/>
    <s v="secondaries"/>
  </r>
  <r>
    <x v="7"/>
    <x v="43"/>
    <m/>
    <m/>
    <m/>
    <m/>
    <m/>
    <n v="23.82"/>
    <s v="pitchbook"/>
    <m/>
    <m/>
    <n v="1.6799999999999999E-2"/>
    <s v="pitchbook"/>
    <n v="1"/>
    <m/>
    <m/>
    <m/>
    <m/>
    <m/>
    <m/>
    <m/>
    <m/>
    <m/>
    <m/>
    <m/>
    <m/>
    <m/>
    <m/>
    <s v="AMG Pantheon"/>
    <s v="secondaries"/>
  </r>
  <r>
    <x v="7"/>
    <x v="44"/>
    <m/>
    <m/>
    <m/>
    <m/>
    <m/>
    <n v="23.76"/>
    <s v="pitchbook"/>
    <m/>
    <m/>
    <n v="-2.5000000000000001E-3"/>
    <s v="pitchbook"/>
    <m/>
    <m/>
    <m/>
    <m/>
    <m/>
    <m/>
    <m/>
    <m/>
    <m/>
    <m/>
    <m/>
    <m/>
    <m/>
    <m/>
    <m/>
    <s v="AMG Pantheon"/>
    <s v="secondaries"/>
  </r>
  <r>
    <x v="7"/>
    <x v="45"/>
    <m/>
    <m/>
    <m/>
    <m/>
    <m/>
    <n v="24.13"/>
    <s v="pitchbook"/>
    <m/>
    <m/>
    <n v="1.5599999999999999E-2"/>
    <s v="pitchbook"/>
    <m/>
    <m/>
    <m/>
    <m/>
    <m/>
    <m/>
    <m/>
    <m/>
    <m/>
    <m/>
    <m/>
    <m/>
    <m/>
    <m/>
    <m/>
    <s v="AMG Pantheon"/>
    <s v="secondaries"/>
  </r>
  <r>
    <x v="7"/>
    <x v="46"/>
    <m/>
    <m/>
    <m/>
    <n v="3050000000"/>
    <s v="pitchbook"/>
    <n v="24.11"/>
    <s v="pitchbook"/>
    <m/>
    <m/>
    <n v="-8.0000000000000004E-4"/>
    <s v="pitchbook"/>
    <n v="1"/>
    <n v="3280000000"/>
    <s v="pitchbook"/>
    <n v="27632376"/>
    <s v="N-CSR"/>
    <m/>
    <m/>
    <m/>
    <m/>
    <m/>
    <m/>
    <m/>
    <m/>
    <m/>
    <m/>
    <s v="AMG Pantheon"/>
    <s v="secondaries"/>
  </r>
  <r>
    <x v="7"/>
    <x v="47"/>
    <m/>
    <m/>
    <m/>
    <m/>
    <m/>
    <n v="23.95"/>
    <s v="pitchbook"/>
    <m/>
    <m/>
    <n v="-6.6E-3"/>
    <s v="pitchbook"/>
    <m/>
    <m/>
    <m/>
    <m/>
    <m/>
    <m/>
    <m/>
    <m/>
    <m/>
    <m/>
    <m/>
    <m/>
    <m/>
    <m/>
    <m/>
    <s v="AMG Pantheon"/>
    <s v="secondaries"/>
  </r>
  <r>
    <x v="7"/>
    <x v="48"/>
    <m/>
    <m/>
    <m/>
    <m/>
    <m/>
    <n v="24.48"/>
    <s v="pitchbook"/>
    <m/>
    <m/>
    <n v="2.2100000000000002E-2"/>
    <s v="pitchbook"/>
    <m/>
    <m/>
    <m/>
    <m/>
    <m/>
    <m/>
    <m/>
    <m/>
    <m/>
    <m/>
    <m/>
    <m/>
    <m/>
    <m/>
    <m/>
    <s v="AMG Pantheon"/>
    <s v="secondaries"/>
  </r>
  <r>
    <x v="7"/>
    <x v="49"/>
    <m/>
    <m/>
    <m/>
    <m/>
    <m/>
    <n v="24.9"/>
    <s v="pitchbook"/>
    <m/>
    <m/>
    <n v="1.72E-2"/>
    <s v="pitchbook"/>
    <n v="1"/>
    <m/>
    <m/>
    <m/>
    <m/>
    <m/>
    <m/>
    <m/>
    <m/>
    <m/>
    <m/>
    <m/>
    <m/>
    <m/>
    <m/>
    <s v="AMG Pantheon"/>
    <s v="secondaries"/>
  </r>
  <r>
    <x v="7"/>
    <x v="50"/>
    <m/>
    <m/>
    <m/>
    <m/>
    <m/>
    <n v="25.67"/>
    <s v="pitchbook"/>
    <m/>
    <m/>
    <n v="3.09E-2"/>
    <s v="pitchbook"/>
    <m/>
    <m/>
    <m/>
    <m/>
    <m/>
    <m/>
    <m/>
    <m/>
    <m/>
    <m/>
    <m/>
    <m/>
    <m/>
    <m/>
    <m/>
    <s v="AMG Pantheon"/>
    <s v="secondaries"/>
  </r>
  <r>
    <x v="7"/>
    <x v="51"/>
    <m/>
    <m/>
    <m/>
    <m/>
    <m/>
    <n v="25.75"/>
    <s v="pitchbook"/>
    <m/>
    <m/>
    <n v="3.0999999999999999E-3"/>
    <s v="pitchbook"/>
    <m/>
    <m/>
    <m/>
    <m/>
    <m/>
    <m/>
    <m/>
    <m/>
    <m/>
    <m/>
    <m/>
    <m/>
    <m/>
    <m/>
    <m/>
    <s v="AMG Pantheon"/>
    <s v="secondaries"/>
  </r>
  <r>
    <x v="7"/>
    <x v="52"/>
    <m/>
    <m/>
    <m/>
    <n v="4140000000"/>
    <s v="pitchbook"/>
    <n v="26.97"/>
    <s v="pitchbook"/>
    <m/>
    <m/>
    <n v="4.7399999999999998E-2"/>
    <s v="pitchbook"/>
    <n v="1"/>
    <n v="4340000000"/>
    <s v="pitchbook"/>
    <n v="33303668"/>
    <s v="N-CSRS"/>
    <m/>
    <m/>
    <m/>
    <m/>
    <m/>
    <m/>
    <m/>
    <m/>
    <m/>
    <m/>
    <s v="AMG Pantheon"/>
    <s v="secondaries"/>
  </r>
  <r>
    <x v="7"/>
    <x v="53"/>
    <m/>
    <m/>
    <m/>
    <m/>
    <m/>
    <n v="26.89"/>
    <s v="pitchbook"/>
    <m/>
    <m/>
    <n v="-3.0000000000000001E-3"/>
    <s v="pitchbook"/>
    <m/>
    <m/>
    <m/>
    <m/>
    <m/>
    <m/>
    <m/>
    <m/>
    <m/>
    <m/>
    <m/>
    <m/>
    <m/>
    <m/>
    <m/>
    <s v="AMG Pantheon"/>
    <s v="secondaries"/>
  </r>
  <r>
    <x v="7"/>
    <x v="54"/>
    <m/>
    <m/>
    <m/>
    <m/>
    <m/>
    <n v="27.01"/>
    <s v="pitchbook"/>
    <m/>
    <m/>
    <n v="4.4999999999999997E-3"/>
    <s v="pitchbook"/>
    <m/>
    <m/>
    <m/>
    <m/>
    <m/>
    <m/>
    <m/>
    <m/>
    <m/>
    <m/>
    <m/>
    <m/>
    <m/>
    <m/>
    <m/>
    <s v="AMG Pantheon"/>
    <s v="secondaries"/>
  </r>
  <r>
    <x v="7"/>
    <x v="55"/>
    <m/>
    <m/>
    <m/>
    <m/>
    <m/>
    <n v="27.01"/>
    <s v="pitchbook"/>
    <m/>
    <m/>
    <n v="9.1000000000000004E-3"/>
    <s v="pitchbook"/>
    <n v="1"/>
    <m/>
    <m/>
    <m/>
    <m/>
    <m/>
    <m/>
    <m/>
    <m/>
    <m/>
    <m/>
    <m/>
    <m/>
    <m/>
    <m/>
    <s v="AMG Pantheon"/>
    <s v="secondaries"/>
  </r>
  <r>
    <x v="7"/>
    <x v="56"/>
    <m/>
    <m/>
    <m/>
    <m/>
    <m/>
    <n v="27.51"/>
    <s v="pitchbook"/>
    <m/>
    <m/>
    <n v="1.8499999999999999E-2"/>
    <s v="pitchbook"/>
    <m/>
    <m/>
    <m/>
    <m/>
    <m/>
    <m/>
    <m/>
    <m/>
    <m/>
    <m/>
    <m/>
    <m/>
    <m/>
    <m/>
    <m/>
    <s v="AMG Pantheon"/>
    <s v="secondaries"/>
  </r>
  <r>
    <x v="7"/>
    <x v="57"/>
    <m/>
    <m/>
    <m/>
    <m/>
    <m/>
    <n v="26.64"/>
    <s v="pitchbook"/>
    <m/>
    <m/>
    <n v="-3.1600000000000003E-2"/>
    <s v="pitchbook"/>
    <m/>
    <m/>
    <m/>
    <m/>
    <m/>
    <m/>
    <m/>
    <m/>
    <m/>
    <m/>
    <m/>
    <m/>
    <m/>
    <m/>
    <m/>
    <s v="AMG Pantheon"/>
    <s v="secondaries"/>
  </r>
  <r>
    <x v="7"/>
    <x v="58"/>
    <m/>
    <m/>
    <m/>
    <n v="4840000000"/>
    <s v="pitchbook"/>
    <n v="26.2"/>
    <s v="pitchbook"/>
    <m/>
    <m/>
    <n v="-1.6500000000000001E-2"/>
    <s v="pitchbook"/>
    <n v="1"/>
    <n v="5160000000"/>
    <s v="pitchbook"/>
    <n v="41331380"/>
    <s v="N-CSR"/>
    <m/>
    <m/>
    <m/>
    <m/>
    <m/>
    <m/>
    <m/>
    <m/>
    <m/>
    <m/>
    <s v="AMG Pantheon"/>
    <s v="secondaries"/>
  </r>
  <r>
    <x v="7"/>
    <x v="59"/>
    <m/>
    <m/>
    <m/>
    <m/>
    <m/>
    <n v="26.67"/>
    <s v="pitchbook"/>
    <m/>
    <m/>
    <n v="1.7899999999999999E-2"/>
    <s v="pitchbook"/>
    <m/>
    <m/>
    <m/>
    <m/>
    <m/>
    <m/>
    <m/>
    <m/>
    <m/>
    <m/>
    <m/>
    <m/>
    <m/>
    <m/>
    <m/>
    <s v="AMG Pantheon"/>
    <s v="secondaries"/>
  </r>
  <r>
    <x v="7"/>
    <x v="60"/>
    <m/>
    <m/>
    <m/>
    <m/>
    <m/>
    <n v="27.44"/>
    <s v="pitchbook"/>
    <m/>
    <m/>
    <n v="2.8899999999999999E-2"/>
    <s v="pitchbook"/>
    <m/>
    <m/>
    <m/>
    <m/>
    <m/>
    <m/>
    <m/>
    <m/>
    <m/>
    <m/>
    <m/>
    <m/>
    <m/>
    <m/>
    <m/>
    <s v="AMG Pantheon"/>
    <s v="secondaries"/>
  </r>
  <r>
    <x v="7"/>
    <x v="61"/>
    <m/>
    <m/>
    <m/>
    <m/>
    <m/>
    <n v="28.45"/>
    <s v="pitchbook"/>
    <m/>
    <m/>
    <n v="3.6799999999999999E-2"/>
    <s v="pitchbook"/>
    <n v="1"/>
    <m/>
    <m/>
    <m/>
    <m/>
    <m/>
    <m/>
    <m/>
    <m/>
    <m/>
    <m/>
    <m/>
    <m/>
    <m/>
    <m/>
    <s v="AMG Pantheon"/>
    <s v="secondaries"/>
  </r>
  <r>
    <x v="7"/>
    <x v="62"/>
    <m/>
    <m/>
    <m/>
    <m/>
    <m/>
    <n v="28.45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63"/>
    <m/>
    <m/>
    <m/>
    <m/>
    <m/>
    <n v="28.53"/>
    <s v="pitchbook"/>
    <m/>
    <m/>
    <n v="2.8E-3"/>
    <s v="pitchbook"/>
    <m/>
    <m/>
    <m/>
    <m/>
    <m/>
    <m/>
    <m/>
    <m/>
    <m/>
    <m/>
    <m/>
    <m/>
    <m/>
    <m/>
    <m/>
    <s v="AMG Pantheon"/>
    <s v="secondaries"/>
  </r>
  <r>
    <x v="7"/>
    <x v="64"/>
    <m/>
    <m/>
    <m/>
    <n v="5980000000"/>
    <s v="pitchbook"/>
    <n v="28.65"/>
    <s v="pitchbook"/>
    <m/>
    <m/>
    <n v="4.1999999999999997E-3"/>
    <s v="pitchbook"/>
    <n v="1"/>
    <n v="6160000000"/>
    <s v="pitchbook"/>
    <n v="47539435"/>
    <s v="N-CSRS"/>
    <m/>
    <m/>
    <m/>
    <m/>
    <m/>
    <m/>
    <m/>
    <m/>
    <m/>
    <m/>
    <s v="AMG Pantheon"/>
    <s v="secondaries"/>
  </r>
  <r>
    <x v="7"/>
    <x v="65"/>
    <m/>
    <m/>
    <m/>
    <m/>
    <m/>
    <n v="28.41"/>
    <s v="pitchbook"/>
    <m/>
    <m/>
    <n v="-8.3999999999999995E-3"/>
    <s v="pitchbook"/>
    <m/>
    <m/>
    <m/>
    <m/>
    <m/>
    <m/>
    <m/>
    <m/>
    <m/>
    <m/>
    <m/>
    <m/>
    <m/>
    <m/>
    <m/>
    <s v="AMG Pantheon"/>
    <s v="secondaries"/>
  </r>
  <r>
    <x v="7"/>
    <x v="66"/>
    <m/>
    <m/>
    <m/>
    <m/>
    <m/>
    <n v="28.53"/>
    <s v="pitchbook"/>
    <m/>
    <m/>
    <n v="4.1999999999999997E-3"/>
    <s v="pitchbook"/>
    <m/>
    <m/>
    <m/>
    <m/>
    <m/>
    <m/>
    <m/>
    <m/>
    <m/>
    <m/>
    <m/>
    <m/>
    <m/>
    <m/>
    <m/>
    <s v="AMG Pantheon"/>
    <s v="secondaries"/>
  </r>
  <r>
    <x v="7"/>
    <x v="67"/>
    <m/>
    <n v="10000000"/>
    <s v="black diamond"/>
    <m/>
    <m/>
    <n v="28.24"/>
    <s v="pitchbook"/>
    <m/>
    <m/>
    <n v="1.2E-2"/>
    <s v="pitchbook"/>
    <n v="1"/>
    <m/>
    <m/>
    <m/>
    <m/>
    <m/>
    <m/>
    <m/>
    <m/>
    <m/>
    <m/>
    <m/>
    <m/>
    <m/>
    <m/>
    <s v="AMG Pantheon"/>
    <s v="secondaries"/>
  </r>
  <r>
    <x v="7"/>
    <x v="68"/>
    <m/>
    <n v="9961048.1699999999"/>
    <s v="icapital"/>
    <m/>
    <m/>
    <n v="28.13"/>
    <s v="pitchbook"/>
    <m/>
    <m/>
    <n v="-3.8999999999999998E-3"/>
    <s v="pitchbook"/>
    <m/>
    <m/>
    <m/>
    <m/>
    <m/>
    <n v="354107.64899999998"/>
    <s v="icapital"/>
    <n v="10000000"/>
    <s v="morgan stanley statement"/>
    <n v="0"/>
    <s v="morgan stanley statement"/>
    <n v="0"/>
    <s v="morgan stanley statement"/>
    <m/>
    <m/>
    <s v="AMG Pantheon"/>
    <s v="secondaries"/>
  </r>
  <r>
    <x v="7"/>
    <x v="69"/>
    <m/>
    <n v="10028328.619999999"/>
    <s v="icapital"/>
    <m/>
    <m/>
    <n v="28.32"/>
    <s v="pitchbook"/>
    <m/>
    <m/>
    <n v="6.7999999999999996E-3"/>
    <s v="pitchbook"/>
    <m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0"/>
    <m/>
    <n v="9989376.7799999993"/>
    <s v="icapital"/>
    <m/>
    <m/>
    <n v="28.21"/>
    <s v="pitchbook"/>
    <m/>
    <m/>
    <n v="-3.8999999999999998E-3"/>
    <s v="pitchbook"/>
    <n v="1"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1"/>
    <m/>
    <m/>
    <m/>
    <m/>
    <m/>
    <n v="28.53"/>
    <s v="pitchbook"/>
    <m/>
    <m/>
    <n v="1.1299999999999999E-2"/>
    <s v="pitchbook"/>
    <m/>
    <m/>
    <m/>
    <m/>
    <m/>
    <m/>
    <m/>
    <m/>
    <m/>
    <m/>
    <m/>
    <m/>
    <m/>
    <m/>
    <m/>
    <s v="AMG Pantheon"/>
    <s v="secondaries"/>
  </r>
  <r>
    <x v="7"/>
    <x v="72"/>
    <m/>
    <m/>
    <m/>
    <m/>
    <m/>
    <m/>
    <m/>
    <m/>
    <m/>
    <m/>
    <m/>
    <m/>
    <m/>
    <m/>
    <m/>
    <m/>
    <m/>
    <m/>
    <m/>
    <m/>
    <m/>
    <m/>
    <m/>
    <m/>
    <m/>
    <m/>
    <s v="AMG Pantheon"/>
    <s v="secondaries"/>
  </r>
  <r>
    <x v="8"/>
    <x v="55"/>
    <m/>
    <m/>
    <m/>
    <m/>
    <m/>
    <m/>
    <m/>
    <m/>
    <m/>
    <n v="5.28E-2"/>
    <s v="factsheet"/>
    <m/>
    <m/>
    <m/>
    <m/>
    <m/>
    <m/>
    <m/>
    <m/>
    <m/>
    <m/>
    <m/>
    <m/>
    <m/>
    <m/>
    <m/>
    <s v="FLEX"/>
    <s v="secondaries"/>
  </r>
  <r>
    <x v="8"/>
    <x v="56"/>
    <m/>
    <m/>
    <m/>
    <m/>
    <m/>
    <m/>
    <m/>
    <m/>
    <m/>
    <n v="1.7100000000000001E-2"/>
    <s v="factsheet"/>
    <m/>
    <m/>
    <m/>
    <m/>
    <m/>
    <m/>
    <m/>
    <m/>
    <m/>
    <m/>
    <m/>
    <m/>
    <m/>
    <m/>
    <m/>
    <s v="FLEX"/>
    <s v="secondaries"/>
  </r>
  <r>
    <x v="8"/>
    <x v="57"/>
    <m/>
    <m/>
    <m/>
    <m/>
    <m/>
    <m/>
    <m/>
    <m/>
    <m/>
    <n v="4.0000000000000002E-4"/>
    <s v="factsheet"/>
    <m/>
    <m/>
    <m/>
    <m/>
    <m/>
    <m/>
    <m/>
    <m/>
    <m/>
    <m/>
    <m/>
    <m/>
    <m/>
    <m/>
    <m/>
    <s v="FLEX"/>
    <s v="secondaries"/>
  </r>
  <r>
    <x v="8"/>
    <x v="58"/>
    <m/>
    <m/>
    <m/>
    <m/>
    <m/>
    <m/>
    <m/>
    <m/>
    <m/>
    <n v="1.3100000000000001E-2"/>
    <s v="factsheet"/>
    <m/>
    <m/>
    <m/>
    <m/>
    <m/>
    <m/>
    <m/>
    <m/>
    <m/>
    <m/>
    <m/>
    <m/>
    <m/>
    <m/>
    <m/>
    <s v="FLEX"/>
    <s v="secondaries"/>
  </r>
  <r>
    <x v="8"/>
    <x v="59"/>
    <m/>
    <m/>
    <m/>
    <m/>
    <m/>
    <m/>
    <m/>
    <m/>
    <m/>
    <n v="8.0999999999999996E-3"/>
    <s v="factsheet"/>
    <m/>
    <m/>
    <m/>
    <m/>
    <m/>
    <m/>
    <m/>
    <m/>
    <m/>
    <m/>
    <m/>
    <m/>
    <m/>
    <m/>
    <m/>
    <s v="FLEX"/>
    <s v="secondaries"/>
  </r>
  <r>
    <x v="8"/>
    <x v="60"/>
    <m/>
    <m/>
    <m/>
    <m/>
    <m/>
    <m/>
    <m/>
    <m/>
    <m/>
    <n v="9.9000000000000008E-3"/>
    <s v="factsheet"/>
    <m/>
    <m/>
    <m/>
    <m/>
    <m/>
    <m/>
    <m/>
    <m/>
    <m/>
    <m/>
    <m/>
    <m/>
    <m/>
    <m/>
    <m/>
    <s v="FLEX"/>
    <s v="secondaries"/>
  </r>
  <r>
    <x v="8"/>
    <x v="61"/>
    <m/>
    <m/>
    <m/>
    <m/>
    <m/>
    <m/>
    <m/>
    <m/>
    <m/>
    <n v="2.7199999999999998E-2"/>
    <s v="factsheet"/>
    <m/>
    <m/>
    <m/>
    <m/>
    <m/>
    <m/>
    <m/>
    <m/>
    <m/>
    <m/>
    <m/>
    <m/>
    <m/>
    <m/>
    <m/>
    <s v="FLEX"/>
    <s v="secondaries"/>
  </r>
  <r>
    <x v="8"/>
    <x v="62"/>
    <m/>
    <m/>
    <m/>
    <m/>
    <m/>
    <m/>
    <m/>
    <m/>
    <m/>
    <n v="3.2000000000000002E-3"/>
    <s v="factsheet"/>
    <m/>
    <m/>
    <m/>
    <m/>
    <m/>
    <m/>
    <m/>
    <m/>
    <m/>
    <m/>
    <m/>
    <m/>
    <m/>
    <m/>
    <m/>
    <s v="FLEX"/>
    <s v="secondaries"/>
  </r>
  <r>
    <x v="8"/>
    <x v="63"/>
    <m/>
    <m/>
    <m/>
    <m/>
    <m/>
    <m/>
    <m/>
    <m/>
    <m/>
    <n v="3.1300000000000001E-2"/>
    <s v="factsheet"/>
    <m/>
    <m/>
    <m/>
    <m/>
    <m/>
    <m/>
    <m/>
    <m/>
    <m/>
    <m/>
    <m/>
    <m/>
    <m/>
    <m/>
    <m/>
    <s v="FLEX"/>
    <s v="secondaries"/>
  </r>
  <r>
    <x v="8"/>
    <x v="64"/>
    <m/>
    <m/>
    <m/>
    <m/>
    <m/>
    <m/>
    <m/>
    <m/>
    <m/>
    <n v="6.4999999999999997E-3"/>
    <s v="factsheet"/>
    <m/>
    <m/>
    <m/>
    <m/>
    <m/>
    <m/>
    <m/>
    <m/>
    <m/>
    <m/>
    <m/>
    <m/>
    <m/>
    <m/>
    <m/>
    <s v="FLEX"/>
    <s v="secondaries"/>
  </r>
  <r>
    <x v="8"/>
    <x v="65"/>
    <m/>
    <m/>
    <m/>
    <m/>
    <m/>
    <m/>
    <m/>
    <m/>
    <m/>
    <n v="8.5000000000000006E-3"/>
    <s v="factsheet"/>
    <m/>
    <m/>
    <m/>
    <m/>
    <m/>
    <m/>
    <m/>
    <m/>
    <m/>
    <m/>
    <m/>
    <m/>
    <m/>
    <m/>
    <m/>
    <s v="FLEX"/>
    <s v="secondaries"/>
  </r>
  <r>
    <x v="8"/>
    <x v="66"/>
    <m/>
    <m/>
    <m/>
    <m/>
    <m/>
    <m/>
    <m/>
    <m/>
    <m/>
    <n v="2.6200000000000001E-2"/>
    <s v="factsheet"/>
    <m/>
    <m/>
    <m/>
    <m/>
    <m/>
    <m/>
    <m/>
    <m/>
    <m/>
    <m/>
    <m/>
    <m/>
    <m/>
    <m/>
    <m/>
    <s v="FLEX"/>
    <s v="secondaries"/>
  </r>
  <r>
    <x v="8"/>
    <x v="67"/>
    <m/>
    <n v="10000000"/>
    <s v="black diamond"/>
    <m/>
    <m/>
    <m/>
    <m/>
    <m/>
    <m/>
    <n v="1.3100000000000001E-2"/>
    <s v="factsheet"/>
    <n v="234"/>
    <m/>
    <m/>
    <m/>
    <m/>
    <m/>
    <m/>
    <m/>
    <m/>
    <m/>
    <m/>
    <m/>
    <m/>
    <m/>
    <m/>
    <s v="FLEX"/>
    <s v="secondaries"/>
  </r>
  <r>
    <x v="8"/>
    <x v="68"/>
    <m/>
    <n v="10074457.75"/>
    <s v="morgan stanley statement"/>
    <m/>
    <m/>
    <m/>
    <m/>
    <m/>
    <m/>
    <n v="7.4999999999999997E-3"/>
    <s v="factsheet"/>
    <m/>
    <m/>
    <m/>
    <m/>
    <m/>
    <n v="323729.36200000002"/>
    <s v="morgan stanley statement"/>
    <n v="10000000"/>
    <s v="morgan stanley statement"/>
    <n v="0"/>
    <s v="morgan stanley statement"/>
    <n v="0"/>
    <s v="morgan stanley statement"/>
    <m/>
    <m/>
    <s v="FLEX"/>
    <s v="secondaries"/>
  </r>
  <r>
    <x v="8"/>
    <x v="69"/>
    <m/>
    <n v="10129491.74"/>
    <s v="morgan stanley statement"/>
    <m/>
    <m/>
    <m/>
    <m/>
    <m/>
    <m/>
    <n v="5.4999999999999997E-3"/>
    <s v="factsheet"/>
    <m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0"/>
    <m/>
    <n v="10242797.01"/>
    <s v="morgan stanley statement"/>
    <m/>
    <m/>
    <m/>
    <m/>
    <m/>
    <m/>
    <n v="1.12E-2"/>
    <s v="factsheet"/>
    <n v="257"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1"/>
    <m/>
    <m/>
    <m/>
    <m/>
    <m/>
    <m/>
    <m/>
    <m/>
    <m/>
    <n v="-2.9999999999999997E-4"/>
    <s v="factsheet"/>
    <m/>
    <m/>
    <m/>
    <m/>
    <m/>
    <m/>
    <m/>
    <m/>
    <m/>
    <m/>
    <m/>
    <m/>
    <m/>
    <m/>
    <m/>
    <s v="FLEX"/>
    <s v="secondaries"/>
  </r>
  <r>
    <x v="9"/>
    <x v="8"/>
    <m/>
    <m/>
    <m/>
    <m/>
    <m/>
    <n v="10"/>
    <s v="pitchbook"/>
    <m/>
    <m/>
    <m/>
    <m/>
    <m/>
    <m/>
    <m/>
    <m/>
    <m/>
    <m/>
    <m/>
    <m/>
    <m/>
    <m/>
    <m/>
    <m/>
    <m/>
    <m/>
    <m/>
    <s v="Hamilton Lane"/>
    <s v="private_equity"/>
  </r>
  <r>
    <x v="9"/>
    <x v="9"/>
    <m/>
    <m/>
    <m/>
    <m/>
    <m/>
    <n v="10.029999999999999"/>
    <s v="pitchbook"/>
    <m/>
    <m/>
    <n v="3.0000000000000001E-3"/>
    <s v="pitchbook"/>
    <m/>
    <m/>
    <m/>
    <m/>
    <m/>
    <m/>
    <m/>
    <m/>
    <m/>
    <m/>
    <m/>
    <m/>
    <m/>
    <m/>
    <m/>
    <s v="Hamilton Lane"/>
    <s v="private_equity"/>
  </r>
  <r>
    <x v="9"/>
    <x v="10"/>
    <m/>
    <m/>
    <m/>
    <n v="158870000"/>
    <s v="pitchbook"/>
    <n v="10.38"/>
    <s v="pitchbook"/>
    <m/>
    <m/>
    <n v="3.49E-2"/>
    <s v="pitchbook"/>
    <n v="38"/>
    <n v="165420000"/>
    <s v="pitchbook"/>
    <n v="15484525"/>
    <s v="N-CSR"/>
    <m/>
    <m/>
    <m/>
    <m/>
    <m/>
    <m/>
    <m/>
    <m/>
    <m/>
    <m/>
    <s v="Hamilton Lane"/>
    <s v="private_equity"/>
  </r>
  <r>
    <x v="9"/>
    <x v="11"/>
    <m/>
    <m/>
    <m/>
    <n v="166170000"/>
    <s v="pitchbook"/>
    <n v="10.38"/>
    <s v="pitchbook"/>
    <m/>
    <m/>
    <n v="0"/>
    <s v="pitchbook"/>
    <m/>
    <m/>
    <m/>
    <m/>
    <m/>
    <m/>
    <m/>
    <m/>
    <m/>
    <m/>
    <m/>
    <m/>
    <m/>
    <m/>
    <m/>
    <s v="Hamilton Lane"/>
    <s v="private_equity"/>
  </r>
  <r>
    <x v="9"/>
    <x v="12"/>
    <m/>
    <m/>
    <m/>
    <n v="181560000"/>
    <s v="pitchbook"/>
    <n v="10.56"/>
    <s v="pitchbook"/>
    <m/>
    <m/>
    <n v="1.7299999999999999E-2"/>
    <s v="pitchbook"/>
    <m/>
    <m/>
    <m/>
    <m/>
    <m/>
    <m/>
    <m/>
    <m/>
    <m/>
    <m/>
    <m/>
    <m/>
    <m/>
    <m/>
    <m/>
    <s v="Hamilton Lane"/>
    <s v="private_equity"/>
  </r>
  <r>
    <x v="9"/>
    <x v="13"/>
    <m/>
    <m/>
    <m/>
    <n v="196960000"/>
    <s v="pitchbook"/>
    <n v="11.08"/>
    <s v="pitchbook"/>
    <m/>
    <m/>
    <n v="4.9200000000000001E-2"/>
    <s v="pitchbook"/>
    <n v="51"/>
    <m/>
    <m/>
    <m/>
    <m/>
    <m/>
    <m/>
    <m/>
    <m/>
    <m/>
    <m/>
    <m/>
    <m/>
    <m/>
    <m/>
    <s v="Hamilton Lane"/>
    <s v="private_equity"/>
  </r>
  <r>
    <x v="9"/>
    <x v="14"/>
    <m/>
    <m/>
    <m/>
    <m/>
    <m/>
    <n v="11.1"/>
    <s v="pitchbook"/>
    <m/>
    <m/>
    <n v="1.8E-3"/>
    <s v="pitchbook"/>
    <m/>
    <m/>
    <m/>
    <m/>
    <m/>
    <m/>
    <m/>
    <m/>
    <m/>
    <m/>
    <m/>
    <m/>
    <m/>
    <m/>
    <m/>
    <s v="Hamilton Lane"/>
    <s v="private_equity"/>
  </r>
  <r>
    <x v="9"/>
    <x v="15"/>
    <m/>
    <m/>
    <m/>
    <n v="214240000"/>
    <s v="pitchbook"/>
    <n v="11.4"/>
    <s v="pitchbook"/>
    <m/>
    <m/>
    <n v="2.7E-2"/>
    <s v="pitchbook"/>
    <m/>
    <m/>
    <m/>
    <m/>
    <m/>
    <m/>
    <m/>
    <m/>
    <m/>
    <m/>
    <m/>
    <m/>
    <m/>
    <m/>
    <m/>
    <s v="Hamilton Lane"/>
    <s v="private_equity"/>
  </r>
  <r>
    <x v="9"/>
    <x v="16"/>
    <m/>
    <m/>
    <m/>
    <n v="225580000"/>
    <s v="pitchbook"/>
    <n v="11.84"/>
    <s v="pitchbook"/>
    <m/>
    <m/>
    <n v="3.8600000000000002E-2"/>
    <s v="pitchbook"/>
    <n v="57"/>
    <n v="249430000"/>
    <s v="pitchbook"/>
    <n v="19651138"/>
    <s v="N-CSRS"/>
    <m/>
    <m/>
    <m/>
    <m/>
    <m/>
    <m/>
    <m/>
    <m/>
    <m/>
    <m/>
    <s v="Hamilton Lane"/>
    <s v="private_equity"/>
  </r>
  <r>
    <x v="9"/>
    <x v="17"/>
    <m/>
    <m/>
    <m/>
    <n v="251050000"/>
    <s v="pitchbook"/>
    <n v="12.01"/>
    <s v="pitchbook"/>
    <m/>
    <m/>
    <n v="1.44E-2"/>
    <s v="pitchbook"/>
    <m/>
    <m/>
    <m/>
    <m/>
    <m/>
    <m/>
    <m/>
    <m/>
    <m/>
    <m/>
    <m/>
    <m/>
    <m/>
    <m/>
    <m/>
    <s v="Hamilton Lane"/>
    <s v="private_equity"/>
  </r>
  <r>
    <x v="9"/>
    <x v="18"/>
    <m/>
    <m/>
    <m/>
    <n v="267890000"/>
    <s v="pitchbook"/>
    <n v="12.02"/>
    <s v="pitchbook"/>
    <m/>
    <m/>
    <n v="8.0000000000000004E-4"/>
    <s v="pitchbook"/>
    <m/>
    <m/>
    <m/>
    <m/>
    <m/>
    <m/>
    <m/>
    <m/>
    <m/>
    <m/>
    <m/>
    <m/>
    <m/>
    <m/>
    <m/>
    <s v="Hamilton Lane"/>
    <s v="private_equity"/>
  </r>
  <r>
    <x v="9"/>
    <x v="19"/>
    <m/>
    <m/>
    <m/>
    <n v="292500000"/>
    <s v="pitchbook"/>
    <n v="12.1"/>
    <s v="pitchbook"/>
    <m/>
    <m/>
    <n v="2.18E-2"/>
    <s v="pitchbook"/>
    <n v="73"/>
    <m/>
    <m/>
    <m/>
    <m/>
    <m/>
    <m/>
    <m/>
    <m/>
    <m/>
    <m/>
    <m/>
    <m/>
    <m/>
    <m/>
    <s v="Hamilton Lane"/>
    <s v="private_equity"/>
  </r>
  <r>
    <x v="9"/>
    <x v="20"/>
    <m/>
    <m/>
    <m/>
    <n v="303490000"/>
    <s v="pitchbook"/>
    <n v="11.91"/>
    <s v="pitchbook"/>
    <m/>
    <m/>
    <n v="-1.5699999999999999E-2"/>
    <s v="pitchbook"/>
    <m/>
    <m/>
    <m/>
    <m/>
    <m/>
    <m/>
    <m/>
    <m/>
    <m/>
    <m/>
    <m/>
    <m/>
    <m/>
    <m/>
    <m/>
    <s v="Hamilton Lane"/>
    <s v="private_equity"/>
  </r>
  <r>
    <x v="9"/>
    <x v="21"/>
    <m/>
    <m/>
    <m/>
    <n v="321840000"/>
    <s v="pitchbook"/>
    <n v="11.97"/>
    <s v="pitchbook"/>
    <m/>
    <m/>
    <n v="5.0000000000000001E-3"/>
    <s v="pitchbook"/>
    <m/>
    <m/>
    <m/>
    <m/>
    <m/>
    <m/>
    <m/>
    <m/>
    <m/>
    <m/>
    <m/>
    <m/>
    <m/>
    <m/>
    <m/>
    <s v="Hamilton Lane"/>
    <s v="private_equity"/>
  </r>
  <r>
    <x v="9"/>
    <x v="22"/>
    <m/>
    <m/>
    <m/>
    <n v="338480000"/>
    <s v="pitchbook"/>
    <n v="12.35"/>
    <s v="pitchbook"/>
    <m/>
    <m/>
    <n v="3.1699999999999999E-2"/>
    <s v="pitchbook"/>
    <n v="79"/>
    <n v="365370000"/>
    <s v="pitchbook"/>
    <n v="26710202"/>
    <s v="N-CSR"/>
    <m/>
    <m/>
    <m/>
    <m/>
    <m/>
    <m/>
    <m/>
    <m/>
    <m/>
    <m/>
    <s v="Hamilton Lane"/>
    <s v="private_equity"/>
  </r>
  <r>
    <x v="9"/>
    <x v="23"/>
    <m/>
    <m/>
    <m/>
    <n v="344500000"/>
    <s v="pitchbook"/>
    <n v="12.01"/>
    <s v="pitchbook"/>
    <m/>
    <m/>
    <n v="-2.75E-2"/>
    <s v="pitchbook"/>
    <m/>
    <m/>
    <m/>
    <m/>
    <m/>
    <m/>
    <m/>
    <m/>
    <m/>
    <m/>
    <m/>
    <m/>
    <m/>
    <m/>
    <m/>
    <s v="Hamilton Lane"/>
    <s v="private_equity"/>
  </r>
  <r>
    <x v="9"/>
    <x v="24"/>
    <m/>
    <m/>
    <m/>
    <n v="367980000"/>
    <s v="pitchbook"/>
    <n v="12.29"/>
    <s v="pitchbook"/>
    <m/>
    <m/>
    <n v="2.3300000000000001E-2"/>
    <s v="pitchbook"/>
    <m/>
    <m/>
    <m/>
    <m/>
    <m/>
    <m/>
    <m/>
    <m/>
    <m/>
    <m/>
    <m/>
    <m/>
    <m/>
    <m/>
    <m/>
    <s v="Hamilton Lane"/>
    <s v="private_equity"/>
  </r>
  <r>
    <x v="9"/>
    <x v="25"/>
    <m/>
    <m/>
    <m/>
    <n v="383670000"/>
    <s v="pitchbook"/>
    <n v="12.2"/>
    <s v="pitchbook"/>
    <m/>
    <m/>
    <n v="-7.3000000000000001E-3"/>
    <s v="pitchbook"/>
    <n v="84"/>
    <m/>
    <m/>
    <m/>
    <m/>
    <m/>
    <m/>
    <m/>
    <m/>
    <m/>
    <m/>
    <m/>
    <m/>
    <m/>
    <m/>
    <s v="Hamilton Lane"/>
    <s v="private_equity"/>
  </r>
  <r>
    <x v="9"/>
    <x v="26"/>
    <m/>
    <m/>
    <m/>
    <n v="411080000"/>
    <s v="pitchbook"/>
    <n v="12.79"/>
    <s v="pitchbook"/>
    <m/>
    <m/>
    <n v="4.8399999999999999E-2"/>
    <s v="pitchbook"/>
    <m/>
    <m/>
    <m/>
    <m/>
    <m/>
    <m/>
    <m/>
    <m/>
    <m/>
    <m/>
    <m/>
    <m/>
    <m/>
    <m/>
    <m/>
    <s v="Hamilton Lane"/>
    <s v="private_equity"/>
  </r>
  <r>
    <x v="9"/>
    <x v="27"/>
    <m/>
    <m/>
    <m/>
    <n v="428430000"/>
    <s v="pitchbook"/>
    <n v="13"/>
    <s v="pitchbook"/>
    <m/>
    <m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28"/>
    <m/>
    <m/>
    <m/>
    <n v="436710000"/>
    <s v="pitchbook"/>
    <n v="12.99"/>
    <s v="pitchbook"/>
    <m/>
    <m/>
    <n v="-8.0000000000000004E-4"/>
    <s v="pitchbook"/>
    <n v="90"/>
    <n v="463950000"/>
    <s v="pitchbook"/>
    <n v="31669215"/>
    <s v="N-CSRS"/>
    <m/>
    <m/>
    <m/>
    <m/>
    <m/>
    <m/>
    <m/>
    <m/>
    <m/>
    <m/>
    <s v="Hamilton Lane"/>
    <s v="private_equity"/>
  </r>
  <r>
    <x v="9"/>
    <x v="29"/>
    <m/>
    <m/>
    <m/>
    <n v="461990000"/>
    <s v="pitchbook"/>
    <n v="13.42"/>
    <s v="pitchbook"/>
    <m/>
    <m/>
    <n v="3.3099999999999997E-2"/>
    <s v="pitchbook"/>
    <m/>
    <m/>
    <m/>
    <m/>
    <m/>
    <m/>
    <m/>
    <m/>
    <m/>
    <m/>
    <m/>
    <m/>
    <m/>
    <m/>
    <m/>
    <s v="Hamilton Lane"/>
    <s v="private_equity"/>
  </r>
  <r>
    <x v="9"/>
    <x v="30"/>
    <m/>
    <m/>
    <m/>
    <n v="482750000"/>
    <s v="pitchbook"/>
    <n v="13.9"/>
    <s v="pitchbook"/>
    <m/>
    <m/>
    <n v="3.5799999999999998E-2"/>
    <s v="pitchbook"/>
    <m/>
    <m/>
    <m/>
    <m/>
    <m/>
    <m/>
    <m/>
    <m/>
    <m/>
    <m/>
    <m/>
    <m/>
    <m/>
    <m/>
    <m/>
    <s v="Hamilton Lane"/>
    <s v="private_equity"/>
  </r>
  <r>
    <x v="9"/>
    <x v="31"/>
    <m/>
    <m/>
    <m/>
    <n v="502120000"/>
    <s v="pitchbook"/>
    <n v="13.87"/>
    <s v="pitchbook"/>
    <m/>
    <m/>
    <n v="1.1900000000000001E-2"/>
    <s v="pitchbook"/>
    <n v="89"/>
    <m/>
    <m/>
    <m/>
    <m/>
    <m/>
    <m/>
    <m/>
    <m/>
    <m/>
    <m/>
    <m/>
    <m/>
    <m/>
    <m/>
    <s v="Hamilton Lane"/>
    <s v="private_equity"/>
  </r>
  <r>
    <x v="9"/>
    <x v="32"/>
    <m/>
    <m/>
    <m/>
    <n v="540760000"/>
    <s v="pitchbook"/>
    <n v="14.22"/>
    <s v="pitchbook"/>
    <m/>
    <m/>
    <n v="2.52E-2"/>
    <s v="pitchbook"/>
    <m/>
    <m/>
    <m/>
    <m/>
    <m/>
    <m/>
    <m/>
    <m/>
    <m/>
    <m/>
    <m/>
    <m/>
    <m/>
    <m/>
    <m/>
    <s v="Hamilton Lane"/>
    <s v="private_equity"/>
  </r>
  <r>
    <x v="9"/>
    <x v="33"/>
    <m/>
    <m/>
    <m/>
    <n v="555100000"/>
    <s v="pitchbook"/>
    <n v="14.24"/>
    <s v="pitchbook"/>
    <m/>
    <m/>
    <n v="1.4E-3"/>
    <s v="pitchbook"/>
    <m/>
    <m/>
    <m/>
    <m/>
    <m/>
    <m/>
    <m/>
    <m/>
    <m/>
    <m/>
    <m/>
    <m/>
    <m/>
    <m/>
    <m/>
    <s v="Hamilton Lane"/>
    <s v="private_equity"/>
  </r>
  <r>
    <x v="9"/>
    <x v="34"/>
    <m/>
    <m/>
    <m/>
    <n v="581630000"/>
    <s v="pitchbook"/>
    <n v="14.14"/>
    <s v="pitchbook"/>
    <m/>
    <m/>
    <n v="-7.0000000000000001E-3"/>
    <s v="pitchbook"/>
    <n v="109"/>
    <n v="644780000"/>
    <s v="pitchbook"/>
    <n v="37766460"/>
    <s v="N-CSR"/>
    <m/>
    <m/>
    <m/>
    <m/>
    <m/>
    <m/>
    <m/>
    <m/>
    <m/>
    <m/>
    <s v="Hamilton Lane"/>
    <s v="private_equity"/>
  </r>
  <r>
    <x v="9"/>
    <x v="35"/>
    <m/>
    <m/>
    <m/>
    <n v="621540000"/>
    <s v="pitchbook"/>
    <n v="14.2"/>
    <s v="pitchbook"/>
    <m/>
    <m/>
    <n v="4.1999999999999997E-3"/>
    <s v="pitchbook"/>
    <m/>
    <m/>
    <m/>
    <m/>
    <m/>
    <m/>
    <m/>
    <m/>
    <m/>
    <m/>
    <m/>
    <m/>
    <m/>
    <m/>
    <m/>
    <s v="Hamilton Lane"/>
    <s v="private_equity"/>
  </r>
  <r>
    <x v="9"/>
    <x v="36"/>
    <m/>
    <m/>
    <m/>
    <n v="646400000"/>
    <s v="pitchbook"/>
    <n v="14.23"/>
    <s v="pitchbook"/>
    <m/>
    <m/>
    <n v="2.0999999999999999E-3"/>
    <s v="pitchbook"/>
    <m/>
    <m/>
    <m/>
    <m/>
    <m/>
    <m/>
    <m/>
    <m/>
    <m/>
    <m/>
    <m/>
    <m/>
    <m/>
    <m/>
    <m/>
    <s v="Hamilton Lane"/>
    <s v="private_equity"/>
  </r>
  <r>
    <x v="9"/>
    <x v="37"/>
    <m/>
    <m/>
    <m/>
    <n v="734520000"/>
    <s v="pitchbook"/>
    <n v="14.65"/>
    <s v="pitchbook"/>
    <m/>
    <m/>
    <n v="2.9499999999999998E-2"/>
    <s v="pitchbook"/>
    <n v="114"/>
    <m/>
    <m/>
    <m/>
    <m/>
    <m/>
    <m/>
    <m/>
    <m/>
    <m/>
    <m/>
    <m/>
    <m/>
    <m/>
    <m/>
    <s v="Hamilton Lane"/>
    <s v="private_equity"/>
  </r>
  <r>
    <x v="9"/>
    <x v="38"/>
    <m/>
    <m/>
    <m/>
    <n v="903380000"/>
    <s v="pitchbook"/>
    <n v="14.74"/>
    <s v="pitchbook"/>
    <m/>
    <m/>
    <n v="6.0000000000000001E-3"/>
    <s v="pitchbook"/>
    <m/>
    <m/>
    <m/>
    <m/>
    <m/>
    <m/>
    <m/>
    <m/>
    <m/>
    <m/>
    <m/>
    <m/>
    <m/>
    <m/>
    <m/>
    <s v="Hamilton Lane"/>
    <s v="private_equity"/>
  </r>
  <r>
    <x v="9"/>
    <x v="39"/>
    <m/>
    <m/>
    <m/>
    <n v="962580000"/>
    <s v="pitchbook"/>
    <n v="14.62"/>
    <s v="pitchbook"/>
    <m/>
    <m/>
    <n v="-7.9000000000000008E-3"/>
    <s v="pitchbook"/>
    <m/>
    <m/>
    <m/>
    <m/>
    <m/>
    <m/>
    <m/>
    <m/>
    <m/>
    <m/>
    <m/>
    <m/>
    <m/>
    <m/>
    <m/>
    <s v="Hamilton Lane"/>
    <s v="private_equity"/>
  </r>
  <r>
    <x v="9"/>
    <x v="40"/>
    <m/>
    <m/>
    <m/>
    <n v="1050000000"/>
    <s v="pitchbook"/>
    <n v="14.79"/>
    <s v="pitchbook"/>
    <m/>
    <m/>
    <n v="1.1299999999999999E-2"/>
    <s v="pitchbook"/>
    <n v="163"/>
    <n v="1340000000"/>
    <s v="pitchbook"/>
    <n v="53023949"/>
    <s v="N-CSRS"/>
    <m/>
    <m/>
    <m/>
    <m/>
    <m/>
    <m/>
    <m/>
    <m/>
    <m/>
    <m/>
    <s v="Hamilton Lane"/>
    <s v="private_equity"/>
  </r>
  <r>
    <x v="9"/>
    <x v="41"/>
    <m/>
    <m/>
    <m/>
    <n v="1200000000"/>
    <s v="pitchbook"/>
    <n v="14.8"/>
    <s v="pitchbook"/>
    <m/>
    <m/>
    <n v="5.9999999999999995E-4"/>
    <s v="pitchbook"/>
    <m/>
    <m/>
    <m/>
    <m/>
    <m/>
    <m/>
    <m/>
    <m/>
    <m/>
    <m/>
    <m/>
    <m/>
    <m/>
    <m/>
    <m/>
    <s v="Hamilton Lane"/>
    <s v="private_equity"/>
  </r>
  <r>
    <x v="9"/>
    <x v="42"/>
    <m/>
    <m/>
    <m/>
    <n v="1290000000"/>
    <s v="pitchbook"/>
    <n v="15.13"/>
    <s v="pitchbook"/>
    <m/>
    <m/>
    <n v="2.2499999999999999E-2"/>
    <s v="pitchbook"/>
    <m/>
    <m/>
    <m/>
    <m/>
    <m/>
    <m/>
    <m/>
    <m/>
    <m/>
    <m/>
    <m/>
    <m/>
    <m/>
    <m/>
    <m/>
    <s v="Hamilton Lane"/>
    <s v="private_equity"/>
  </r>
  <r>
    <x v="9"/>
    <x v="43"/>
    <m/>
    <m/>
    <m/>
    <n v="1380000000"/>
    <s v="pitchbook"/>
    <n v="15.47"/>
    <s v="pitchbook"/>
    <m/>
    <m/>
    <n v="3.04E-2"/>
    <s v="pitchbook"/>
    <n v="188"/>
    <m/>
    <m/>
    <m/>
    <m/>
    <m/>
    <m/>
    <m/>
    <m/>
    <m/>
    <m/>
    <m/>
    <m/>
    <m/>
    <m/>
    <s v="Hamilton Lane"/>
    <s v="private_equity"/>
  </r>
  <r>
    <x v="9"/>
    <x v="44"/>
    <m/>
    <m/>
    <m/>
    <n v="1520000000"/>
    <s v="pitchbook"/>
    <n v="15.57"/>
    <s v="pitchbook"/>
    <m/>
    <m/>
    <n v="6.6E-3"/>
    <s v="pitchbook"/>
    <m/>
    <m/>
    <m/>
    <m/>
    <m/>
    <m/>
    <m/>
    <m/>
    <m/>
    <m/>
    <m/>
    <m/>
    <m/>
    <m/>
    <m/>
    <s v="Hamilton Lane"/>
    <s v="private_equity"/>
  </r>
  <r>
    <x v="9"/>
    <x v="45"/>
    <m/>
    <m/>
    <m/>
    <n v="1630000000"/>
    <s v="pitchbook"/>
    <n v="15.72"/>
    <s v="pitchbook"/>
    <m/>
    <m/>
    <n v="9.5999999999999992E-3"/>
    <s v="pitchbook"/>
    <m/>
    <m/>
    <m/>
    <m/>
    <m/>
    <m/>
    <m/>
    <m/>
    <m/>
    <m/>
    <m/>
    <m/>
    <m/>
    <m/>
    <m/>
    <s v="Hamilton Lane"/>
    <s v="private_equity"/>
  </r>
  <r>
    <x v="9"/>
    <x v="46"/>
    <m/>
    <m/>
    <m/>
    <n v="1780000000"/>
    <s v="pitchbook"/>
    <n v="15.81"/>
    <s v="pitchbook"/>
    <m/>
    <m/>
    <n v="5.7000000000000002E-3"/>
    <s v="pitchbook"/>
    <n v="213"/>
    <n v="2050000000"/>
    <s v="pitchbook"/>
    <n v="72728591"/>
    <s v="N-CSR"/>
    <m/>
    <m/>
    <m/>
    <m/>
    <m/>
    <m/>
    <m/>
    <m/>
    <m/>
    <m/>
    <s v="Hamilton Lane"/>
    <s v="private_equity"/>
  </r>
  <r>
    <x v="9"/>
    <x v="47"/>
    <m/>
    <m/>
    <m/>
    <n v="1890000000"/>
    <s v="pitchbook"/>
    <n v="15.67"/>
    <s v="pitchbook"/>
    <m/>
    <m/>
    <n v="-8.9999999999999993E-3"/>
    <s v="pitchbook"/>
    <m/>
    <m/>
    <m/>
    <m/>
    <m/>
    <m/>
    <m/>
    <m/>
    <m/>
    <m/>
    <m/>
    <m/>
    <m/>
    <m/>
    <m/>
    <s v="Hamilton Lane"/>
    <s v="private_equity"/>
  </r>
  <r>
    <x v="9"/>
    <x v="48"/>
    <m/>
    <m/>
    <m/>
    <n v="2060000000"/>
    <s v="pitchbook"/>
    <n v="15.81"/>
    <s v="pitchbook"/>
    <m/>
    <m/>
    <n v="9.4000000000000004E-3"/>
    <s v="pitchbook"/>
    <m/>
    <m/>
    <m/>
    <m/>
    <m/>
    <m/>
    <m/>
    <m/>
    <m/>
    <m/>
    <m/>
    <m/>
    <m/>
    <m/>
    <m/>
    <s v="Hamilton Lane"/>
    <s v="private_equity"/>
  </r>
  <r>
    <x v="9"/>
    <x v="49"/>
    <m/>
    <m/>
    <m/>
    <n v="2260000000"/>
    <s v="pitchbook"/>
    <n v="16.170000000000002"/>
    <s v="pitchbook"/>
    <n v="0"/>
    <s v="yfinance"/>
    <n v="2.24E-2"/>
    <s v="pitchbook"/>
    <n v="232"/>
    <m/>
    <m/>
    <m/>
    <m/>
    <m/>
    <m/>
    <m/>
    <m/>
    <m/>
    <m/>
    <m/>
    <m/>
    <m/>
    <m/>
    <s v="Hamilton Lane"/>
    <s v="private_equity"/>
  </r>
  <r>
    <x v="9"/>
    <x v="50"/>
    <m/>
    <m/>
    <m/>
    <n v="2370000000"/>
    <s v="pitchbook"/>
    <n v="16.22"/>
    <s v="pitchbook"/>
    <n v="0"/>
    <s v="yfinance"/>
    <n v="3.3E-3"/>
    <s v="pitchbook"/>
    <m/>
    <m/>
    <m/>
    <m/>
    <m/>
    <m/>
    <m/>
    <m/>
    <m/>
    <m/>
    <m/>
    <m/>
    <m/>
    <m/>
    <m/>
    <s v="Hamilton Lane"/>
    <s v="private_equity"/>
  </r>
  <r>
    <x v="9"/>
    <x v="51"/>
    <m/>
    <m/>
    <m/>
    <n v="2520000000"/>
    <s v="pitchbook"/>
    <n v="16.46"/>
    <s v="pitchbook"/>
    <n v="0"/>
    <s v="yfinance"/>
    <n v="1.44E-2"/>
    <s v="pitchbook"/>
    <m/>
    <m/>
    <m/>
    <m/>
    <m/>
    <m/>
    <m/>
    <m/>
    <m/>
    <m/>
    <m/>
    <m/>
    <m/>
    <m/>
    <m/>
    <s v="Hamilton Lane"/>
    <s v="private_equity"/>
  </r>
  <r>
    <x v="9"/>
    <x v="52"/>
    <m/>
    <m/>
    <m/>
    <n v="2690000000"/>
    <s v="pitchbook"/>
    <n v="16.760000000000002"/>
    <s v="pitchbook"/>
    <n v="0"/>
    <s v="yfinance"/>
    <n v="1.8200000000000001E-2"/>
    <s v="pitchbook"/>
    <n v="253"/>
    <n v="3030000000"/>
    <s v="pitchbook"/>
    <m/>
    <m/>
    <m/>
    <m/>
    <m/>
    <m/>
    <m/>
    <m/>
    <m/>
    <m/>
    <m/>
    <m/>
    <s v="Hamilton Lane"/>
    <s v="private_equity"/>
  </r>
  <r>
    <x v="9"/>
    <x v="53"/>
    <m/>
    <m/>
    <m/>
    <n v="2800000000"/>
    <s v="pitchbook"/>
    <n v="16.670000000000002"/>
    <s v="pitchbook"/>
    <n v="0"/>
    <s v="yfinance"/>
    <n v="-5.3E-3"/>
    <s v="pitchbook"/>
    <m/>
    <m/>
    <m/>
    <m/>
    <m/>
    <m/>
    <m/>
    <m/>
    <m/>
    <m/>
    <m/>
    <m/>
    <m/>
    <m/>
    <m/>
    <s v="Hamilton Lane"/>
    <s v="private_equity"/>
  </r>
  <r>
    <x v="9"/>
    <x v="54"/>
    <m/>
    <m/>
    <m/>
    <n v="2990000000"/>
    <s v="pitchbook"/>
    <n v="17.059999999999999"/>
    <s v="pitchbook"/>
    <n v="0"/>
    <s v="yfinance"/>
    <n v="2.3699999999999999E-2"/>
    <s v="pitchbook"/>
    <m/>
    <m/>
    <m/>
    <m/>
    <m/>
    <m/>
    <m/>
    <m/>
    <m/>
    <m/>
    <m/>
    <m/>
    <m/>
    <m/>
    <m/>
    <s v="Hamilton Lane"/>
    <s v="private_equity"/>
  </r>
  <r>
    <x v="9"/>
    <x v="55"/>
    <m/>
    <m/>
    <m/>
    <n v="3110000000"/>
    <s v="pitchbook"/>
    <n v="16.77"/>
    <s v="pitchbook"/>
    <n v="0"/>
    <s v="yfinance"/>
    <n v="-3.3999999999999998E-3"/>
    <s v="pitchbook"/>
    <n v="260"/>
    <m/>
    <m/>
    <m/>
    <m/>
    <m/>
    <m/>
    <m/>
    <m/>
    <m/>
    <m/>
    <m/>
    <m/>
    <m/>
    <m/>
    <s v="Hamilton Lane"/>
    <s v="private_equity"/>
  </r>
  <r>
    <x v="9"/>
    <x v="56"/>
    <m/>
    <m/>
    <m/>
    <n v="3280000000"/>
    <s v="pitchbook"/>
    <n v="17.04"/>
    <s v="pitchbook"/>
    <n v="0"/>
    <s v="yfinance"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57"/>
    <m/>
    <m/>
    <m/>
    <n v="3440000000"/>
    <s v="pitchbook"/>
    <n v="17.18"/>
    <s v="pitchbook"/>
    <n v="0"/>
    <s v="yfinance"/>
    <n v="8.2000000000000007E-3"/>
    <s v="pitchbook"/>
    <m/>
    <m/>
    <m/>
    <m/>
    <m/>
    <m/>
    <m/>
    <m/>
    <m/>
    <m/>
    <m/>
    <m/>
    <m/>
    <m/>
    <m/>
    <s v="Hamilton Lane"/>
    <s v="private_equity"/>
  </r>
  <r>
    <x v="9"/>
    <x v="58"/>
    <m/>
    <m/>
    <m/>
    <n v="3630000000"/>
    <s v="pitchbook"/>
    <n v="17.399999999999999"/>
    <s v="pitchbook"/>
    <n v="0"/>
    <s v="yfinance"/>
    <n v="1.29E-2"/>
    <s v="pitchbook"/>
    <n v="271"/>
    <n v="3940000000"/>
    <s v="pitchbook"/>
    <n v="123601931"/>
    <s v="N-CSR"/>
    <m/>
    <m/>
    <m/>
    <m/>
    <m/>
    <m/>
    <m/>
    <m/>
    <m/>
    <m/>
    <s v="Hamilton Lane"/>
    <s v="private_equity"/>
  </r>
  <r>
    <x v="9"/>
    <x v="59"/>
    <m/>
    <m/>
    <m/>
    <n v="3800000000"/>
    <s v="pitchbook"/>
    <n v="17.64"/>
    <s v="pitchbook"/>
    <n v="0"/>
    <s v="yfinance"/>
    <n v="1.35E-2"/>
    <s v="pitchbook"/>
    <m/>
    <m/>
    <m/>
    <m/>
    <m/>
    <m/>
    <m/>
    <m/>
    <m/>
    <m/>
    <m/>
    <m/>
    <m/>
    <m/>
    <m/>
    <s v="Hamilton Lane"/>
    <s v="private_equity"/>
  </r>
  <r>
    <x v="9"/>
    <x v="60"/>
    <m/>
    <m/>
    <m/>
    <n v="4000000000"/>
    <s v="pitchbook"/>
    <n v="18.100000000000001"/>
    <s v="pitchbook"/>
    <n v="0"/>
    <s v="yfinance"/>
    <n v="2.63E-2"/>
    <s v="pitchbook"/>
    <m/>
    <m/>
    <m/>
    <m/>
    <m/>
    <m/>
    <m/>
    <m/>
    <m/>
    <m/>
    <m/>
    <m/>
    <m/>
    <m/>
    <m/>
    <s v="Hamilton Lane"/>
    <s v="private_equity"/>
  </r>
  <r>
    <x v="9"/>
    <x v="61"/>
    <m/>
    <m/>
    <m/>
    <n v="4230000000"/>
    <s v="pitchbook"/>
    <n v="18.57"/>
    <s v="pitchbook"/>
    <n v="0"/>
    <s v="yfinance"/>
    <n v="2.5899999999999999E-2"/>
    <s v="pitchbook"/>
    <n v="289"/>
    <m/>
    <m/>
    <m/>
    <m/>
    <m/>
    <m/>
    <m/>
    <m/>
    <m/>
    <m/>
    <m/>
    <m/>
    <m/>
    <m/>
    <s v="Hamilton Lane"/>
    <s v="private_equity"/>
  </r>
  <r>
    <x v="9"/>
    <x v="62"/>
    <m/>
    <m/>
    <m/>
    <n v="4360000000"/>
    <s v="pitchbook"/>
    <n v="18.64"/>
    <s v="pitchbook"/>
    <m/>
    <m/>
    <n v="3.7000000000000002E-3"/>
    <s v="pitchbook"/>
    <m/>
    <m/>
    <m/>
    <m/>
    <m/>
    <m/>
    <m/>
    <m/>
    <m/>
    <m/>
    <m/>
    <m/>
    <m/>
    <m/>
    <m/>
    <s v="Hamilton Lane"/>
    <s v="private_equity"/>
  </r>
  <r>
    <x v="9"/>
    <x v="63"/>
    <m/>
    <m/>
    <m/>
    <n v="4490000000"/>
    <s v="pitchbook"/>
    <n v="18.510000000000002"/>
    <s v="pitchbook"/>
    <m/>
    <m/>
    <n v="-6.7000000000000002E-3"/>
    <s v="pitchbook"/>
    <m/>
    <m/>
    <m/>
    <m/>
    <m/>
    <m/>
    <m/>
    <m/>
    <m/>
    <m/>
    <m/>
    <m/>
    <m/>
    <m/>
    <m/>
    <s v="Hamilton Lane"/>
    <s v="private_equity"/>
  </r>
  <r>
    <x v="9"/>
    <x v="64"/>
    <m/>
    <m/>
    <m/>
    <n v="4760000000"/>
    <s v="pitchbook"/>
    <n v="18.88"/>
    <s v="pitchbook"/>
    <m/>
    <m/>
    <n v="1.9900000000000001E-2"/>
    <s v="pitchbook"/>
    <n v="298"/>
    <n v="5030000000"/>
    <s v="pitchbook"/>
    <n v="150025625"/>
    <s v="N-CSRS"/>
    <m/>
    <m/>
    <m/>
    <m/>
    <m/>
    <m/>
    <m/>
    <m/>
    <m/>
    <m/>
    <s v="Hamilton Lane"/>
    <s v="private_equity"/>
  </r>
  <r>
    <x v="9"/>
    <x v="65"/>
    <m/>
    <m/>
    <m/>
    <n v="4970000000"/>
    <s v="pitchbook"/>
    <n v="19.23"/>
    <s v="pitchbook"/>
    <m/>
    <m/>
    <n v="1.8499999999999999E-2"/>
    <s v="pitchbook"/>
    <m/>
    <m/>
    <m/>
    <m/>
    <m/>
    <m/>
    <m/>
    <m/>
    <m/>
    <m/>
    <m/>
    <m/>
    <m/>
    <m/>
    <m/>
    <s v="Hamilton Lane"/>
    <s v="private_equity"/>
  </r>
  <r>
    <x v="9"/>
    <x v="66"/>
    <m/>
    <m/>
    <m/>
    <n v="5120000000"/>
    <s v="pitchbook"/>
    <n v="19.23"/>
    <s v="pitchbook"/>
    <m/>
    <m/>
    <n v="-1E-4"/>
    <s v="pitchbook"/>
    <m/>
    <m/>
    <m/>
    <m/>
    <m/>
    <m/>
    <m/>
    <m/>
    <m/>
    <m/>
    <m/>
    <m/>
    <m/>
    <m/>
    <m/>
    <s v="Hamilton Lane"/>
    <s v="private_equity"/>
  </r>
  <r>
    <x v="9"/>
    <x v="67"/>
    <m/>
    <n v="10000000"/>
    <s v="black diamond"/>
    <n v="5310000000"/>
    <s v="pitchbook"/>
    <n v="19.12"/>
    <s v="pitchbook"/>
    <m/>
    <m/>
    <n v="1.1599999999999999E-2"/>
    <s v="pitchbook"/>
    <n v="309"/>
    <m/>
    <m/>
    <m/>
    <m/>
    <m/>
    <m/>
    <m/>
    <m/>
    <m/>
    <m/>
    <m/>
    <m/>
    <m/>
    <m/>
    <s v="Hamilton Lane"/>
    <s v="private_equity"/>
  </r>
  <r>
    <x v="9"/>
    <x v="68"/>
    <m/>
    <n v="10159296.289999999"/>
    <s v="icapital"/>
    <n v="5490000000"/>
    <s v="pitchbook"/>
    <n v="19.43"/>
    <s v="pitchbook"/>
    <m/>
    <m/>
    <n v="1.5900000000000001E-2"/>
    <s v="pitchbook"/>
    <m/>
    <m/>
    <m/>
    <m/>
    <m/>
    <n v="522968.78899999999"/>
    <s v="icapital"/>
    <n v="10000000"/>
    <s v="icapital"/>
    <n v="0"/>
    <s v="morgan stanley statement"/>
    <n v="0"/>
    <s v="morgan stanley statement"/>
    <m/>
    <m/>
    <s v="Hamilton Lane"/>
    <s v="private_equity"/>
  </r>
  <r>
    <x v="9"/>
    <x v="69"/>
    <m/>
    <n v="10217502.720000001"/>
    <s v="icapital"/>
    <n v="5630000000"/>
    <s v="pitchbook"/>
    <n v="19.54"/>
    <s v="pitchbook"/>
    <m/>
    <m/>
    <n v="5.7000000000000002E-3"/>
    <s v="pitchbook"/>
    <m/>
    <m/>
    <m/>
    <m/>
    <m/>
    <n v="522968.78899999999"/>
    <s v="icapital"/>
    <n v="0"/>
    <s v="morgan stanley statement"/>
    <n v="0"/>
    <s v="morgan stanley statement"/>
    <n v="0"/>
    <s v="morgan stanley statement"/>
    <m/>
    <m/>
    <s v="Hamilton Lane"/>
    <s v="private_equity"/>
  </r>
  <r>
    <x v="9"/>
    <x v="70"/>
    <m/>
    <n v="10211436.279999999"/>
    <s v="icapital"/>
    <n v="5800000000"/>
    <s v="pitchbook"/>
    <n v="19.53"/>
    <s v="pitchbook"/>
    <m/>
    <m/>
    <n v="-5.9999999999999995E-4"/>
    <s v="pitchbook"/>
    <n v="328"/>
    <m/>
    <m/>
    <m/>
    <m/>
    <n v="522968.78899999999"/>
    <s v="icapital"/>
    <n v="0"/>
    <s v="icapital"/>
    <n v="0"/>
    <s v="icapital"/>
    <n v="0"/>
    <s v="icapital"/>
    <m/>
    <m/>
    <s v="Hamilton Lane"/>
    <s v="private_equity"/>
  </r>
  <r>
    <x v="9"/>
    <x v="71"/>
    <m/>
    <m/>
    <m/>
    <n v="6070000000"/>
    <s v="pitchbook"/>
    <n v="20.28"/>
    <s v="pitchbook"/>
    <m/>
    <m/>
    <n v="3.8800000000000001E-2"/>
    <s v="pitchbook"/>
    <m/>
    <m/>
    <m/>
    <m/>
    <m/>
    <m/>
    <m/>
    <m/>
    <m/>
    <m/>
    <m/>
    <m/>
    <m/>
    <m/>
    <m/>
    <s v="Hamilton Lane"/>
    <s v="private_equity"/>
  </r>
  <r>
    <x v="9"/>
    <x v="72"/>
    <m/>
    <m/>
    <m/>
    <m/>
    <m/>
    <m/>
    <m/>
    <m/>
    <m/>
    <m/>
    <m/>
    <m/>
    <m/>
    <m/>
    <m/>
    <m/>
    <m/>
    <m/>
    <m/>
    <m/>
    <m/>
    <m/>
    <m/>
    <m/>
    <m/>
    <m/>
    <s v="Hamilton Lane"/>
    <s v="private_equity"/>
  </r>
  <r>
    <x v="10"/>
    <x v="38"/>
    <m/>
    <m/>
    <m/>
    <m/>
    <m/>
    <n v="12.29"/>
    <s v="pitchbook"/>
    <m/>
    <m/>
    <m/>
    <m/>
    <m/>
    <m/>
    <m/>
    <m/>
    <m/>
    <m/>
    <m/>
    <m/>
    <m/>
    <m/>
    <m/>
    <m/>
    <m/>
    <m/>
    <m/>
    <s v="JPMF"/>
    <s v="private_equity"/>
  </r>
  <r>
    <x v="10"/>
    <x v="39"/>
    <m/>
    <m/>
    <m/>
    <m/>
    <m/>
    <n v="12.31"/>
    <s v="pitchbook"/>
    <m/>
    <m/>
    <n v="1.6000000000000001E-3"/>
    <s v="pitchbook"/>
    <m/>
    <m/>
    <m/>
    <m/>
    <m/>
    <m/>
    <m/>
    <m/>
    <m/>
    <m/>
    <m/>
    <m/>
    <m/>
    <m/>
    <m/>
    <s v="JPMF"/>
    <s v="private_equity"/>
  </r>
  <r>
    <x v="10"/>
    <x v="40"/>
    <m/>
    <m/>
    <m/>
    <m/>
    <m/>
    <n v="12.78"/>
    <s v="pitchbook"/>
    <m/>
    <m/>
    <n v="3.8199999999999998E-2"/>
    <s v="pitchbook"/>
    <n v="10"/>
    <m/>
    <m/>
    <n v="8398982"/>
    <s v="N-CSRS"/>
    <m/>
    <m/>
    <m/>
    <m/>
    <m/>
    <m/>
    <m/>
    <m/>
    <m/>
    <m/>
    <s v="JPMF"/>
    <s v="private_equity"/>
  </r>
  <r>
    <x v="10"/>
    <x v="41"/>
    <m/>
    <m/>
    <m/>
    <m/>
    <m/>
    <n v="12.71"/>
    <s v="pitchbook"/>
    <m/>
    <m/>
    <n v="-5.4999999999999997E-3"/>
    <s v="pitchbook"/>
    <m/>
    <m/>
    <m/>
    <m/>
    <m/>
    <m/>
    <m/>
    <m/>
    <m/>
    <m/>
    <m/>
    <m/>
    <m/>
    <m/>
    <m/>
    <s v="JPMF"/>
    <s v="private_equity"/>
  </r>
  <r>
    <x v="10"/>
    <x v="42"/>
    <m/>
    <m/>
    <m/>
    <m/>
    <m/>
    <n v="12.9"/>
    <s v="pitchbook"/>
    <m/>
    <m/>
    <n v="1.49E-2"/>
    <s v="pitchbook"/>
    <m/>
    <m/>
    <m/>
    <m/>
    <m/>
    <m/>
    <m/>
    <m/>
    <m/>
    <m/>
    <m/>
    <m/>
    <m/>
    <m/>
    <m/>
    <s v="JPMF"/>
    <s v="private_equity"/>
  </r>
  <r>
    <x v="10"/>
    <x v="43"/>
    <m/>
    <m/>
    <m/>
    <m/>
    <m/>
    <n v="13.4"/>
    <s v="pitchbook"/>
    <m/>
    <m/>
    <n v="3.8800000000000001E-2"/>
    <s v="pitchbook"/>
    <n v="17"/>
    <m/>
    <m/>
    <m/>
    <m/>
    <m/>
    <m/>
    <m/>
    <m/>
    <m/>
    <m/>
    <m/>
    <m/>
    <m/>
    <m/>
    <s v="JPMF"/>
    <s v="private_equity"/>
  </r>
  <r>
    <x v="10"/>
    <x v="44"/>
    <m/>
    <m/>
    <m/>
    <m/>
    <m/>
    <n v="13.43"/>
    <s v="pitchbook"/>
    <m/>
    <m/>
    <n v="2.2000000000000001E-3"/>
    <s v="pitchbook"/>
    <m/>
    <m/>
    <m/>
    <m/>
    <m/>
    <m/>
    <m/>
    <m/>
    <m/>
    <m/>
    <m/>
    <m/>
    <m/>
    <m/>
    <m/>
    <s v="JPMF"/>
    <s v="private_equity"/>
  </r>
  <r>
    <x v="10"/>
    <x v="45"/>
    <m/>
    <m/>
    <m/>
    <m/>
    <m/>
    <n v="13.53"/>
    <s v="pitchbook"/>
    <m/>
    <m/>
    <n v="7.4000000000000003E-3"/>
    <s v="pitchbook"/>
    <m/>
    <m/>
    <m/>
    <m/>
    <m/>
    <m/>
    <m/>
    <m/>
    <m/>
    <m/>
    <m/>
    <m/>
    <m/>
    <m/>
    <m/>
    <s v="JPMF"/>
    <s v="private_equity"/>
  </r>
  <r>
    <x v="10"/>
    <x v="46"/>
    <m/>
    <m/>
    <m/>
    <m/>
    <m/>
    <n v="14.29"/>
    <s v="pitchbook"/>
    <m/>
    <m/>
    <n v="5.62E-2"/>
    <s v="pitchbook"/>
    <n v="26"/>
    <m/>
    <m/>
    <n v="13090812"/>
    <s v="N-CSR"/>
    <m/>
    <m/>
    <m/>
    <m/>
    <m/>
    <m/>
    <m/>
    <m/>
    <m/>
    <m/>
    <s v="JPMF"/>
    <s v="private_equity"/>
  </r>
  <r>
    <x v="10"/>
    <x v="47"/>
    <m/>
    <m/>
    <m/>
    <m/>
    <m/>
    <n v="14.61"/>
    <s v="pitchbook"/>
    <m/>
    <m/>
    <n v="2.24E-2"/>
    <s v="pitchbook"/>
    <m/>
    <m/>
    <m/>
    <m/>
    <m/>
    <m/>
    <m/>
    <m/>
    <m/>
    <m/>
    <m/>
    <m/>
    <m/>
    <m/>
    <m/>
    <s v="JPMF"/>
    <s v="private_equity"/>
  </r>
  <r>
    <x v="10"/>
    <x v="48"/>
    <m/>
    <m/>
    <m/>
    <m/>
    <m/>
    <n v="15.06"/>
    <s v="pitchbook"/>
    <m/>
    <m/>
    <n v="3.0800000000000001E-2"/>
    <s v="pitchbook"/>
    <m/>
    <m/>
    <m/>
    <m/>
    <m/>
    <m/>
    <m/>
    <m/>
    <m/>
    <m/>
    <m/>
    <m/>
    <m/>
    <m/>
    <m/>
    <s v="JPMF"/>
    <s v="private_equity"/>
  </r>
  <r>
    <x v="10"/>
    <x v="49"/>
    <m/>
    <m/>
    <m/>
    <m/>
    <m/>
    <n v="15.19"/>
    <s v="pitchbook"/>
    <m/>
    <m/>
    <n v="8.6E-3"/>
    <s v="pitchbook"/>
    <n v="36"/>
    <m/>
    <m/>
    <m/>
    <m/>
    <m/>
    <m/>
    <m/>
    <m/>
    <m/>
    <m/>
    <m/>
    <m/>
    <m/>
    <m/>
    <s v="JPMF"/>
    <s v="private_equity"/>
  </r>
  <r>
    <x v="10"/>
    <x v="50"/>
    <m/>
    <m/>
    <m/>
    <m/>
    <m/>
    <n v="15.2"/>
    <s v="pitchbook"/>
    <m/>
    <m/>
    <n v="6.9999999999999999E-4"/>
    <s v="pitchbook"/>
    <m/>
    <m/>
    <m/>
    <m/>
    <m/>
    <m/>
    <m/>
    <m/>
    <m/>
    <m/>
    <m/>
    <m/>
    <m/>
    <m/>
    <m/>
    <s v="JPMF"/>
    <s v="private_equity"/>
  </r>
  <r>
    <x v="10"/>
    <x v="51"/>
    <m/>
    <m/>
    <m/>
    <m/>
    <m/>
    <n v="15.24"/>
    <s v="pitchbook"/>
    <m/>
    <m/>
    <n v="2.5999999999999999E-3"/>
    <s v="pitchbook"/>
    <m/>
    <m/>
    <m/>
    <m/>
    <m/>
    <m/>
    <m/>
    <m/>
    <m/>
    <m/>
    <m/>
    <m/>
    <m/>
    <m/>
    <m/>
    <s v="JPMF"/>
    <s v="private_equity"/>
  </r>
  <r>
    <x v="10"/>
    <x v="52"/>
    <m/>
    <m/>
    <m/>
    <m/>
    <m/>
    <n v="15.37"/>
    <s v="pitchbook"/>
    <m/>
    <m/>
    <n v="8.5000000000000006E-3"/>
    <s v="pitchbook"/>
    <n v="45"/>
    <m/>
    <m/>
    <n v="19419769"/>
    <s v="N-CSRS"/>
    <m/>
    <m/>
    <m/>
    <m/>
    <m/>
    <m/>
    <m/>
    <m/>
    <m/>
    <m/>
    <s v="JPMF"/>
    <s v="private_equity"/>
  </r>
  <r>
    <x v="10"/>
    <x v="53"/>
    <m/>
    <m/>
    <m/>
    <m/>
    <m/>
    <n v="15.69"/>
    <s v="pitchbook"/>
    <m/>
    <m/>
    <n v="2.0799999999999999E-2"/>
    <s v="pitchbook"/>
    <m/>
    <m/>
    <m/>
    <m/>
    <m/>
    <m/>
    <m/>
    <m/>
    <m/>
    <m/>
    <m/>
    <m/>
    <m/>
    <m/>
    <m/>
    <s v="JPMF"/>
    <s v="private_equity"/>
  </r>
  <r>
    <x v="10"/>
    <x v="54"/>
    <m/>
    <m/>
    <m/>
    <m/>
    <m/>
    <n v="15.69"/>
    <s v="pitchbook"/>
    <m/>
    <m/>
    <n v="0"/>
    <s v="pitchbook"/>
    <m/>
    <m/>
    <m/>
    <m/>
    <m/>
    <m/>
    <m/>
    <m/>
    <m/>
    <m/>
    <m/>
    <m/>
    <m/>
    <m/>
    <m/>
    <s v="JPMF"/>
    <s v="private_equity"/>
  </r>
  <r>
    <x v="10"/>
    <x v="55"/>
    <m/>
    <m/>
    <m/>
    <m/>
    <m/>
    <n v="15.83"/>
    <s v="pitchbook"/>
    <m/>
    <m/>
    <n v="8.8999999999999999E-3"/>
    <s v="pitchbook"/>
    <n v="61"/>
    <m/>
    <m/>
    <m/>
    <m/>
    <m/>
    <m/>
    <m/>
    <m/>
    <m/>
    <m/>
    <m/>
    <m/>
    <m/>
    <m/>
    <s v="JPMF"/>
    <s v="private_equity"/>
  </r>
  <r>
    <x v="10"/>
    <x v="56"/>
    <m/>
    <m/>
    <m/>
    <m/>
    <m/>
    <n v="15.95"/>
    <s v="pitchbook"/>
    <m/>
    <m/>
    <n v="7.6E-3"/>
    <s v="pitchbook"/>
    <m/>
    <m/>
    <m/>
    <m/>
    <m/>
    <m/>
    <m/>
    <m/>
    <m/>
    <m/>
    <m/>
    <m/>
    <m/>
    <m/>
    <m/>
    <s v="JPMF"/>
    <s v="private_equity"/>
  </r>
  <r>
    <x v="10"/>
    <x v="57"/>
    <m/>
    <m/>
    <m/>
    <m/>
    <m/>
    <n v="16"/>
    <s v="pitchbook"/>
    <m/>
    <m/>
    <n v="3.3E-3"/>
    <s v="pitchbook"/>
    <m/>
    <m/>
    <m/>
    <m/>
    <m/>
    <m/>
    <m/>
    <m/>
    <m/>
    <m/>
    <m/>
    <m/>
    <m/>
    <m/>
    <m/>
    <s v="JPMF"/>
    <s v="private_equity"/>
  </r>
  <r>
    <x v="10"/>
    <x v="58"/>
    <m/>
    <m/>
    <m/>
    <n v="999150000"/>
    <s v="pitchbook"/>
    <n v="16.3"/>
    <s v="pitchbook"/>
    <m/>
    <m/>
    <n v="1.8599999999999998E-2"/>
    <s v="pitchbook"/>
    <n v="75"/>
    <n v="1020000000"/>
    <s v="pitchbook"/>
    <n v="28166468"/>
    <s v="N-CSR"/>
    <m/>
    <m/>
    <m/>
    <m/>
    <m/>
    <m/>
    <m/>
    <m/>
    <m/>
    <m/>
    <s v="JPMF"/>
    <s v="private_equity"/>
  </r>
  <r>
    <x v="10"/>
    <x v="59"/>
    <m/>
    <m/>
    <m/>
    <m/>
    <m/>
    <n v="16.440000000000001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0"/>
    <m/>
    <m/>
    <m/>
    <m/>
    <m/>
    <n v="16.559999999999999"/>
    <s v="pitchbook"/>
    <m/>
    <m/>
    <n v="7.3000000000000001E-3"/>
    <s v="pitchbook"/>
    <m/>
    <m/>
    <m/>
    <m/>
    <m/>
    <m/>
    <m/>
    <m/>
    <m/>
    <m/>
    <m/>
    <m/>
    <m/>
    <m/>
    <m/>
    <s v="JPMF"/>
    <s v="private_equity"/>
  </r>
  <r>
    <x v="10"/>
    <x v="61"/>
    <m/>
    <m/>
    <m/>
    <m/>
    <m/>
    <n v="16.87"/>
    <s v="pitchbook"/>
    <m/>
    <m/>
    <n v="1.8700000000000001E-2"/>
    <s v="pitchbook"/>
    <n v="95"/>
    <m/>
    <m/>
    <m/>
    <m/>
    <m/>
    <m/>
    <m/>
    <m/>
    <m/>
    <m/>
    <m/>
    <m/>
    <m/>
    <m/>
    <s v="JPMF"/>
    <s v="private_equity"/>
  </r>
  <r>
    <x v="10"/>
    <x v="62"/>
    <m/>
    <m/>
    <m/>
    <m/>
    <m/>
    <n v="17.010000000000002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3"/>
    <m/>
    <m/>
    <m/>
    <m/>
    <m/>
    <n v="17.21"/>
    <s v="pitchbook"/>
    <m/>
    <m/>
    <n v="1.12E-2"/>
    <s v="pitchbook"/>
    <m/>
    <m/>
    <m/>
    <m/>
    <m/>
    <m/>
    <m/>
    <m/>
    <m/>
    <m/>
    <m/>
    <m/>
    <m/>
    <m/>
    <m/>
    <s v="JPMF"/>
    <s v="private_equity"/>
  </r>
  <r>
    <x v="10"/>
    <x v="64"/>
    <m/>
    <m/>
    <m/>
    <n v="1430000000"/>
    <s v="pitchbook"/>
    <n v="17.350000000000001"/>
    <s v="pitchbook"/>
    <m/>
    <m/>
    <n v="8.6E-3"/>
    <s v="pitchbook"/>
    <n v="100"/>
    <n v="1480000000"/>
    <s v="pitchbook"/>
    <n v="36369168"/>
    <s v="N-CSRS"/>
    <m/>
    <m/>
    <m/>
    <m/>
    <m/>
    <m/>
    <m/>
    <m/>
    <m/>
    <m/>
    <s v="JPMF"/>
    <s v="private_equity"/>
  </r>
  <r>
    <x v="10"/>
    <x v="65"/>
    <m/>
    <m/>
    <m/>
    <n v="1450000000"/>
    <s v="pitchbook"/>
    <n v="17.579999999999998"/>
    <s v="pitchbook"/>
    <m/>
    <m/>
    <n v="1.2800000000000001E-2"/>
    <s v="pitchbook"/>
    <m/>
    <m/>
    <m/>
    <m/>
    <m/>
    <m/>
    <m/>
    <m/>
    <m/>
    <m/>
    <m/>
    <m/>
    <m/>
    <m/>
    <m/>
    <s v="JPMF"/>
    <s v="private_equity"/>
  </r>
  <r>
    <x v="10"/>
    <x v="66"/>
    <m/>
    <m/>
    <m/>
    <n v="1500000000"/>
    <s v="pitchbook"/>
    <n v="17.489999999999998"/>
    <s v="pitchbook"/>
    <n v="0.15"/>
    <s v="pitchbook"/>
    <n v="4.0000000000000001E-3"/>
    <s v="pitchbook"/>
    <m/>
    <m/>
    <m/>
    <m/>
    <m/>
    <m/>
    <m/>
    <m/>
    <m/>
    <m/>
    <m/>
    <m/>
    <m/>
    <m/>
    <m/>
    <s v="JPMF"/>
    <s v="private_equity"/>
  </r>
  <r>
    <x v="10"/>
    <x v="67"/>
    <m/>
    <n v="10000000"/>
    <s v="black diamond"/>
    <n v="1570000000"/>
    <s v="pitchbook"/>
    <n v="17.78"/>
    <s v="pitchbook"/>
    <m/>
    <m/>
    <n v="1.6400000000000001E-2"/>
    <s v="pitchbook"/>
    <n v="115"/>
    <m/>
    <m/>
    <m/>
    <m/>
    <m/>
    <m/>
    <m/>
    <m/>
    <m/>
    <m/>
    <m/>
    <m/>
    <m/>
    <m/>
    <s v="JPMF"/>
    <s v="private_equity"/>
  </r>
  <r>
    <x v="10"/>
    <x v="68"/>
    <m/>
    <n v="10000000"/>
    <s v="morgan stanley statement"/>
    <n v="1590000000"/>
    <s v="pitchbook"/>
    <n v="17.96"/>
    <s v="pitchbook"/>
    <m/>
    <m/>
    <n v="1.03E-2"/>
    <s v="pitchbook"/>
    <m/>
    <m/>
    <m/>
    <m/>
    <m/>
    <n v="562467.65800000005"/>
    <s v="morgan stanley statement"/>
    <n v="10000000"/>
    <s v="morgan stanley statement"/>
    <n v="0"/>
    <s v="morgan stanley statement"/>
    <n v="0"/>
    <s v="morgan stanley statement"/>
    <m/>
    <m/>
    <s v="JPMF"/>
    <s v="private_equity"/>
  </r>
  <r>
    <x v="10"/>
    <x v="69"/>
    <m/>
    <n v="10107431.32"/>
    <s v="icapital"/>
    <n v="1640000000"/>
    <s v="pitchbook"/>
    <n v="17.97"/>
    <s v="pitchbook"/>
    <m/>
    <m/>
    <n v="4.0000000000000002E-4"/>
    <s v="pitchbook"/>
    <m/>
    <m/>
    <m/>
    <m/>
    <m/>
    <n v="562467.65800000005"/>
    <s v="icapital"/>
    <n v="0"/>
    <s v="morgan stanley statement"/>
    <n v="0"/>
    <s v="morgan stanley statement"/>
    <n v="0"/>
    <s v="morgan stanley statement"/>
    <m/>
    <m/>
    <s v="JPMF"/>
    <s v="private_equity"/>
  </r>
  <r>
    <x v="10"/>
    <x v="70"/>
    <m/>
    <n v="10093875.85"/>
    <s v="icapital"/>
    <n v="1680000000"/>
    <s v="pitchbook"/>
    <n v="17.95"/>
    <s v="pitchbook"/>
    <m/>
    <m/>
    <n v="-1.2999999999999999E-3"/>
    <s v="pitchbook"/>
    <n v="124"/>
    <m/>
    <m/>
    <m/>
    <m/>
    <n v="562467.65800000005"/>
    <s v="icapital"/>
    <n v="0"/>
    <s v="icapital"/>
    <n v="0"/>
    <s v="icapital"/>
    <n v="0"/>
    <s v="icapital"/>
    <m/>
    <m/>
    <s v="JPMF"/>
    <s v="private_equity"/>
  </r>
  <r>
    <x v="10"/>
    <x v="71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  <r>
    <x v="10"/>
    <x v="72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C420F-144C-4038-82E3-2F1841247E31}" name="FundPerf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3:F15" firstHeaderRow="0" firstDataRow="1" firstDataCol="2"/>
  <pivotFields count="30">
    <pivotField axis="axisRow" compact="0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axis="axisRow" compact="0" numFmtId="14" showAll="0">
      <items count="129"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nthly_return " fld="11" subtotal="average" baseField="0" baseItem="0" numFmtId="10"/>
    <dataField name="sgg_nav " fld="3" baseField="0" baseItem="0" numFmtId="167"/>
    <dataField name="nav_per_share " fld="7" subtotal="average" baseField="0" baseItem="0" numFmtId="168"/>
  </dataFields>
  <formats count="32">
    <format dxfId="31">
      <pivotArea dataOnly="0" labelOnly="1" grandRow="1" outline="0" fieldPosition="0"/>
    </format>
    <format dxfId="30">
      <pivotArea dataOnly="0" labelOnly="1" outline="0" fieldPosition="0">
        <references count="2">
          <reference field="0" count="1" selected="0">
            <x v="0"/>
          </reference>
          <reference field="1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0"/>
          </reference>
          <reference field="1" count="23"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"/>
          </reference>
          <reference field="1" count="42"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2"/>
          </reference>
          <reference field="1" count="50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1" count="10"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3"/>
          </reference>
          <reference field="1" count="24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4"/>
          </reference>
          <reference field="1" count="25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1" count="50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5"/>
          </reference>
          <reference field="1" count="18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6"/>
          </reference>
          <reference field="1" count="43"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7"/>
          </reference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7"/>
          </reference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7"/>
          </reference>
          <reference field="1" count="2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8"/>
          </reference>
          <reference field="1" count="17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9"/>
          </reference>
          <reference field="1" count="50"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9"/>
          </reference>
          <reference field="1" count="15"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0"/>
          </reference>
          <reference field="1" count="35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3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0" count="1">
            <x v="0"/>
          </reference>
        </references>
      </pivotArea>
    </format>
    <format dxfId="9">
      <pivotArea dataOnly="0" labelOnly="1" outline="0" fieldPosition="0">
        <references count="1">
          <reference field="0" count="1">
            <x v="1"/>
          </reference>
        </references>
      </pivotArea>
    </format>
    <format dxfId="8">
      <pivotArea dataOnly="0" labelOnly="1" outline="0" fieldPosition="0">
        <references count="1">
          <reference field="0" count="1">
            <x v="2"/>
          </reference>
        </references>
      </pivotArea>
    </format>
    <format dxfId="7">
      <pivotArea dataOnly="0" labelOnly="1" outline="0" fieldPosition="0">
        <references count="1">
          <reference field="0" count="1">
            <x v="3"/>
          </reference>
        </references>
      </pivotArea>
    </format>
    <format dxfId="6">
      <pivotArea dataOnly="0" labelOnly="1" outline="0" fieldPosition="0">
        <references count="1">
          <reference field="0" count="1">
            <x v="4"/>
          </reference>
        </references>
      </pivotArea>
    </format>
    <format dxfId="5">
      <pivotArea dataOnly="0" labelOnly="1" outline="0" fieldPosition="0">
        <references count="1">
          <reference field="0" count="1">
            <x v="5"/>
          </reference>
        </references>
      </pivotArea>
    </format>
    <format dxfId="4">
      <pivotArea dataOnly="0" labelOnly="1" outline="0" fieldPosition="0">
        <references count="1">
          <reference field="0" count="1">
            <x v="6"/>
          </reference>
        </references>
      </pivotArea>
    </format>
    <format dxfId="3">
      <pivotArea dataOnly="0" labelOnly="1" outline="0" fieldPosition="0">
        <references count="1">
          <reference field="0" count="1">
            <x v="7"/>
          </reference>
        </references>
      </pivotArea>
    </format>
    <format dxfId="2">
      <pivotArea dataOnly="0" labelOnly="1" outline="0" fieldPosition="0">
        <references count="1">
          <reference field="0" count="1">
            <x v="8"/>
          </reference>
        </references>
      </pivotArea>
    </format>
    <format dxfId="1">
      <pivotArea dataOnly="0" labelOnly="1" outline="0" fieldPosition="0">
        <references count="1">
          <reference field="0" count="1">
            <x v="9"/>
          </reference>
        </references>
      </pivotArea>
    </format>
    <format dxfId="0">
      <pivotArea dataOnly="0" labelOnly="1" outline="0" fieldPosition="0">
        <references count="1">
          <reference field="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085FE-2973-4DDA-B9DC-C50A42DF082C}" name="FundPerfTbl" displayName="FundPerfTbl" ref="A1:AI581" totalsRowShown="0">
  <autoFilter ref="A1:AI581" xr:uid="{FA4085FE-2973-4DDA-B9DC-C50A42DF082C}"/>
  <tableColumns count="35">
    <tableColumn id="1" xr3:uid="{C1A4CF92-E199-4B3E-8124-D7521BF18AC2}" name="fund_id"/>
    <tableColumn id="2" xr3:uid="{65ADF1B0-7CC0-4777-A3C6-BD2C15064492}" name="month_end" dataDxfId="43"/>
    <tableColumn id="3" xr3:uid="{DF6866B3-FE7E-4DE6-A8A3-8C40A7BA8D62}" name="redemptions" dataDxfId="42"/>
    <tableColumn id="31" xr3:uid="{83766BC3-4900-4871-908E-565BCE2EFAC7}" name="redemptions_source" dataDxfId="41"/>
    <tableColumn id="32" xr3:uid="{00DFE881-2DE0-47C8-BD1F-B8541DDD2979}" name="distributions" dataDxfId="40"/>
    <tableColumn id="33" xr3:uid="{B6318285-EF7E-4B12-90BB-6C3CE6695B4D}" name="distributions_source" dataDxfId="39"/>
    <tableColumn id="35" xr3:uid="{8BC58F30-2EFF-45BE-ACB0-39E44292A945}" name="aum" dataDxfId="38"/>
    <tableColumn id="34" xr3:uid="{A279B14F-4E51-49ED-8C6E-5C9C24E79A08}" name="aum_source" dataDxfId="37"/>
    <tableColumn id="4" xr3:uid="{BBC31A84-D5EA-4784-A701-CF20EE735C53}" name="sgg_nav"/>
    <tableColumn id="5" xr3:uid="{5BFB8BD9-913A-418A-A27E-BB236B632130}" name="sgg_nav_source"/>
    <tableColumn id="6" xr3:uid="{F3A38F63-B917-42AF-A4D2-B38C243968A2}" name="nav" dataDxfId="36"/>
    <tableColumn id="7" xr3:uid="{854A7825-ED53-4E54-8CEC-9A246D5B9A78}" name="nav_source"/>
    <tableColumn id="8" xr3:uid="{4D0A6D39-D153-46A0-BCE8-2CC538B3F2E5}" name="nav_per_share" dataDxfId="35"/>
    <tableColumn id="9" xr3:uid="{ED153789-FEDF-4966-961E-F086118EB4C1}" name="nav_per_share_source"/>
    <tableColumn id="10" xr3:uid="{A1E04E21-F6F0-4A6D-A577-09913106F76D}" name="distributions_per_share" dataDxfId="34"/>
    <tableColumn id="11" xr3:uid="{7F6847E1-EACC-4902-90F6-1223FB518A3C}" name="distributions_per_share_source"/>
    <tableColumn id="12" xr3:uid="{1F601748-4987-41FD-AD45-0537F6DF3B1B}" name="monthly_return" dataDxfId="33"/>
    <tableColumn id="13" xr3:uid="{14D1A090-D6A3-4770-B31C-10676FE21CED}" name="monthly_return_source"/>
    <tableColumn id="14" xr3:uid="{3776EA24-8E51-4C63-9A0C-8CD2CA8C89CC}" name="nport_portfolio_count"/>
    <tableColumn id="15" xr3:uid="{54FBDEA4-83D0-4AC9-81C2-68F53AF95597}" name="gav" dataDxfId="32"/>
    <tableColumn id="16" xr3:uid="{C11FDEB2-7308-45D1-A660-8CC2E0E2FF12}" name="gav_source"/>
    <tableColumn id="17" xr3:uid="{94F37F29-828F-4017-94EF-BE3975FFB810}" name="shares_outstanding"/>
    <tableColumn id="18" xr3:uid="{399B43C3-0C32-4D33-B6C0-A41691919964}" name="shares_outstanding_source"/>
    <tableColumn id="19" xr3:uid="{B6E49FEB-DA0F-4741-9E04-F5A037225FDD}" name="shares_owned"/>
    <tableColumn id="20" xr3:uid="{D0248E5F-B766-46FF-9667-EAEF79344E55}" name="shares_owned_source"/>
    <tableColumn id="21" xr3:uid="{CA13EFD4-7758-44F3-A082-522155E77686}" name="sgg_purchases"/>
    <tableColumn id="22" xr3:uid="{601C12A7-6C12-45B0-A5FC-AF80537B7061}" name="sgg_purchases_source"/>
    <tableColumn id="23" xr3:uid="{5F309CE4-083E-452F-8A8E-8682C92BE83A}" name="sgg_redemptions"/>
    <tableColumn id="24" xr3:uid="{135B1A7A-C0B8-4A96-8BA2-E8F725CC9C39}" name="sgg_redemptions_source"/>
    <tableColumn id="25" xr3:uid="{786633E1-A096-4D29-A5A6-22ECEF21F408}" name="sgg_distributions"/>
    <tableColumn id="26" xr3:uid="{2C4AC5B6-4367-4304-A330-2838AD0A31AE}" name="sgg_distributions_source"/>
    <tableColumn id="27" xr3:uid="{15864AA2-8B58-474B-B5F6-57FF44CBA899}" name="gp_count"/>
    <tableColumn id="28" xr3:uid="{789D0566-DEBF-4D80-9AE3-83B237EE707A}" name="gp_count_source"/>
    <tableColumn id="29" xr3:uid="{EDEE1B04-C40A-4557-BE82-D9C06D5340DD}" name="fund_name">
      <calculatedColumnFormula>IFERROR(VLOOKUP($A2,fund_metadata!$A:$P,2,FALSE),"")</calculatedColumnFormula>
    </tableColumn>
    <tableColumn id="30" xr3:uid="{0BDCB205-FA2C-4A77-9F39-ED9A00613159}" name="strategy">
      <calculatedColumnFormula>IFERROR(VLOOKUP($A2,fund_metadata!$A:$P,16,FALSE),"")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86E397-AA5D-4BFA-A7EB-602BD36957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b1ca48-9233-4e56-9617-6895de6225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group.com/what-we-do/solutions-services/private-wealth-solutions/sprim/" TargetMode="External"/><Relationship Id="rId13" Type="http://schemas.openxmlformats.org/officeDocument/2006/relationships/hyperlink" Target="https://am.jpmorgan.com/us/en/asset-management/adv/products/jpmorgan-private-markets-fund-i-48130f306" TargetMode="External"/><Relationship Id="rId3" Type="http://schemas.openxmlformats.org/officeDocument/2006/relationships/hyperlink" Target="https://www.bowriverevergreen.com/" TargetMode="External"/><Relationship Id="rId7" Type="http://schemas.openxmlformats.org/officeDocument/2006/relationships/hyperlink" Target="https://www.stepstonegroup.com/what-we-do/solutions-services/private-wealth-solutions/crdex/" TargetMode="External"/><Relationship Id="rId12" Type="http://schemas.openxmlformats.org/officeDocument/2006/relationships/hyperlink" Target="https://www.hamiltonlane.com/en-us/strategies/evergreen/us-private-wealth/private-assets-fund" TargetMode="External"/><Relationship Id="rId2" Type="http://schemas.openxmlformats.org/officeDocument/2006/relationships/hyperlink" Target="https://finance.yahoo.com/quote/XSPIX/" TargetMode="External"/><Relationship Id="rId1" Type="http://schemas.openxmlformats.org/officeDocument/2006/relationships/hyperlink" Target="https://finance.yahoo.com/quote/CELFX/" TargetMode="External"/><Relationship Id="rId6" Type="http://schemas.openxmlformats.org/officeDocument/2006/relationships/hyperlink" Target="https://cspef.com/" TargetMode="External"/><Relationship Id="rId11" Type="http://schemas.openxmlformats.org/officeDocument/2006/relationships/hyperlink" Target="https://www.flexpe.com/" TargetMode="External"/><Relationship Id="rId5" Type="http://schemas.openxmlformats.org/officeDocument/2006/relationships/hyperlink" Target="https://www.cliffwaterfunds.com/celfx" TargetMode="External"/><Relationship Id="rId10" Type="http://schemas.openxmlformats.org/officeDocument/2006/relationships/hyperlink" Target="https://www.pantheon.com/private-wealth-overview/amg-pantheon-fund/" TargetMode="External"/><Relationship Id="rId4" Type="http://schemas.openxmlformats.org/officeDocument/2006/relationships/hyperlink" Target="https://www.carlyle.com/capm" TargetMode="External"/><Relationship Id="rId9" Type="http://schemas.openxmlformats.org/officeDocument/2006/relationships/hyperlink" Target="https://www.stepstonegroup.com/what-we-do/solutions-services/private-wealth-solutions/sp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1"/>
  <sheetViews>
    <sheetView zoomScale="67" zoomScaleNormal="115" workbookViewId="0">
      <selection activeCell="K324" sqref="K324"/>
    </sheetView>
  </sheetViews>
  <sheetFormatPr defaultRowHeight="15" x14ac:dyDescent="0.25"/>
  <cols>
    <col min="1" max="1" width="10.85546875" customWidth="1"/>
    <col min="2" max="2" width="14.7109375" customWidth="1"/>
    <col min="3" max="3" width="17.85546875" bestFit="1" customWidth="1"/>
    <col min="4" max="4" width="16.140625" customWidth="1"/>
    <col min="5" max="5" width="17.85546875" bestFit="1" customWidth="1"/>
    <col min="6" max="6" width="14.7109375" customWidth="1"/>
    <col min="7" max="7" width="20.85546875" bestFit="1" customWidth="1"/>
    <col min="8" max="8" width="14.7109375" customWidth="1"/>
    <col min="9" max="9" width="14.85546875" bestFit="1" customWidth="1"/>
    <col min="10" max="10" width="20.85546875" customWidth="1"/>
    <col min="11" max="11" width="16.140625" bestFit="1" customWidth="1"/>
    <col min="12" max="12" width="15.7109375" customWidth="1"/>
    <col min="13" max="13" width="19.140625" customWidth="1"/>
    <col min="14" max="14" width="27.7109375" customWidth="1"/>
    <col min="15" max="15" width="28.140625" customWidth="1"/>
    <col min="16" max="16" width="36.7109375" customWidth="1"/>
    <col min="17" max="17" width="22.28515625" customWidth="1"/>
    <col min="18" max="18" width="27.28515625" customWidth="1"/>
    <col min="19" max="19" width="25.42578125" customWidth="1"/>
    <col min="20" max="20" width="12.7109375" bestFit="1" customWidth="1"/>
    <col min="21" max="21" width="15.7109375" customWidth="1"/>
    <col min="22" max="22" width="23.85546875" customWidth="1"/>
    <col min="23" max="23" width="32.42578125" customWidth="1"/>
    <col min="24" max="24" width="18.7109375" customWidth="1"/>
    <col min="25" max="25" width="27.28515625" customWidth="1"/>
    <col min="26" max="26" width="19.42578125" customWidth="1"/>
    <col min="27" max="27" width="28" customWidth="1"/>
    <col min="28" max="28" width="21.28515625" customWidth="1"/>
    <col min="29" max="29" width="29.85546875" customWidth="1"/>
    <col min="30" max="30" width="21.28515625" customWidth="1"/>
    <col min="31" max="31" width="29.85546875" customWidth="1"/>
    <col min="32" max="32" width="12.85546875" customWidth="1"/>
    <col min="33" max="33" width="21.28515625" customWidth="1"/>
    <col min="34" max="34" width="26.7109375" bestFit="1" customWidth="1"/>
    <col min="35" max="35" width="15" bestFit="1" customWidth="1"/>
  </cols>
  <sheetData>
    <row r="1" spans="1:35" x14ac:dyDescent="0.25">
      <c r="A1" t="s">
        <v>0</v>
      </c>
      <c r="B1" t="s">
        <v>3</v>
      </c>
      <c r="C1" t="s">
        <v>126</v>
      </c>
      <c r="D1" t="s">
        <v>131</v>
      </c>
      <c r="E1" t="s">
        <v>133</v>
      </c>
      <c r="F1" t="s">
        <v>134</v>
      </c>
      <c r="G1" t="s">
        <v>135</v>
      </c>
      <c r="H1" t="s">
        <v>136</v>
      </c>
      <c r="I1" t="s">
        <v>93</v>
      </c>
      <c r="J1" t="s">
        <v>95</v>
      </c>
      <c r="K1" t="s">
        <v>4</v>
      </c>
      <c r="L1" t="s">
        <v>82</v>
      </c>
      <c r="M1" t="s">
        <v>5</v>
      </c>
      <c r="N1" t="s">
        <v>83</v>
      </c>
      <c r="O1" t="s">
        <v>86</v>
      </c>
      <c r="P1" t="s">
        <v>90</v>
      </c>
      <c r="Q1" t="s">
        <v>6</v>
      </c>
      <c r="R1" t="s">
        <v>84</v>
      </c>
      <c r="S1" t="s">
        <v>112</v>
      </c>
      <c r="T1" t="s">
        <v>87</v>
      </c>
      <c r="U1" t="s">
        <v>88</v>
      </c>
      <c r="V1" t="s">
        <v>109</v>
      </c>
      <c r="W1" t="s">
        <v>110</v>
      </c>
      <c r="X1" t="s">
        <v>92</v>
      </c>
      <c r="Y1" t="s">
        <v>94</v>
      </c>
      <c r="Z1" t="s">
        <v>98</v>
      </c>
      <c r="AA1" t="s">
        <v>99</v>
      </c>
      <c r="AB1" t="s">
        <v>100</v>
      </c>
      <c r="AC1" t="s">
        <v>102</v>
      </c>
      <c r="AD1" t="s">
        <v>101</v>
      </c>
      <c r="AE1" t="s">
        <v>103</v>
      </c>
      <c r="AF1" t="s">
        <v>81</v>
      </c>
      <c r="AG1" t="s">
        <v>85</v>
      </c>
      <c r="AH1" t="s">
        <v>1</v>
      </c>
      <c r="AI1" t="s">
        <v>91</v>
      </c>
    </row>
    <row r="2" spans="1:35" x14ac:dyDescent="0.25">
      <c r="A2">
        <v>1</v>
      </c>
      <c r="B2" s="3">
        <v>43982</v>
      </c>
      <c r="C2" s="3"/>
      <c r="D2" s="3"/>
      <c r="E2" s="3"/>
      <c r="F2" s="3"/>
      <c r="G2" s="3"/>
      <c r="H2" s="3"/>
      <c r="K2" s="4"/>
      <c r="M2" s="5">
        <v>26.04</v>
      </c>
      <c r="N2" t="s">
        <v>89</v>
      </c>
      <c r="Q2" s="2"/>
      <c r="T2" s="4"/>
      <c r="AH2" t="str">
        <f>IFERROR(VLOOKUP($A2,fund_metadata!$A:$P,2,FALSE),"")</f>
        <v>Bow River Evergreen PE</v>
      </c>
      <c r="AI2" t="str">
        <f>IFERROR(VLOOKUP($A2,fund_metadata!$A:$P,16,FALSE),"")</f>
        <v>private_equity</v>
      </c>
    </row>
    <row r="3" spans="1:35" x14ac:dyDescent="0.25">
      <c r="A3">
        <v>1</v>
      </c>
      <c r="B3" s="3">
        <v>44012</v>
      </c>
      <c r="C3" s="3"/>
      <c r="D3" s="3"/>
      <c r="E3" s="3"/>
      <c r="F3" s="3"/>
      <c r="G3" s="3"/>
      <c r="H3" s="3"/>
      <c r="K3" s="4"/>
      <c r="M3" s="5">
        <v>28.71</v>
      </c>
      <c r="N3" t="s">
        <v>89</v>
      </c>
      <c r="Q3" s="2">
        <v>0.1024</v>
      </c>
      <c r="R3" t="s">
        <v>89</v>
      </c>
      <c r="T3" s="4"/>
      <c r="AH3" t="str">
        <f>IFERROR(VLOOKUP($A3,fund_metadata!$A:$P,2,FALSE),"")</f>
        <v>Bow River Evergreen PE</v>
      </c>
      <c r="AI3" t="str">
        <f>IFERROR(VLOOKUP($A3,fund_metadata!$A:$P,16,FALSE),"")</f>
        <v>private_equity</v>
      </c>
    </row>
    <row r="4" spans="1:35" x14ac:dyDescent="0.25">
      <c r="A4">
        <v>1</v>
      </c>
      <c r="B4" s="3">
        <v>44043</v>
      </c>
      <c r="C4" s="3"/>
      <c r="D4" s="3"/>
      <c r="E4" s="3"/>
      <c r="F4" s="3"/>
      <c r="G4" s="3"/>
      <c r="H4" s="3"/>
      <c r="K4" s="4"/>
      <c r="M4" s="5">
        <v>28.78</v>
      </c>
      <c r="N4" t="s">
        <v>89</v>
      </c>
      <c r="Q4" s="2">
        <v>2.5999999999999999E-3</v>
      </c>
      <c r="R4" t="s">
        <v>89</v>
      </c>
      <c r="T4" s="4"/>
      <c r="AH4" t="str">
        <f>IFERROR(VLOOKUP($A4,fund_metadata!$A:$P,2,FALSE),"")</f>
        <v>Bow River Evergreen PE</v>
      </c>
      <c r="AI4" t="str">
        <f>IFERROR(VLOOKUP($A4,fund_metadata!$A:$P,16,FALSE),"")</f>
        <v>private_equity</v>
      </c>
    </row>
    <row r="5" spans="1:35" x14ac:dyDescent="0.25">
      <c r="A5">
        <v>1</v>
      </c>
      <c r="B5" s="3">
        <v>44074</v>
      </c>
      <c r="C5" s="3"/>
      <c r="D5" s="3"/>
      <c r="E5" s="3"/>
      <c r="F5" s="3"/>
      <c r="G5" s="3"/>
      <c r="H5" s="3"/>
      <c r="K5" s="4"/>
      <c r="M5" s="5">
        <v>28.83</v>
      </c>
      <c r="N5" t="s">
        <v>89</v>
      </c>
      <c r="Q5" s="2">
        <v>1.6000000000000001E-3</v>
      </c>
      <c r="R5" t="s">
        <v>89</v>
      </c>
      <c r="T5" s="4"/>
      <c r="AH5" t="str">
        <f>IFERROR(VLOOKUP($A5,fund_metadata!$A:$P,2,FALSE),"")</f>
        <v>Bow River Evergreen PE</v>
      </c>
      <c r="AI5" t="str">
        <f>IFERROR(VLOOKUP($A5,fund_metadata!$A:$P,16,FALSE),"")</f>
        <v>private_equity</v>
      </c>
    </row>
    <row r="6" spans="1:35" x14ac:dyDescent="0.25">
      <c r="A6">
        <v>1</v>
      </c>
      <c r="B6" s="3">
        <v>44104</v>
      </c>
      <c r="C6" s="3"/>
      <c r="D6" s="3"/>
      <c r="E6" s="3"/>
      <c r="F6" s="3"/>
      <c r="G6" s="3"/>
      <c r="H6" s="3"/>
      <c r="K6" s="4"/>
      <c r="M6" s="5">
        <v>29.26</v>
      </c>
      <c r="N6" t="s">
        <v>89</v>
      </c>
      <c r="Q6" s="2">
        <v>1.49E-2</v>
      </c>
      <c r="R6" t="s">
        <v>89</v>
      </c>
      <c r="T6" s="4"/>
      <c r="AH6" t="str">
        <f>IFERROR(VLOOKUP($A6,fund_metadata!$A:$P,2,FALSE),"")</f>
        <v>Bow River Evergreen PE</v>
      </c>
      <c r="AI6" t="str">
        <f>IFERROR(VLOOKUP($A6,fund_metadata!$A:$P,16,FALSE),"")</f>
        <v>private_equity</v>
      </c>
    </row>
    <row r="7" spans="1:35" x14ac:dyDescent="0.25">
      <c r="A7">
        <v>1</v>
      </c>
      <c r="B7" s="3">
        <v>44135</v>
      </c>
      <c r="C7" s="3"/>
      <c r="D7" s="3"/>
      <c r="E7" s="3"/>
      <c r="F7" s="3"/>
      <c r="G7" s="3"/>
      <c r="H7" s="3"/>
      <c r="K7" s="4"/>
      <c r="M7" s="5">
        <v>29.26</v>
      </c>
      <c r="N7" t="s">
        <v>89</v>
      </c>
      <c r="Q7" s="2">
        <v>1E-4</v>
      </c>
      <c r="R7" t="s">
        <v>89</v>
      </c>
      <c r="T7" s="4"/>
      <c r="AH7" t="str">
        <f>IFERROR(VLOOKUP($A7,fund_metadata!$A:$P,2,FALSE),"")</f>
        <v>Bow River Evergreen PE</v>
      </c>
      <c r="AI7" t="str">
        <f>IFERROR(VLOOKUP($A7,fund_metadata!$A:$P,16,FALSE),"")</f>
        <v>private_equity</v>
      </c>
    </row>
    <row r="8" spans="1:35" x14ac:dyDescent="0.25">
      <c r="A8">
        <v>1</v>
      </c>
      <c r="B8" s="3">
        <v>44165</v>
      </c>
      <c r="C8" s="3"/>
      <c r="D8" s="3"/>
      <c r="E8" s="3"/>
      <c r="F8" s="3"/>
      <c r="G8" s="3"/>
      <c r="H8" s="3"/>
      <c r="K8" s="4"/>
      <c r="M8" s="5">
        <v>29.6</v>
      </c>
      <c r="N8" t="s">
        <v>89</v>
      </c>
      <c r="Q8" s="2">
        <v>1.18E-2</v>
      </c>
      <c r="R8" t="s">
        <v>89</v>
      </c>
      <c r="T8" s="4"/>
      <c r="AH8" t="str">
        <f>IFERROR(VLOOKUP($A8,fund_metadata!$A:$P,2,FALSE),"")</f>
        <v>Bow River Evergreen PE</v>
      </c>
      <c r="AI8" t="str">
        <f>IFERROR(VLOOKUP($A8,fund_metadata!$A:$P,16,FALSE),"")</f>
        <v>private_equity</v>
      </c>
    </row>
    <row r="9" spans="1:35" x14ac:dyDescent="0.25">
      <c r="A9">
        <v>1</v>
      </c>
      <c r="B9" s="3">
        <v>44196</v>
      </c>
      <c r="C9" s="3"/>
      <c r="D9" s="3"/>
      <c r="E9" s="3"/>
      <c r="F9" s="3"/>
      <c r="G9" s="3"/>
      <c r="H9" s="3"/>
      <c r="K9" s="4"/>
      <c r="M9" s="5">
        <v>29.58</v>
      </c>
      <c r="N9" t="s">
        <v>89</v>
      </c>
      <c r="Q9" s="2">
        <v>-8.0000000000000004E-4</v>
      </c>
      <c r="R9" t="s">
        <v>89</v>
      </c>
      <c r="T9" s="4"/>
      <c r="AH9" t="str">
        <f>IFERROR(VLOOKUP($A9,fund_metadata!$A:$P,2,FALSE),"")</f>
        <v>Bow River Evergreen PE</v>
      </c>
      <c r="AI9" t="str">
        <f>IFERROR(VLOOKUP($A9,fund_metadata!$A:$P,16,FALSE),"")</f>
        <v>private_equity</v>
      </c>
    </row>
    <row r="10" spans="1:35" x14ac:dyDescent="0.25">
      <c r="A10">
        <v>1</v>
      </c>
      <c r="B10" s="3">
        <v>44227</v>
      </c>
      <c r="C10" s="3"/>
      <c r="D10" s="3"/>
      <c r="E10" s="3"/>
      <c r="F10" s="3"/>
      <c r="G10" s="3"/>
      <c r="H10" s="3"/>
      <c r="K10" s="4"/>
      <c r="M10" s="5">
        <v>30.39</v>
      </c>
      <c r="N10" t="s">
        <v>89</v>
      </c>
      <c r="Q10" s="2">
        <v>2.7300000000000001E-2</v>
      </c>
      <c r="R10" t="s">
        <v>89</v>
      </c>
      <c r="T10" s="4"/>
      <c r="AH10" t="str">
        <f>IFERROR(VLOOKUP($A10,fund_metadata!$A:$P,2,FALSE),"")</f>
        <v>Bow River Evergreen PE</v>
      </c>
      <c r="AI10" t="str">
        <f>IFERROR(VLOOKUP($A10,fund_metadata!$A:$P,16,FALSE),"")</f>
        <v>private_equity</v>
      </c>
    </row>
    <row r="11" spans="1:35" x14ac:dyDescent="0.25">
      <c r="A11">
        <v>1</v>
      </c>
      <c r="B11" s="3">
        <v>44255</v>
      </c>
      <c r="C11" s="3"/>
      <c r="D11" s="3"/>
      <c r="E11" s="3"/>
      <c r="F11" s="3"/>
      <c r="G11" s="3"/>
      <c r="H11" s="3"/>
      <c r="K11" s="4"/>
      <c r="M11" s="5">
        <v>31.19</v>
      </c>
      <c r="N11" t="s">
        <v>89</v>
      </c>
      <c r="Q11" s="2">
        <v>2.64E-2</v>
      </c>
      <c r="R11" t="s">
        <v>89</v>
      </c>
      <c r="T11" s="4"/>
      <c r="AH11" t="str">
        <f>IFERROR(VLOOKUP($A11,fund_metadata!$A:$P,2,FALSE),"")</f>
        <v>Bow River Evergreen PE</v>
      </c>
      <c r="AI11" t="str">
        <f>IFERROR(VLOOKUP($A11,fund_metadata!$A:$P,16,FALSE),"")</f>
        <v>private_equity</v>
      </c>
    </row>
    <row r="12" spans="1:35" x14ac:dyDescent="0.25">
      <c r="A12">
        <v>1</v>
      </c>
      <c r="B12" s="3">
        <v>44286</v>
      </c>
      <c r="C12" s="3"/>
      <c r="D12" s="3"/>
      <c r="E12" s="3"/>
      <c r="F12" s="3"/>
      <c r="G12" s="3"/>
      <c r="H12" s="3"/>
      <c r="K12" s="4"/>
      <c r="M12" s="5">
        <v>31.77</v>
      </c>
      <c r="N12" t="s">
        <v>89</v>
      </c>
      <c r="Q12" s="2">
        <v>1.8599999999999998E-2</v>
      </c>
      <c r="R12" t="s">
        <v>89</v>
      </c>
      <c r="S12">
        <v>32</v>
      </c>
      <c r="T12" s="4"/>
      <c r="V12">
        <v>2869318</v>
      </c>
      <c r="W12" t="s">
        <v>121</v>
      </c>
      <c r="AH12" t="str">
        <f>IFERROR(VLOOKUP($A12,fund_metadata!$A:$P,2,FALSE),"")</f>
        <v>Bow River Evergreen PE</v>
      </c>
      <c r="AI12" t="str">
        <f>IFERROR(VLOOKUP($A12,fund_metadata!$A:$P,16,FALSE),"")</f>
        <v>private_equity</v>
      </c>
    </row>
    <row r="13" spans="1:35" x14ac:dyDescent="0.25">
      <c r="A13">
        <v>1</v>
      </c>
      <c r="B13" s="3">
        <v>44316</v>
      </c>
      <c r="C13" s="3"/>
      <c r="D13" s="3"/>
      <c r="E13" s="3"/>
      <c r="F13" s="3"/>
      <c r="G13" s="3"/>
      <c r="H13" s="3"/>
      <c r="K13" s="4"/>
      <c r="M13" s="5">
        <v>31.79</v>
      </c>
      <c r="N13" t="s">
        <v>89</v>
      </c>
      <c r="Q13" s="2">
        <v>6.9999999999999999E-4</v>
      </c>
      <c r="R13" t="s">
        <v>89</v>
      </c>
      <c r="T13" s="4"/>
      <c r="AH13" t="str">
        <f>IFERROR(VLOOKUP($A13,fund_metadata!$A:$P,2,FALSE),"")</f>
        <v>Bow River Evergreen PE</v>
      </c>
      <c r="AI13" t="str">
        <f>IFERROR(VLOOKUP($A13,fund_metadata!$A:$P,16,FALSE),"")</f>
        <v>private_equity</v>
      </c>
    </row>
    <row r="14" spans="1:35" x14ac:dyDescent="0.25">
      <c r="A14">
        <v>1</v>
      </c>
      <c r="B14" s="3">
        <v>44347</v>
      </c>
      <c r="C14" s="3"/>
      <c r="D14" s="3"/>
      <c r="E14" s="3"/>
      <c r="F14" s="3"/>
      <c r="G14" s="3"/>
      <c r="H14" s="3"/>
      <c r="K14" s="4"/>
      <c r="M14" s="5">
        <v>33.04</v>
      </c>
      <c r="N14" t="s">
        <v>89</v>
      </c>
      <c r="Q14" s="2">
        <v>3.9399999999999998E-2</v>
      </c>
      <c r="R14" t="s">
        <v>89</v>
      </c>
      <c r="T14" s="4"/>
      <c r="AH14" t="str">
        <f>IFERROR(VLOOKUP($A14,fund_metadata!$A:$P,2,FALSE),"")</f>
        <v>Bow River Evergreen PE</v>
      </c>
      <c r="AI14" t="str">
        <f>IFERROR(VLOOKUP($A14,fund_metadata!$A:$P,16,FALSE),"")</f>
        <v>private_equity</v>
      </c>
    </row>
    <row r="15" spans="1:35" x14ac:dyDescent="0.25">
      <c r="A15">
        <v>1</v>
      </c>
      <c r="B15" s="3">
        <v>44377</v>
      </c>
      <c r="C15" s="3"/>
      <c r="D15" s="3"/>
      <c r="E15" s="3"/>
      <c r="F15" s="3"/>
      <c r="G15" s="3"/>
      <c r="H15" s="3"/>
      <c r="K15" s="4">
        <v>127850000</v>
      </c>
      <c r="L15" t="s">
        <v>89</v>
      </c>
      <c r="M15" s="5">
        <v>33.840000000000003</v>
      </c>
      <c r="N15" t="s">
        <v>89</v>
      </c>
      <c r="Q15" s="2">
        <v>2.4199999999999999E-2</v>
      </c>
      <c r="R15" t="s">
        <v>89</v>
      </c>
      <c r="S15">
        <v>40</v>
      </c>
      <c r="T15" s="4"/>
      <c r="AH15" t="str">
        <f>IFERROR(VLOOKUP($A15,fund_metadata!$A:$P,2,FALSE),"")</f>
        <v>Bow River Evergreen PE</v>
      </c>
      <c r="AI15" t="str">
        <f>IFERROR(VLOOKUP($A15,fund_metadata!$A:$P,16,FALSE),"")</f>
        <v>private_equity</v>
      </c>
    </row>
    <row r="16" spans="1:35" x14ac:dyDescent="0.25">
      <c r="A16">
        <v>1</v>
      </c>
      <c r="B16" s="3">
        <v>44408</v>
      </c>
      <c r="C16" s="3"/>
      <c r="D16" s="3"/>
      <c r="E16" s="3"/>
      <c r="F16" s="3"/>
      <c r="G16" s="3"/>
      <c r="H16" s="3"/>
      <c r="K16" s="4">
        <v>131660000</v>
      </c>
      <c r="L16" t="s">
        <v>89</v>
      </c>
      <c r="M16" s="5">
        <v>34.520000000000003</v>
      </c>
      <c r="N16" t="s">
        <v>89</v>
      </c>
      <c r="Q16" s="2">
        <v>0.02</v>
      </c>
      <c r="R16" t="s">
        <v>89</v>
      </c>
      <c r="T16" s="4"/>
      <c r="AH16" t="str">
        <f>IFERROR(VLOOKUP($A16,fund_metadata!$A:$P,2,FALSE),"")</f>
        <v>Bow River Evergreen PE</v>
      </c>
      <c r="AI16" t="str">
        <f>IFERROR(VLOOKUP($A16,fund_metadata!$A:$P,16,FALSE),"")</f>
        <v>private_equity</v>
      </c>
    </row>
    <row r="17" spans="1:35" x14ac:dyDescent="0.25">
      <c r="A17">
        <v>1</v>
      </c>
      <c r="B17" s="3">
        <v>44439</v>
      </c>
      <c r="C17" s="3"/>
      <c r="D17" s="3"/>
      <c r="E17" s="3"/>
      <c r="F17" s="3"/>
      <c r="G17" s="3"/>
      <c r="H17" s="3"/>
      <c r="K17" s="4">
        <v>141200000</v>
      </c>
      <c r="L17" t="s">
        <v>89</v>
      </c>
      <c r="M17" s="5">
        <v>36.01</v>
      </c>
      <c r="N17" t="s">
        <v>89</v>
      </c>
      <c r="Q17" s="2">
        <v>4.3200000000000002E-2</v>
      </c>
      <c r="R17" t="s">
        <v>89</v>
      </c>
      <c r="T17" s="4"/>
      <c r="AH17" t="str">
        <f>IFERROR(VLOOKUP($A17,fund_metadata!$A:$P,2,FALSE),"")</f>
        <v>Bow River Evergreen PE</v>
      </c>
      <c r="AI17" t="str">
        <f>IFERROR(VLOOKUP($A17,fund_metadata!$A:$P,16,FALSE),"")</f>
        <v>private_equity</v>
      </c>
    </row>
    <row r="18" spans="1:35" x14ac:dyDescent="0.25">
      <c r="A18">
        <v>1</v>
      </c>
      <c r="B18" s="3">
        <v>44469</v>
      </c>
      <c r="C18" s="3"/>
      <c r="D18" s="3"/>
      <c r="E18" s="3"/>
      <c r="F18" s="3"/>
      <c r="G18" s="3"/>
      <c r="H18" s="3"/>
      <c r="K18" s="4">
        <v>150110000</v>
      </c>
      <c r="L18" t="s">
        <v>89</v>
      </c>
      <c r="M18" s="5">
        <v>36.75</v>
      </c>
      <c r="N18" t="s">
        <v>89</v>
      </c>
      <c r="Q18" s="2">
        <v>2.0400000000000001E-2</v>
      </c>
      <c r="R18" t="s">
        <v>89</v>
      </c>
      <c r="S18">
        <v>46</v>
      </c>
      <c r="T18" s="4"/>
      <c r="V18">
        <v>4085205</v>
      </c>
      <c r="W18" t="s">
        <v>120</v>
      </c>
      <c r="AH18" t="str">
        <f>IFERROR(VLOOKUP($A18,fund_metadata!$A:$P,2,FALSE),"")</f>
        <v>Bow River Evergreen PE</v>
      </c>
      <c r="AI18" t="str">
        <f>IFERROR(VLOOKUP($A18,fund_metadata!$A:$P,16,FALSE),"")</f>
        <v>private_equity</v>
      </c>
    </row>
    <row r="19" spans="1:35" x14ac:dyDescent="0.25">
      <c r="A19">
        <v>1</v>
      </c>
      <c r="B19" s="3">
        <v>44500</v>
      </c>
      <c r="C19" s="3"/>
      <c r="D19" s="3"/>
      <c r="E19" s="3"/>
      <c r="F19" s="3"/>
      <c r="G19" s="3"/>
      <c r="H19" s="3"/>
      <c r="K19" s="4">
        <v>152780000</v>
      </c>
      <c r="L19" t="s">
        <v>89</v>
      </c>
      <c r="M19" s="5">
        <v>36.76</v>
      </c>
      <c r="N19" t="s">
        <v>89</v>
      </c>
      <c r="Q19" s="2">
        <v>4.0000000000000002E-4</v>
      </c>
      <c r="R19" t="s">
        <v>89</v>
      </c>
      <c r="T19" s="4"/>
      <c r="AH19" t="str">
        <f>IFERROR(VLOOKUP($A19,fund_metadata!$A:$P,2,FALSE),"")</f>
        <v>Bow River Evergreen PE</v>
      </c>
      <c r="AI19" t="str">
        <f>IFERROR(VLOOKUP($A19,fund_metadata!$A:$P,16,FALSE),"")</f>
        <v>private_equity</v>
      </c>
    </row>
    <row r="20" spans="1:35" x14ac:dyDescent="0.25">
      <c r="A20">
        <v>1</v>
      </c>
      <c r="B20" s="3">
        <v>44530</v>
      </c>
      <c r="C20" s="3"/>
      <c r="D20" s="3"/>
      <c r="E20" s="3"/>
      <c r="F20" s="3"/>
      <c r="G20" s="3"/>
      <c r="H20" s="3"/>
      <c r="K20" s="4">
        <v>172670000</v>
      </c>
      <c r="L20" t="s">
        <v>89</v>
      </c>
      <c r="M20" s="5">
        <v>38.409999999999997</v>
      </c>
      <c r="N20" t="s">
        <v>89</v>
      </c>
      <c r="Q20" s="2">
        <v>4.4900000000000002E-2</v>
      </c>
      <c r="R20" t="s">
        <v>89</v>
      </c>
      <c r="T20" s="4"/>
      <c r="AH20" t="str">
        <f>IFERROR(VLOOKUP($A20,fund_metadata!$A:$P,2,FALSE),"")</f>
        <v>Bow River Evergreen PE</v>
      </c>
      <c r="AI20" t="str">
        <f>IFERROR(VLOOKUP($A20,fund_metadata!$A:$P,16,FALSE),"")</f>
        <v>private_equity</v>
      </c>
    </row>
    <row r="21" spans="1:35" x14ac:dyDescent="0.25">
      <c r="A21">
        <v>1</v>
      </c>
      <c r="B21" s="3">
        <v>44561</v>
      </c>
      <c r="C21" s="3"/>
      <c r="D21" s="3"/>
      <c r="E21" s="3"/>
      <c r="F21" s="3"/>
      <c r="G21" s="3"/>
      <c r="H21" s="3"/>
      <c r="K21" s="4">
        <v>181180000</v>
      </c>
      <c r="L21" t="s">
        <v>89</v>
      </c>
      <c r="M21" s="5">
        <v>38.380000000000003</v>
      </c>
      <c r="N21" t="s">
        <v>89</v>
      </c>
      <c r="Q21" s="2">
        <v>6.3E-3</v>
      </c>
      <c r="R21" t="s">
        <v>89</v>
      </c>
      <c r="S21">
        <v>53</v>
      </c>
      <c r="T21" s="4"/>
      <c r="AH21" t="str">
        <f>IFERROR(VLOOKUP($A21,fund_metadata!$A:$P,2,FALSE),"")</f>
        <v>Bow River Evergreen PE</v>
      </c>
      <c r="AI21" t="str">
        <f>IFERROR(VLOOKUP($A21,fund_metadata!$A:$P,16,FALSE),"")</f>
        <v>private_equity</v>
      </c>
    </row>
    <row r="22" spans="1:35" x14ac:dyDescent="0.25">
      <c r="A22">
        <v>1</v>
      </c>
      <c r="B22" s="3">
        <v>44592</v>
      </c>
      <c r="C22" s="3"/>
      <c r="D22" s="3"/>
      <c r="E22" s="3"/>
      <c r="F22" s="3"/>
      <c r="G22" s="3"/>
      <c r="H22" s="3"/>
      <c r="K22" s="4">
        <v>191620000</v>
      </c>
      <c r="L22" t="s">
        <v>89</v>
      </c>
      <c r="M22" s="5">
        <v>38.01</v>
      </c>
      <c r="N22" t="s">
        <v>89</v>
      </c>
      <c r="Q22" s="2">
        <v>-9.7000000000000003E-3</v>
      </c>
      <c r="R22" t="s">
        <v>89</v>
      </c>
      <c r="T22" s="4"/>
      <c r="AH22" t="str">
        <f>IFERROR(VLOOKUP($A22,fund_metadata!$A:$P,2,FALSE),"")</f>
        <v>Bow River Evergreen PE</v>
      </c>
      <c r="AI22" t="str">
        <f>IFERROR(VLOOKUP($A22,fund_metadata!$A:$P,16,FALSE),"")</f>
        <v>private_equity</v>
      </c>
    </row>
    <row r="23" spans="1:35" x14ac:dyDescent="0.25">
      <c r="A23">
        <v>1</v>
      </c>
      <c r="B23" s="3">
        <v>44620</v>
      </c>
      <c r="C23" s="3"/>
      <c r="D23" s="3"/>
      <c r="E23" s="3"/>
      <c r="F23" s="3"/>
      <c r="G23" s="3"/>
      <c r="H23" s="3"/>
      <c r="K23" s="4">
        <v>206170000</v>
      </c>
      <c r="L23" t="s">
        <v>89</v>
      </c>
      <c r="M23" s="5">
        <v>38.6</v>
      </c>
      <c r="N23" t="s">
        <v>89</v>
      </c>
      <c r="Q23" s="2">
        <v>1.5699999999999999E-2</v>
      </c>
      <c r="R23" t="s">
        <v>89</v>
      </c>
      <c r="T23" s="4"/>
      <c r="AH23" t="str">
        <f>IFERROR(VLOOKUP($A23,fund_metadata!$A:$P,2,FALSE),"")</f>
        <v>Bow River Evergreen PE</v>
      </c>
      <c r="AI23" t="str">
        <f>IFERROR(VLOOKUP($A23,fund_metadata!$A:$P,16,FALSE),"")</f>
        <v>private_equity</v>
      </c>
    </row>
    <row r="24" spans="1:35" x14ac:dyDescent="0.25">
      <c r="A24">
        <v>1</v>
      </c>
      <c r="B24" s="3">
        <v>44651</v>
      </c>
      <c r="C24" s="3"/>
      <c r="D24" s="3"/>
      <c r="E24" s="3"/>
      <c r="F24" s="3"/>
      <c r="G24" s="3"/>
      <c r="H24" s="3"/>
      <c r="K24" s="4">
        <v>217280000</v>
      </c>
      <c r="L24" t="s">
        <v>89</v>
      </c>
      <c r="M24" s="5">
        <v>39.5</v>
      </c>
      <c r="N24" t="s">
        <v>89</v>
      </c>
      <c r="Q24" s="2">
        <v>2.3199999999999998E-2</v>
      </c>
      <c r="R24" t="s">
        <v>89</v>
      </c>
      <c r="S24">
        <v>64</v>
      </c>
      <c r="T24" s="4">
        <v>230020000</v>
      </c>
      <c r="U24" t="s">
        <v>89</v>
      </c>
      <c r="V24">
        <v>5341595</v>
      </c>
      <c r="W24" t="s">
        <v>121</v>
      </c>
      <c r="AH24" t="str">
        <f>IFERROR(VLOOKUP($A24,fund_metadata!$A:$P,2,FALSE),"")</f>
        <v>Bow River Evergreen PE</v>
      </c>
      <c r="AI24" t="str">
        <f>IFERROR(VLOOKUP($A24,fund_metadata!$A:$P,16,FALSE),"")</f>
        <v>private_equity</v>
      </c>
    </row>
    <row r="25" spans="1:35" x14ac:dyDescent="0.25">
      <c r="A25">
        <v>1</v>
      </c>
      <c r="B25" s="3">
        <v>44681</v>
      </c>
      <c r="C25" s="3"/>
      <c r="D25" s="3"/>
      <c r="E25" s="3"/>
      <c r="F25" s="3"/>
      <c r="G25" s="3"/>
      <c r="H25" s="3"/>
      <c r="K25" s="4">
        <v>227980000</v>
      </c>
      <c r="L25" t="s">
        <v>89</v>
      </c>
      <c r="M25" s="5">
        <v>39.68</v>
      </c>
      <c r="N25" t="s">
        <v>89</v>
      </c>
      <c r="Q25" s="2">
        <v>4.4999999999999997E-3</v>
      </c>
      <c r="R25" t="s">
        <v>89</v>
      </c>
      <c r="T25" s="4"/>
      <c r="AH25" t="str">
        <f>IFERROR(VLOOKUP($A25,fund_metadata!$A:$P,2,FALSE),"")</f>
        <v>Bow River Evergreen PE</v>
      </c>
      <c r="AI25" t="str">
        <f>IFERROR(VLOOKUP($A25,fund_metadata!$A:$P,16,FALSE),"")</f>
        <v>private_equity</v>
      </c>
    </row>
    <row r="26" spans="1:35" x14ac:dyDescent="0.25">
      <c r="A26">
        <v>1</v>
      </c>
      <c r="B26" s="3">
        <v>44712</v>
      </c>
      <c r="C26" s="3"/>
      <c r="D26" s="3"/>
      <c r="E26" s="3"/>
      <c r="F26" s="3"/>
      <c r="G26" s="3"/>
      <c r="H26" s="3"/>
      <c r="K26" s="4">
        <v>238290000</v>
      </c>
      <c r="L26" t="s">
        <v>89</v>
      </c>
      <c r="M26" s="5">
        <v>40.130000000000003</v>
      </c>
      <c r="N26" t="s">
        <v>89</v>
      </c>
      <c r="Q26" s="2">
        <v>1.14E-2</v>
      </c>
      <c r="R26" t="s">
        <v>89</v>
      </c>
      <c r="T26" s="4"/>
      <c r="AH26" t="str">
        <f>IFERROR(VLOOKUP($A26,fund_metadata!$A:$P,2,FALSE),"")</f>
        <v>Bow River Evergreen PE</v>
      </c>
      <c r="AI26" t="str">
        <f>IFERROR(VLOOKUP($A26,fund_metadata!$A:$P,16,FALSE),"")</f>
        <v>private_equity</v>
      </c>
    </row>
    <row r="27" spans="1:35" x14ac:dyDescent="0.25">
      <c r="A27">
        <v>1</v>
      </c>
      <c r="B27" s="3">
        <v>44742</v>
      </c>
      <c r="C27" s="3"/>
      <c r="D27" s="3"/>
      <c r="E27" s="3"/>
      <c r="F27" s="3"/>
      <c r="G27" s="3"/>
      <c r="H27" s="3"/>
      <c r="K27" s="4">
        <v>247830000</v>
      </c>
      <c r="L27" t="s">
        <v>89</v>
      </c>
      <c r="M27" s="5">
        <v>39.92</v>
      </c>
      <c r="N27" t="s">
        <v>89</v>
      </c>
      <c r="Q27" s="2">
        <v>-5.3E-3</v>
      </c>
      <c r="R27" t="s">
        <v>89</v>
      </c>
      <c r="S27">
        <v>79</v>
      </c>
      <c r="T27" s="4"/>
      <c r="AH27" t="str">
        <f>IFERROR(VLOOKUP($A27,fund_metadata!$A:$P,2,FALSE),"")</f>
        <v>Bow River Evergreen PE</v>
      </c>
      <c r="AI27" t="str">
        <f>IFERROR(VLOOKUP($A27,fund_metadata!$A:$P,16,FALSE),"")</f>
        <v>private_equity</v>
      </c>
    </row>
    <row r="28" spans="1:35" x14ac:dyDescent="0.25">
      <c r="A28">
        <v>1</v>
      </c>
      <c r="B28" s="3">
        <v>44773</v>
      </c>
      <c r="C28" s="3"/>
      <c r="D28" s="3"/>
      <c r="E28" s="3"/>
      <c r="F28" s="3"/>
      <c r="G28" s="3"/>
      <c r="H28" s="3"/>
      <c r="K28" s="4">
        <v>257890000</v>
      </c>
      <c r="L28" t="s">
        <v>89</v>
      </c>
      <c r="M28" s="5">
        <v>39.76</v>
      </c>
      <c r="N28" t="s">
        <v>89</v>
      </c>
      <c r="Q28" s="2">
        <v>-3.8999999999999998E-3</v>
      </c>
      <c r="R28" t="s">
        <v>89</v>
      </c>
      <c r="T28" s="4"/>
      <c r="AH28" t="str">
        <f>IFERROR(VLOOKUP($A28,fund_metadata!$A:$P,2,FALSE),"")</f>
        <v>Bow River Evergreen PE</v>
      </c>
      <c r="AI28" t="str">
        <f>IFERROR(VLOOKUP($A28,fund_metadata!$A:$P,16,FALSE),"")</f>
        <v>private_equity</v>
      </c>
    </row>
    <row r="29" spans="1:35" x14ac:dyDescent="0.25">
      <c r="A29">
        <v>1</v>
      </c>
      <c r="B29" s="3">
        <v>44804</v>
      </c>
      <c r="C29" s="3"/>
      <c r="D29" s="3"/>
      <c r="E29" s="3"/>
      <c r="F29" s="3"/>
      <c r="G29" s="3"/>
      <c r="H29" s="3"/>
      <c r="K29" s="4">
        <v>269150000</v>
      </c>
      <c r="L29" t="s">
        <v>89</v>
      </c>
      <c r="M29" s="5">
        <v>39.94</v>
      </c>
      <c r="N29" t="s">
        <v>89</v>
      </c>
      <c r="Q29" s="2">
        <v>4.4999999999999997E-3</v>
      </c>
      <c r="R29" t="s">
        <v>89</v>
      </c>
      <c r="T29" s="4"/>
      <c r="AH29" t="str">
        <f>IFERROR(VLOOKUP($A29,fund_metadata!$A:$P,2,FALSE),"")</f>
        <v>Bow River Evergreen PE</v>
      </c>
      <c r="AI29" t="str">
        <f>IFERROR(VLOOKUP($A29,fund_metadata!$A:$P,16,FALSE),"")</f>
        <v>private_equity</v>
      </c>
    </row>
    <row r="30" spans="1:35" x14ac:dyDescent="0.25">
      <c r="A30">
        <v>1</v>
      </c>
      <c r="B30" s="3">
        <v>44834</v>
      </c>
      <c r="C30" s="3"/>
      <c r="D30" s="3"/>
      <c r="E30" s="3"/>
      <c r="F30" s="3"/>
      <c r="G30" s="3"/>
      <c r="H30" s="3"/>
      <c r="K30" s="4">
        <v>279610000</v>
      </c>
      <c r="L30" t="s">
        <v>89</v>
      </c>
      <c r="M30" s="5">
        <v>39.869999999999997</v>
      </c>
      <c r="N30" t="s">
        <v>89</v>
      </c>
      <c r="Q30" s="2">
        <v>-1.8E-3</v>
      </c>
      <c r="R30" t="s">
        <v>89</v>
      </c>
      <c r="S30">
        <v>88</v>
      </c>
      <c r="T30" s="4">
        <v>292180000</v>
      </c>
      <c r="U30" t="s">
        <v>89</v>
      </c>
      <c r="V30">
        <v>6459606</v>
      </c>
      <c r="W30" t="s">
        <v>120</v>
      </c>
      <c r="AH30" t="str">
        <f>IFERROR(VLOOKUP($A30,fund_metadata!$A:$P,2,FALSE),"")</f>
        <v>Bow River Evergreen PE</v>
      </c>
      <c r="AI30" t="str">
        <f>IFERROR(VLOOKUP($A30,fund_metadata!$A:$P,16,FALSE),"")</f>
        <v>private_equity</v>
      </c>
    </row>
    <row r="31" spans="1:35" x14ac:dyDescent="0.25">
      <c r="A31">
        <v>1</v>
      </c>
      <c r="B31" s="3">
        <v>44865</v>
      </c>
      <c r="C31" s="3"/>
      <c r="D31" s="3"/>
      <c r="E31" s="3"/>
      <c r="F31" s="3"/>
      <c r="G31" s="3"/>
      <c r="H31" s="3"/>
      <c r="K31" s="4">
        <v>286020000</v>
      </c>
      <c r="L31" t="s">
        <v>89</v>
      </c>
      <c r="M31" s="5">
        <v>39.75</v>
      </c>
      <c r="N31" t="s">
        <v>89</v>
      </c>
      <c r="Q31" s="2">
        <v>-3.0000000000000001E-3</v>
      </c>
      <c r="R31" t="s">
        <v>89</v>
      </c>
      <c r="T31" s="4"/>
      <c r="AH31" t="str">
        <f>IFERROR(VLOOKUP($A31,fund_metadata!$A:$P,2,FALSE),"")</f>
        <v>Bow River Evergreen PE</v>
      </c>
      <c r="AI31" t="str">
        <f>IFERROR(VLOOKUP($A31,fund_metadata!$A:$P,16,FALSE),"")</f>
        <v>private_equity</v>
      </c>
    </row>
    <row r="32" spans="1:35" x14ac:dyDescent="0.25">
      <c r="A32">
        <v>1</v>
      </c>
      <c r="B32" s="3">
        <v>44895</v>
      </c>
      <c r="C32" s="3"/>
      <c r="D32" s="3"/>
      <c r="E32" s="3"/>
      <c r="F32" s="3"/>
      <c r="G32" s="3"/>
      <c r="H32" s="3"/>
      <c r="K32" s="4">
        <v>296020000</v>
      </c>
      <c r="L32" t="s">
        <v>89</v>
      </c>
      <c r="M32" s="5">
        <v>40.18</v>
      </c>
      <c r="N32" t="s">
        <v>89</v>
      </c>
      <c r="Q32" s="2">
        <v>1.0699999999999999E-2</v>
      </c>
      <c r="R32" t="s">
        <v>89</v>
      </c>
      <c r="T32" s="4"/>
      <c r="AH32" t="str">
        <f>IFERROR(VLOOKUP($A32,fund_metadata!$A:$P,2,FALSE),"")</f>
        <v>Bow River Evergreen PE</v>
      </c>
      <c r="AI32" t="str">
        <f>IFERROR(VLOOKUP($A32,fund_metadata!$A:$P,16,FALSE),"")</f>
        <v>private_equity</v>
      </c>
    </row>
    <row r="33" spans="1:35" x14ac:dyDescent="0.25">
      <c r="A33">
        <v>1</v>
      </c>
      <c r="B33" s="3">
        <v>44926</v>
      </c>
      <c r="C33" s="3"/>
      <c r="D33" s="3"/>
      <c r="E33" s="3"/>
      <c r="F33" s="3"/>
      <c r="G33" s="3"/>
      <c r="H33" s="3"/>
      <c r="K33" s="4">
        <v>299140000</v>
      </c>
      <c r="L33" t="s">
        <v>89</v>
      </c>
      <c r="M33" s="5">
        <v>39.39</v>
      </c>
      <c r="N33" t="s">
        <v>89</v>
      </c>
      <c r="Q33" s="2">
        <v>8.0999999999999996E-3</v>
      </c>
      <c r="R33" t="s">
        <v>89</v>
      </c>
      <c r="S33">
        <v>96</v>
      </c>
      <c r="T33" s="4"/>
      <c r="AH33" t="str">
        <f>IFERROR(VLOOKUP($A33,fund_metadata!$A:$P,2,FALSE),"")</f>
        <v>Bow River Evergreen PE</v>
      </c>
      <c r="AI33" t="str">
        <f>IFERROR(VLOOKUP($A33,fund_metadata!$A:$P,16,FALSE),"")</f>
        <v>private_equity</v>
      </c>
    </row>
    <row r="34" spans="1:35" x14ac:dyDescent="0.25">
      <c r="A34">
        <v>1</v>
      </c>
      <c r="B34" s="3">
        <v>44957</v>
      </c>
      <c r="C34" s="3"/>
      <c r="D34" s="3"/>
      <c r="E34" s="3"/>
      <c r="F34" s="3"/>
      <c r="G34" s="3"/>
      <c r="H34" s="3"/>
      <c r="K34" s="4">
        <v>314370000</v>
      </c>
      <c r="L34" t="s">
        <v>89</v>
      </c>
      <c r="M34" s="5">
        <v>39.39</v>
      </c>
      <c r="N34" t="s">
        <v>89</v>
      </c>
      <c r="Q34" s="2">
        <v>1E-4</v>
      </c>
      <c r="R34" t="s">
        <v>89</v>
      </c>
      <c r="T34" s="4"/>
      <c r="AH34" t="str">
        <f>IFERROR(VLOOKUP($A34,fund_metadata!$A:$P,2,FALSE),"")</f>
        <v>Bow River Evergreen PE</v>
      </c>
      <c r="AI34" t="str">
        <f>IFERROR(VLOOKUP($A34,fund_metadata!$A:$P,16,FALSE),"")</f>
        <v>private_equity</v>
      </c>
    </row>
    <row r="35" spans="1:35" x14ac:dyDescent="0.25">
      <c r="A35">
        <v>1</v>
      </c>
      <c r="B35" s="3">
        <v>44985</v>
      </c>
      <c r="C35" s="3"/>
      <c r="D35" s="3"/>
      <c r="E35" s="3"/>
      <c r="F35" s="3"/>
      <c r="G35" s="3"/>
      <c r="H35" s="3"/>
      <c r="K35" s="4">
        <v>325700000</v>
      </c>
      <c r="L35" t="s">
        <v>89</v>
      </c>
      <c r="M35" s="5">
        <v>39.94</v>
      </c>
      <c r="N35" t="s">
        <v>89</v>
      </c>
      <c r="Q35" s="2">
        <v>1.41E-2</v>
      </c>
      <c r="R35" t="s">
        <v>89</v>
      </c>
      <c r="T35" s="4"/>
      <c r="AH35" t="str">
        <f>IFERROR(VLOOKUP($A35,fund_metadata!$A:$P,2,FALSE),"")</f>
        <v>Bow River Evergreen PE</v>
      </c>
      <c r="AI35" t="str">
        <f>IFERROR(VLOOKUP($A35,fund_metadata!$A:$P,16,FALSE),"")</f>
        <v>private_equity</v>
      </c>
    </row>
    <row r="36" spans="1:35" x14ac:dyDescent="0.25">
      <c r="A36">
        <v>1</v>
      </c>
      <c r="B36" s="3">
        <v>45016</v>
      </c>
      <c r="C36" s="3"/>
      <c r="D36" s="3"/>
      <c r="E36" s="3"/>
      <c r="F36" s="3"/>
      <c r="G36" s="3"/>
      <c r="H36" s="3"/>
      <c r="K36" s="4">
        <v>341380000</v>
      </c>
      <c r="L36" t="s">
        <v>89</v>
      </c>
      <c r="M36" s="5">
        <v>40.090000000000003</v>
      </c>
      <c r="N36" t="s">
        <v>89</v>
      </c>
      <c r="Q36" s="2">
        <v>3.8E-3</v>
      </c>
      <c r="R36" t="s">
        <v>89</v>
      </c>
      <c r="S36">
        <v>98</v>
      </c>
      <c r="T36" s="4">
        <v>353810000</v>
      </c>
      <c r="U36" t="s">
        <v>89</v>
      </c>
      <c r="AH36" t="str">
        <f>IFERROR(VLOOKUP($A36,fund_metadata!$A:$P,2,FALSE),"")</f>
        <v>Bow River Evergreen PE</v>
      </c>
      <c r="AI36" t="str">
        <f>IFERROR(VLOOKUP($A36,fund_metadata!$A:$P,16,FALSE),"")</f>
        <v>private_equity</v>
      </c>
    </row>
    <row r="37" spans="1:35" x14ac:dyDescent="0.25">
      <c r="A37">
        <v>1</v>
      </c>
      <c r="B37" s="3">
        <v>45046</v>
      </c>
      <c r="C37" s="3"/>
      <c r="D37" s="3"/>
      <c r="E37" s="3"/>
      <c r="F37" s="3"/>
      <c r="G37" s="3"/>
      <c r="H37" s="3"/>
      <c r="K37" s="4">
        <v>352740000</v>
      </c>
      <c r="L37" t="s">
        <v>89</v>
      </c>
      <c r="M37" s="5">
        <v>40.409999999999997</v>
      </c>
      <c r="N37" t="s">
        <v>89</v>
      </c>
      <c r="Q37" s="2">
        <v>7.7999999999999996E-3</v>
      </c>
      <c r="R37" t="s">
        <v>89</v>
      </c>
      <c r="T37" s="4"/>
      <c r="AH37" t="str">
        <f>IFERROR(VLOOKUP($A37,fund_metadata!$A:$P,2,FALSE),"")</f>
        <v>Bow River Evergreen PE</v>
      </c>
      <c r="AI37" t="str">
        <f>IFERROR(VLOOKUP($A37,fund_metadata!$A:$P,16,FALSE),"")</f>
        <v>private_equity</v>
      </c>
    </row>
    <row r="38" spans="1:35" x14ac:dyDescent="0.25">
      <c r="A38">
        <v>1</v>
      </c>
      <c r="B38" s="3">
        <v>45077</v>
      </c>
      <c r="C38" s="3"/>
      <c r="D38" s="3"/>
      <c r="E38" s="3"/>
      <c r="F38" s="3"/>
      <c r="G38" s="3"/>
      <c r="H38" s="3"/>
      <c r="K38" s="4">
        <v>357990000</v>
      </c>
      <c r="L38" t="s">
        <v>89</v>
      </c>
      <c r="M38" s="5">
        <v>40.409999999999997</v>
      </c>
      <c r="N38" t="s">
        <v>89</v>
      </c>
      <c r="Q38" s="2">
        <v>2.0000000000000001E-4</v>
      </c>
      <c r="R38" t="s">
        <v>89</v>
      </c>
      <c r="T38" s="4"/>
      <c r="AH38" t="str">
        <f>IFERROR(VLOOKUP($A38,fund_metadata!$A:$P,2,FALSE),"")</f>
        <v>Bow River Evergreen PE</v>
      </c>
      <c r="AI38" t="str">
        <f>IFERROR(VLOOKUP($A38,fund_metadata!$A:$P,16,FALSE),"")</f>
        <v>private_equity</v>
      </c>
    </row>
    <row r="39" spans="1:35" x14ac:dyDescent="0.25">
      <c r="A39">
        <v>1</v>
      </c>
      <c r="B39" s="3">
        <v>45107</v>
      </c>
      <c r="C39" s="3"/>
      <c r="D39" s="3"/>
      <c r="E39" s="3"/>
      <c r="F39" s="3"/>
      <c r="G39" s="3"/>
      <c r="H39" s="3"/>
      <c r="K39" s="4">
        <v>369270000</v>
      </c>
      <c r="L39" t="s">
        <v>89</v>
      </c>
      <c r="M39" s="5">
        <v>40.69</v>
      </c>
      <c r="N39" t="s">
        <v>89</v>
      </c>
      <c r="Q39" s="2">
        <v>6.7999999999999996E-3</v>
      </c>
      <c r="R39" t="s">
        <v>89</v>
      </c>
      <c r="S39">
        <v>98</v>
      </c>
      <c r="T39" s="4"/>
      <c r="AH39" t="str">
        <f>IFERROR(VLOOKUP($A39,fund_metadata!$A:$P,2,FALSE),"")</f>
        <v>Bow River Evergreen PE</v>
      </c>
      <c r="AI39" t="str">
        <f>IFERROR(VLOOKUP($A39,fund_metadata!$A:$P,16,FALSE),"")</f>
        <v>private_equity</v>
      </c>
    </row>
    <row r="40" spans="1:35" x14ac:dyDescent="0.25">
      <c r="A40">
        <v>1</v>
      </c>
      <c r="B40" s="3">
        <v>45138</v>
      </c>
      <c r="C40" s="3"/>
      <c r="D40" s="3"/>
      <c r="E40" s="3"/>
      <c r="F40" s="3"/>
      <c r="G40" s="3"/>
      <c r="H40" s="3"/>
      <c r="K40" s="4">
        <v>380550000</v>
      </c>
      <c r="L40" t="s">
        <v>89</v>
      </c>
      <c r="M40" s="5">
        <v>41.15</v>
      </c>
      <c r="N40" t="s">
        <v>89</v>
      </c>
      <c r="Q40" s="2">
        <v>1.1299999999999999E-2</v>
      </c>
      <c r="R40" t="s">
        <v>89</v>
      </c>
      <c r="T40" s="4"/>
      <c r="AH40" t="str">
        <f>IFERROR(VLOOKUP($A40,fund_metadata!$A:$P,2,FALSE),"")</f>
        <v>Bow River Evergreen PE</v>
      </c>
      <c r="AI40" t="str">
        <f>IFERROR(VLOOKUP($A40,fund_metadata!$A:$P,16,FALSE),"")</f>
        <v>private_equity</v>
      </c>
    </row>
    <row r="41" spans="1:35" x14ac:dyDescent="0.25">
      <c r="A41">
        <v>1</v>
      </c>
      <c r="B41" s="3">
        <v>45169</v>
      </c>
      <c r="C41" s="3"/>
      <c r="D41" s="3"/>
      <c r="E41" s="3"/>
      <c r="F41" s="3"/>
      <c r="G41" s="3"/>
      <c r="H41" s="3"/>
      <c r="K41" s="4">
        <v>395660000</v>
      </c>
      <c r="L41" t="s">
        <v>89</v>
      </c>
      <c r="M41" s="5">
        <v>42</v>
      </c>
      <c r="N41" t="s">
        <v>89</v>
      </c>
      <c r="Q41" s="2">
        <v>2.06E-2</v>
      </c>
      <c r="R41" t="s">
        <v>89</v>
      </c>
      <c r="T41" s="4"/>
      <c r="AH41" t="str">
        <f>IFERROR(VLOOKUP($A41,fund_metadata!$A:$P,2,FALSE),"")</f>
        <v>Bow River Evergreen PE</v>
      </c>
      <c r="AI41" t="str">
        <f>IFERROR(VLOOKUP($A41,fund_metadata!$A:$P,16,FALSE),"")</f>
        <v>private_equity</v>
      </c>
    </row>
    <row r="42" spans="1:35" x14ac:dyDescent="0.25">
      <c r="A42">
        <v>1</v>
      </c>
      <c r="B42" s="3">
        <v>45199</v>
      </c>
      <c r="C42" s="3"/>
      <c r="D42" s="3"/>
      <c r="E42" s="3"/>
      <c r="F42" s="3"/>
      <c r="G42" s="3"/>
      <c r="H42" s="3"/>
      <c r="K42" s="4">
        <v>400100000</v>
      </c>
      <c r="L42" t="s">
        <v>89</v>
      </c>
      <c r="M42" s="5">
        <v>41.9</v>
      </c>
      <c r="N42" t="s">
        <v>89</v>
      </c>
      <c r="Q42" s="2">
        <v>-2.3E-3</v>
      </c>
      <c r="R42" t="s">
        <v>89</v>
      </c>
      <c r="S42">
        <v>105</v>
      </c>
      <c r="T42" s="4">
        <v>412100000</v>
      </c>
      <c r="U42" t="s">
        <v>89</v>
      </c>
      <c r="V42">
        <v>8965808</v>
      </c>
      <c r="W42" t="s">
        <v>120</v>
      </c>
      <c r="AH42" t="str">
        <f>IFERROR(VLOOKUP($A42,fund_metadata!$A:$P,2,FALSE),"")</f>
        <v>Bow River Evergreen PE</v>
      </c>
      <c r="AI42" t="str">
        <f>IFERROR(VLOOKUP($A42,fund_metadata!$A:$P,16,FALSE),"")</f>
        <v>private_equity</v>
      </c>
    </row>
    <row r="43" spans="1:35" x14ac:dyDescent="0.25">
      <c r="A43">
        <v>1</v>
      </c>
      <c r="B43" s="3">
        <v>45230</v>
      </c>
      <c r="C43" s="3"/>
      <c r="D43" s="3"/>
      <c r="E43" s="3"/>
      <c r="F43" s="3"/>
      <c r="G43" s="3"/>
      <c r="H43" s="3"/>
      <c r="K43" s="4">
        <v>427670000</v>
      </c>
      <c r="L43" t="s">
        <v>89</v>
      </c>
      <c r="M43" s="5">
        <v>43.45</v>
      </c>
      <c r="N43" t="s">
        <v>89</v>
      </c>
      <c r="Q43" s="2">
        <v>3.7100000000000001E-2</v>
      </c>
      <c r="R43" t="s">
        <v>89</v>
      </c>
      <c r="T43" s="4"/>
      <c r="AH43" t="str">
        <f>IFERROR(VLOOKUP($A43,fund_metadata!$A:$P,2,FALSE),"")</f>
        <v>Bow River Evergreen PE</v>
      </c>
      <c r="AI43" t="str">
        <f>IFERROR(VLOOKUP($A43,fund_metadata!$A:$P,16,FALSE),"")</f>
        <v>private_equity</v>
      </c>
    </row>
    <row r="44" spans="1:35" x14ac:dyDescent="0.25">
      <c r="A44">
        <v>1</v>
      </c>
      <c r="B44" s="3">
        <v>45260</v>
      </c>
      <c r="C44" s="3"/>
      <c r="D44" s="3"/>
      <c r="E44" s="3"/>
      <c r="F44" s="3"/>
      <c r="G44" s="3"/>
      <c r="H44" s="3"/>
      <c r="K44" s="4">
        <v>438230000</v>
      </c>
      <c r="L44" t="s">
        <v>89</v>
      </c>
      <c r="M44" s="5">
        <v>43.98</v>
      </c>
      <c r="N44" t="s">
        <v>89</v>
      </c>
      <c r="Q44" s="2">
        <v>1.2E-2</v>
      </c>
      <c r="R44" t="s">
        <v>89</v>
      </c>
      <c r="T44" s="4"/>
      <c r="AH44" t="str">
        <f>IFERROR(VLOOKUP($A44,fund_metadata!$A:$P,2,FALSE),"")</f>
        <v>Bow River Evergreen PE</v>
      </c>
      <c r="AI44" t="str">
        <f>IFERROR(VLOOKUP($A44,fund_metadata!$A:$P,16,FALSE),"")</f>
        <v>private_equity</v>
      </c>
    </row>
    <row r="45" spans="1:35" x14ac:dyDescent="0.25">
      <c r="A45">
        <v>1</v>
      </c>
      <c r="B45" s="3">
        <v>45291</v>
      </c>
      <c r="C45" s="3"/>
      <c r="D45" s="3"/>
      <c r="E45" s="3"/>
      <c r="F45" s="3"/>
      <c r="G45" s="3"/>
      <c r="H45" s="3"/>
      <c r="K45" s="4">
        <v>446350000</v>
      </c>
      <c r="L45" t="s">
        <v>89</v>
      </c>
      <c r="M45" s="5">
        <v>43.37</v>
      </c>
      <c r="N45" t="s">
        <v>89</v>
      </c>
      <c r="Q45" s="2">
        <v>1.8E-3</v>
      </c>
      <c r="R45" t="s">
        <v>89</v>
      </c>
      <c r="S45">
        <v>106</v>
      </c>
      <c r="T45" s="4"/>
      <c r="AH45" t="str">
        <f>IFERROR(VLOOKUP($A45,fund_metadata!$A:$P,2,FALSE),"")</f>
        <v>Bow River Evergreen PE</v>
      </c>
      <c r="AI45" t="str">
        <f>IFERROR(VLOOKUP($A45,fund_metadata!$A:$P,16,FALSE),"")</f>
        <v>private_equity</v>
      </c>
    </row>
    <row r="46" spans="1:35" x14ac:dyDescent="0.25">
      <c r="A46">
        <v>1</v>
      </c>
      <c r="B46" s="3">
        <v>45322</v>
      </c>
      <c r="C46" s="3"/>
      <c r="D46" s="3"/>
      <c r="E46" s="3"/>
      <c r="F46" s="3"/>
      <c r="G46" s="3"/>
      <c r="H46" s="3"/>
      <c r="K46" s="4">
        <v>459740000</v>
      </c>
      <c r="L46" t="s">
        <v>89</v>
      </c>
      <c r="M46" s="5">
        <v>43.36</v>
      </c>
      <c r="N46" t="s">
        <v>89</v>
      </c>
      <c r="Q46" s="2">
        <v>-2.0000000000000001E-4</v>
      </c>
      <c r="R46" t="s">
        <v>89</v>
      </c>
      <c r="T46" s="4"/>
      <c r="AH46" t="str">
        <f>IFERROR(VLOOKUP($A46,fund_metadata!$A:$P,2,FALSE),"")</f>
        <v>Bow River Evergreen PE</v>
      </c>
      <c r="AI46" t="str">
        <f>IFERROR(VLOOKUP($A46,fund_metadata!$A:$P,16,FALSE),"")</f>
        <v>private_equity</v>
      </c>
    </row>
    <row r="47" spans="1:35" x14ac:dyDescent="0.25">
      <c r="A47">
        <v>1</v>
      </c>
      <c r="B47" s="3">
        <v>45351</v>
      </c>
      <c r="C47" s="3"/>
      <c r="D47" s="3"/>
      <c r="E47" s="3"/>
      <c r="F47" s="3"/>
      <c r="G47" s="3"/>
      <c r="H47" s="3"/>
      <c r="K47" s="4">
        <v>476530000</v>
      </c>
      <c r="L47" t="s">
        <v>89</v>
      </c>
      <c r="M47" s="5">
        <v>43.93</v>
      </c>
      <c r="N47" t="s">
        <v>89</v>
      </c>
      <c r="Q47" s="2">
        <v>1.3100000000000001E-2</v>
      </c>
      <c r="R47" t="s">
        <v>89</v>
      </c>
      <c r="T47" s="4"/>
      <c r="AH47" t="str">
        <f>IFERROR(VLOOKUP($A47,fund_metadata!$A:$P,2,FALSE),"")</f>
        <v>Bow River Evergreen PE</v>
      </c>
      <c r="AI47" t="str">
        <f>IFERROR(VLOOKUP($A47,fund_metadata!$A:$P,16,FALSE),"")</f>
        <v>private_equity</v>
      </c>
    </row>
    <row r="48" spans="1:35" x14ac:dyDescent="0.25">
      <c r="A48">
        <v>1</v>
      </c>
      <c r="B48" s="3">
        <v>45382</v>
      </c>
      <c r="C48" s="3"/>
      <c r="D48" s="3"/>
      <c r="E48" s="3"/>
      <c r="F48" s="3"/>
      <c r="G48" s="3"/>
      <c r="H48" s="3"/>
      <c r="K48" s="4">
        <v>486790000</v>
      </c>
      <c r="L48" t="s">
        <v>89</v>
      </c>
      <c r="M48" s="5">
        <v>44.29</v>
      </c>
      <c r="N48" t="s">
        <v>89</v>
      </c>
      <c r="Q48" s="2">
        <v>8.2000000000000007E-3</v>
      </c>
      <c r="R48" t="s">
        <v>89</v>
      </c>
      <c r="S48">
        <v>112</v>
      </c>
      <c r="T48" s="4">
        <v>519920000</v>
      </c>
      <c r="U48" t="s">
        <v>89</v>
      </c>
      <c r="V48">
        <v>10327322</v>
      </c>
      <c r="W48" t="s">
        <v>121</v>
      </c>
      <c r="AH48" t="str">
        <f>IFERROR(VLOOKUP($A48,fund_metadata!$A:$P,2,FALSE),"")</f>
        <v>Bow River Evergreen PE</v>
      </c>
      <c r="AI48" t="str">
        <f>IFERROR(VLOOKUP($A48,fund_metadata!$A:$P,16,FALSE),"")</f>
        <v>private_equity</v>
      </c>
    </row>
    <row r="49" spans="1:35" x14ac:dyDescent="0.25">
      <c r="A49">
        <v>1</v>
      </c>
      <c r="B49" s="3">
        <v>45412</v>
      </c>
      <c r="C49" s="3"/>
      <c r="D49" s="3"/>
      <c r="E49" s="3"/>
      <c r="F49" s="3"/>
      <c r="G49" s="3"/>
      <c r="H49" s="3"/>
      <c r="K49" s="4">
        <v>509290000</v>
      </c>
      <c r="L49" t="s">
        <v>89</v>
      </c>
      <c r="M49" s="5">
        <v>44.88</v>
      </c>
      <c r="N49" t="s">
        <v>89</v>
      </c>
      <c r="Q49" s="2">
        <v>1.34E-2</v>
      </c>
      <c r="R49" t="s">
        <v>89</v>
      </c>
      <c r="T49" s="4"/>
      <c r="AH49" t="str">
        <f>IFERROR(VLOOKUP($A49,fund_metadata!$A:$P,2,FALSE),"")</f>
        <v>Bow River Evergreen PE</v>
      </c>
      <c r="AI49" t="str">
        <f>IFERROR(VLOOKUP($A49,fund_metadata!$A:$P,16,FALSE),"")</f>
        <v>private_equity</v>
      </c>
    </row>
    <row r="50" spans="1:35" x14ac:dyDescent="0.25">
      <c r="A50">
        <v>1</v>
      </c>
      <c r="B50" s="3">
        <v>45443</v>
      </c>
      <c r="C50" s="3"/>
      <c r="D50" s="3"/>
      <c r="E50" s="3"/>
      <c r="F50" s="3"/>
      <c r="G50" s="3"/>
      <c r="H50" s="3"/>
      <c r="K50" s="4">
        <v>530130000</v>
      </c>
      <c r="L50" t="s">
        <v>89</v>
      </c>
      <c r="M50" s="5">
        <v>45.83</v>
      </c>
      <c r="N50" t="s">
        <v>89</v>
      </c>
      <c r="Q50" s="2">
        <v>2.12E-2</v>
      </c>
      <c r="R50" t="s">
        <v>89</v>
      </c>
      <c r="T50" s="4"/>
      <c r="AH50" t="str">
        <f>IFERROR(VLOOKUP($A50,fund_metadata!$A:$P,2,FALSE),"")</f>
        <v>Bow River Evergreen PE</v>
      </c>
      <c r="AI50" t="str">
        <f>IFERROR(VLOOKUP($A50,fund_metadata!$A:$P,16,FALSE),"")</f>
        <v>private_equity</v>
      </c>
    </row>
    <row r="51" spans="1:35" x14ac:dyDescent="0.25">
      <c r="A51">
        <v>1</v>
      </c>
      <c r="B51" s="3">
        <v>45473</v>
      </c>
      <c r="C51" s="3"/>
      <c r="D51" s="3"/>
      <c r="E51" s="3"/>
      <c r="F51" s="3"/>
      <c r="G51" s="3"/>
      <c r="H51" s="3"/>
      <c r="K51" s="4">
        <v>552750000</v>
      </c>
      <c r="L51" t="s">
        <v>89</v>
      </c>
      <c r="M51" s="5">
        <v>45.85</v>
      </c>
      <c r="N51" t="s">
        <v>89</v>
      </c>
      <c r="O51">
        <v>0</v>
      </c>
      <c r="P51" t="s">
        <v>108</v>
      </c>
      <c r="Q51" s="2">
        <v>4.0000000000000002E-4</v>
      </c>
      <c r="R51" t="s">
        <v>89</v>
      </c>
      <c r="S51">
        <v>121</v>
      </c>
      <c r="T51" s="4"/>
      <c r="AH51" t="str">
        <f>IFERROR(VLOOKUP($A51,fund_metadata!$A:$P,2,FALSE),"")</f>
        <v>Bow River Evergreen PE</v>
      </c>
      <c r="AI51" t="str">
        <f>IFERROR(VLOOKUP($A51,fund_metadata!$A:$P,16,FALSE),"")</f>
        <v>private_equity</v>
      </c>
    </row>
    <row r="52" spans="1:35" x14ac:dyDescent="0.25">
      <c r="A52">
        <v>1</v>
      </c>
      <c r="B52" s="3">
        <v>45504</v>
      </c>
      <c r="C52" s="3"/>
      <c r="D52" s="3"/>
      <c r="E52" s="3"/>
      <c r="F52" s="3"/>
      <c r="G52" s="3"/>
      <c r="H52" s="3"/>
      <c r="K52" s="4">
        <v>565090000</v>
      </c>
      <c r="L52" t="s">
        <v>89</v>
      </c>
      <c r="M52" s="5">
        <v>45.9</v>
      </c>
      <c r="N52" t="s">
        <v>89</v>
      </c>
      <c r="O52">
        <v>0</v>
      </c>
      <c r="P52" t="s">
        <v>108</v>
      </c>
      <c r="Q52" s="2">
        <v>1.1000000000000001E-3</v>
      </c>
      <c r="R52" t="s">
        <v>89</v>
      </c>
      <c r="T52" s="4"/>
      <c r="AH52" t="str">
        <f>IFERROR(VLOOKUP($A52,fund_metadata!$A:$P,2,FALSE),"")</f>
        <v>Bow River Evergreen PE</v>
      </c>
      <c r="AI52" t="str">
        <f>IFERROR(VLOOKUP($A52,fund_metadata!$A:$P,16,FALSE),"")</f>
        <v>private_equity</v>
      </c>
    </row>
    <row r="53" spans="1:35" x14ac:dyDescent="0.25">
      <c r="A53">
        <v>1</v>
      </c>
      <c r="B53" s="3">
        <v>45535</v>
      </c>
      <c r="C53" s="3"/>
      <c r="D53" s="3"/>
      <c r="E53" s="3"/>
      <c r="F53" s="3"/>
      <c r="G53" s="3"/>
      <c r="H53" s="3"/>
      <c r="K53" s="4">
        <v>600190000</v>
      </c>
      <c r="L53" t="s">
        <v>89</v>
      </c>
      <c r="M53" s="5">
        <v>47.24</v>
      </c>
      <c r="N53" t="s">
        <v>89</v>
      </c>
      <c r="O53">
        <v>0</v>
      </c>
      <c r="P53" t="s">
        <v>108</v>
      </c>
      <c r="Q53" s="2">
        <v>2.9000000000000001E-2</v>
      </c>
      <c r="R53" t="s">
        <v>89</v>
      </c>
      <c r="T53" s="4"/>
      <c r="AH53" t="str">
        <f>IFERROR(VLOOKUP($A53,fund_metadata!$A:$P,2,FALSE),"")</f>
        <v>Bow River Evergreen PE</v>
      </c>
      <c r="AI53" t="str">
        <f>IFERROR(VLOOKUP($A53,fund_metadata!$A:$P,16,FALSE),"")</f>
        <v>private_equity</v>
      </c>
    </row>
    <row r="54" spans="1:35" x14ac:dyDescent="0.25">
      <c r="A54">
        <v>1</v>
      </c>
      <c r="B54" s="3">
        <v>45565</v>
      </c>
      <c r="C54" s="3"/>
      <c r="D54" s="3"/>
      <c r="E54" s="3"/>
      <c r="F54" s="3"/>
      <c r="G54" s="3"/>
      <c r="H54" s="3"/>
      <c r="K54" s="4">
        <v>617640000</v>
      </c>
      <c r="L54" t="s">
        <v>89</v>
      </c>
      <c r="M54" s="5">
        <v>47.8</v>
      </c>
      <c r="N54" t="s">
        <v>89</v>
      </c>
      <c r="O54">
        <v>0</v>
      </c>
      <c r="P54" t="s">
        <v>108</v>
      </c>
      <c r="Q54" s="2">
        <v>1.1900000000000001E-2</v>
      </c>
      <c r="R54" t="s">
        <v>89</v>
      </c>
      <c r="S54">
        <v>131</v>
      </c>
      <c r="T54" s="4">
        <v>632440000</v>
      </c>
      <c r="U54" t="s">
        <v>89</v>
      </c>
      <c r="V54">
        <v>12219603</v>
      </c>
      <c r="W54" t="s">
        <v>120</v>
      </c>
      <c r="AH54" t="str">
        <f>IFERROR(VLOOKUP($A54,fund_metadata!$A:$P,2,FALSE),"")</f>
        <v>Bow River Evergreen PE</v>
      </c>
      <c r="AI54" t="str">
        <f>IFERROR(VLOOKUP($A54,fund_metadata!$A:$P,16,FALSE),"")</f>
        <v>private_equity</v>
      </c>
    </row>
    <row r="55" spans="1:35" x14ac:dyDescent="0.25">
      <c r="A55">
        <v>1</v>
      </c>
      <c r="B55" s="3">
        <v>45596</v>
      </c>
      <c r="C55" s="3"/>
      <c r="D55" s="3"/>
      <c r="E55" s="3"/>
      <c r="F55" s="3"/>
      <c r="G55" s="3"/>
      <c r="H55" s="3"/>
      <c r="K55" s="4">
        <v>633880000</v>
      </c>
      <c r="L55" t="s">
        <v>89</v>
      </c>
      <c r="M55" s="5">
        <v>47.94</v>
      </c>
      <c r="N55" t="s">
        <v>89</v>
      </c>
      <c r="O55">
        <v>0</v>
      </c>
      <c r="P55" t="s">
        <v>108</v>
      </c>
      <c r="Q55" s="2">
        <v>2.8E-3</v>
      </c>
      <c r="R55" t="s">
        <v>89</v>
      </c>
      <c r="T55" s="4"/>
      <c r="AH55" t="str">
        <f>IFERROR(VLOOKUP($A55,fund_metadata!$A:$P,2,FALSE),"")</f>
        <v>Bow River Evergreen PE</v>
      </c>
      <c r="AI55" t="str">
        <f>IFERROR(VLOOKUP($A55,fund_metadata!$A:$P,16,FALSE),"")</f>
        <v>private_equity</v>
      </c>
    </row>
    <row r="56" spans="1:35" x14ac:dyDescent="0.25">
      <c r="A56">
        <v>1</v>
      </c>
      <c r="B56" s="3">
        <v>45626</v>
      </c>
      <c r="C56" s="3"/>
      <c r="D56" s="3"/>
      <c r="E56" s="3"/>
      <c r="F56" s="3"/>
      <c r="G56" s="3"/>
      <c r="H56" s="3"/>
      <c r="K56" s="4">
        <v>658210000</v>
      </c>
      <c r="L56" t="s">
        <v>89</v>
      </c>
      <c r="M56" s="5">
        <v>48.48</v>
      </c>
      <c r="N56" t="s">
        <v>89</v>
      </c>
      <c r="O56">
        <v>0</v>
      </c>
      <c r="P56" t="s">
        <v>108</v>
      </c>
      <c r="Q56" s="2">
        <v>1.15E-2</v>
      </c>
      <c r="R56" t="s">
        <v>89</v>
      </c>
      <c r="T56" s="4"/>
      <c r="AH56" t="str">
        <f>IFERROR(VLOOKUP($A56,fund_metadata!$A:$P,2,FALSE),"")</f>
        <v>Bow River Evergreen PE</v>
      </c>
      <c r="AI56" t="str">
        <f>IFERROR(VLOOKUP($A56,fund_metadata!$A:$P,16,FALSE),"")</f>
        <v>private_equity</v>
      </c>
    </row>
    <row r="57" spans="1:35" x14ac:dyDescent="0.25">
      <c r="A57">
        <v>1</v>
      </c>
      <c r="B57" s="3">
        <v>45657</v>
      </c>
      <c r="C57" s="3"/>
      <c r="D57" s="3"/>
      <c r="E57" s="3"/>
      <c r="F57" s="3"/>
      <c r="G57" s="3"/>
      <c r="H57" s="3"/>
      <c r="K57" s="4">
        <v>669420000</v>
      </c>
      <c r="L57" t="s">
        <v>89</v>
      </c>
      <c r="M57" s="5">
        <v>47.54</v>
      </c>
      <c r="N57" t="s">
        <v>89</v>
      </c>
      <c r="O57">
        <v>1.137</v>
      </c>
      <c r="P57" t="s">
        <v>108</v>
      </c>
      <c r="Q57" s="2">
        <v>4.0000000000000001E-3</v>
      </c>
      <c r="R57" t="s">
        <v>89</v>
      </c>
      <c r="S57">
        <v>142</v>
      </c>
      <c r="T57" s="4"/>
      <c r="AH57" t="str">
        <f>IFERROR(VLOOKUP($A57,fund_metadata!$A:$P,2,FALSE),"")</f>
        <v>Bow River Evergreen PE</v>
      </c>
      <c r="AI57" t="str">
        <f>IFERROR(VLOOKUP($A57,fund_metadata!$A:$P,16,FALSE),"")</f>
        <v>private_equity</v>
      </c>
    </row>
    <row r="58" spans="1:35" x14ac:dyDescent="0.25">
      <c r="A58">
        <v>1</v>
      </c>
      <c r="B58" s="3">
        <v>45688</v>
      </c>
      <c r="C58" s="3"/>
      <c r="D58" s="3"/>
      <c r="E58" s="3"/>
      <c r="F58" s="3"/>
      <c r="G58" s="3"/>
      <c r="H58" s="3"/>
      <c r="K58" s="4">
        <v>701580000</v>
      </c>
      <c r="L58" t="s">
        <v>89</v>
      </c>
      <c r="M58" s="5">
        <v>47.77</v>
      </c>
      <c r="N58" t="s">
        <v>89</v>
      </c>
      <c r="O58">
        <v>0</v>
      </c>
      <c r="P58" t="s">
        <v>108</v>
      </c>
      <c r="Q58" s="2">
        <v>5.0000000000000001E-3</v>
      </c>
      <c r="R58" t="s">
        <v>89</v>
      </c>
      <c r="T58" s="4"/>
      <c r="AH58" t="str">
        <f>IFERROR(VLOOKUP($A58,fund_metadata!$A:$P,2,FALSE),"")</f>
        <v>Bow River Evergreen PE</v>
      </c>
      <c r="AI58" t="str">
        <f>IFERROR(VLOOKUP($A58,fund_metadata!$A:$P,16,FALSE),"")</f>
        <v>private_equity</v>
      </c>
    </row>
    <row r="59" spans="1:35" x14ac:dyDescent="0.25">
      <c r="A59">
        <v>1</v>
      </c>
      <c r="B59" s="3">
        <v>45716</v>
      </c>
      <c r="C59" s="3"/>
      <c r="D59" s="3"/>
      <c r="E59" s="3"/>
      <c r="F59" s="3"/>
      <c r="G59" s="3"/>
      <c r="H59" s="3"/>
      <c r="K59" s="4">
        <v>735550000</v>
      </c>
      <c r="L59" t="s">
        <v>89</v>
      </c>
      <c r="M59" s="5">
        <v>48.8</v>
      </c>
      <c r="N59" t="s">
        <v>89</v>
      </c>
      <c r="O59">
        <v>0</v>
      </c>
      <c r="P59" t="s">
        <v>108</v>
      </c>
      <c r="Q59" s="2">
        <v>2.1499999999999998E-2</v>
      </c>
      <c r="R59" t="s">
        <v>89</v>
      </c>
      <c r="T59" s="4"/>
      <c r="AH59" t="str">
        <f>IFERROR(VLOOKUP($A59,fund_metadata!$A:$P,2,FALSE),"")</f>
        <v>Bow River Evergreen PE</v>
      </c>
      <c r="AI59" t="str">
        <f>IFERROR(VLOOKUP($A59,fund_metadata!$A:$P,16,FALSE),"")</f>
        <v>private_equity</v>
      </c>
    </row>
    <row r="60" spans="1:35" x14ac:dyDescent="0.25">
      <c r="A60">
        <v>1</v>
      </c>
      <c r="B60" s="3">
        <v>45747</v>
      </c>
      <c r="C60" s="3"/>
      <c r="D60" s="3"/>
      <c r="E60" s="3"/>
      <c r="F60" s="3"/>
      <c r="G60" s="3"/>
      <c r="H60" s="3"/>
      <c r="K60" s="4">
        <v>774220000</v>
      </c>
      <c r="L60" t="s">
        <v>89</v>
      </c>
      <c r="M60" s="5">
        <v>49.69</v>
      </c>
      <c r="N60" t="s">
        <v>89</v>
      </c>
      <c r="O60">
        <v>0</v>
      </c>
      <c r="P60" t="s">
        <v>108</v>
      </c>
      <c r="Q60" s="2">
        <v>1.8200000000000001E-2</v>
      </c>
      <c r="R60" t="s">
        <v>89</v>
      </c>
      <c r="S60">
        <v>147</v>
      </c>
      <c r="T60" s="4">
        <v>817800000</v>
      </c>
      <c r="U60" t="s">
        <v>89</v>
      </c>
      <c r="V60">
        <v>14550293</v>
      </c>
      <c r="W60" t="s">
        <v>121</v>
      </c>
      <c r="AH60" t="str">
        <f>IFERROR(VLOOKUP($A60,fund_metadata!$A:$P,2,FALSE),"")</f>
        <v>Bow River Evergreen PE</v>
      </c>
      <c r="AI60" t="str">
        <f>IFERROR(VLOOKUP($A60,fund_metadata!$A:$P,16,FALSE),"")</f>
        <v>private_equity</v>
      </c>
    </row>
    <row r="61" spans="1:35" x14ac:dyDescent="0.25">
      <c r="A61">
        <v>1</v>
      </c>
      <c r="B61" s="3">
        <v>45777</v>
      </c>
      <c r="C61" s="3"/>
      <c r="D61" s="3"/>
      <c r="E61" s="3"/>
      <c r="F61" s="3"/>
      <c r="G61" s="3"/>
      <c r="H61" s="3"/>
      <c r="K61" s="4">
        <v>807000000</v>
      </c>
      <c r="L61" t="s">
        <v>89</v>
      </c>
      <c r="M61" s="5">
        <v>50.09</v>
      </c>
      <c r="N61" t="s">
        <v>89</v>
      </c>
      <c r="O61">
        <v>0</v>
      </c>
      <c r="P61" t="s">
        <v>108</v>
      </c>
      <c r="Q61" s="2">
        <v>8.0999999999999996E-3</v>
      </c>
      <c r="R61" t="s">
        <v>89</v>
      </c>
      <c r="T61" s="4"/>
      <c r="AH61" t="str">
        <f>IFERROR(VLOOKUP($A61,fund_metadata!$A:$P,2,FALSE),"")</f>
        <v>Bow River Evergreen PE</v>
      </c>
      <c r="AI61" t="str">
        <f>IFERROR(VLOOKUP($A61,fund_metadata!$A:$P,16,FALSE),"")</f>
        <v>private_equity</v>
      </c>
    </row>
    <row r="62" spans="1:35" x14ac:dyDescent="0.25">
      <c r="A62">
        <v>1</v>
      </c>
      <c r="B62" s="3">
        <v>45808</v>
      </c>
      <c r="C62" s="3"/>
      <c r="D62" s="3"/>
      <c r="E62" s="3"/>
      <c r="F62" s="3"/>
      <c r="G62" s="3"/>
      <c r="H62" s="3"/>
      <c r="K62" s="4">
        <v>826540000</v>
      </c>
      <c r="L62" t="s">
        <v>89</v>
      </c>
      <c r="M62" s="5">
        <v>50.8</v>
      </c>
      <c r="N62" t="s">
        <v>89</v>
      </c>
      <c r="O62">
        <v>0</v>
      </c>
      <c r="P62" t="s">
        <v>108</v>
      </c>
      <c r="Q62" s="2">
        <v>1.4200000000000001E-2</v>
      </c>
      <c r="R62" t="s">
        <v>89</v>
      </c>
      <c r="T62" s="4"/>
      <c r="AH62" t="str">
        <f>IFERROR(VLOOKUP($A62,fund_metadata!$A:$P,2,FALSE),"")</f>
        <v>Bow River Evergreen PE</v>
      </c>
      <c r="AI62" t="str">
        <f>IFERROR(VLOOKUP($A62,fund_metadata!$A:$P,16,FALSE),"")</f>
        <v>private_equity</v>
      </c>
    </row>
    <row r="63" spans="1:35" x14ac:dyDescent="0.25">
      <c r="A63">
        <v>1</v>
      </c>
      <c r="B63" s="3">
        <v>45838</v>
      </c>
      <c r="C63" s="3"/>
      <c r="D63" s="3"/>
      <c r="E63" s="3"/>
      <c r="F63" s="3"/>
      <c r="G63" s="3"/>
      <c r="H63" s="3"/>
      <c r="K63" s="4">
        <v>849670000</v>
      </c>
      <c r="L63" t="s">
        <v>89</v>
      </c>
      <c r="M63" s="5">
        <v>50.82</v>
      </c>
      <c r="N63" t="s">
        <v>89</v>
      </c>
      <c r="O63">
        <v>0</v>
      </c>
      <c r="P63" t="s">
        <v>108</v>
      </c>
      <c r="Q63" s="2">
        <v>4.0000000000000002E-4</v>
      </c>
      <c r="R63" t="s">
        <v>89</v>
      </c>
      <c r="S63">
        <v>157</v>
      </c>
      <c r="T63" s="4"/>
      <c r="AH63" t="str">
        <f>IFERROR(VLOOKUP($A63,fund_metadata!$A:$P,2,FALSE),"")</f>
        <v>Bow River Evergreen PE</v>
      </c>
      <c r="AI63" t="str">
        <f>IFERROR(VLOOKUP($A63,fund_metadata!$A:$P,16,FALSE),"")</f>
        <v>private_equity</v>
      </c>
    </row>
    <row r="64" spans="1:35" x14ac:dyDescent="0.25">
      <c r="A64">
        <v>1</v>
      </c>
      <c r="B64" s="3">
        <v>45869</v>
      </c>
      <c r="C64" s="3"/>
      <c r="D64" s="3"/>
      <c r="E64" s="3"/>
      <c r="F64" s="3"/>
      <c r="G64" s="3"/>
      <c r="H64" s="3"/>
      <c r="K64" s="4">
        <v>894140000</v>
      </c>
      <c r="L64" t="s">
        <v>89</v>
      </c>
      <c r="M64" s="5">
        <v>50.72</v>
      </c>
      <c r="N64" t="s">
        <v>89</v>
      </c>
      <c r="Q64" s="2">
        <v>-2E-3</v>
      </c>
      <c r="R64" t="s">
        <v>89</v>
      </c>
      <c r="T64" s="4"/>
      <c r="AH64" t="str">
        <f>IFERROR(VLOOKUP($A64,fund_metadata!$A:$P,2,FALSE),"")</f>
        <v>Bow River Evergreen PE</v>
      </c>
      <c r="AI64" t="str">
        <f>IFERROR(VLOOKUP($A64,fund_metadata!$A:$P,16,FALSE),"")</f>
        <v>private_equity</v>
      </c>
    </row>
    <row r="65" spans="1:35" x14ac:dyDescent="0.25">
      <c r="A65">
        <v>1</v>
      </c>
      <c r="B65" s="3">
        <v>45900</v>
      </c>
      <c r="C65" s="3"/>
      <c r="D65" s="3"/>
      <c r="E65" s="3"/>
      <c r="F65" s="3"/>
      <c r="G65" s="3"/>
      <c r="H65" s="3"/>
      <c r="K65" s="4">
        <v>942530000</v>
      </c>
      <c r="L65" t="s">
        <v>89</v>
      </c>
      <c r="M65" s="5">
        <v>51.69</v>
      </c>
      <c r="N65" t="s">
        <v>89</v>
      </c>
      <c r="Q65" s="2">
        <v>1.9099999999999999E-2</v>
      </c>
      <c r="R65" t="s">
        <v>89</v>
      </c>
      <c r="T65" s="4"/>
      <c r="AH65" t="str">
        <f>IFERROR(VLOOKUP($A65,fund_metadata!$A:$P,2,FALSE),"")</f>
        <v>Bow River Evergreen PE</v>
      </c>
      <c r="AI65" t="str">
        <f>IFERROR(VLOOKUP($A65,fund_metadata!$A:$P,16,FALSE),"")</f>
        <v>private_equity</v>
      </c>
    </row>
    <row r="66" spans="1:35" x14ac:dyDescent="0.25">
      <c r="A66">
        <v>1</v>
      </c>
      <c r="B66" s="3">
        <v>45930</v>
      </c>
      <c r="C66" s="3"/>
      <c r="D66" s="3"/>
      <c r="E66" s="3"/>
      <c r="F66" s="3"/>
      <c r="G66" s="3"/>
      <c r="H66" s="3"/>
      <c r="K66" s="4">
        <v>1000000000</v>
      </c>
      <c r="L66" t="s">
        <v>89</v>
      </c>
      <c r="M66" s="5">
        <v>52.03</v>
      </c>
      <c r="N66" t="s">
        <v>89</v>
      </c>
      <c r="Q66" s="2">
        <v>6.6E-3</v>
      </c>
      <c r="R66" t="s">
        <v>89</v>
      </c>
      <c r="S66">
        <v>176</v>
      </c>
      <c r="T66" s="4">
        <v>1040000000</v>
      </c>
      <c r="U66" t="s">
        <v>89</v>
      </c>
      <c r="V66">
        <v>18405421</v>
      </c>
      <c r="W66" t="s">
        <v>120</v>
      </c>
      <c r="AH66" t="str">
        <f>IFERROR(VLOOKUP($A66,fund_metadata!$A:$P,2,FALSE),"")</f>
        <v>Bow River Evergreen PE</v>
      </c>
      <c r="AI66" t="str">
        <f>IFERROR(VLOOKUP($A66,fund_metadata!$A:$P,16,FALSE),"")</f>
        <v>private_equity</v>
      </c>
    </row>
    <row r="67" spans="1:35" x14ac:dyDescent="0.25">
      <c r="A67">
        <v>1</v>
      </c>
      <c r="B67" s="3">
        <v>45961</v>
      </c>
      <c r="C67" s="3"/>
      <c r="D67" s="3"/>
      <c r="E67" s="3"/>
      <c r="F67" s="3"/>
      <c r="G67" s="3"/>
      <c r="H67" s="3"/>
      <c r="K67" s="4">
        <v>1050000000</v>
      </c>
      <c r="L67" t="s">
        <v>89</v>
      </c>
      <c r="M67" s="5">
        <v>52.68</v>
      </c>
      <c r="N67" t="s">
        <v>89</v>
      </c>
      <c r="Q67" s="2">
        <v>1.2500000000000001E-2</v>
      </c>
      <c r="R67" t="s">
        <v>89</v>
      </c>
      <c r="T67" s="4"/>
      <c r="AH67" t="str">
        <f>IFERROR(VLOOKUP($A67,fund_metadata!$A:$P,2,FALSE),"")</f>
        <v>Bow River Evergreen PE</v>
      </c>
      <c r="AI67" t="str">
        <f>IFERROR(VLOOKUP($A67,fund_metadata!$A:$P,16,FALSE),"")</f>
        <v>private_equity</v>
      </c>
    </row>
    <row r="68" spans="1:35" x14ac:dyDescent="0.25">
      <c r="A68">
        <v>1</v>
      </c>
      <c r="B68" s="3">
        <v>45991</v>
      </c>
      <c r="C68" s="3"/>
      <c r="D68" s="3"/>
      <c r="E68" s="3"/>
      <c r="F68" s="3"/>
      <c r="G68" s="3"/>
      <c r="H68" s="3"/>
      <c r="K68" s="4">
        <v>1090000000</v>
      </c>
      <c r="L68" t="s">
        <v>89</v>
      </c>
      <c r="M68" s="5">
        <v>54.36</v>
      </c>
      <c r="N68" t="s">
        <v>89</v>
      </c>
      <c r="Q68" s="2">
        <v>3.1899999999999998E-2</v>
      </c>
      <c r="R68" t="s">
        <v>89</v>
      </c>
      <c r="T68" s="4"/>
      <c r="AH68" t="str">
        <f>IFERROR(VLOOKUP($A68,fund_metadata!$A:$P,2,FALSE),"")</f>
        <v>Bow River Evergreen PE</v>
      </c>
      <c r="AI68" t="str">
        <f>IFERROR(VLOOKUP($A68,fund_metadata!$A:$P,16,FALSE),"")</f>
        <v>private_equity</v>
      </c>
    </row>
    <row r="69" spans="1:35" x14ac:dyDescent="0.25">
      <c r="A69">
        <v>1</v>
      </c>
      <c r="B69" s="3">
        <v>46022</v>
      </c>
      <c r="C69" s="3"/>
      <c r="D69" s="3"/>
      <c r="E69" s="3"/>
      <c r="F69" s="3"/>
      <c r="G69" s="3"/>
      <c r="H69" s="3"/>
      <c r="K69" s="4">
        <v>1120000000</v>
      </c>
      <c r="L69" t="s">
        <v>89</v>
      </c>
      <c r="M69" s="5">
        <v>53.75</v>
      </c>
      <c r="N69" t="s">
        <v>89</v>
      </c>
      <c r="Q69" s="2">
        <v>-1.1299999999999999E-2</v>
      </c>
      <c r="R69" t="s">
        <v>89</v>
      </c>
      <c r="S69">
        <v>185</v>
      </c>
      <c r="T69" s="4"/>
      <c r="AH69" t="str">
        <f>IFERROR(VLOOKUP($A69,fund_metadata!$A:$P,2,FALSE),"")</f>
        <v>Bow River Evergreen PE</v>
      </c>
      <c r="AI69" t="str">
        <f>IFERROR(VLOOKUP($A69,fund_metadata!$A:$P,16,FALSE),"")</f>
        <v>private_equity</v>
      </c>
    </row>
    <row r="70" spans="1:35" x14ac:dyDescent="0.25">
      <c r="A70">
        <v>1</v>
      </c>
      <c r="B70" s="3">
        <v>46053</v>
      </c>
      <c r="C70" s="3"/>
      <c r="D70" s="3"/>
      <c r="E70" s="3"/>
      <c r="F70" s="3"/>
      <c r="G70" s="3"/>
      <c r="H70" s="3"/>
      <c r="I70">
        <v>5059902.13</v>
      </c>
      <c r="J70" t="s">
        <v>105</v>
      </c>
      <c r="K70" s="4">
        <v>1160000000</v>
      </c>
      <c r="L70" t="s">
        <v>89</v>
      </c>
      <c r="M70" s="5">
        <v>54.39</v>
      </c>
      <c r="N70" t="s">
        <v>89</v>
      </c>
      <c r="Q70" s="2">
        <v>1.2E-2</v>
      </c>
      <c r="R70" t="s">
        <v>89</v>
      </c>
      <c r="T70" s="4"/>
      <c r="X70">
        <v>93030.179000000004</v>
      </c>
      <c r="Y70" t="s">
        <v>105</v>
      </c>
      <c r="Z70">
        <v>5000000</v>
      </c>
      <c r="AA70" t="s">
        <v>105</v>
      </c>
      <c r="AB70">
        <v>0</v>
      </c>
      <c r="AC70" t="s">
        <v>105</v>
      </c>
      <c r="AD70">
        <v>0</v>
      </c>
      <c r="AE70" t="s">
        <v>105</v>
      </c>
      <c r="AH70" t="str">
        <f>IFERROR(VLOOKUP($A70,fund_metadata!$A:$P,2,FALSE),"")</f>
        <v>Bow River Evergreen PE</v>
      </c>
      <c r="AI70" t="str">
        <f>IFERROR(VLOOKUP($A70,fund_metadata!$A:$P,16,FALSE),"")</f>
        <v>private_equity</v>
      </c>
    </row>
    <row r="71" spans="1:35" x14ac:dyDescent="0.25">
      <c r="A71">
        <v>1</v>
      </c>
      <c r="B71" s="3">
        <v>46081</v>
      </c>
      <c r="C71" s="3"/>
      <c r="D71" s="3"/>
      <c r="E71" s="3"/>
      <c r="F71" s="3"/>
      <c r="G71" s="3"/>
      <c r="H71" s="3"/>
      <c r="I71">
        <v>5094704.72</v>
      </c>
      <c r="J71" t="s">
        <v>105</v>
      </c>
      <c r="K71" s="4">
        <v>1190000000</v>
      </c>
      <c r="L71" t="s">
        <v>89</v>
      </c>
      <c r="M71" s="5">
        <v>54.76</v>
      </c>
      <c r="N71" t="s">
        <v>89</v>
      </c>
      <c r="Q71" s="2">
        <v>6.8999999999999999E-3</v>
      </c>
      <c r="R71" t="s">
        <v>89</v>
      </c>
      <c r="T71" s="4"/>
      <c r="X71">
        <v>93030.179000000004</v>
      </c>
      <c r="Y71" t="s">
        <v>105</v>
      </c>
      <c r="Z71">
        <v>0</v>
      </c>
      <c r="AA71" t="s">
        <v>105</v>
      </c>
      <c r="AB71">
        <v>0</v>
      </c>
      <c r="AC71" t="s">
        <v>105</v>
      </c>
      <c r="AD71">
        <v>0</v>
      </c>
      <c r="AE71" t="s">
        <v>105</v>
      </c>
      <c r="AH71" t="str">
        <f>IFERROR(VLOOKUP($A71,fund_metadata!$A:$P,2,FALSE),"")</f>
        <v>Bow River Evergreen PE</v>
      </c>
      <c r="AI71" t="str">
        <f>IFERROR(VLOOKUP($A71,fund_metadata!$A:$P,16,FALSE),"")</f>
        <v>private_equity</v>
      </c>
    </row>
    <row r="72" spans="1:35" x14ac:dyDescent="0.25">
      <c r="A72">
        <v>1</v>
      </c>
      <c r="B72" s="3">
        <v>46112</v>
      </c>
      <c r="C72" s="3"/>
      <c r="D72" s="3"/>
      <c r="E72" s="3"/>
      <c r="F72" s="3"/>
      <c r="G72" s="3"/>
      <c r="H72" s="3"/>
      <c r="I72">
        <v>5114594.58</v>
      </c>
      <c r="J72" t="s">
        <v>105</v>
      </c>
      <c r="K72" s="4">
        <v>1220000000</v>
      </c>
      <c r="L72" t="s">
        <v>89</v>
      </c>
      <c r="M72" s="5">
        <v>54.98</v>
      </c>
      <c r="N72" t="s">
        <v>89</v>
      </c>
      <c r="Q72" s="2">
        <v>3.8999999999999998E-3</v>
      </c>
      <c r="R72" t="s">
        <v>89</v>
      </c>
      <c r="S72">
        <v>198</v>
      </c>
      <c r="T72" s="4"/>
      <c r="X72">
        <v>93030.179000000004</v>
      </c>
      <c r="Y72" t="s">
        <v>105</v>
      </c>
      <c r="Z72">
        <v>0</v>
      </c>
      <c r="AA72" t="s">
        <v>105</v>
      </c>
      <c r="AB72">
        <v>0</v>
      </c>
      <c r="AC72" t="s">
        <v>105</v>
      </c>
      <c r="AD72">
        <v>0</v>
      </c>
      <c r="AE72" t="s">
        <v>105</v>
      </c>
      <c r="AH72" t="str">
        <f>IFERROR(VLOOKUP($A72,fund_metadata!$A:$P,2,FALSE),"")</f>
        <v>Bow River Evergreen PE</v>
      </c>
      <c r="AI72" t="str">
        <f>IFERROR(VLOOKUP($A72,fund_metadata!$A:$P,16,FALSE),"")</f>
        <v>private_equity</v>
      </c>
    </row>
    <row r="73" spans="1:35" x14ac:dyDescent="0.25">
      <c r="A73">
        <v>1</v>
      </c>
      <c r="B73" s="3">
        <v>46142</v>
      </c>
      <c r="C73" s="3"/>
      <c r="D73" s="3"/>
      <c r="E73" s="3"/>
      <c r="F73" s="3"/>
      <c r="G73" s="3"/>
      <c r="H73" s="3"/>
      <c r="I73">
        <v>5132009.82</v>
      </c>
      <c r="J73" t="s">
        <v>104</v>
      </c>
      <c r="K73" s="4">
        <v>1240000000</v>
      </c>
      <c r="L73" t="s">
        <v>89</v>
      </c>
      <c r="M73" s="5">
        <v>55.17</v>
      </c>
      <c r="N73" t="s">
        <v>89</v>
      </c>
      <c r="Q73" s="2">
        <v>3.3999999999999998E-3</v>
      </c>
      <c r="R73" t="s">
        <v>89</v>
      </c>
      <c r="T73" s="4"/>
      <c r="AH73" t="str">
        <f>IFERROR(VLOOKUP($A73,fund_metadata!$A:$P,2,FALSE),"")</f>
        <v>Bow River Evergreen PE</v>
      </c>
      <c r="AI73" t="str">
        <f>IFERROR(VLOOKUP($A73,fund_metadata!$A:$P,16,FALSE),"")</f>
        <v>private_equity</v>
      </c>
    </row>
    <row r="74" spans="1:35" x14ac:dyDescent="0.25">
      <c r="A74">
        <v>1</v>
      </c>
      <c r="B74" s="3">
        <v>46173</v>
      </c>
      <c r="C74" s="3"/>
      <c r="D74" s="3"/>
      <c r="E74" s="3"/>
      <c r="F74" s="3"/>
      <c r="G74" s="3"/>
      <c r="H74" s="3"/>
      <c r="K74" s="4"/>
      <c r="M74" s="5">
        <v>55.56</v>
      </c>
      <c r="N74" t="s">
        <v>89</v>
      </c>
      <c r="Q74" s="2"/>
      <c r="T74" s="4"/>
      <c r="AH74" t="str">
        <f>IFERROR(VLOOKUP($A74,fund_metadata!$A:$P,2,FALSE),"")</f>
        <v>Bow River Evergreen PE</v>
      </c>
      <c r="AI74" t="str">
        <f>IFERROR(VLOOKUP($A74,fund_metadata!$A:$P,16,FALSE),"")</f>
        <v>private_equity</v>
      </c>
    </row>
    <row r="75" spans="1:35" x14ac:dyDescent="0.25">
      <c r="A75">
        <v>2</v>
      </c>
      <c r="B75" s="3">
        <v>44926</v>
      </c>
      <c r="C75" s="3"/>
      <c r="D75" s="3"/>
      <c r="E75" s="3"/>
      <c r="F75" s="3"/>
      <c r="G75" s="3"/>
      <c r="H75" s="3"/>
      <c r="K75" s="4"/>
      <c r="M75" s="5">
        <v>10</v>
      </c>
      <c r="N75" t="s">
        <v>89</v>
      </c>
      <c r="O75" s="5"/>
      <c r="Q75" s="2"/>
      <c r="T75" s="4"/>
      <c r="AH75" t="str">
        <f>IFERROR(VLOOKUP($A75,fund_metadata!$A:$P,2,FALSE),"")</f>
        <v>Carlyle Alpinvest</v>
      </c>
      <c r="AI75" t="str">
        <f>IFERROR(VLOOKUP($A75,fund_metadata!$A:$P,16,FALSE),"")</f>
        <v>private_equity</v>
      </c>
    </row>
    <row r="76" spans="1:35" x14ac:dyDescent="0.25">
      <c r="A76">
        <v>2</v>
      </c>
      <c r="B76" s="3">
        <v>44957</v>
      </c>
      <c r="C76" s="3"/>
      <c r="D76" s="3"/>
      <c r="E76" s="3"/>
      <c r="F76" s="3"/>
      <c r="G76" s="3"/>
      <c r="H76" s="3"/>
      <c r="K76" s="4">
        <v>185800000</v>
      </c>
      <c r="L76" t="s">
        <v>89</v>
      </c>
      <c r="M76" s="5">
        <v>10.08</v>
      </c>
      <c r="N76" t="s">
        <v>89</v>
      </c>
      <c r="O76" s="5"/>
      <c r="Q76" s="2">
        <v>8.0000000000000002E-3</v>
      </c>
      <c r="R76" t="s">
        <v>89</v>
      </c>
      <c r="T76" s="4"/>
      <c r="AH76" t="str">
        <f>IFERROR(VLOOKUP($A76,fund_metadata!$A:$P,2,FALSE),"")</f>
        <v>Carlyle Alpinvest</v>
      </c>
      <c r="AI76" t="str">
        <f>IFERROR(VLOOKUP($A76,fund_metadata!$A:$P,16,FALSE),"")</f>
        <v>private_equity</v>
      </c>
    </row>
    <row r="77" spans="1:35" x14ac:dyDescent="0.25">
      <c r="A77">
        <v>2</v>
      </c>
      <c r="B77" s="3">
        <v>44985</v>
      </c>
      <c r="C77" s="3"/>
      <c r="D77" s="3"/>
      <c r="E77" s="3"/>
      <c r="F77" s="3"/>
      <c r="G77" s="3"/>
      <c r="H77" s="3"/>
      <c r="K77" s="4">
        <v>189310000</v>
      </c>
      <c r="L77" t="s">
        <v>89</v>
      </c>
      <c r="M77" s="5">
        <v>10.27</v>
      </c>
      <c r="N77" t="s">
        <v>89</v>
      </c>
      <c r="O77" s="5"/>
      <c r="Q77" s="2">
        <v>1.8800000000000001E-2</v>
      </c>
      <c r="R77" t="s">
        <v>89</v>
      </c>
      <c r="T77" s="4"/>
      <c r="AH77" t="str">
        <f>IFERROR(VLOOKUP($A77,fund_metadata!$A:$P,2,FALSE),"")</f>
        <v>Carlyle Alpinvest</v>
      </c>
      <c r="AI77" t="str">
        <f>IFERROR(VLOOKUP($A77,fund_metadata!$A:$P,16,FALSE),"")</f>
        <v>private_equity</v>
      </c>
    </row>
    <row r="78" spans="1:35" x14ac:dyDescent="0.25">
      <c r="A78">
        <v>2</v>
      </c>
      <c r="B78" s="3">
        <v>45016</v>
      </c>
      <c r="C78" s="3"/>
      <c r="D78" s="3"/>
      <c r="E78" s="3"/>
      <c r="F78" s="3"/>
      <c r="G78" s="3"/>
      <c r="H78" s="3"/>
      <c r="K78" s="4">
        <v>190250000</v>
      </c>
      <c r="L78" t="s">
        <v>89</v>
      </c>
      <c r="M78" s="5">
        <v>10.32</v>
      </c>
      <c r="N78" t="s">
        <v>89</v>
      </c>
      <c r="O78" s="5"/>
      <c r="Q78" s="2">
        <v>4.8999999999999998E-3</v>
      </c>
      <c r="R78" t="s">
        <v>89</v>
      </c>
      <c r="S78">
        <v>134</v>
      </c>
      <c r="T78" s="4"/>
      <c r="V78">
        <v>18427054</v>
      </c>
      <c r="W78" t="s">
        <v>121</v>
      </c>
      <c r="AH78" t="str">
        <f>IFERROR(VLOOKUP($A78,fund_metadata!$A:$P,2,FALSE),"")</f>
        <v>Carlyle Alpinvest</v>
      </c>
      <c r="AI78" t="str">
        <f>IFERROR(VLOOKUP($A78,fund_metadata!$A:$P,16,FALSE),"")</f>
        <v>private_equity</v>
      </c>
    </row>
    <row r="79" spans="1:35" x14ac:dyDescent="0.25">
      <c r="A79">
        <v>2</v>
      </c>
      <c r="B79" s="3">
        <v>45046</v>
      </c>
      <c r="C79" s="3"/>
      <c r="D79" s="3"/>
      <c r="E79" s="3"/>
      <c r="F79" s="3"/>
      <c r="G79" s="3"/>
      <c r="H79" s="3"/>
      <c r="K79" s="4">
        <v>190530000</v>
      </c>
      <c r="L79" t="s">
        <v>89</v>
      </c>
      <c r="M79" s="5">
        <v>10.34</v>
      </c>
      <c r="N79" t="s">
        <v>89</v>
      </c>
      <c r="O79" s="5"/>
      <c r="Q79" s="2">
        <v>1.9E-3</v>
      </c>
      <c r="R79" t="s">
        <v>89</v>
      </c>
      <c r="T79" s="4"/>
      <c r="AH79" t="str">
        <f>IFERROR(VLOOKUP($A79,fund_metadata!$A:$P,2,FALSE),"")</f>
        <v>Carlyle Alpinvest</v>
      </c>
      <c r="AI79" t="str">
        <f>IFERROR(VLOOKUP($A79,fund_metadata!$A:$P,16,FALSE),"")</f>
        <v>private_equity</v>
      </c>
    </row>
    <row r="80" spans="1:35" x14ac:dyDescent="0.25">
      <c r="A80">
        <v>2</v>
      </c>
      <c r="B80" s="3">
        <v>45077</v>
      </c>
      <c r="C80" s="3"/>
      <c r="D80" s="3"/>
      <c r="E80" s="3"/>
      <c r="F80" s="3"/>
      <c r="G80" s="3"/>
      <c r="H80" s="3"/>
      <c r="K80" s="4">
        <v>198720000</v>
      </c>
      <c r="L80" t="s">
        <v>89</v>
      </c>
      <c r="M80" s="5">
        <v>10.74</v>
      </c>
      <c r="N80" t="s">
        <v>89</v>
      </c>
      <c r="O80" s="5"/>
      <c r="Q80" s="2">
        <v>3.8699999999999998E-2</v>
      </c>
      <c r="R80" t="s">
        <v>89</v>
      </c>
      <c r="T80" s="4"/>
      <c r="AH80" t="str">
        <f>IFERROR(VLOOKUP($A80,fund_metadata!$A:$P,2,FALSE),"")</f>
        <v>Carlyle Alpinvest</v>
      </c>
      <c r="AI80" t="str">
        <f>IFERROR(VLOOKUP($A80,fund_metadata!$A:$P,16,FALSE),"")</f>
        <v>private_equity</v>
      </c>
    </row>
    <row r="81" spans="1:35" x14ac:dyDescent="0.25">
      <c r="A81">
        <v>2</v>
      </c>
      <c r="B81" s="3">
        <v>45107</v>
      </c>
      <c r="C81" s="3"/>
      <c r="D81" s="3"/>
      <c r="E81" s="3"/>
      <c r="F81" s="3"/>
      <c r="G81" s="3"/>
      <c r="H81" s="3"/>
      <c r="K81" s="4">
        <v>203490000</v>
      </c>
      <c r="L81" t="s">
        <v>89</v>
      </c>
      <c r="M81" s="5">
        <v>10.99</v>
      </c>
      <c r="N81" t="s">
        <v>89</v>
      </c>
      <c r="O81" s="5"/>
      <c r="Q81" s="2">
        <v>2.3300000000000001E-2</v>
      </c>
      <c r="R81" t="s">
        <v>89</v>
      </c>
      <c r="S81">
        <v>136</v>
      </c>
      <c r="T81" s="4"/>
      <c r="AH81" t="str">
        <f>IFERROR(VLOOKUP($A81,fund_metadata!$A:$P,2,FALSE),"")</f>
        <v>Carlyle Alpinvest</v>
      </c>
      <c r="AI81" t="str">
        <f>IFERROR(VLOOKUP($A81,fund_metadata!$A:$P,16,FALSE),"")</f>
        <v>private_equity</v>
      </c>
    </row>
    <row r="82" spans="1:35" x14ac:dyDescent="0.25">
      <c r="A82">
        <v>2</v>
      </c>
      <c r="B82" s="3">
        <v>45138</v>
      </c>
      <c r="C82" s="3"/>
      <c r="D82" s="3"/>
      <c r="E82" s="3"/>
      <c r="F82" s="3"/>
      <c r="G82" s="3"/>
      <c r="H82" s="3"/>
      <c r="K82" s="4">
        <v>208950000</v>
      </c>
      <c r="L82" t="s">
        <v>89</v>
      </c>
      <c r="M82" s="5">
        <v>11.19</v>
      </c>
      <c r="N82" t="s">
        <v>89</v>
      </c>
      <c r="O82" s="5">
        <v>0</v>
      </c>
      <c r="P82" t="s">
        <v>108</v>
      </c>
      <c r="Q82" s="2">
        <v>1.8200000000000001E-2</v>
      </c>
      <c r="R82" t="s">
        <v>89</v>
      </c>
      <c r="T82" s="4"/>
      <c r="AH82" t="str">
        <f>IFERROR(VLOOKUP($A82,fund_metadata!$A:$P,2,FALSE),"")</f>
        <v>Carlyle Alpinvest</v>
      </c>
      <c r="AI82" t="str">
        <f>IFERROR(VLOOKUP($A82,fund_metadata!$A:$P,16,FALSE),"")</f>
        <v>private_equity</v>
      </c>
    </row>
    <row r="83" spans="1:35" x14ac:dyDescent="0.25">
      <c r="A83">
        <v>2</v>
      </c>
      <c r="B83" s="3">
        <v>45169</v>
      </c>
      <c r="C83" s="3"/>
      <c r="D83" s="3"/>
      <c r="E83" s="3"/>
      <c r="F83" s="3"/>
      <c r="G83" s="3"/>
      <c r="H83" s="3"/>
      <c r="K83" s="4">
        <v>224020000</v>
      </c>
      <c r="L83" t="s">
        <v>89</v>
      </c>
      <c r="M83" s="5">
        <v>11.18</v>
      </c>
      <c r="N83" t="s">
        <v>89</v>
      </c>
      <c r="O83" s="5">
        <v>0</v>
      </c>
      <c r="P83" t="s">
        <v>108</v>
      </c>
      <c r="Q83" s="2">
        <v>-8.9999999999999998E-4</v>
      </c>
      <c r="R83" t="s">
        <v>89</v>
      </c>
      <c r="T83" s="4"/>
      <c r="AH83" t="str">
        <f>IFERROR(VLOOKUP($A83,fund_metadata!$A:$P,2,FALSE),"")</f>
        <v>Carlyle Alpinvest</v>
      </c>
      <c r="AI83" t="str">
        <f>IFERROR(VLOOKUP($A83,fund_metadata!$A:$P,16,FALSE),"")</f>
        <v>private_equity</v>
      </c>
    </row>
    <row r="84" spans="1:35" x14ac:dyDescent="0.25">
      <c r="A84">
        <v>2</v>
      </c>
      <c r="B84" s="3">
        <v>45199</v>
      </c>
      <c r="C84" s="3"/>
      <c r="D84" s="3"/>
      <c r="E84" s="3"/>
      <c r="F84" s="3"/>
      <c r="G84" s="3"/>
      <c r="H84" s="3"/>
      <c r="K84" s="4">
        <v>255740000</v>
      </c>
      <c r="L84" t="s">
        <v>89</v>
      </c>
      <c r="M84" s="5">
        <v>11.56</v>
      </c>
      <c r="N84" t="s">
        <v>89</v>
      </c>
      <c r="O84" s="5">
        <v>0</v>
      </c>
      <c r="P84" t="s">
        <v>108</v>
      </c>
      <c r="Q84" s="2">
        <v>3.39E-2</v>
      </c>
      <c r="R84" t="s">
        <v>89</v>
      </c>
      <c r="S84">
        <v>132</v>
      </c>
      <c r="T84" s="4"/>
      <c r="V84">
        <v>22123474</v>
      </c>
      <c r="W84" t="s">
        <v>120</v>
      </c>
      <c r="AH84" t="str">
        <f>IFERROR(VLOOKUP($A84,fund_metadata!$A:$P,2,FALSE),"")</f>
        <v>Carlyle Alpinvest</v>
      </c>
      <c r="AI84" t="str">
        <f>IFERROR(VLOOKUP($A84,fund_metadata!$A:$P,16,FALSE),"")</f>
        <v>private_equity</v>
      </c>
    </row>
    <row r="85" spans="1:35" x14ac:dyDescent="0.25">
      <c r="A85">
        <v>2</v>
      </c>
      <c r="B85" s="3">
        <v>45230</v>
      </c>
      <c r="C85" s="3"/>
      <c r="D85" s="3"/>
      <c r="E85" s="3"/>
      <c r="F85" s="3"/>
      <c r="G85" s="3"/>
      <c r="H85" s="3"/>
      <c r="K85" s="4">
        <v>260590000</v>
      </c>
      <c r="L85" t="s">
        <v>89</v>
      </c>
      <c r="M85" s="5">
        <v>11.44</v>
      </c>
      <c r="N85" t="s">
        <v>89</v>
      </c>
      <c r="O85" s="5">
        <v>0</v>
      </c>
      <c r="P85" t="s">
        <v>108</v>
      </c>
      <c r="Q85" s="2">
        <v>-1.03E-2</v>
      </c>
      <c r="R85" t="s">
        <v>89</v>
      </c>
      <c r="T85" s="4"/>
      <c r="AH85" t="str">
        <f>IFERROR(VLOOKUP($A85,fund_metadata!$A:$P,2,FALSE),"")</f>
        <v>Carlyle Alpinvest</v>
      </c>
      <c r="AI85" t="str">
        <f>IFERROR(VLOOKUP($A85,fund_metadata!$A:$P,16,FALSE),"")</f>
        <v>private_equity</v>
      </c>
    </row>
    <row r="86" spans="1:35" x14ac:dyDescent="0.25">
      <c r="A86">
        <v>2</v>
      </c>
      <c r="B86" s="3">
        <v>45260</v>
      </c>
      <c r="C86" s="3"/>
      <c r="D86" s="3"/>
      <c r="E86" s="3"/>
      <c r="F86" s="3"/>
      <c r="G86" s="3"/>
      <c r="H86" s="3"/>
      <c r="K86" s="4">
        <v>282750000</v>
      </c>
      <c r="L86" t="s">
        <v>89</v>
      </c>
      <c r="M86" s="5">
        <v>11.48</v>
      </c>
      <c r="N86" t="s">
        <v>89</v>
      </c>
      <c r="O86" s="5">
        <v>0</v>
      </c>
      <c r="P86" t="s">
        <v>108</v>
      </c>
      <c r="Q86" s="2">
        <v>3.5000000000000001E-3</v>
      </c>
      <c r="R86" t="s">
        <v>89</v>
      </c>
      <c r="T86" s="4"/>
      <c r="AH86" t="str">
        <f>IFERROR(VLOOKUP($A86,fund_metadata!$A:$P,2,FALSE),"")</f>
        <v>Carlyle Alpinvest</v>
      </c>
      <c r="AI86" t="str">
        <f>IFERROR(VLOOKUP($A86,fund_metadata!$A:$P,16,FALSE),"")</f>
        <v>private_equity</v>
      </c>
    </row>
    <row r="87" spans="1:35" x14ac:dyDescent="0.25">
      <c r="A87">
        <v>2</v>
      </c>
      <c r="B87" s="3">
        <v>45291</v>
      </c>
      <c r="C87" s="3"/>
      <c r="D87" s="3"/>
      <c r="E87" s="3"/>
      <c r="F87" s="3"/>
      <c r="G87" s="3"/>
      <c r="H87" s="3"/>
      <c r="K87" s="4">
        <v>311630000</v>
      </c>
      <c r="L87" t="s">
        <v>89</v>
      </c>
      <c r="M87" s="5">
        <v>11.73</v>
      </c>
      <c r="N87" t="s">
        <v>89</v>
      </c>
      <c r="O87" s="5">
        <v>0</v>
      </c>
      <c r="P87" t="s">
        <v>108</v>
      </c>
      <c r="Q87" s="2">
        <v>2.3599999999999999E-2</v>
      </c>
      <c r="R87" t="s">
        <v>89</v>
      </c>
      <c r="S87">
        <v>157</v>
      </c>
      <c r="T87" s="4"/>
      <c r="AH87" t="str">
        <f>IFERROR(VLOOKUP($A87,fund_metadata!$A:$P,2,FALSE),"")</f>
        <v>Carlyle Alpinvest</v>
      </c>
      <c r="AI87" t="str">
        <f>IFERROR(VLOOKUP($A87,fund_metadata!$A:$P,16,FALSE),"")</f>
        <v>private_equity</v>
      </c>
    </row>
    <row r="88" spans="1:35" x14ac:dyDescent="0.25">
      <c r="A88">
        <v>2</v>
      </c>
      <c r="B88" s="3">
        <v>45322</v>
      </c>
      <c r="C88" s="3"/>
      <c r="D88" s="3"/>
      <c r="E88" s="3"/>
      <c r="F88" s="3"/>
      <c r="G88" s="3"/>
      <c r="H88" s="3"/>
      <c r="K88" s="4">
        <v>357360000</v>
      </c>
      <c r="L88" t="s">
        <v>89</v>
      </c>
      <c r="M88" s="5">
        <v>11.88</v>
      </c>
      <c r="N88" t="s">
        <v>89</v>
      </c>
      <c r="O88" s="5">
        <v>0</v>
      </c>
      <c r="P88" t="s">
        <v>108</v>
      </c>
      <c r="Q88" s="2">
        <v>1.2800000000000001E-2</v>
      </c>
      <c r="R88" t="s">
        <v>89</v>
      </c>
      <c r="T88" s="4"/>
      <c r="AH88" t="str">
        <f>IFERROR(VLOOKUP($A88,fund_metadata!$A:$P,2,FALSE),"")</f>
        <v>Carlyle Alpinvest</v>
      </c>
      <c r="AI88" t="str">
        <f>IFERROR(VLOOKUP($A88,fund_metadata!$A:$P,16,FALSE),"")</f>
        <v>private_equity</v>
      </c>
    </row>
    <row r="89" spans="1:35" x14ac:dyDescent="0.25">
      <c r="A89">
        <v>2</v>
      </c>
      <c r="B89" s="3">
        <v>45351</v>
      </c>
      <c r="C89" s="3"/>
      <c r="D89" s="3"/>
      <c r="E89" s="3"/>
      <c r="F89" s="3"/>
      <c r="G89" s="3"/>
      <c r="H89" s="3"/>
      <c r="K89" s="4">
        <v>393340000</v>
      </c>
      <c r="L89" t="s">
        <v>89</v>
      </c>
      <c r="M89" s="5">
        <v>11.98</v>
      </c>
      <c r="N89" t="s">
        <v>89</v>
      </c>
      <c r="O89" s="5">
        <v>0</v>
      </c>
      <c r="P89" t="s">
        <v>108</v>
      </c>
      <c r="Q89" s="2">
        <v>8.3999999999999995E-3</v>
      </c>
      <c r="R89" t="s">
        <v>89</v>
      </c>
      <c r="T89" s="4"/>
      <c r="AH89" t="str">
        <f>IFERROR(VLOOKUP($A89,fund_metadata!$A:$P,2,FALSE),"")</f>
        <v>Carlyle Alpinvest</v>
      </c>
      <c r="AI89" t="str">
        <f>IFERROR(VLOOKUP($A89,fund_metadata!$A:$P,16,FALSE),"")</f>
        <v>private_equity</v>
      </c>
    </row>
    <row r="90" spans="1:35" x14ac:dyDescent="0.25">
      <c r="A90">
        <v>2</v>
      </c>
      <c r="B90" s="3">
        <v>45382</v>
      </c>
      <c r="C90" s="3"/>
      <c r="D90" s="3"/>
      <c r="E90" s="3"/>
      <c r="F90" s="3"/>
      <c r="G90" s="3"/>
      <c r="H90" s="3"/>
      <c r="K90" s="4">
        <v>439700000</v>
      </c>
      <c r="L90" t="s">
        <v>89</v>
      </c>
      <c r="M90" s="5">
        <v>12.17</v>
      </c>
      <c r="N90" t="s">
        <v>89</v>
      </c>
      <c r="O90" s="5">
        <v>0</v>
      </c>
      <c r="P90" t="s">
        <v>108</v>
      </c>
      <c r="Q90" s="2">
        <v>1.5900000000000001E-2</v>
      </c>
      <c r="R90" t="s">
        <v>89</v>
      </c>
      <c r="S90">
        <v>162</v>
      </c>
      <c r="T90" s="4"/>
      <c r="V90">
        <v>36141096</v>
      </c>
      <c r="W90" t="s">
        <v>121</v>
      </c>
      <c r="AH90" t="str">
        <f>IFERROR(VLOOKUP($A90,fund_metadata!$A:$P,2,FALSE),"")</f>
        <v>Carlyle Alpinvest</v>
      </c>
      <c r="AI90" t="str">
        <f>IFERROR(VLOOKUP($A90,fund_metadata!$A:$P,16,FALSE),"")</f>
        <v>private_equity</v>
      </c>
    </row>
    <row r="91" spans="1:35" x14ac:dyDescent="0.25">
      <c r="A91">
        <v>2</v>
      </c>
      <c r="B91" s="3">
        <v>45412</v>
      </c>
      <c r="C91" s="3"/>
      <c r="D91" s="3"/>
      <c r="E91" s="3"/>
      <c r="F91" s="3"/>
      <c r="G91" s="3"/>
      <c r="H91" s="3"/>
      <c r="K91" s="4">
        <v>476210000</v>
      </c>
      <c r="L91" t="s">
        <v>89</v>
      </c>
      <c r="M91" s="5">
        <v>12.17</v>
      </c>
      <c r="N91" t="s">
        <v>89</v>
      </c>
      <c r="O91" s="5">
        <v>0</v>
      </c>
      <c r="P91" t="s">
        <v>108</v>
      </c>
      <c r="Q91" s="2">
        <v>0</v>
      </c>
      <c r="R91" t="s">
        <v>89</v>
      </c>
      <c r="T91" s="4"/>
      <c r="AH91" t="str">
        <f>IFERROR(VLOOKUP($A91,fund_metadata!$A:$P,2,FALSE),"")</f>
        <v>Carlyle Alpinvest</v>
      </c>
      <c r="AI91" t="str">
        <f>IFERROR(VLOOKUP($A91,fund_metadata!$A:$P,16,FALSE),"")</f>
        <v>private_equity</v>
      </c>
    </row>
    <row r="92" spans="1:35" x14ac:dyDescent="0.25">
      <c r="A92">
        <v>2</v>
      </c>
      <c r="B92" s="3">
        <v>45443</v>
      </c>
      <c r="C92" s="3"/>
      <c r="D92" s="3"/>
      <c r="E92" s="3"/>
      <c r="F92" s="3"/>
      <c r="G92" s="3"/>
      <c r="H92" s="3"/>
      <c r="K92" s="4">
        <v>523910000</v>
      </c>
      <c r="L92" t="s">
        <v>89</v>
      </c>
      <c r="M92" s="5">
        <v>12.03</v>
      </c>
      <c r="N92" t="s">
        <v>89</v>
      </c>
      <c r="O92" s="5">
        <v>0</v>
      </c>
      <c r="P92" t="s">
        <v>108</v>
      </c>
      <c r="Q92" s="2">
        <v>-1.15E-2</v>
      </c>
      <c r="R92" t="s">
        <v>89</v>
      </c>
      <c r="T92" s="4"/>
      <c r="AH92" t="str">
        <f>IFERROR(VLOOKUP($A92,fund_metadata!$A:$P,2,FALSE),"")</f>
        <v>Carlyle Alpinvest</v>
      </c>
      <c r="AI92" t="str">
        <f>IFERROR(VLOOKUP($A92,fund_metadata!$A:$P,16,FALSE),"")</f>
        <v>private_equity</v>
      </c>
    </row>
    <row r="93" spans="1:35" x14ac:dyDescent="0.25">
      <c r="A93">
        <v>2</v>
      </c>
      <c r="B93" s="3">
        <v>45473</v>
      </c>
      <c r="C93" s="3"/>
      <c r="D93" s="3"/>
      <c r="E93" s="3"/>
      <c r="F93" s="3"/>
      <c r="G93" s="3"/>
      <c r="H93" s="3"/>
      <c r="K93" s="4">
        <v>614060000</v>
      </c>
      <c r="L93" t="s">
        <v>89</v>
      </c>
      <c r="M93" s="5">
        <v>12.55</v>
      </c>
      <c r="N93" t="s">
        <v>89</v>
      </c>
      <c r="O93" s="5">
        <v>0</v>
      </c>
      <c r="P93" t="s">
        <v>108</v>
      </c>
      <c r="Q93" s="2">
        <v>4.3200000000000002E-2</v>
      </c>
      <c r="R93" t="s">
        <v>89</v>
      </c>
      <c r="S93">
        <v>180</v>
      </c>
      <c r="T93" s="4"/>
      <c r="AH93" t="str">
        <f>IFERROR(VLOOKUP($A93,fund_metadata!$A:$P,2,FALSE),"")</f>
        <v>Carlyle Alpinvest</v>
      </c>
      <c r="AI93" t="str">
        <f>IFERROR(VLOOKUP($A93,fund_metadata!$A:$P,16,FALSE),"")</f>
        <v>private_equity</v>
      </c>
    </row>
    <row r="94" spans="1:35" x14ac:dyDescent="0.25">
      <c r="A94">
        <v>2</v>
      </c>
      <c r="B94" s="3">
        <v>45504</v>
      </c>
      <c r="C94" s="3"/>
      <c r="D94" s="3"/>
      <c r="E94" s="3"/>
      <c r="F94" s="3"/>
      <c r="G94" s="3"/>
      <c r="H94" s="3"/>
      <c r="K94" s="4">
        <v>683190000</v>
      </c>
      <c r="L94" t="s">
        <v>89</v>
      </c>
      <c r="M94" s="5">
        <v>12.64</v>
      </c>
      <c r="N94" t="s">
        <v>89</v>
      </c>
      <c r="O94" s="5">
        <v>0</v>
      </c>
      <c r="P94" t="s">
        <v>108</v>
      </c>
      <c r="Q94" s="2">
        <v>7.1999999999999998E-3</v>
      </c>
      <c r="R94" t="s">
        <v>89</v>
      </c>
      <c r="T94" s="4"/>
      <c r="AH94" t="str">
        <f>IFERROR(VLOOKUP($A94,fund_metadata!$A:$P,2,FALSE),"")</f>
        <v>Carlyle Alpinvest</v>
      </c>
      <c r="AI94" t="str">
        <f>IFERROR(VLOOKUP($A94,fund_metadata!$A:$P,16,FALSE),"")</f>
        <v>private_equity</v>
      </c>
    </row>
    <row r="95" spans="1:35" x14ac:dyDescent="0.25">
      <c r="A95">
        <v>2</v>
      </c>
      <c r="B95" s="3">
        <v>45535</v>
      </c>
      <c r="C95" s="3"/>
      <c r="D95" s="3"/>
      <c r="E95" s="3"/>
      <c r="F95" s="3"/>
      <c r="G95" s="3"/>
      <c r="H95" s="3"/>
      <c r="K95" s="4">
        <v>798380000</v>
      </c>
      <c r="L95" t="s">
        <v>89</v>
      </c>
      <c r="M95" s="5">
        <v>12.99</v>
      </c>
      <c r="N95" t="s">
        <v>89</v>
      </c>
      <c r="O95" s="5"/>
      <c r="Q95" s="2">
        <v>2.7699999999999999E-2</v>
      </c>
      <c r="R95" t="s">
        <v>89</v>
      </c>
      <c r="T95" s="4"/>
      <c r="AH95" t="str">
        <f>IFERROR(VLOOKUP($A95,fund_metadata!$A:$P,2,FALSE),"")</f>
        <v>Carlyle Alpinvest</v>
      </c>
      <c r="AI95" t="str">
        <f>IFERROR(VLOOKUP($A95,fund_metadata!$A:$P,16,FALSE),"")</f>
        <v>private_equity</v>
      </c>
    </row>
    <row r="96" spans="1:35" x14ac:dyDescent="0.25">
      <c r="A96">
        <v>2</v>
      </c>
      <c r="B96" s="3">
        <v>45565</v>
      </c>
      <c r="C96" s="3"/>
      <c r="D96" s="3"/>
      <c r="E96" s="3"/>
      <c r="F96" s="3"/>
      <c r="G96" s="3"/>
      <c r="H96" s="3"/>
      <c r="K96" s="4">
        <v>916970000</v>
      </c>
      <c r="L96" t="s">
        <v>89</v>
      </c>
      <c r="M96" s="5">
        <v>13.23</v>
      </c>
      <c r="N96" t="s">
        <v>89</v>
      </c>
      <c r="O96" s="5"/>
      <c r="Q96" s="2">
        <v>1.8499999999999999E-2</v>
      </c>
      <c r="R96" t="s">
        <v>89</v>
      </c>
      <c r="S96">
        <v>201</v>
      </c>
      <c r="T96" s="4">
        <v>986410000</v>
      </c>
      <c r="U96" t="s">
        <v>89</v>
      </c>
      <c r="V96">
        <v>64327455</v>
      </c>
      <c r="W96" t="s">
        <v>120</v>
      </c>
      <c r="AH96" t="str">
        <f>IFERROR(VLOOKUP($A96,fund_metadata!$A:$P,2,FALSE),"")</f>
        <v>Carlyle Alpinvest</v>
      </c>
      <c r="AI96" t="str">
        <f>IFERROR(VLOOKUP($A96,fund_metadata!$A:$P,16,FALSE),"")</f>
        <v>private_equity</v>
      </c>
    </row>
    <row r="97" spans="1:35" x14ac:dyDescent="0.25">
      <c r="A97">
        <v>2</v>
      </c>
      <c r="B97" s="3">
        <v>45596</v>
      </c>
      <c r="C97" s="3"/>
      <c r="D97" s="3"/>
      <c r="E97" s="3"/>
      <c r="F97" s="3"/>
      <c r="G97" s="3"/>
      <c r="H97" s="3"/>
      <c r="K97" s="4">
        <v>1040000000</v>
      </c>
      <c r="L97" t="s">
        <v>89</v>
      </c>
      <c r="M97" s="5">
        <v>13.26</v>
      </c>
      <c r="N97" t="s">
        <v>89</v>
      </c>
      <c r="O97" s="5"/>
      <c r="Q97" s="2">
        <v>2.3E-3</v>
      </c>
      <c r="R97" t="s">
        <v>89</v>
      </c>
      <c r="T97" s="4"/>
      <c r="AH97" t="str">
        <f>IFERROR(VLOOKUP($A97,fund_metadata!$A:$P,2,FALSE),"")</f>
        <v>Carlyle Alpinvest</v>
      </c>
      <c r="AI97" t="str">
        <f>IFERROR(VLOOKUP($A97,fund_metadata!$A:$P,16,FALSE),"")</f>
        <v>private_equity</v>
      </c>
    </row>
    <row r="98" spans="1:35" x14ac:dyDescent="0.25">
      <c r="A98">
        <v>2</v>
      </c>
      <c r="B98" s="3">
        <v>45626</v>
      </c>
      <c r="C98" s="3"/>
      <c r="D98" s="3"/>
      <c r="E98" s="3"/>
      <c r="F98" s="3"/>
      <c r="G98" s="3"/>
      <c r="H98" s="3"/>
      <c r="K98" s="4">
        <v>1190000000</v>
      </c>
      <c r="L98" t="s">
        <v>89</v>
      </c>
      <c r="M98" s="5">
        <v>13.27</v>
      </c>
      <c r="N98" t="s">
        <v>89</v>
      </c>
      <c r="O98" s="5"/>
      <c r="Q98" s="2">
        <v>8.0000000000000004E-4</v>
      </c>
      <c r="R98" t="s">
        <v>89</v>
      </c>
      <c r="T98" s="4"/>
      <c r="AH98" t="str">
        <f>IFERROR(VLOOKUP($A98,fund_metadata!$A:$P,2,FALSE),"")</f>
        <v>Carlyle Alpinvest</v>
      </c>
      <c r="AI98" t="str">
        <f>IFERROR(VLOOKUP($A98,fund_metadata!$A:$P,16,FALSE),"")</f>
        <v>private_equity</v>
      </c>
    </row>
    <row r="99" spans="1:35" x14ac:dyDescent="0.25">
      <c r="A99">
        <v>2</v>
      </c>
      <c r="B99" s="3">
        <v>45657</v>
      </c>
      <c r="C99" s="3"/>
      <c r="D99" s="3"/>
      <c r="E99" s="3"/>
      <c r="F99" s="3"/>
      <c r="G99" s="3"/>
      <c r="H99" s="3"/>
      <c r="K99" s="4">
        <v>1350000000</v>
      </c>
      <c r="L99" t="s">
        <v>89</v>
      </c>
      <c r="M99" s="5">
        <v>13.65</v>
      </c>
      <c r="N99" t="s">
        <v>89</v>
      </c>
      <c r="O99" s="5">
        <v>0.03</v>
      </c>
      <c r="P99" t="s">
        <v>89</v>
      </c>
      <c r="Q99" s="2">
        <v>3.0499999999999999E-2</v>
      </c>
      <c r="R99" t="s">
        <v>89</v>
      </c>
      <c r="S99">
        <v>237</v>
      </c>
      <c r="T99" s="4"/>
      <c r="AH99" t="str">
        <f>IFERROR(VLOOKUP($A99,fund_metadata!$A:$P,2,FALSE),"")</f>
        <v>Carlyle Alpinvest</v>
      </c>
      <c r="AI99" t="str">
        <f>IFERROR(VLOOKUP($A99,fund_metadata!$A:$P,16,FALSE),"")</f>
        <v>private_equity</v>
      </c>
    </row>
    <row r="100" spans="1:35" x14ac:dyDescent="0.25">
      <c r="A100">
        <v>2</v>
      </c>
      <c r="B100" s="3">
        <v>45688</v>
      </c>
      <c r="C100" s="3"/>
      <c r="D100" s="3"/>
      <c r="E100" s="3"/>
      <c r="F100" s="3"/>
      <c r="G100" s="3"/>
      <c r="H100" s="3"/>
      <c r="K100" s="4">
        <v>1530000000</v>
      </c>
      <c r="L100" t="s">
        <v>89</v>
      </c>
      <c r="M100" s="5">
        <v>13.89</v>
      </c>
      <c r="N100" t="s">
        <v>89</v>
      </c>
      <c r="O100" s="5"/>
      <c r="Q100" s="2">
        <v>1.7600000000000001E-2</v>
      </c>
      <c r="R100" t="s">
        <v>89</v>
      </c>
      <c r="T100" s="4"/>
      <c r="AH100" t="str">
        <f>IFERROR(VLOOKUP($A100,fund_metadata!$A:$P,2,FALSE),"")</f>
        <v>Carlyle Alpinvest</v>
      </c>
      <c r="AI100" t="str">
        <f>IFERROR(VLOOKUP($A100,fund_metadata!$A:$P,16,FALSE),"")</f>
        <v>private_equity</v>
      </c>
    </row>
    <row r="101" spans="1:35" x14ac:dyDescent="0.25">
      <c r="A101">
        <v>2</v>
      </c>
      <c r="B101" s="3">
        <v>45716</v>
      </c>
      <c r="C101" s="3"/>
      <c r="D101" s="3"/>
      <c r="E101" s="3"/>
      <c r="F101" s="3"/>
      <c r="G101" s="3"/>
      <c r="H101" s="3"/>
      <c r="K101" s="4">
        <v>1680000000</v>
      </c>
      <c r="L101" t="s">
        <v>89</v>
      </c>
      <c r="M101" s="5">
        <v>13.97</v>
      </c>
      <c r="N101" t="s">
        <v>89</v>
      </c>
      <c r="O101" s="5"/>
      <c r="Q101" s="2">
        <v>5.7999999999999996E-3</v>
      </c>
      <c r="R101" t="s">
        <v>89</v>
      </c>
      <c r="T101" s="4"/>
      <c r="AH101" t="str">
        <f>IFERROR(VLOOKUP($A101,fund_metadata!$A:$P,2,FALSE),"")</f>
        <v>Carlyle Alpinvest</v>
      </c>
      <c r="AI101" t="str">
        <f>IFERROR(VLOOKUP($A101,fund_metadata!$A:$P,16,FALSE),"")</f>
        <v>private_equity</v>
      </c>
    </row>
    <row r="102" spans="1:35" x14ac:dyDescent="0.25">
      <c r="A102">
        <v>2</v>
      </c>
      <c r="B102" s="3">
        <v>45747</v>
      </c>
      <c r="C102" s="3"/>
      <c r="D102" s="3"/>
      <c r="E102" s="3"/>
      <c r="F102" s="3"/>
      <c r="G102" s="3"/>
      <c r="H102" s="3"/>
      <c r="K102" s="4">
        <v>1870000000</v>
      </c>
      <c r="L102" t="s">
        <v>89</v>
      </c>
      <c r="M102" s="5">
        <v>14.21</v>
      </c>
      <c r="N102" t="s">
        <v>89</v>
      </c>
      <c r="O102" s="5"/>
      <c r="Q102" s="2">
        <v>1.72E-2</v>
      </c>
      <c r="R102" t="s">
        <v>89</v>
      </c>
      <c r="S102">
        <v>256</v>
      </c>
      <c r="T102" s="4">
        <v>2000000000</v>
      </c>
      <c r="U102" t="s">
        <v>89</v>
      </c>
      <c r="V102">
        <v>109207969</v>
      </c>
      <c r="W102" t="s">
        <v>121</v>
      </c>
      <c r="AH102" t="str">
        <f>IFERROR(VLOOKUP($A102,fund_metadata!$A:$P,2,FALSE),"")</f>
        <v>Carlyle Alpinvest</v>
      </c>
      <c r="AI102" t="str">
        <f>IFERROR(VLOOKUP($A102,fund_metadata!$A:$P,16,FALSE),"")</f>
        <v>private_equity</v>
      </c>
    </row>
    <row r="103" spans="1:35" x14ac:dyDescent="0.25">
      <c r="A103">
        <v>2</v>
      </c>
      <c r="B103" s="3">
        <v>45777</v>
      </c>
      <c r="C103" s="3"/>
      <c r="D103" s="3"/>
      <c r="E103" s="3"/>
      <c r="F103" s="3"/>
      <c r="G103" s="3"/>
      <c r="H103" s="3"/>
      <c r="K103" s="4">
        <v>2040000000</v>
      </c>
      <c r="L103" t="s">
        <v>89</v>
      </c>
      <c r="M103" s="5">
        <v>14.26</v>
      </c>
      <c r="N103" t="s">
        <v>89</v>
      </c>
      <c r="O103" s="5"/>
      <c r="Q103" s="2">
        <v>3.5000000000000001E-3</v>
      </c>
      <c r="R103" t="s">
        <v>89</v>
      </c>
      <c r="T103" s="4"/>
      <c r="AH103" t="str">
        <f>IFERROR(VLOOKUP($A103,fund_metadata!$A:$P,2,FALSE),"")</f>
        <v>Carlyle Alpinvest</v>
      </c>
      <c r="AI103" t="str">
        <f>IFERROR(VLOOKUP($A103,fund_metadata!$A:$P,16,FALSE),"")</f>
        <v>private_equity</v>
      </c>
    </row>
    <row r="104" spans="1:35" x14ac:dyDescent="0.25">
      <c r="A104">
        <v>2</v>
      </c>
      <c r="B104" s="3">
        <v>45808</v>
      </c>
      <c r="C104" s="3"/>
      <c r="D104" s="3"/>
      <c r="E104" s="3"/>
      <c r="F104" s="3"/>
      <c r="G104" s="3"/>
      <c r="H104" s="3"/>
      <c r="K104" s="4">
        <v>2250000000</v>
      </c>
      <c r="L104" t="s">
        <v>89</v>
      </c>
      <c r="M104" s="5">
        <v>14.61</v>
      </c>
      <c r="N104" t="s">
        <v>89</v>
      </c>
      <c r="O104" s="5"/>
      <c r="Q104" s="2">
        <v>2.4500000000000001E-2</v>
      </c>
      <c r="R104" t="s">
        <v>89</v>
      </c>
      <c r="T104" s="4"/>
      <c r="AH104" t="str">
        <f>IFERROR(VLOOKUP($A104,fund_metadata!$A:$P,2,FALSE),"")</f>
        <v>Carlyle Alpinvest</v>
      </c>
      <c r="AI104" t="str">
        <f>IFERROR(VLOOKUP($A104,fund_metadata!$A:$P,16,FALSE),"")</f>
        <v>private_equity</v>
      </c>
    </row>
    <row r="105" spans="1:35" x14ac:dyDescent="0.25">
      <c r="A105">
        <v>2</v>
      </c>
      <c r="B105" s="3">
        <v>45838</v>
      </c>
      <c r="C105" s="3"/>
      <c r="D105" s="3"/>
      <c r="E105" s="3"/>
      <c r="F105" s="3"/>
      <c r="G105" s="3"/>
      <c r="H105" s="3"/>
      <c r="K105" s="4">
        <v>2520000000</v>
      </c>
      <c r="L105" t="s">
        <v>89</v>
      </c>
      <c r="M105" s="5"/>
      <c r="O105" s="5"/>
      <c r="Q105" s="2">
        <v>2.6700000000000002E-2</v>
      </c>
      <c r="R105" t="s">
        <v>89</v>
      </c>
      <c r="S105">
        <v>276</v>
      </c>
      <c r="T105" s="4"/>
      <c r="AH105" t="str">
        <f>IFERROR(VLOOKUP($A105,fund_metadata!$A:$P,2,FALSE),"")</f>
        <v>Carlyle Alpinvest</v>
      </c>
      <c r="AI105" t="str">
        <f>IFERROR(VLOOKUP($A105,fund_metadata!$A:$P,16,FALSE),"")</f>
        <v>private_equity</v>
      </c>
    </row>
    <row r="106" spans="1:35" x14ac:dyDescent="0.25">
      <c r="A106">
        <v>2</v>
      </c>
      <c r="B106" s="3">
        <v>45869</v>
      </c>
      <c r="C106" s="3"/>
      <c r="D106" s="3"/>
      <c r="E106" s="3"/>
      <c r="F106" s="3"/>
      <c r="G106" s="3"/>
      <c r="H106" s="3"/>
      <c r="K106" s="4">
        <v>2670000000</v>
      </c>
      <c r="L106" t="s">
        <v>89</v>
      </c>
      <c r="M106" s="5"/>
      <c r="O106" s="5"/>
      <c r="Q106" s="2">
        <v>3.3E-3</v>
      </c>
      <c r="R106" t="s">
        <v>89</v>
      </c>
      <c r="T106" s="4"/>
      <c r="AH106" t="str">
        <f>IFERROR(VLOOKUP($A106,fund_metadata!$A:$P,2,FALSE),"")</f>
        <v>Carlyle Alpinvest</v>
      </c>
      <c r="AI106" t="str">
        <f>IFERROR(VLOOKUP($A106,fund_metadata!$A:$P,16,FALSE),"")</f>
        <v>private_equity</v>
      </c>
    </row>
    <row r="107" spans="1:35" x14ac:dyDescent="0.25">
      <c r="A107">
        <v>2</v>
      </c>
      <c r="B107" s="3">
        <v>45900</v>
      </c>
      <c r="C107" s="3"/>
      <c r="D107" s="3"/>
      <c r="E107" s="3"/>
      <c r="F107" s="3"/>
      <c r="G107" s="3"/>
      <c r="H107" s="3"/>
      <c r="K107" s="4">
        <v>2930000000</v>
      </c>
      <c r="L107" t="s">
        <v>89</v>
      </c>
      <c r="M107" s="5"/>
      <c r="O107" s="5"/>
      <c r="Q107" s="2">
        <v>1.46E-2</v>
      </c>
      <c r="R107" t="s">
        <v>89</v>
      </c>
      <c r="T107" s="4"/>
      <c r="AH107" t="str">
        <f>IFERROR(VLOOKUP($A107,fund_metadata!$A:$P,2,FALSE),"")</f>
        <v>Carlyle Alpinvest</v>
      </c>
      <c r="AI107" t="str">
        <f>IFERROR(VLOOKUP($A107,fund_metadata!$A:$P,16,FALSE),"")</f>
        <v>private_equity</v>
      </c>
    </row>
    <row r="108" spans="1:35" x14ac:dyDescent="0.25">
      <c r="A108">
        <v>2</v>
      </c>
      <c r="B108" s="3">
        <v>45930</v>
      </c>
      <c r="C108" s="3"/>
      <c r="D108" s="3"/>
      <c r="E108" s="3"/>
      <c r="F108" s="3"/>
      <c r="G108" s="3"/>
      <c r="H108" s="3"/>
      <c r="K108" s="4">
        <v>3220000000</v>
      </c>
      <c r="L108" t="s">
        <v>89</v>
      </c>
      <c r="M108" s="5"/>
      <c r="O108" s="5"/>
      <c r="Q108" s="2">
        <v>1.5100000000000001E-2</v>
      </c>
      <c r="R108" t="s">
        <v>89</v>
      </c>
      <c r="S108">
        <v>214</v>
      </c>
      <c r="T108" s="4"/>
      <c r="V108">
        <v>160560646</v>
      </c>
      <c r="W108" t="s">
        <v>120</v>
      </c>
      <c r="AH108" t="str">
        <f>IFERROR(VLOOKUP($A108,fund_metadata!$A:$P,2,FALSE),"")</f>
        <v>Carlyle Alpinvest</v>
      </c>
      <c r="AI108" t="str">
        <f>IFERROR(VLOOKUP($A108,fund_metadata!$A:$P,16,FALSE),"")</f>
        <v>private_equity</v>
      </c>
    </row>
    <row r="109" spans="1:35" x14ac:dyDescent="0.25">
      <c r="A109">
        <v>2</v>
      </c>
      <c r="B109" s="3">
        <v>45961</v>
      </c>
      <c r="C109" s="3"/>
      <c r="D109" s="3"/>
      <c r="E109" s="3"/>
      <c r="F109" s="3"/>
      <c r="G109" s="3"/>
      <c r="H109" s="3"/>
      <c r="K109" s="4">
        <v>3390000000</v>
      </c>
      <c r="L109" t="s">
        <v>89</v>
      </c>
      <c r="M109" s="5"/>
      <c r="O109" s="5"/>
      <c r="Q109" s="2">
        <v>6.4999999999999997E-3</v>
      </c>
      <c r="R109" t="s">
        <v>89</v>
      </c>
      <c r="T109" s="4"/>
      <c r="AH109" t="str">
        <f>IFERROR(VLOOKUP($A109,fund_metadata!$A:$P,2,FALSE),"")</f>
        <v>Carlyle Alpinvest</v>
      </c>
      <c r="AI109" t="str">
        <f>IFERROR(VLOOKUP($A109,fund_metadata!$A:$P,16,FALSE),"")</f>
        <v>private_equity</v>
      </c>
    </row>
    <row r="110" spans="1:35" x14ac:dyDescent="0.25">
      <c r="A110">
        <v>2</v>
      </c>
      <c r="B110" s="3">
        <v>45991</v>
      </c>
      <c r="C110" s="3"/>
      <c r="D110" s="3"/>
      <c r="E110" s="3"/>
      <c r="F110" s="3"/>
      <c r="G110" s="3"/>
      <c r="H110" s="3"/>
      <c r="K110" s="4">
        <v>3660000000</v>
      </c>
      <c r="L110" t="s">
        <v>89</v>
      </c>
      <c r="M110" s="5"/>
      <c r="O110" s="5"/>
      <c r="Q110" s="2">
        <v>6.4000000000000003E-3</v>
      </c>
      <c r="R110" t="s">
        <v>89</v>
      </c>
      <c r="T110" s="4"/>
      <c r="AH110" t="str">
        <f>IFERROR(VLOOKUP($A110,fund_metadata!$A:$P,2,FALSE),"")</f>
        <v>Carlyle Alpinvest</v>
      </c>
      <c r="AI110" t="str">
        <f>IFERROR(VLOOKUP($A110,fund_metadata!$A:$P,16,FALSE),"")</f>
        <v>private_equity</v>
      </c>
    </row>
    <row r="111" spans="1:35" x14ac:dyDescent="0.25">
      <c r="A111">
        <v>2</v>
      </c>
      <c r="B111" s="3">
        <v>46022</v>
      </c>
      <c r="C111" s="3"/>
      <c r="D111" s="3"/>
      <c r="E111" s="3"/>
      <c r="F111" s="3"/>
      <c r="G111" s="3"/>
      <c r="H111" s="3"/>
      <c r="K111" s="4">
        <v>3900000000</v>
      </c>
      <c r="L111" t="s">
        <v>89</v>
      </c>
      <c r="M111" s="5"/>
      <c r="O111" s="5">
        <v>0.1</v>
      </c>
      <c r="P111" t="s">
        <v>89</v>
      </c>
      <c r="Q111" s="2">
        <v>1.72E-2</v>
      </c>
      <c r="R111" t="s">
        <v>89</v>
      </c>
      <c r="S111">
        <v>274</v>
      </c>
      <c r="T111" s="4"/>
      <c r="AH111" t="str">
        <f>IFERROR(VLOOKUP($A111,fund_metadata!$A:$P,2,FALSE),"")</f>
        <v>Carlyle Alpinvest</v>
      </c>
      <c r="AI111" t="str">
        <f>IFERROR(VLOOKUP($A111,fund_metadata!$A:$P,16,FALSE),"")</f>
        <v>private_equity</v>
      </c>
    </row>
    <row r="112" spans="1:35" x14ac:dyDescent="0.25">
      <c r="A112">
        <v>2</v>
      </c>
      <c r="B112" s="3">
        <v>46053</v>
      </c>
      <c r="C112" s="3"/>
      <c r="D112" s="3"/>
      <c r="E112" s="3"/>
      <c r="F112" s="3"/>
      <c r="G112" s="3"/>
      <c r="H112" s="3"/>
      <c r="K112" s="4">
        <v>4080000000</v>
      </c>
      <c r="L112" t="s">
        <v>89</v>
      </c>
      <c r="M112" s="5"/>
      <c r="O112" s="5"/>
      <c r="Q112" s="2">
        <v>1.5100000000000001E-2</v>
      </c>
      <c r="R112" t="s">
        <v>89</v>
      </c>
      <c r="T112" s="4"/>
      <c r="AH112" t="str">
        <f>IFERROR(VLOOKUP($A112,fund_metadata!$A:$P,2,FALSE),"")</f>
        <v>Carlyle Alpinvest</v>
      </c>
      <c r="AI112" t="str">
        <f>IFERROR(VLOOKUP($A112,fund_metadata!$A:$P,16,FALSE),"")</f>
        <v>private_equity</v>
      </c>
    </row>
    <row r="113" spans="1:35" x14ac:dyDescent="0.25">
      <c r="A113">
        <v>2</v>
      </c>
      <c r="B113" s="3">
        <v>46081</v>
      </c>
      <c r="C113" s="3"/>
      <c r="D113" s="3"/>
      <c r="E113" s="3"/>
      <c r="F113" s="3"/>
      <c r="G113" s="3"/>
      <c r="H113" s="3"/>
      <c r="I113">
        <v>5075614.3600000003</v>
      </c>
      <c r="J113" t="s">
        <v>105</v>
      </c>
      <c r="K113" s="4">
        <v>4330000000</v>
      </c>
      <c r="L113" t="s">
        <v>89</v>
      </c>
      <c r="M113" s="5"/>
      <c r="O113" s="5"/>
      <c r="Q113" s="2">
        <v>2.3E-2</v>
      </c>
      <c r="R113" t="s">
        <v>89</v>
      </c>
      <c r="T113" s="4"/>
      <c r="X113">
        <v>315059.86099999998</v>
      </c>
      <c r="Y113" t="s">
        <v>105</v>
      </c>
      <c r="AH113" t="str">
        <f>IFERROR(VLOOKUP($A113,fund_metadata!$A:$P,2,FALSE),"")</f>
        <v>Carlyle Alpinvest</v>
      </c>
      <c r="AI113" t="str">
        <f>IFERROR(VLOOKUP($A113,fund_metadata!$A:$P,16,FALSE),"")</f>
        <v>private_equity</v>
      </c>
    </row>
    <row r="114" spans="1:35" x14ac:dyDescent="0.25">
      <c r="A114">
        <v>2</v>
      </c>
      <c r="B114" s="3">
        <v>46112</v>
      </c>
      <c r="C114" s="3"/>
      <c r="D114" s="3"/>
      <c r="E114" s="3"/>
      <c r="F114" s="3"/>
      <c r="G114" s="3"/>
      <c r="H114" s="3"/>
      <c r="I114">
        <v>5078764.96</v>
      </c>
      <c r="J114" t="s">
        <v>105</v>
      </c>
      <c r="K114" s="4">
        <v>4420000000</v>
      </c>
      <c r="L114" t="s">
        <v>89</v>
      </c>
      <c r="M114" s="5"/>
      <c r="O114" s="5"/>
      <c r="Q114" s="2">
        <v>-2.18E-2</v>
      </c>
      <c r="R114" t="s">
        <v>89</v>
      </c>
      <c r="S114">
        <v>317</v>
      </c>
      <c r="T114" s="4"/>
      <c r="X114">
        <v>315059.86099999998</v>
      </c>
      <c r="Y114" t="s">
        <v>105</v>
      </c>
      <c r="Z114">
        <v>0</v>
      </c>
      <c r="AA114" t="s">
        <v>105</v>
      </c>
      <c r="AB114">
        <v>0</v>
      </c>
      <c r="AC114" t="s">
        <v>105</v>
      </c>
      <c r="AD114">
        <v>0</v>
      </c>
      <c r="AE114" t="s">
        <v>105</v>
      </c>
      <c r="AH114" t="str">
        <f>IFERROR(VLOOKUP($A114,fund_metadata!$A:$P,2,FALSE),"")</f>
        <v>Carlyle Alpinvest</v>
      </c>
      <c r="AI114" t="str">
        <f>IFERROR(VLOOKUP($A114,fund_metadata!$A:$P,16,FALSE),"")</f>
        <v>private_equity</v>
      </c>
    </row>
    <row r="115" spans="1:35" x14ac:dyDescent="0.25">
      <c r="A115">
        <v>2</v>
      </c>
      <c r="B115" s="3">
        <v>46142</v>
      </c>
      <c r="C115" s="3"/>
      <c r="D115" s="3"/>
      <c r="E115" s="3"/>
      <c r="F115" s="3"/>
      <c r="G115" s="3"/>
      <c r="H115" s="3"/>
      <c r="K115" s="4"/>
      <c r="M115" s="5"/>
      <c r="O115" s="5"/>
      <c r="Q115" s="2"/>
      <c r="T115" s="4"/>
      <c r="AH115" t="str">
        <f>IFERROR(VLOOKUP($A115,fund_metadata!$A:$P,2,FALSE),"")</f>
        <v>Carlyle Alpinvest</v>
      </c>
      <c r="AI115" t="str">
        <f>IFERROR(VLOOKUP($A115,fund_metadata!$A:$P,16,FALSE),"")</f>
        <v>private_equity</v>
      </c>
    </row>
    <row r="116" spans="1:35" x14ac:dyDescent="0.25">
      <c r="A116">
        <v>2</v>
      </c>
      <c r="B116" s="3">
        <v>46173</v>
      </c>
      <c r="C116" s="3"/>
      <c r="D116" s="3"/>
      <c r="E116" s="3"/>
      <c r="F116" s="3"/>
      <c r="G116" s="3"/>
      <c r="H116" s="3"/>
      <c r="K116" s="4"/>
      <c r="M116" s="5"/>
      <c r="O116" s="5"/>
      <c r="Q116" s="2"/>
      <c r="T116" s="4"/>
      <c r="AH116" t="str">
        <f>IFERROR(VLOOKUP($A116,fund_metadata!$A:$P,2,FALSE),"")</f>
        <v>Carlyle Alpinvest</v>
      </c>
      <c r="AI116" t="str">
        <f>IFERROR(VLOOKUP($A116,fund_metadata!$A:$P,16,FALSE),"")</f>
        <v>private_equity</v>
      </c>
    </row>
    <row r="117" spans="1:35" x14ac:dyDescent="0.25">
      <c r="A117">
        <v>3</v>
      </c>
      <c r="B117" s="3">
        <v>44377</v>
      </c>
      <c r="C117" s="3"/>
      <c r="D117" s="3"/>
      <c r="E117" s="3"/>
      <c r="F117" s="3"/>
      <c r="G117" s="3"/>
      <c r="H117" s="3"/>
      <c r="K117" s="4">
        <v>85580000</v>
      </c>
      <c r="L117" t="s">
        <v>89</v>
      </c>
      <c r="M117" s="5">
        <v>10</v>
      </c>
      <c r="N117" t="s">
        <v>89</v>
      </c>
      <c r="O117" s="5">
        <v>0</v>
      </c>
      <c r="P117" t="s">
        <v>108</v>
      </c>
      <c r="Q117" s="2"/>
      <c r="T117" s="4"/>
      <c r="AH117" t="str">
        <f>IFERROR(VLOOKUP($A117,fund_metadata!$A:$P,2,FALSE),"")</f>
        <v>Cliffwater</v>
      </c>
      <c r="AI117" t="str">
        <f>IFERROR(VLOOKUP($A117,fund_metadata!$A:$P,16,FALSE),"")</f>
        <v>private_credit</v>
      </c>
    </row>
    <row r="118" spans="1:35" x14ac:dyDescent="0.25">
      <c r="A118">
        <v>3</v>
      </c>
      <c r="B118" s="3">
        <v>44408</v>
      </c>
      <c r="C118" s="3"/>
      <c r="D118" s="3"/>
      <c r="E118" s="3"/>
      <c r="F118" s="3"/>
      <c r="G118" s="3"/>
      <c r="H118" s="3"/>
      <c r="K118" s="4">
        <v>96430000</v>
      </c>
      <c r="L118" t="s">
        <v>89</v>
      </c>
      <c r="M118" s="5">
        <v>10.09</v>
      </c>
      <c r="N118" t="s">
        <v>89</v>
      </c>
      <c r="O118" s="5">
        <v>0</v>
      </c>
      <c r="P118" t="s">
        <v>108</v>
      </c>
      <c r="Q118" s="2">
        <v>8.9999999999999993E-3</v>
      </c>
      <c r="R118" t="s">
        <v>89</v>
      </c>
      <c r="T118" s="4"/>
      <c r="AH118" t="str">
        <f>IFERROR(VLOOKUP($A118,fund_metadata!$A:$P,2,FALSE),"")</f>
        <v>Cliffwater</v>
      </c>
      <c r="AI118" t="str">
        <f>IFERROR(VLOOKUP($A118,fund_metadata!$A:$P,16,FALSE),"")</f>
        <v>private_credit</v>
      </c>
    </row>
    <row r="119" spans="1:35" x14ac:dyDescent="0.25">
      <c r="A119">
        <v>3</v>
      </c>
      <c r="B119" s="3">
        <v>44439</v>
      </c>
      <c r="C119" s="3"/>
      <c r="D119" s="3"/>
      <c r="E119" s="3"/>
      <c r="F119" s="3"/>
      <c r="G119" s="3"/>
      <c r="H119" s="3"/>
      <c r="K119" s="4">
        <v>136190000</v>
      </c>
      <c r="L119" t="s">
        <v>89</v>
      </c>
      <c r="M119" s="5">
        <v>10.24</v>
      </c>
      <c r="N119" t="s">
        <v>89</v>
      </c>
      <c r="O119" s="5">
        <v>0</v>
      </c>
      <c r="P119" t="s">
        <v>108</v>
      </c>
      <c r="Q119" s="2">
        <v>1.49E-2</v>
      </c>
      <c r="R119" t="s">
        <v>89</v>
      </c>
      <c r="T119" s="4"/>
      <c r="AH119" t="str">
        <f>IFERROR(VLOOKUP($A119,fund_metadata!$A:$P,2,FALSE),"")</f>
        <v>Cliffwater</v>
      </c>
      <c r="AI119" t="str">
        <f>IFERROR(VLOOKUP($A119,fund_metadata!$A:$P,16,FALSE),"")</f>
        <v>private_credit</v>
      </c>
    </row>
    <row r="120" spans="1:35" x14ac:dyDescent="0.25">
      <c r="A120">
        <v>3</v>
      </c>
      <c r="B120" s="3">
        <v>44469</v>
      </c>
      <c r="C120" s="3"/>
      <c r="D120" s="3"/>
      <c r="E120" s="3"/>
      <c r="F120" s="3"/>
      <c r="G120" s="3"/>
      <c r="H120" s="3"/>
      <c r="K120" s="4">
        <v>163430000</v>
      </c>
      <c r="L120" t="s">
        <v>89</v>
      </c>
      <c r="M120" s="5">
        <v>10.4</v>
      </c>
      <c r="N120" t="s">
        <v>89</v>
      </c>
      <c r="O120" s="5">
        <v>0</v>
      </c>
      <c r="P120" t="s">
        <v>108</v>
      </c>
      <c r="Q120" s="2">
        <v>1.5599999999999999E-2</v>
      </c>
      <c r="R120" t="s">
        <v>89</v>
      </c>
      <c r="S120">
        <v>29</v>
      </c>
      <c r="T120" s="4">
        <v>164090000</v>
      </c>
      <c r="U120" t="s">
        <v>89</v>
      </c>
      <c r="V120">
        <v>15764541</v>
      </c>
      <c r="W120" t="s">
        <v>120</v>
      </c>
      <c r="AH120" t="str">
        <f>IFERROR(VLOOKUP($A120,fund_metadata!$A:$P,2,FALSE),"")</f>
        <v>Cliffwater</v>
      </c>
      <c r="AI120" t="str">
        <f>IFERROR(VLOOKUP($A120,fund_metadata!$A:$P,16,FALSE),"")</f>
        <v>private_credit</v>
      </c>
    </row>
    <row r="121" spans="1:35" x14ac:dyDescent="0.25">
      <c r="A121">
        <v>3</v>
      </c>
      <c r="B121" s="3">
        <v>44500</v>
      </c>
      <c r="C121" s="3"/>
      <c r="D121" s="3"/>
      <c r="E121" s="3"/>
      <c r="F121" s="3"/>
      <c r="G121" s="3"/>
      <c r="H121" s="3"/>
      <c r="K121" s="4">
        <v>188490000</v>
      </c>
      <c r="L121" t="s">
        <v>89</v>
      </c>
      <c r="M121" s="5">
        <v>10.47</v>
      </c>
      <c r="N121" t="s">
        <v>89</v>
      </c>
      <c r="O121" s="5">
        <v>0</v>
      </c>
      <c r="P121" t="s">
        <v>108</v>
      </c>
      <c r="Q121" s="2">
        <v>6.7000000000000002E-3</v>
      </c>
      <c r="R121" t="s">
        <v>89</v>
      </c>
      <c r="T121" s="4"/>
      <c r="AH121" t="str">
        <f>IFERROR(VLOOKUP($A121,fund_metadata!$A:$P,2,FALSE),"")</f>
        <v>Cliffwater</v>
      </c>
      <c r="AI121" t="str">
        <f>IFERROR(VLOOKUP($A121,fund_metadata!$A:$P,16,FALSE),"")</f>
        <v>private_credit</v>
      </c>
    </row>
    <row r="122" spans="1:35" x14ac:dyDescent="0.25">
      <c r="A122">
        <v>3</v>
      </c>
      <c r="B122" s="3">
        <v>44530</v>
      </c>
      <c r="C122" s="3"/>
      <c r="D122" s="3"/>
      <c r="E122" s="3"/>
      <c r="F122" s="3"/>
      <c r="G122" s="3"/>
      <c r="H122" s="3"/>
      <c r="K122" s="4">
        <v>218920000</v>
      </c>
      <c r="L122" t="s">
        <v>89</v>
      </c>
      <c r="M122" s="5">
        <v>10.39</v>
      </c>
      <c r="N122" t="s">
        <v>89</v>
      </c>
      <c r="O122" s="5">
        <v>0.24</v>
      </c>
      <c r="P122" t="s">
        <v>89</v>
      </c>
      <c r="Q122" s="2">
        <v>1.52E-2</v>
      </c>
      <c r="R122" t="s">
        <v>89</v>
      </c>
      <c r="T122" s="4"/>
      <c r="AH122" t="str">
        <f>IFERROR(VLOOKUP($A122,fund_metadata!$A:$P,2,FALSE),"")</f>
        <v>Cliffwater</v>
      </c>
      <c r="AI122" t="str">
        <f>IFERROR(VLOOKUP($A122,fund_metadata!$A:$P,16,FALSE),"")</f>
        <v>private_credit</v>
      </c>
    </row>
    <row r="123" spans="1:35" x14ac:dyDescent="0.25">
      <c r="A123">
        <v>3</v>
      </c>
      <c r="B123" s="3">
        <v>44561</v>
      </c>
      <c r="C123" s="3"/>
      <c r="D123" s="3"/>
      <c r="E123" s="3"/>
      <c r="F123" s="3"/>
      <c r="G123" s="3"/>
      <c r="H123" s="3"/>
      <c r="K123" s="4">
        <v>268960000</v>
      </c>
      <c r="L123" t="s">
        <v>89</v>
      </c>
      <c r="M123" s="5">
        <v>10.41</v>
      </c>
      <c r="N123" t="s">
        <v>89</v>
      </c>
      <c r="O123" s="5">
        <v>0.08</v>
      </c>
      <c r="P123" t="s">
        <v>89</v>
      </c>
      <c r="Q123" s="2">
        <v>0.01</v>
      </c>
      <c r="R123" t="s">
        <v>89</v>
      </c>
      <c r="S123">
        <v>52</v>
      </c>
      <c r="T123" s="4"/>
      <c r="AH123" t="str">
        <f>IFERROR(VLOOKUP($A123,fund_metadata!$A:$P,2,FALSE),"")</f>
        <v>Cliffwater</v>
      </c>
      <c r="AI123" t="str">
        <f>IFERROR(VLOOKUP($A123,fund_metadata!$A:$P,16,FALSE),"")</f>
        <v>private_credit</v>
      </c>
    </row>
    <row r="124" spans="1:35" x14ac:dyDescent="0.25">
      <c r="A124">
        <v>3</v>
      </c>
      <c r="B124" s="3">
        <v>44592</v>
      </c>
      <c r="C124" s="3"/>
      <c r="D124" s="3"/>
      <c r="E124" s="3"/>
      <c r="F124" s="3"/>
      <c r="G124" s="3"/>
      <c r="H124" s="3"/>
      <c r="K124" s="4">
        <v>322280000</v>
      </c>
      <c r="L124" t="s">
        <v>89</v>
      </c>
      <c r="M124" s="5">
        <v>10.5</v>
      </c>
      <c r="N124" t="s">
        <v>89</v>
      </c>
      <c r="O124" s="5">
        <v>0</v>
      </c>
      <c r="P124" t="s">
        <v>108</v>
      </c>
      <c r="Q124" s="2">
        <v>8.6E-3</v>
      </c>
      <c r="R124" t="s">
        <v>89</v>
      </c>
      <c r="T124" s="4"/>
      <c r="AH124" t="str">
        <f>IFERROR(VLOOKUP($A124,fund_metadata!$A:$P,2,FALSE),"")</f>
        <v>Cliffwater</v>
      </c>
      <c r="AI124" t="str">
        <f>IFERROR(VLOOKUP($A124,fund_metadata!$A:$P,16,FALSE),"")</f>
        <v>private_credit</v>
      </c>
    </row>
    <row r="125" spans="1:35" x14ac:dyDescent="0.25">
      <c r="A125">
        <v>3</v>
      </c>
      <c r="B125" s="3">
        <v>44620</v>
      </c>
      <c r="C125" s="3"/>
      <c r="D125" s="3"/>
      <c r="E125" s="3"/>
      <c r="F125" s="3"/>
      <c r="G125" s="3"/>
      <c r="H125" s="3"/>
      <c r="K125" s="4">
        <v>414530000</v>
      </c>
      <c r="L125" t="s">
        <v>89</v>
      </c>
      <c r="M125" s="5">
        <v>10.6</v>
      </c>
      <c r="N125" t="s">
        <v>89</v>
      </c>
      <c r="O125" s="5">
        <v>0</v>
      </c>
      <c r="P125" t="s">
        <v>108</v>
      </c>
      <c r="Q125" s="2">
        <v>9.4999999999999998E-3</v>
      </c>
      <c r="R125" t="s">
        <v>89</v>
      </c>
      <c r="T125" s="4"/>
      <c r="AH125" t="str">
        <f>IFERROR(VLOOKUP($A125,fund_metadata!$A:$P,2,FALSE),"")</f>
        <v>Cliffwater</v>
      </c>
      <c r="AI125" t="str">
        <f>IFERROR(VLOOKUP($A125,fund_metadata!$A:$P,16,FALSE),"")</f>
        <v>private_credit</v>
      </c>
    </row>
    <row r="126" spans="1:35" x14ac:dyDescent="0.25">
      <c r="A126">
        <v>3</v>
      </c>
      <c r="B126" s="3">
        <v>44651</v>
      </c>
      <c r="C126" s="3"/>
      <c r="D126" s="3"/>
      <c r="E126" s="3"/>
      <c r="F126" s="3"/>
      <c r="G126" s="3"/>
      <c r="H126" s="3"/>
      <c r="K126" s="4">
        <v>472560000</v>
      </c>
      <c r="L126" t="s">
        <v>89</v>
      </c>
      <c r="M126" s="5">
        <v>10.78</v>
      </c>
      <c r="N126" t="s">
        <v>89</v>
      </c>
      <c r="O126" s="5">
        <v>0</v>
      </c>
      <c r="P126" t="s">
        <v>108</v>
      </c>
      <c r="Q126" s="2">
        <v>1.7000000000000001E-2</v>
      </c>
      <c r="R126" t="s">
        <v>89</v>
      </c>
      <c r="S126">
        <v>63</v>
      </c>
      <c r="T126" s="4">
        <v>504430000</v>
      </c>
      <c r="U126" t="s">
        <v>89</v>
      </c>
      <c r="V126">
        <v>43957538</v>
      </c>
      <c r="W126" t="s">
        <v>121</v>
      </c>
      <c r="AH126" t="str">
        <f>IFERROR(VLOOKUP($A126,fund_metadata!$A:$P,2,FALSE),"")</f>
        <v>Cliffwater</v>
      </c>
      <c r="AI126" t="str">
        <f>IFERROR(VLOOKUP($A126,fund_metadata!$A:$P,16,FALSE),"")</f>
        <v>private_credit</v>
      </c>
    </row>
    <row r="127" spans="1:35" x14ac:dyDescent="0.25">
      <c r="A127">
        <v>3</v>
      </c>
      <c r="B127" s="3">
        <v>44681</v>
      </c>
      <c r="C127" s="3"/>
      <c r="D127" s="3"/>
      <c r="E127" s="3"/>
      <c r="F127" s="3"/>
      <c r="G127" s="3"/>
      <c r="H127" s="3"/>
      <c r="K127" s="4">
        <v>545840000</v>
      </c>
      <c r="L127" t="s">
        <v>89</v>
      </c>
      <c r="M127" s="5">
        <v>10.63</v>
      </c>
      <c r="N127" t="s">
        <v>89</v>
      </c>
      <c r="O127" s="5">
        <v>0.24</v>
      </c>
      <c r="P127" t="s">
        <v>89</v>
      </c>
      <c r="Q127" s="2">
        <v>8.6E-3</v>
      </c>
      <c r="R127" t="s">
        <v>89</v>
      </c>
      <c r="T127" s="4"/>
      <c r="AH127" t="str">
        <f>IFERROR(VLOOKUP($A127,fund_metadata!$A:$P,2,FALSE),"")</f>
        <v>Cliffwater</v>
      </c>
      <c r="AI127" t="str">
        <f>IFERROR(VLOOKUP($A127,fund_metadata!$A:$P,16,FALSE),"")</f>
        <v>private_credit</v>
      </c>
    </row>
    <row r="128" spans="1:35" x14ac:dyDescent="0.25">
      <c r="A128">
        <v>3</v>
      </c>
      <c r="B128" s="3">
        <v>44712</v>
      </c>
      <c r="C128" s="3"/>
      <c r="D128" s="3"/>
      <c r="E128" s="3"/>
      <c r="F128" s="3"/>
      <c r="G128" s="3"/>
      <c r="H128" s="3"/>
      <c r="K128" s="4">
        <v>620190000</v>
      </c>
      <c r="L128" t="s">
        <v>89</v>
      </c>
      <c r="M128" s="5">
        <v>10.77</v>
      </c>
      <c r="N128" t="s">
        <v>89</v>
      </c>
      <c r="O128" s="5">
        <v>0</v>
      </c>
      <c r="P128" t="s">
        <v>108</v>
      </c>
      <c r="Q128" s="2">
        <v>1.32E-2</v>
      </c>
      <c r="R128" t="s">
        <v>89</v>
      </c>
      <c r="T128" s="4"/>
      <c r="AH128" t="str">
        <f>IFERROR(VLOOKUP($A128,fund_metadata!$A:$P,2,FALSE),"")</f>
        <v>Cliffwater</v>
      </c>
      <c r="AI128" t="str">
        <f>IFERROR(VLOOKUP($A128,fund_metadata!$A:$P,16,FALSE),"")</f>
        <v>private_credit</v>
      </c>
    </row>
    <row r="129" spans="1:35" x14ac:dyDescent="0.25">
      <c r="A129">
        <v>3</v>
      </c>
      <c r="B129" s="3">
        <v>44742</v>
      </c>
      <c r="C129" s="3"/>
      <c r="D129" s="3"/>
      <c r="E129" s="3"/>
      <c r="F129" s="3"/>
      <c r="G129" s="3"/>
      <c r="H129" s="3"/>
      <c r="K129" s="4">
        <v>686370000</v>
      </c>
      <c r="L129" t="s">
        <v>89</v>
      </c>
      <c r="M129" s="5">
        <v>10.86</v>
      </c>
      <c r="N129" t="s">
        <v>89</v>
      </c>
      <c r="O129" s="5">
        <v>0</v>
      </c>
      <c r="P129" t="s">
        <v>108</v>
      </c>
      <c r="Q129" s="2">
        <v>8.3999999999999995E-3</v>
      </c>
      <c r="R129" t="s">
        <v>89</v>
      </c>
      <c r="S129">
        <v>103</v>
      </c>
      <c r="T129" s="4"/>
      <c r="AH129" t="str">
        <f>IFERROR(VLOOKUP($A129,fund_metadata!$A:$P,2,FALSE),"")</f>
        <v>Cliffwater</v>
      </c>
      <c r="AI129" t="str">
        <f>IFERROR(VLOOKUP($A129,fund_metadata!$A:$P,16,FALSE),"")</f>
        <v>private_credit</v>
      </c>
    </row>
    <row r="130" spans="1:35" x14ac:dyDescent="0.25">
      <c r="A130">
        <v>3</v>
      </c>
      <c r="B130" s="3">
        <v>44773</v>
      </c>
      <c r="C130" s="3"/>
      <c r="D130" s="3"/>
      <c r="E130" s="3"/>
      <c r="F130" s="3"/>
      <c r="G130" s="3"/>
      <c r="H130" s="3"/>
      <c r="K130" s="4">
        <v>743820000</v>
      </c>
      <c r="L130" t="s">
        <v>89</v>
      </c>
      <c r="M130" s="5">
        <v>10.69</v>
      </c>
      <c r="N130" t="s">
        <v>89</v>
      </c>
      <c r="O130" s="5">
        <v>0.24</v>
      </c>
      <c r="P130" t="s">
        <v>89</v>
      </c>
      <c r="Q130" s="2">
        <v>6.8999999999999999E-3</v>
      </c>
      <c r="R130" t="s">
        <v>89</v>
      </c>
      <c r="T130" s="4"/>
      <c r="AH130" t="str">
        <f>IFERROR(VLOOKUP($A130,fund_metadata!$A:$P,2,FALSE),"")</f>
        <v>Cliffwater</v>
      </c>
      <c r="AI130" t="str">
        <f>IFERROR(VLOOKUP($A130,fund_metadata!$A:$P,16,FALSE),"")</f>
        <v>private_credit</v>
      </c>
    </row>
    <row r="131" spans="1:35" x14ac:dyDescent="0.25">
      <c r="A131">
        <v>3</v>
      </c>
      <c r="B131" s="3">
        <v>44804</v>
      </c>
      <c r="C131" s="3"/>
      <c r="D131" s="3"/>
      <c r="E131" s="3"/>
      <c r="F131" s="3"/>
      <c r="G131" s="3"/>
      <c r="H131" s="3"/>
      <c r="K131" s="4">
        <v>852780000</v>
      </c>
      <c r="L131" t="s">
        <v>89</v>
      </c>
      <c r="M131" s="5">
        <v>10.76</v>
      </c>
      <c r="N131" t="s">
        <v>89</v>
      </c>
      <c r="O131" s="5"/>
      <c r="Q131" s="2">
        <v>6.4999999999999997E-3</v>
      </c>
      <c r="R131" t="s">
        <v>89</v>
      </c>
      <c r="T131" s="4"/>
      <c r="AH131" t="str">
        <f>IFERROR(VLOOKUP($A131,fund_metadata!$A:$P,2,FALSE),"")</f>
        <v>Cliffwater</v>
      </c>
      <c r="AI131" t="str">
        <f>IFERROR(VLOOKUP($A131,fund_metadata!$A:$P,16,FALSE),"")</f>
        <v>private_credit</v>
      </c>
    </row>
    <row r="132" spans="1:35" x14ac:dyDescent="0.25">
      <c r="A132">
        <v>3</v>
      </c>
      <c r="B132" s="3">
        <v>44834</v>
      </c>
      <c r="C132" s="3"/>
      <c r="D132" s="3"/>
      <c r="E132" s="3"/>
      <c r="F132" s="3"/>
      <c r="G132" s="3"/>
      <c r="H132" s="3"/>
      <c r="K132" s="4">
        <v>948110000</v>
      </c>
      <c r="L132" t="s">
        <v>89</v>
      </c>
      <c r="M132" s="5">
        <v>10.8</v>
      </c>
      <c r="N132" t="s">
        <v>89</v>
      </c>
      <c r="O132" s="5"/>
      <c r="Q132" s="2">
        <v>3.7000000000000002E-3</v>
      </c>
      <c r="R132" t="s">
        <v>89</v>
      </c>
      <c r="S132">
        <v>102</v>
      </c>
      <c r="T132" s="4">
        <v>983310000</v>
      </c>
      <c r="U132" t="s">
        <v>89</v>
      </c>
      <c r="V132">
        <v>88015209</v>
      </c>
      <c r="W132" t="s">
        <v>120</v>
      </c>
      <c r="AH132" t="str">
        <f>IFERROR(VLOOKUP($A132,fund_metadata!$A:$P,2,FALSE),"")</f>
        <v>Cliffwater</v>
      </c>
      <c r="AI132" t="str">
        <f>IFERROR(VLOOKUP($A132,fund_metadata!$A:$P,16,FALSE),"")</f>
        <v>private_credit</v>
      </c>
    </row>
    <row r="133" spans="1:35" x14ac:dyDescent="0.25">
      <c r="A133">
        <v>3</v>
      </c>
      <c r="B133" s="3">
        <v>44865</v>
      </c>
      <c r="C133" s="3"/>
      <c r="D133" s="3"/>
      <c r="E133" s="3"/>
      <c r="F133" s="3"/>
      <c r="G133" s="3"/>
      <c r="H133" s="3"/>
      <c r="K133" s="4">
        <v>1010000000</v>
      </c>
      <c r="L133" t="s">
        <v>89</v>
      </c>
      <c r="M133" s="5">
        <v>10.62</v>
      </c>
      <c r="N133" t="s">
        <v>89</v>
      </c>
      <c r="O133" s="5">
        <v>0.24</v>
      </c>
      <c r="P133" t="s">
        <v>89</v>
      </c>
      <c r="Q133" s="2">
        <v>5.8999999999999999E-3</v>
      </c>
      <c r="R133" t="s">
        <v>89</v>
      </c>
      <c r="T133" s="4"/>
      <c r="AH133" t="str">
        <f>IFERROR(VLOOKUP($A133,fund_metadata!$A:$P,2,FALSE),"")</f>
        <v>Cliffwater</v>
      </c>
      <c r="AI133" t="str">
        <f>IFERROR(VLOOKUP($A133,fund_metadata!$A:$P,16,FALSE),"")</f>
        <v>private_credit</v>
      </c>
    </row>
    <row r="134" spans="1:35" x14ac:dyDescent="0.25">
      <c r="A134">
        <v>3</v>
      </c>
      <c r="B134" s="3">
        <v>44895</v>
      </c>
      <c r="C134" s="3"/>
      <c r="D134" s="3"/>
      <c r="E134" s="3"/>
      <c r="F134" s="3"/>
      <c r="G134" s="3"/>
      <c r="H134" s="3"/>
      <c r="K134" s="4">
        <v>1080000000</v>
      </c>
      <c r="L134" t="s">
        <v>89</v>
      </c>
      <c r="M134" s="5">
        <v>10.72</v>
      </c>
      <c r="N134" t="s">
        <v>89</v>
      </c>
      <c r="O134" s="5"/>
      <c r="Q134" s="2">
        <v>9.4000000000000004E-3</v>
      </c>
      <c r="R134" t="s">
        <v>89</v>
      </c>
      <c r="T134" s="4"/>
      <c r="AH134" t="str">
        <f>IFERROR(VLOOKUP($A134,fund_metadata!$A:$P,2,FALSE),"")</f>
        <v>Cliffwater</v>
      </c>
      <c r="AI134" t="str">
        <f>IFERROR(VLOOKUP($A134,fund_metadata!$A:$P,16,FALSE),"")</f>
        <v>private_credit</v>
      </c>
    </row>
    <row r="135" spans="1:35" x14ac:dyDescent="0.25">
      <c r="A135">
        <v>3</v>
      </c>
      <c r="B135" s="3">
        <v>44926</v>
      </c>
      <c r="C135" s="3"/>
      <c r="D135" s="3"/>
      <c r="E135" s="3"/>
      <c r="F135" s="3"/>
      <c r="G135" s="3"/>
      <c r="H135" s="3"/>
      <c r="K135" s="4">
        <v>1170000000</v>
      </c>
      <c r="L135" t="s">
        <v>89</v>
      </c>
      <c r="M135" s="5">
        <v>10.58</v>
      </c>
      <c r="N135" t="s">
        <v>89</v>
      </c>
      <c r="O135" s="5">
        <v>0.27</v>
      </c>
      <c r="P135" t="s">
        <v>89</v>
      </c>
      <c r="Q135" s="2">
        <v>1.2200000000000001E-2</v>
      </c>
      <c r="R135" t="s">
        <v>89</v>
      </c>
      <c r="S135">
        <v>112</v>
      </c>
      <c r="T135" s="4"/>
      <c r="AH135" t="str">
        <f>IFERROR(VLOOKUP($A135,fund_metadata!$A:$P,2,FALSE),"")</f>
        <v>Cliffwater</v>
      </c>
      <c r="AI135" t="str">
        <f>IFERROR(VLOOKUP($A135,fund_metadata!$A:$P,16,FALSE),"")</f>
        <v>private_credit</v>
      </c>
    </row>
    <row r="136" spans="1:35" x14ac:dyDescent="0.25">
      <c r="A136">
        <v>3</v>
      </c>
      <c r="B136" s="3">
        <v>44957</v>
      </c>
      <c r="C136" s="3"/>
      <c r="D136" s="3"/>
      <c r="E136" s="3"/>
      <c r="F136" s="3"/>
      <c r="G136" s="3"/>
      <c r="H136" s="3"/>
      <c r="K136" s="4">
        <v>1250000000</v>
      </c>
      <c r="L136" t="s">
        <v>89</v>
      </c>
      <c r="M136" s="5">
        <v>10.67</v>
      </c>
      <c r="N136" t="s">
        <v>89</v>
      </c>
      <c r="O136" s="5"/>
      <c r="Q136" s="2">
        <v>8.5000000000000006E-3</v>
      </c>
      <c r="R136" t="s">
        <v>89</v>
      </c>
      <c r="T136" s="4"/>
      <c r="AH136" t="str">
        <f>IFERROR(VLOOKUP($A136,fund_metadata!$A:$P,2,FALSE),"")</f>
        <v>Cliffwater</v>
      </c>
      <c r="AI136" t="str">
        <f>IFERROR(VLOOKUP($A136,fund_metadata!$A:$P,16,FALSE),"")</f>
        <v>private_credit</v>
      </c>
    </row>
    <row r="137" spans="1:35" x14ac:dyDescent="0.25">
      <c r="A137">
        <v>3</v>
      </c>
      <c r="B137" s="3">
        <v>44985</v>
      </c>
      <c r="C137" s="3"/>
      <c r="D137" s="3"/>
      <c r="E137" s="3"/>
      <c r="F137" s="3"/>
      <c r="G137" s="3"/>
      <c r="H137" s="3"/>
      <c r="K137" s="4">
        <v>1390000000</v>
      </c>
      <c r="L137" t="s">
        <v>89</v>
      </c>
      <c r="M137" s="5">
        <v>10.76</v>
      </c>
      <c r="N137" t="s">
        <v>89</v>
      </c>
      <c r="O137" s="5"/>
      <c r="Q137" s="2">
        <v>8.3999999999999995E-3</v>
      </c>
      <c r="R137" t="s">
        <v>89</v>
      </c>
      <c r="T137" s="4"/>
      <c r="AH137" t="str">
        <f>IFERROR(VLOOKUP($A137,fund_metadata!$A:$P,2,FALSE),"")</f>
        <v>Cliffwater</v>
      </c>
      <c r="AI137" t="str">
        <f>IFERROR(VLOOKUP($A137,fund_metadata!$A:$P,16,FALSE),"")</f>
        <v>private_credit</v>
      </c>
    </row>
    <row r="138" spans="1:35" x14ac:dyDescent="0.25">
      <c r="A138">
        <v>3</v>
      </c>
      <c r="B138" s="3">
        <v>45016</v>
      </c>
      <c r="C138" s="3"/>
      <c r="D138" s="3"/>
      <c r="E138" s="3"/>
      <c r="F138" s="3"/>
      <c r="G138" s="3"/>
      <c r="H138" s="3"/>
      <c r="K138" s="4">
        <v>1480000000</v>
      </c>
      <c r="L138" t="s">
        <v>89</v>
      </c>
      <c r="M138" s="5">
        <v>10.85</v>
      </c>
      <c r="N138" t="s">
        <v>89</v>
      </c>
      <c r="O138" s="5"/>
      <c r="Q138" s="2">
        <v>8.3999999999999995E-3</v>
      </c>
      <c r="R138" t="s">
        <v>89</v>
      </c>
      <c r="S138">
        <v>158</v>
      </c>
      <c r="T138" s="4">
        <v>1510000000</v>
      </c>
      <c r="U138" t="s">
        <v>89</v>
      </c>
      <c r="V138">
        <v>136178510</v>
      </c>
      <c r="W138" t="s">
        <v>121</v>
      </c>
      <c r="AH138" t="str">
        <f>IFERROR(VLOOKUP($A138,fund_metadata!$A:$P,2,FALSE),"")</f>
        <v>Cliffwater</v>
      </c>
      <c r="AI138" t="str">
        <f>IFERROR(VLOOKUP($A138,fund_metadata!$A:$P,16,FALSE),"")</f>
        <v>private_credit</v>
      </c>
    </row>
    <row r="139" spans="1:35" x14ac:dyDescent="0.25">
      <c r="A139">
        <v>3</v>
      </c>
      <c r="B139" s="3">
        <v>45046</v>
      </c>
      <c r="C139" s="3"/>
      <c r="D139" s="3"/>
      <c r="E139" s="3"/>
      <c r="F139" s="3"/>
      <c r="G139" s="3"/>
      <c r="H139" s="3"/>
      <c r="K139" s="4">
        <v>1550000000</v>
      </c>
      <c r="L139" t="s">
        <v>89</v>
      </c>
      <c r="M139" s="5">
        <v>10.66</v>
      </c>
      <c r="N139" t="s">
        <v>89</v>
      </c>
      <c r="O139" s="5">
        <v>0.27</v>
      </c>
      <c r="P139" t="s">
        <v>89</v>
      </c>
      <c r="Q139" s="2">
        <v>7.4999999999999997E-3</v>
      </c>
      <c r="R139" t="s">
        <v>89</v>
      </c>
      <c r="T139" s="4"/>
      <c r="AH139" t="str">
        <f>IFERROR(VLOOKUP($A139,fund_metadata!$A:$P,2,FALSE),"")</f>
        <v>Cliffwater</v>
      </c>
      <c r="AI139" t="str">
        <f>IFERROR(VLOOKUP($A139,fund_metadata!$A:$P,16,FALSE),"")</f>
        <v>private_credit</v>
      </c>
    </row>
    <row r="140" spans="1:35" x14ac:dyDescent="0.25">
      <c r="A140">
        <v>3</v>
      </c>
      <c r="B140" s="3">
        <v>45077</v>
      </c>
      <c r="C140" s="3"/>
      <c r="D140" s="3"/>
      <c r="E140" s="3"/>
      <c r="F140" s="3"/>
      <c r="G140" s="3"/>
      <c r="H140" s="3"/>
      <c r="K140" s="4">
        <v>1690000000</v>
      </c>
      <c r="L140" t="s">
        <v>89</v>
      </c>
      <c r="M140" s="5">
        <v>10.77</v>
      </c>
      <c r="N140" t="s">
        <v>89</v>
      </c>
      <c r="O140" s="5"/>
      <c r="Q140" s="2">
        <v>1.03E-2</v>
      </c>
      <c r="R140" t="s">
        <v>89</v>
      </c>
      <c r="T140" s="4"/>
      <c r="AH140" t="str">
        <f>IFERROR(VLOOKUP($A140,fund_metadata!$A:$P,2,FALSE),"")</f>
        <v>Cliffwater</v>
      </c>
      <c r="AI140" t="str">
        <f>IFERROR(VLOOKUP($A140,fund_metadata!$A:$P,16,FALSE),"")</f>
        <v>private_credit</v>
      </c>
    </row>
    <row r="141" spans="1:35" x14ac:dyDescent="0.25">
      <c r="A141">
        <v>3</v>
      </c>
      <c r="B141" s="3">
        <v>45107</v>
      </c>
      <c r="C141" s="3"/>
      <c r="D141" s="3"/>
      <c r="E141" s="3"/>
      <c r="F141" s="3"/>
      <c r="G141" s="3"/>
      <c r="H141" s="3"/>
      <c r="K141" s="4">
        <v>1830000000</v>
      </c>
      <c r="L141" t="s">
        <v>89</v>
      </c>
      <c r="M141" s="5">
        <v>10.9</v>
      </c>
      <c r="N141" t="s">
        <v>89</v>
      </c>
      <c r="O141" s="5"/>
      <c r="Q141" s="2">
        <v>1.21E-2</v>
      </c>
      <c r="R141" t="s">
        <v>89</v>
      </c>
      <c r="S141">
        <v>202</v>
      </c>
      <c r="T141" s="4"/>
      <c r="AH141" t="str">
        <f>IFERROR(VLOOKUP($A141,fund_metadata!$A:$P,2,FALSE),"")</f>
        <v>Cliffwater</v>
      </c>
      <c r="AI141" t="str">
        <f>IFERROR(VLOOKUP($A141,fund_metadata!$A:$P,16,FALSE),"")</f>
        <v>private_credit</v>
      </c>
    </row>
    <row r="142" spans="1:35" x14ac:dyDescent="0.25">
      <c r="A142">
        <v>3</v>
      </c>
      <c r="B142" s="3">
        <v>45138</v>
      </c>
      <c r="C142" s="3"/>
      <c r="D142" s="3"/>
      <c r="E142" s="3"/>
      <c r="F142" s="3"/>
      <c r="G142" s="3"/>
      <c r="H142" s="3"/>
      <c r="K142" s="4">
        <v>1900000000</v>
      </c>
      <c r="L142" t="s">
        <v>89</v>
      </c>
      <c r="M142" s="5">
        <v>10.74</v>
      </c>
      <c r="N142" t="s">
        <v>89</v>
      </c>
      <c r="O142" s="5">
        <v>0.27</v>
      </c>
      <c r="P142" t="s">
        <v>89</v>
      </c>
      <c r="Q142" s="2">
        <v>1.06E-2</v>
      </c>
      <c r="R142" t="s">
        <v>89</v>
      </c>
      <c r="T142" s="4"/>
      <c r="AH142" t="str">
        <f>IFERROR(VLOOKUP($A142,fund_metadata!$A:$P,2,FALSE),"")</f>
        <v>Cliffwater</v>
      </c>
      <c r="AI142" t="str">
        <f>IFERROR(VLOOKUP($A142,fund_metadata!$A:$P,16,FALSE),"")</f>
        <v>private_credit</v>
      </c>
    </row>
    <row r="143" spans="1:35" x14ac:dyDescent="0.25">
      <c r="A143">
        <v>3</v>
      </c>
      <c r="B143" s="3">
        <v>45169</v>
      </c>
      <c r="C143" s="3"/>
      <c r="D143" s="3"/>
      <c r="E143" s="3"/>
      <c r="F143" s="3"/>
      <c r="G143" s="3"/>
      <c r="H143" s="3"/>
      <c r="K143" s="4">
        <v>2040000000</v>
      </c>
      <c r="L143" t="s">
        <v>89</v>
      </c>
      <c r="M143" s="5">
        <v>10.85</v>
      </c>
      <c r="N143" t="s">
        <v>89</v>
      </c>
      <c r="O143" s="5"/>
      <c r="Q143" s="2">
        <v>1.0200000000000001E-2</v>
      </c>
      <c r="R143" t="s">
        <v>89</v>
      </c>
      <c r="T143" s="4"/>
      <c r="AH143" t="str">
        <f>IFERROR(VLOOKUP($A143,fund_metadata!$A:$P,2,FALSE),"")</f>
        <v>Cliffwater</v>
      </c>
      <c r="AI143" t="str">
        <f>IFERROR(VLOOKUP($A143,fund_metadata!$A:$P,16,FALSE),"")</f>
        <v>private_credit</v>
      </c>
    </row>
    <row r="144" spans="1:35" x14ac:dyDescent="0.25">
      <c r="A144">
        <v>3</v>
      </c>
      <c r="B144" s="3">
        <v>45199</v>
      </c>
      <c r="C144" s="3"/>
      <c r="D144" s="3"/>
      <c r="E144" s="3"/>
      <c r="F144" s="3"/>
      <c r="G144" s="3"/>
      <c r="H144" s="3"/>
      <c r="K144" s="4">
        <v>2220000000</v>
      </c>
      <c r="L144" t="s">
        <v>89</v>
      </c>
      <c r="M144" s="5">
        <v>10.98</v>
      </c>
      <c r="N144" t="s">
        <v>89</v>
      </c>
      <c r="O144" s="5"/>
      <c r="Q144" s="2">
        <v>1.2E-2</v>
      </c>
      <c r="R144" t="s">
        <v>89</v>
      </c>
      <c r="S144">
        <v>262</v>
      </c>
      <c r="T144" s="4">
        <v>2370000000</v>
      </c>
      <c r="U144" t="s">
        <v>89</v>
      </c>
      <c r="V144">
        <v>202250888</v>
      </c>
      <c r="W144" t="s">
        <v>120</v>
      </c>
      <c r="AH144" t="str">
        <f>IFERROR(VLOOKUP($A144,fund_metadata!$A:$P,2,FALSE),"")</f>
        <v>Cliffwater</v>
      </c>
      <c r="AI144" t="str">
        <f>IFERROR(VLOOKUP($A144,fund_metadata!$A:$P,16,FALSE),"")</f>
        <v>private_credit</v>
      </c>
    </row>
    <row r="145" spans="1:35" x14ac:dyDescent="0.25">
      <c r="A145">
        <v>3</v>
      </c>
      <c r="B145" s="3">
        <v>45230</v>
      </c>
      <c r="C145" s="3"/>
      <c r="D145" s="3"/>
      <c r="E145" s="3"/>
      <c r="F145" s="3"/>
      <c r="G145" s="3"/>
      <c r="H145" s="3"/>
      <c r="K145" s="4">
        <v>2320000000</v>
      </c>
      <c r="L145" t="s">
        <v>89</v>
      </c>
      <c r="M145" s="5">
        <v>10.76</v>
      </c>
      <c r="N145" t="s">
        <v>89</v>
      </c>
      <c r="O145" s="5">
        <v>0.3</v>
      </c>
      <c r="P145" t="s">
        <v>89</v>
      </c>
      <c r="Q145" s="2">
        <v>7.6E-3</v>
      </c>
      <c r="R145" t="s">
        <v>89</v>
      </c>
      <c r="T145" s="4"/>
      <c r="AH145" t="str">
        <f>IFERROR(VLOOKUP($A145,fund_metadata!$A:$P,2,FALSE),"")</f>
        <v>Cliffwater</v>
      </c>
      <c r="AI145" t="str">
        <f>IFERROR(VLOOKUP($A145,fund_metadata!$A:$P,16,FALSE),"")</f>
        <v>private_credit</v>
      </c>
    </row>
    <row r="146" spans="1:35" x14ac:dyDescent="0.25">
      <c r="A146">
        <v>3</v>
      </c>
      <c r="B146" s="3">
        <v>45260</v>
      </c>
      <c r="C146" s="3"/>
      <c r="D146" s="3"/>
      <c r="E146" s="3"/>
      <c r="F146" s="3"/>
      <c r="G146" s="3"/>
      <c r="H146" s="3"/>
      <c r="K146" s="4">
        <v>2370000000</v>
      </c>
      <c r="L146" t="s">
        <v>89</v>
      </c>
      <c r="M146" s="5">
        <v>10.88</v>
      </c>
      <c r="N146" t="s">
        <v>89</v>
      </c>
      <c r="O146" s="5"/>
      <c r="Q146" s="2">
        <v>1.12E-2</v>
      </c>
      <c r="R146" t="s">
        <v>89</v>
      </c>
      <c r="T146" s="4"/>
      <c r="AH146" t="str">
        <f>IFERROR(VLOOKUP($A146,fund_metadata!$A:$P,2,FALSE),"")</f>
        <v>Cliffwater</v>
      </c>
      <c r="AI146" t="str">
        <f>IFERROR(VLOOKUP($A146,fund_metadata!$A:$P,16,FALSE),"")</f>
        <v>private_credit</v>
      </c>
    </row>
    <row r="147" spans="1:35" x14ac:dyDescent="0.25">
      <c r="A147">
        <v>3</v>
      </c>
      <c r="B147" s="3">
        <v>45291</v>
      </c>
      <c r="C147" s="3"/>
      <c r="D147" s="3"/>
      <c r="E147" s="3"/>
      <c r="F147" s="3"/>
      <c r="G147" s="3"/>
      <c r="H147" s="3"/>
      <c r="K147" s="4">
        <v>2510000000</v>
      </c>
      <c r="L147" t="s">
        <v>89</v>
      </c>
      <c r="M147" s="5">
        <v>10.72</v>
      </c>
      <c r="N147" t="s">
        <v>89</v>
      </c>
      <c r="O147" s="5">
        <v>0.3</v>
      </c>
      <c r="P147" t="s">
        <v>89</v>
      </c>
      <c r="Q147" s="2">
        <v>1.3100000000000001E-2</v>
      </c>
      <c r="R147" t="s">
        <v>89</v>
      </c>
      <c r="S147">
        <v>322</v>
      </c>
      <c r="T147" s="4"/>
      <c r="AH147" t="str">
        <f>IFERROR(VLOOKUP($A147,fund_metadata!$A:$P,2,FALSE),"")</f>
        <v>Cliffwater</v>
      </c>
      <c r="AI147" t="str">
        <f>IFERROR(VLOOKUP($A147,fund_metadata!$A:$P,16,FALSE),"")</f>
        <v>private_credit</v>
      </c>
    </row>
    <row r="148" spans="1:35" x14ac:dyDescent="0.25">
      <c r="A148">
        <v>3</v>
      </c>
      <c r="B148" s="3">
        <v>45322</v>
      </c>
      <c r="C148" s="3"/>
      <c r="D148" s="3"/>
      <c r="E148" s="3"/>
      <c r="F148" s="3"/>
      <c r="G148" s="3"/>
      <c r="H148" s="3"/>
      <c r="K148" s="4">
        <v>2670000000</v>
      </c>
      <c r="L148" t="s">
        <v>89</v>
      </c>
      <c r="M148" s="5">
        <v>10.83</v>
      </c>
      <c r="N148" t="s">
        <v>89</v>
      </c>
      <c r="O148" s="5"/>
      <c r="Q148" s="2">
        <v>1.03E-2</v>
      </c>
      <c r="R148" t="s">
        <v>89</v>
      </c>
      <c r="T148" s="4"/>
      <c r="AH148" t="str">
        <f>IFERROR(VLOOKUP($A148,fund_metadata!$A:$P,2,FALSE),"")</f>
        <v>Cliffwater</v>
      </c>
      <c r="AI148" t="str">
        <f>IFERROR(VLOOKUP($A148,fund_metadata!$A:$P,16,FALSE),"")</f>
        <v>private_credit</v>
      </c>
    </row>
    <row r="149" spans="1:35" x14ac:dyDescent="0.25">
      <c r="A149">
        <v>3</v>
      </c>
      <c r="B149" s="3">
        <v>45351</v>
      </c>
      <c r="C149" s="3"/>
      <c r="D149" s="3"/>
      <c r="E149" s="3"/>
      <c r="F149" s="3"/>
      <c r="G149" s="3"/>
      <c r="H149" s="3"/>
      <c r="K149" s="4">
        <v>2870000000</v>
      </c>
      <c r="L149" t="s">
        <v>89</v>
      </c>
      <c r="M149" s="5">
        <v>10.91</v>
      </c>
      <c r="N149" t="s">
        <v>89</v>
      </c>
      <c r="O149" s="5"/>
      <c r="Q149" s="2">
        <v>7.4000000000000003E-3</v>
      </c>
      <c r="R149" t="s">
        <v>89</v>
      </c>
      <c r="T149" s="4"/>
      <c r="AH149" t="str">
        <f>IFERROR(VLOOKUP($A149,fund_metadata!$A:$P,2,FALSE),"")</f>
        <v>Cliffwater</v>
      </c>
      <c r="AI149" t="str">
        <f>IFERROR(VLOOKUP($A149,fund_metadata!$A:$P,16,FALSE),"")</f>
        <v>private_credit</v>
      </c>
    </row>
    <row r="150" spans="1:35" x14ac:dyDescent="0.25">
      <c r="A150">
        <v>3</v>
      </c>
      <c r="B150" s="3">
        <v>45382</v>
      </c>
      <c r="C150" s="3"/>
      <c r="D150" s="3"/>
      <c r="E150" s="3"/>
      <c r="F150" s="3"/>
      <c r="G150" s="3"/>
      <c r="H150" s="3"/>
      <c r="K150" s="4">
        <v>2860000000</v>
      </c>
      <c r="L150" t="s">
        <v>89</v>
      </c>
      <c r="M150" s="5">
        <v>10.7</v>
      </c>
      <c r="N150" t="s">
        <v>89</v>
      </c>
      <c r="O150" s="5">
        <v>0.3</v>
      </c>
      <c r="P150" t="s">
        <v>89</v>
      </c>
      <c r="Q150" s="2">
        <v>8.3999999999999995E-3</v>
      </c>
      <c r="R150" t="s">
        <v>89</v>
      </c>
      <c r="S150">
        <v>337</v>
      </c>
      <c r="T150" s="4"/>
      <c r="V150">
        <v>273382804</v>
      </c>
      <c r="W150" t="s">
        <v>121</v>
      </c>
      <c r="AH150" t="str">
        <f>IFERROR(VLOOKUP($A150,fund_metadata!$A:$P,2,FALSE),"")</f>
        <v>Cliffwater</v>
      </c>
      <c r="AI150" t="str">
        <f>IFERROR(VLOOKUP($A150,fund_metadata!$A:$P,16,FALSE),"")</f>
        <v>private_credit</v>
      </c>
    </row>
    <row r="151" spans="1:35" x14ac:dyDescent="0.25">
      <c r="A151">
        <v>3</v>
      </c>
      <c r="B151" s="3">
        <v>45412</v>
      </c>
      <c r="C151" s="3"/>
      <c r="D151" s="3"/>
      <c r="E151" s="3"/>
      <c r="F151" s="3"/>
      <c r="G151" s="3"/>
      <c r="H151" s="3"/>
      <c r="K151" s="4">
        <v>3110000000</v>
      </c>
      <c r="L151" t="s">
        <v>89</v>
      </c>
      <c r="M151" s="5">
        <v>10.9</v>
      </c>
      <c r="N151" t="s">
        <v>89</v>
      </c>
      <c r="O151" s="5"/>
      <c r="Q151" s="2">
        <v>1.8700000000000001E-2</v>
      </c>
      <c r="R151" t="s">
        <v>89</v>
      </c>
      <c r="T151" s="4"/>
      <c r="AH151" t="str">
        <f>IFERROR(VLOOKUP($A151,fund_metadata!$A:$P,2,FALSE),"")</f>
        <v>Cliffwater</v>
      </c>
      <c r="AI151" t="str">
        <f>IFERROR(VLOOKUP($A151,fund_metadata!$A:$P,16,FALSE),"")</f>
        <v>private_credit</v>
      </c>
    </row>
    <row r="152" spans="1:35" x14ac:dyDescent="0.25">
      <c r="A152">
        <v>3</v>
      </c>
      <c r="B152" s="3">
        <v>45443</v>
      </c>
      <c r="C152" s="3"/>
      <c r="D152" s="3"/>
      <c r="E152" s="3"/>
      <c r="F152" s="3"/>
      <c r="G152" s="3"/>
      <c r="H152" s="3"/>
      <c r="K152" s="4">
        <v>3250000000</v>
      </c>
      <c r="L152" t="s">
        <v>89</v>
      </c>
      <c r="M152" s="5">
        <v>11.05</v>
      </c>
      <c r="N152" t="s">
        <v>89</v>
      </c>
      <c r="O152" s="5"/>
      <c r="Q152" s="2">
        <v>1.38E-2</v>
      </c>
      <c r="R152" t="s">
        <v>89</v>
      </c>
      <c r="T152" s="4"/>
      <c r="AH152" t="str">
        <f>IFERROR(VLOOKUP($A152,fund_metadata!$A:$P,2,FALSE),"")</f>
        <v>Cliffwater</v>
      </c>
      <c r="AI152" t="str">
        <f>IFERROR(VLOOKUP($A152,fund_metadata!$A:$P,16,FALSE),"")</f>
        <v>private_credit</v>
      </c>
    </row>
    <row r="153" spans="1:35" x14ac:dyDescent="0.25">
      <c r="A153">
        <v>3</v>
      </c>
      <c r="B153" s="3">
        <v>45473</v>
      </c>
      <c r="C153" s="3"/>
      <c r="D153" s="3"/>
      <c r="E153" s="3"/>
      <c r="F153" s="3"/>
      <c r="G153" s="3"/>
      <c r="H153" s="3"/>
      <c r="K153" s="4">
        <v>3440000000</v>
      </c>
      <c r="L153" t="s">
        <v>89</v>
      </c>
      <c r="M153" s="5">
        <v>11.19</v>
      </c>
      <c r="N153" t="s">
        <v>89</v>
      </c>
      <c r="O153" s="5"/>
      <c r="Q153" s="2">
        <v>1.2699999999999999E-2</v>
      </c>
      <c r="R153" t="s">
        <v>89</v>
      </c>
      <c r="S153">
        <v>363</v>
      </c>
      <c r="T153" s="4"/>
      <c r="AH153" t="str">
        <f>IFERROR(VLOOKUP($A153,fund_metadata!$A:$P,2,FALSE),"")</f>
        <v>Cliffwater</v>
      </c>
      <c r="AI153" t="str">
        <f>IFERROR(VLOOKUP($A153,fund_metadata!$A:$P,16,FALSE),"")</f>
        <v>private_credit</v>
      </c>
    </row>
    <row r="154" spans="1:35" x14ac:dyDescent="0.25">
      <c r="A154">
        <v>3</v>
      </c>
      <c r="B154" s="3">
        <v>45504</v>
      </c>
      <c r="C154" s="3"/>
      <c r="D154" s="3"/>
      <c r="E154" s="3"/>
      <c r="F154" s="3"/>
      <c r="G154" s="3"/>
      <c r="H154" s="3"/>
      <c r="K154" s="4">
        <v>3570000000</v>
      </c>
      <c r="L154" t="s">
        <v>89</v>
      </c>
      <c r="M154" s="5">
        <v>10.97</v>
      </c>
      <c r="N154" t="s">
        <v>89</v>
      </c>
      <c r="O154" s="5">
        <v>0.31</v>
      </c>
      <c r="P154" t="s">
        <v>89</v>
      </c>
      <c r="Q154" s="2">
        <v>8.0000000000000002E-3</v>
      </c>
      <c r="R154" t="s">
        <v>89</v>
      </c>
      <c r="T154" s="4"/>
      <c r="AH154" t="str">
        <f>IFERROR(VLOOKUP($A154,fund_metadata!$A:$P,2,FALSE),"")</f>
        <v>Cliffwater</v>
      </c>
      <c r="AI154" t="str">
        <f>IFERROR(VLOOKUP($A154,fund_metadata!$A:$P,16,FALSE),"")</f>
        <v>private_credit</v>
      </c>
    </row>
    <row r="155" spans="1:35" x14ac:dyDescent="0.25">
      <c r="A155">
        <v>3</v>
      </c>
      <c r="B155" s="3">
        <v>45535</v>
      </c>
      <c r="C155" s="3"/>
      <c r="D155" s="3"/>
      <c r="E155" s="3"/>
      <c r="F155" s="3"/>
      <c r="G155" s="3"/>
      <c r="H155" s="3"/>
      <c r="K155" s="4">
        <v>3740000000</v>
      </c>
      <c r="L155" t="s">
        <v>89</v>
      </c>
      <c r="M155" s="5">
        <v>11.11</v>
      </c>
      <c r="N155" t="s">
        <v>89</v>
      </c>
      <c r="O155" s="5"/>
      <c r="Q155" s="2">
        <v>1.2800000000000001E-2</v>
      </c>
      <c r="R155" t="s">
        <v>89</v>
      </c>
      <c r="T155" s="4"/>
      <c r="AH155" t="str">
        <f>IFERROR(VLOOKUP($A155,fund_metadata!$A:$P,2,FALSE),"")</f>
        <v>Cliffwater</v>
      </c>
      <c r="AI155" t="str">
        <f>IFERROR(VLOOKUP($A155,fund_metadata!$A:$P,16,FALSE),"")</f>
        <v>private_credit</v>
      </c>
    </row>
    <row r="156" spans="1:35" x14ac:dyDescent="0.25">
      <c r="A156">
        <v>3</v>
      </c>
      <c r="B156" s="3">
        <v>45565</v>
      </c>
      <c r="C156" s="3"/>
      <c r="D156" s="3"/>
      <c r="E156" s="3"/>
      <c r="F156" s="3"/>
      <c r="G156" s="3"/>
      <c r="H156" s="3"/>
      <c r="K156" s="4">
        <v>3960000000</v>
      </c>
      <c r="L156" t="s">
        <v>89</v>
      </c>
      <c r="M156" s="5">
        <v>11.18</v>
      </c>
      <c r="N156" t="s">
        <v>89</v>
      </c>
      <c r="O156" s="5"/>
      <c r="Q156" s="2">
        <v>6.3E-3</v>
      </c>
      <c r="R156" t="s">
        <v>89</v>
      </c>
      <c r="S156">
        <v>327</v>
      </c>
      <c r="T156" s="4">
        <v>4130000000</v>
      </c>
      <c r="U156" t="s">
        <v>89</v>
      </c>
      <c r="V156">
        <v>355032566</v>
      </c>
      <c r="W156" t="s">
        <v>120</v>
      </c>
      <c r="AH156" t="str">
        <f>IFERROR(VLOOKUP($A156,fund_metadata!$A:$P,2,FALSE),"")</f>
        <v>Cliffwater</v>
      </c>
      <c r="AI156" t="str">
        <f>IFERROR(VLOOKUP($A156,fund_metadata!$A:$P,16,FALSE),"")</f>
        <v>private_credit</v>
      </c>
    </row>
    <row r="157" spans="1:35" x14ac:dyDescent="0.25">
      <c r="A157">
        <v>3</v>
      </c>
      <c r="B157" s="3">
        <v>45596</v>
      </c>
      <c r="C157" s="3"/>
      <c r="D157" s="3"/>
      <c r="E157" s="3"/>
      <c r="F157" s="3"/>
      <c r="G157" s="3"/>
      <c r="H157" s="3"/>
      <c r="K157" s="4">
        <v>4140000000</v>
      </c>
      <c r="L157" t="s">
        <v>89</v>
      </c>
      <c r="M157" s="5">
        <v>10.96</v>
      </c>
      <c r="N157" t="s">
        <v>89</v>
      </c>
      <c r="O157" s="5">
        <v>0.31</v>
      </c>
      <c r="Q157" s="2">
        <v>7.9000000000000008E-3</v>
      </c>
      <c r="R157" t="s">
        <v>89</v>
      </c>
      <c r="T157" s="4"/>
      <c r="AH157" t="str">
        <f>IFERROR(VLOOKUP($A157,fund_metadata!$A:$P,2,FALSE),"")</f>
        <v>Cliffwater</v>
      </c>
      <c r="AI157" t="str">
        <f>IFERROR(VLOOKUP($A157,fund_metadata!$A:$P,16,FALSE),"")</f>
        <v>private_credit</v>
      </c>
    </row>
    <row r="158" spans="1:35" x14ac:dyDescent="0.25">
      <c r="A158">
        <v>3</v>
      </c>
      <c r="B158" s="3">
        <v>45626</v>
      </c>
      <c r="C158" s="3"/>
      <c r="D158" s="3"/>
      <c r="E158" s="3"/>
      <c r="F158" s="3"/>
      <c r="G158" s="3"/>
      <c r="H158" s="3"/>
      <c r="K158" s="4">
        <v>4330000000</v>
      </c>
      <c r="L158" t="s">
        <v>89</v>
      </c>
      <c r="M158" s="5">
        <v>11.06</v>
      </c>
      <c r="N158" t="s">
        <v>89</v>
      </c>
      <c r="O158" s="5"/>
      <c r="Q158" s="2">
        <v>9.1000000000000004E-3</v>
      </c>
      <c r="R158" t="s">
        <v>89</v>
      </c>
      <c r="T158" s="4"/>
      <c r="AH158" t="str">
        <f>IFERROR(VLOOKUP($A158,fund_metadata!$A:$P,2,FALSE),"")</f>
        <v>Cliffwater</v>
      </c>
      <c r="AI158" t="str">
        <f>IFERROR(VLOOKUP($A158,fund_metadata!$A:$P,16,FALSE),"")</f>
        <v>private_credit</v>
      </c>
    </row>
    <row r="159" spans="1:35" x14ac:dyDescent="0.25">
      <c r="A159">
        <v>3</v>
      </c>
      <c r="B159" s="3">
        <v>45657</v>
      </c>
      <c r="C159" s="3"/>
      <c r="D159" s="3"/>
      <c r="E159" s="3"/>
      <c r="F159" s="3"/>
      <c r="G159" s="3"/>
      <c r="H159" s="3"/>
      <c r="K159" s="4">
        <v>4560000000</v>
      </c>
      <c r="L159" t="s">
        <v>89</v>
      </c>
      <c r="M159" s="5">
        <v>10.84</v>
      </c>
      <c r="N159" t="s">
        <v>89</v>
      </c>
      <c r="O159" s="5">
        <v>0.31</v>
      </c>
      <c r="P159" t="s">
        <v>89</v>
      </c>
      <c r="Q159" s="2">
        <v>7.7999999999999996E-3</v>
      </c>
      <c r="R159" t="s">
        <v>89</v>
      </c>
      <c r="S159">
        <v>396</v>
      </c>
      <c r="T159" s="4"/>
      <c r="AH159" t="str">
        <f>IFERROR(VLOOKUP($A159,fund_metadata!$A:$P,2,FALSE),"")</f>
        <v>Cliffwater</v>
      </c>
      <c r="AI159" t="str">
        <f>IFERROR(VLOOKUP($A159,fund_metadata!$A:$P,16,FALSE),"")</f>
        <v>private_credit</v>
      </c>
    </row>
    <row r="160" spans="1:35" x14ac:dyDescent="0.25">
      <c r="A160">
        <v>3</v>
      </c>
      <c r="B160" s="3">
        <v>45688</v>
      </c>
      <c r="C160" s="3"/>
      <c r="D160" s="3"/>
      <c r="E160" s="3"/>
      <c r="F160" s="3"/>
      <c r="G160" s="3"/>
      <c r="H160" s="3"/>
      <c r="K160" s="4">
        <v>4820000000</v>
      </c>
      <c r="L160" t="s">
        <v>89</v>
      </c>
      <c r="M160" s="5">
        <v>10.91</v>
      </c>
      <c r="N160" t="s">
        <v>89</v>
      </c>
      <c r="O160" s="5"/>
      <c r="Q160" s="2">
        <v>6.4999999999999997E-3</v>
      </c>
      <c r="R160" t="s">
        <v>89</v>
      </c>
      <c r="T160" s="4"/>
      <c r="AH160" t="str">
        <f>IFERROR(VLOOKUP($A160,fund_metadata!$A:$P,2,FALSE),"")</f>
        <v>Cliffwater</v>
      </c>
      <c r="AI160" t="str">
        <f>IFERROR(VLOOKUP($A160,fund_metadata!$A:$P,16,FALSE),"")</f>
        <v>private_credit</v>
      </c>
    </row>
    <row r="161" spans="1:35" x14ac:dyDescent="0.25">
      <c r="A161">
        <v>3</v>
      </c>
      <c r="B161" s="3">
        <v>45716</v>
      </c>
      <c r="C161" s="3"/>
      <c r="D161" s="3"/>
      <c r="E161" s="3"/>
      <c r="F161" s="3"/>
      <c r="G161" s="3"/>
      <c r="H161" s="3"/>
      <c r="K161" s="4">
        <v>5110000000</v>
      </c>
      <c r="L161" t="s">
        <v>89</v>
      </c>
      <c r="M161" s="5">
        <v>10.99</v>
      </c>
      <c r="N161" t="s">
        <v>89</v>
      </c>
      <c r="O161" s="5"/>
      <c r="Q161" s="2">
        <v>7.3000000000000001E-3</v>
      </c>
      <c r="R161" t="s">
        <v>89</v>
      </c>
      <c r="T161" s="4"/>
      <c r="AH161" t="str">
        <f>IFERROR(VLOOKUP($A161,fund_metadata!$A:$P,2,FALSE),"")</f>
        <v>Cliffwater</v>
      </c>
      <c r="AI161" t="str">
        <f>IFERROR(VLOOKUP($A161,fund_metadata!$A:$P,16,FALSE),"")</f>
        <v>private_credit</v>
      </c>
    </row>
    <row r="162" spans="1:35" x14ac:dyDescent="0.25">
      <c r="A162">
        <v>3</v>
      </c>
      <c r="B162" s="3">
        <v>45747</v>
      </c>
      <c r="C162" s="3"/>
      <c r="D162" s="3"/>
      <c r="E162" s="3"/>
      <c r="F162" s="3"/>
      <c r="G162" s="3"/>
      <c r="H162" s="3"/>
      <c r="K162" s="4">
        <v>5320000000</v>
      </c>
      <c r="L162" t="s">
        <v>89</v>
      </c>
      <c r="M162" s="5">
        <v>11.15</v>
      </c>
      <c r="N162" t="s">
        <v>89</v>
      </c>
      <c r="O162" s="5"/>
      <c r="Q162" s="2">
        <v>1.46E-2</v>
      </c>
      <c r="R162" t="s">
        <v>89</v>
      </c>
      <c r="S162">
        <v>420</v>
      </c>
      <c r="T162" s="4">
        <v>5650000000</v>
      </c>
      <c r="U162" t="s">
        <v>89</v>
      </c>
      <c r="V162">
        <v>477664544</v>
      </c>
      <c r="W162" t="s">
        <v>121</v>
      </c>
      <c r="AH162" t="str">
        <f>IFERROR(VLOOKUP($A162,fund_metadata!$A:$P,2,FALSE),"")</f>
        <v>Cliffwater</v>
      </c>
      <c r="AI162" t="str">
        <f>IFERROR(VLOOKUP($A162,fund_metadata!$A:$P,16,FALSE),"")</f>
        <v>private_credit</v>
      </c>
    </row>
    <row r="163" spans="1:35" x14ac:dyDescent="0.25">
      <c r="A163">
        <v>3</v>
      </c>
      <c r="B163" s="3">
        <v>45777</v>
      </c>
      <c r="C163" s="3"/>
      <c r="D163" s="3"/>
      <c r="E163" s="3"/>
      <c r="F163" s="3"/>
      <c r="G163" s="3"/>
      <c r="H163" s="3"/>
      <c r="K163" s="4">
        <v>5460000000</v>
      </c>
      <c r="L163" t="s">
        <v>89</v>
      </c>
      <c r="M163" s="5">
        <v>10.91</v>
      </c>
      <c r="N163" t="s">
        <v>89</v>
      </c>
      <c r="O163" s="5">
        <v>0.31</v>
      </c>
      <c r="P163" t="s">
        <v>89</v>
      </c>
      <c r="Q163" s="2">
        <v>6.1000000000000004E-3</v>
      </c>
      <c r="R163" t="s">
        <v>89</v>
      </c>
      <c r="T163" s="4"/>
      <c r="AH163" t="str">
        <f>IFERROR(VLOOKUP($A163,fund_metadata!$A:$P,2,FALSE),"")</f>
        <v>Cliffwater</v>
      </c>
      <c r="AI163" t="str">
        <f>IFERROR(VLOOKUP($A163,fund_metadata!$A:$P,16,FALSE),"")</f>
        <v>private_credit</v>
      </c>
    </row>
    <row r="164" spans="1:35" x14ac:dyDescent="0.25">
      <c r="A164">
        <v>3</v>
      </c>
      <c r="B164" s="3">
        <v>45808</v>
      </c>
      <c r="C164" s="3"/>
      <c r="D164" s="3"/>
      <c r="E164" s="3"/>
      <c r="F164" s="3"/>
      <c r="G164" s="3"/>
      <c r="H164" s="3"/>
      <c r="K164" s="4">
        <v>5810000000</v>
      </c>
      <c r="L164" t="s">
        <v>89</v>
      </c>
      <c r="M164" s="5">
        <v>11.07</v>
      </c>
      <c r="N164" t="s">
        <v>89</v>
      </c>
      <c r="O164" s="5"/>
      <c r="Q164" s="2">
        <v>1.47E-2</v>
      </c>
      <c r="R164" t="s">
        <v>89</v>
      </c>
      <c r="T164" s="4"/>
      <c r="AH164" t="str">
        <f>IFERROR(VLOOKUP($A164,fund_metadata!$A:$P,2,FALSE),"")</f>
        <v>Cliffwater</v>
      </c>
      <c r="AI164" t="str">
        <f>IFERROR(VLOOKUP($A164,fund_metadata!$A:$P,16,FALSE),"")</f>
        <v>private_credit</v>
      </c>
    </row>
    <row r="165" spans="1:35" x14ac:dyDescent="0.25">
      <c r="A165">
        <v>3</v>
      </c>
      <c r="B165" s="3">
        <v>45838</v>
      </c>
      <c r="C165" s="3"/>
      <c r="D165" s="3"/>
      <c r="E165" s="3"/>
      <c r="F165" s="3"/>
      <c r="G165" s="3"/>
      <c r="H165" s="3"/>
      <c r="K165" s="4">
        <v>5970000000</v>
      </c>
      <c r="L165" t="s">
        <v>89</v>
      </c>
      <c r="M165" s="5">
        <v>11.16</v>
      </c>
      <c r="N165" t="s">
        <v>89</v>
      </c>
      <c r="O165" s="5"/>
      <c r="Q165" s="2">
        <v>8.0999999999999996E-3</v>
      </c>
      <c r="R165" t="s">
        <v>89</v>
      </c>
      <c r="S165">
        <v>461</v>
      </c>
      <c r="T165" s="4"/>
      <c r="AH165" t="str">
        <f>IFERROR(VLOOKUP($A165,fund_metadata!$A:$P,2,FALSE),"")</f>
        <v>Cliffwater</v>
      </c>
      <c r="AI165" t="str">
        <f>IFERROR(VLOOKUP($A165,fund_metadata!$A:$P,16,FALSE),"")</f>
        <v>private_credit</v>
      </c>
    </row>
    <row r="166" spans="1:35" x14ac:dyDescent="0.25">
      <c r="A166">
        <v>3</v>
      </c>
      <c r="B166" s="3">
        <v>45869</v>
      </c>
      <c r="C166" s="3"/>
      <c r="D166" s="3"/>
      <c r="E166" s="3"/>
      <c r="F166" s="3"/>
      <c r="G166" s="3"/>
      <c r="H166" s="3"/>
      <c r="K166" s="4">
        <v>6260000000</v>
      </c>
      <c r="L166" t="s">
        <v>89</v>
      </c>
      <c r="M166" s="5">
        <v>10.92</v>
      </c>
      <c r="N166" t="s">
        <v>89</v>
      </c>
      <c r="O166" s="5">
        <v>0.31</v>
      </c>
      <c r="P166" t="s">
        <v>89</v>
      </c>
      <c r="Q166" s="2">
        <v>6.1000000000000004E-3</v>
      </c>
      <c r="R166" t="s">
        <v>89</v>
      </c>
      <c r="T166" s="4"/>
      <c r="AH166" t="str">
        <f>IFERROR(VLOOKUP($A166,fund_metadata!$A:$P,2,FALSE),"")</f>
        <v>Cliffwater</v>
      </c>
      <c r="AI166" t="str">
        <f>IFERROR(VLOOKUP($A166,fund_metadata!$A:$P,16,FALSE),"")</f>
        <v>private_credit</v>
      </c>
    </row>
    <row r="167" spans="1:35" x14ac:dyDescent="0.25">
      <c r="A167">
        <v>3</v>
      </c>
      <c r="B167" s="3">
        <v>45900</v>
      </c>
      <c r="C167" s="3"/>
      <c r="D167" s="3"/>
      <c r="E167" s="3"/>
      <c r="F167" s="3"/>
      <c r="G167" s="3"/>
      <c r="H167" s="3"/>
      <c r="K167" s="4">
        <v>6610000000</v>
      </c>
      <c r="L167" t="s">
        <v>89</v>
      </c>
      <c r="M167" s="5">
        <v>11.01</v>
      </c>
      <c r="N167" t="s">
        <v>89</v>
      </c>
      <c r="O167" s="5"/>
      <c r="Q167" s="2">
        <v>8.2000000000000007E-3</v>
      </c>
      <c r="R167" t="s">
        <v>89</v>
      </c>
      <c r="T167" s="4"/>
      <c r="AH167" t="str">
        <f>IFERROR(VLOOKUP($A167,fund_metadata!$A:$P,2,FALSE),"")</f>
        <v>Cliffwater</v>
      </c>
      <c r="AI167" t="str">
        <f>IFERROR(VLOOKUP($A167,fund_metadata!$A:$P,16,FALSE),"")</f>
        <v>private_credit</v>
      </c>
    </row>
    <row r="168" spans="1:35" x14ac:dyDescent="0.25">
      <c r="A168">
        <v>3</v>
      </c>
      <c r="B168" s="3">
        <v>45930</v>
      </c>
      <c r="C168" s="3"/>
      <c r="D168" s="3"/>
      <c r="E168" s="3"/>
      <c r="F168" s="3"/>
      <c r="G168" s="3"/>
      <c r="H168" s="3"/>
      <c r="K168" s="4">
        <v>6930000000</v>
      </c>
      <c r="L168" t="s">
        <v>89</v>
      </c>
      <c r="M168" s="5">
        <v>11.11</v>
      </c>
      <c r="N168" t="s">
        <v>89</v>
      </c>
      <c r="O168" s="5"/>
      <c r="Q168" s="2">
        <v>9.1000000000000004E-3</v>
      </c>
      <c r="R168" t="s">
        <v>89</v>
      </c>
      <c r="S168">
        <v>442</v>
      </c>
      <c r="T168" s="4">
        <v>7210000000</v>
      </c>
      <c r="U168" t="s">
        <v>89</v>
      </c>
      <c r="V168">
        <v>625004069</v>
      </c>
      <c r="W168" t="s">
        <v>120</v>
      </c>
      <c r="AH168" t="str">
        <f>IFERROR(VLOOKUP($A168,fund_metadata!$A:$P,2,FALSE),"")</f>
        <v>Cliffwater</v>
      </c>
      <c r="AI168" t="str">
        <f>IFERROR(VLOOKUP($A168,fund_metadata!$A:$P,16,FALSE),"")</f>
        <v>private_credit</v>
      </c>
    </row>
    <row r="169" spans="1:35" x14ac:dyDescent="0.25">
      <c r="A169">
        <v>3</v>
      </c>
      <c r="B169" s="3">
        <v>45961</v>
      </c>
      <c r="C169" s="3"/>
      <c r="D169" s="3"/>
      <c r="E169" s="3"/>
      <c r="F169" s="3"/>
      <c r="G169" s="3"/>
      <c r="H169" s="3"/>
      <c r="K169" s="4">
        <v>7210000000</v>
      </c>
      <c r="L169" t="s">
        <v>89</v>
      </c>
      <c r="M169" s="5">
        <v>10.91</v>
      </c>
      <c r="N169" t="s">
        <v>89</v>
      </c>
      <c r="O169" s="5">
        <v>0.31</v>
      </c>
      <c r="P169" t="s">
        <v>89</v>
      </c>
      <c r="Q169" s="2">
        <v>9.7000000000000003E-3</v>
      </c>
      <c r="R169" t="s">
        <v>89</v>
      </c>
      <c r="T169" s="4"/>
      <c r="AH169" t="str">
        <f>IFERROR(VLOOKUP($A169,fund_metadata!$A:$P,2,FALSE),"")</f>
        <v>Cliffwater</v>
      </c>
      <c r="AI169" t="str">
        <f>IFERROR(VLOOKUP($A169,fund_metadata!$A:$P,16,FALSE),"")</f>
        <v>private_credit</v>
      </c>
    </row>
    <row r="170" spans="1:35" x14ac:dyDescent="0.25">
      <c r="A170">
        <v>3</v>
      </c>
      <c r="B170" s="3">
        <v>45991</v>
      </c>
      <c r="C170" s="3"/>
      <c r="D170" s="3"/>
      <c r="E170" s="3"/>
      <c r="F170" s="3"/>
      <c r="G170" s="3"/>
      <c r="H170" s="3"/>
      <c r="K170" s="4">
        <v>7550000000</v>
      </c>
      <c r="L170" t="s">
        <v>89</v>
      </c>
      <c r="M170" s="5">
        <v>11.02</v>
      </c>
      <c r="N170" t="s">
        <v>89</v>
      </c>
      <c r="O170" s="5"/>
      <c r="Q170" s="2">
        <v>1.01E-2</v>
      </c>
      <c r="R170" t="s">
        <v>89</v>
      </c>
      <c r="T170" s="4"/>
      <c r="AH170" t="str">
        <f>IFERROR(VLOOKUP($A170,fund_metadata!$A:$P,2,FALSE),"")</f>
        <v>Cliffwater</v>
      </c>
      <c r="AI170" t="str">
        <f>IFERROR(VLOOKUP($A170,fund_metadata!$A:$P,16,FALSE),"")</f>
        <v>private_credit</v>
      </c>
    </row>
    <row r="171" spans="1:35" x14ac:dyDescent="0.25">
      <c r="A171">
        <v>3</v>
      </c>
      <c r="B171" s="3">
        <v>46022</v>
      </c>
      <c r="C171" s="3"/>
      <c r="D171" s="3"/>
      <c r="E171" s="3"/>
      <c r="F171" s="3"/>
      <c r="G171" s="3"/>
      <c r="H171" s="3"/>
      <c r="I171">
        <v>9747520.2899999991</v>
      </c>
      <c r="J171" t="s">
        <v>105</v>
      </c>
      <c r="K171" s="4">
        <v>7460000000</v>
      </c>
      <c r="L171" t="s">
        <v>89</v>
      </c>
      <c r="M171" s="5">
        <v>10.81</v>
      </c>
      <c r="N171" t="s">
        <v>89</v>
      </c>
      <c r="O171" s="5">
        <v>0.28999999999999998</v>
      </c>
      <c r="P171" t="s">
        <v>89</v>
      </c>
      <c r="Q171" s="2">
        <v>7.4000000000000003E-3</v>
      </c>
      <c r="R171" t="s">
        <v>89</v>
      </c>
      <c r="S171">
        <v>501</v>
      </c>
      <c r="T171" s="4"/>
      <c r="X171">
        <v>901713.255</v>
      </c>
      <c r="Y171" t="s">
        <v>105</v>
      </c>
      <c r="Z171">
        <v>10000000</v>
      </c>
      <c r="AA171" t="s">
        <v>105</v>
      </c>
      <c r="AB171">
        <v>0</v>
      </c>
      <c r="AC171" t="s">
        <v>105</v>
      </c>
      <c r="AD171">
        <v>262308.39</v>
      </c>
      <c r="AE171" t="s">
        <v>105</v>
      </c>
      <c r="AH171" t="str">
        <f>IFERROR(VLOOKUP($A171,fund_metadata!$A:$P,2,FALSE),"")</f>
        <v>Cliffwater</v>
      </c>
      <c r="AI171" t="str">
        <f>IFERROR(VLOOKUP($A171,fund_metadata!$A:$P,16,FALSE),"")</f>
        <v>private_credit</v>
      </c>
    </row>
    <row r="172" spans="1:35" x14ac:dyDescent="0.25">
      <c r="A172">
        <v>3</v>
      </c>
      <c r="B172" s="3">
        <v>46053</v>
      </c>
      <c r="C172" s="3"/>
      <c r="D172" s="3"/>
      <c r="E172" s="3"/>
      <c r="F172" s="3"/>
      <c r="G172" s="3"/>
      <c r="H172" s="3"/>
      <c r="I172">
        <v>9810640.2100000009</v>
      </c>
      <c r="J172" t="s">
        <v>105</v>
      </c>
      <c r="K172" s="4">
        <v>7840000000</v>
      </c>
      <c r="L172" t="s">
        <v>89</v>
      </c>
      <c r="M172" s="5">
        <v>10.88</v>
      </c>
      <c r="N172" t="s">
        <v>89</v>
      </c>
      <c r="O172" s="5"/>
      <c r="Q172" s="2">
        <v>6.4999999999999997E-3</v>
      </c>
      <c r="R172" t="s">
        <v>89</v>
      </c>
      <c r="T172" s="4"/>
      <c r="X172">
        <v>901713.255</v>
      </c>
      <c r="Y172" t="s">
        <v>105</v>
      </c>
      <c r="Z172">
        <v>0</v>
      </c>
      <c r="AA172" t="s">
        <v>105</v>
      </c>
      <c r="AB172">
        <v>0</v>
      </c>
      <c r="AC172" t="s">
        <v>105</v>
      </c>
      <c r="AD172">
        <v>0</v>
      </c>
      <c r="AE172" t="s">
        <v>105</v>
      </c>
      <c r="AH172" t="str">
        <f>IFERROR(VLOOKUP($A172,fund_metadata!$A:$P,2,FALSE),"")</f>
        <v>Cliffwater</v>
      </c>
      <c r="AI172" t="str">
        <f>IFERROR(VLOOKUP($A172,fund_metadata!$A:$P,16,FALSE),"")</f>
        <v>private_credit</v>
      </c>
    </row>
    <row r="173" spans="1:35" x14ac:dyDescent="0.25">
      <c r="A173">
        <v>3</v>
      </c>
      <c r="B173" s="3">
        <v>46081</v>
      </c>
      <c r="C173" s="3"/>
      <c r="D173" s="3"/>
      <c r="E173" s="3"/>
      <c r="F173" s="3"/>
      <c r="G173" s="3"/>
      <c r="H173" s="3"/>
      <c r="I173">
        <v>9855725.8800000008</v>
      </c>
      <c r="J173" t="s">
        <v>105</v>
      </c>
      <c r="K173" s="4">
        <v>8120000000</v>
      </c>
      <c r="L173" t="s">
        <v>89</v>
      </c>
      <c r="M173" s="5">
        <v>10.93</v>
      </c>
      <c r="N173" t="s">
        <v>89</v>
      </c>
      <c r="O173" s="5"/>
      <c r="Q173" s="2">
        <v>4.5999999999999999E-3</v>
      </c>
      <c r="R173" t="s">
        <v>89</v>
      </c>
      <c r="T173" s="4"/>
      <c r="X173">
        <v>901713.255</v>
      </c>
      <c r="Y173" t="s">
        <v>105</v>
      </c>
      <c r="AH173" t="str">
        <f>IFERROR(VLOOKUP($A173,fund_metadata!$A:$P,2,FALSE),"")</f>
        <v>Cliffwater</v>
      </c>
      <c r="AI173" t="str">
        <f>IFERROR(VLOOKUP($A173,fund_metadata!$A:$P,16,FALSE),"")</f>
        <v>private_credit</v>
      </c>
    </row>
    <row r="174" spans="1:35" x14ac:dyDescent="0.25">
      <c r="A174">
        <v>3</v>
      </c>
      <c r="B174" s="3">
        <v>46112</v>
      </c>
      <c r="C174" s="3"/>
      <c r="D174" s="3"/>
      <c r="E174" s="3"/>
      <c r="F174" s="3"/>
      <c r="G174" s="3"/>
      <c r="H174" s="3"/>
      <c r="I174">
        <v>4564503.76</v>
      </c>
      <c r="J174" t="s">
        <v>105</v>
      </c>
      <c r="K174" s="4">
        <v>7800000000</v>
      </c>
      <c r="L174" t="s">
        <v>89</v>
      </c>
      <c r="M174" s="5">
        <v>11.01</v>
      </c>
      <c r="N174" t="s">
        <v>89</v>
      </c>
      <c r="O174" s="5"/>
      <c r="Q174" s="2">
        <v>7.3000000000000001E-3</v>
      </c>
      <c r="R174" t="s">
        <v>89</v>
      </c>
      <c r="S174">
        <v>587</v>
      </c>
      <c r="T174" s="4"/>
      <c r="X174">
        <v>414577.99800000002</v>
      </c>
      <c r="Y174" t="s">
        <v>105</v>
      </c>
      <c r="Z174">
        <v>0</v>
      </c>
      <c r="AA174" t="s">
        <v>105</v>
      </c>
      <c r="AB174">
        <v>5348745.12</v>
      </c>
      <c r="AC174" t="s">
        <v>105</v>
      </c>
      <c r="AD174">
        <v>0</v>
      </c>
      <c r="AE174" t="s">
        <v>105</v>
      </c>
      <c r="AH174" t="str">
        <f>IFERROR(VLOOKUP($A174,fund_metadata!$A:$P,2,FALSE),"")</f>
        <v>Cliffwater</v>
      </c>
      <c r="AI174" t="str">
        <f>IFERROR(VLOOKUP($A174,fund_metadata!$A:$P,16,FALSE),"")</f>
        <v>private_credit</v>
      </c>
    </row>
    <row r="175" spans="1:35" x14ac:dyDescent="0.25">
      <c r="A175">
        <v>3</v>
      </c>
      <c r="B175" s="3">
        <v>46142</v>
      </c>
      <c r="C175" s="3"/>
      <c r="D175" s="3"/>
      <c r="E175" s="3"/>
      <c r="F175" s="3"/>
      <c r="G175" s="3"/>
      <c r="H175" s="3"/>
      <c r="I175">
        <v>4489879.72</v>
      </c>
      <c r="J175" t="s">
        <v>105</v>
      </c>
      <c r="K175" s="4">
        <v>7860000000</v>
      </c>
      <c r="L175" t="s">
        <v>89</v>
      </c>
      <c r="M175" s="5">
        <v>10.83</v>
      </c>
      <c r="N175" t="s">
        <v>89</v>
      </c>
      <c r="O175" s="5">
        <v>0.27</v>
      </c>
      <c r="P175" t="s">
        <v>89</v>
      </c>
      <c r="Q175" s="2">
        <v>8.8000000000000005E-3</v>
      </c>
      <c r="R175" t="s">
        <v>89</v>
      </c>
      <c r="T175" s="4"/>
      <c r="X175">
        <v>414577.99800000002</v>
      </c>
      <c r="Y175" t="s">
        <v>105</v>
      </c>
      <c r="Z175">
        <v>0</v>
      </c>
      <c r="AA175" t="s">
        <v>105</v>
      </c>
      <c r="AB175">
        <v>0</v>
      </c>
      <c r="AC175" t="s">
        <v>105</v>
      </c>
      <c r="AD175">
        <v>113801.66</v>
      </c>
      <c r="AE175" t="s">
        <v>105</v>
      </c>
      <c r="AH175" t="str">
        <f>IFERROR(VLOOKUP($A175,fund_metadata!$A:$P,2,FALSE),"")</f>
        <v>Cliffwater</v>
      </c>
      <c r="AI175" t="str">
        <f>IFERROR(VLOOKUP($A175,fund_metadata!$A:$P,16,FALSE),"")</f>
        <v>private_credit</v>
      </c>
    </row>
    <row r="176" spans="1:35" x14ac:dyDescent="0.25">
      <c r="A176">
        <v>3</v>
      </c>
      <c r="B176" s="3">
        <v>46173</v>
      </c>
      <c r="C176" s="3"/>
      <c r="D176" s="3"/>
      <c r="E176" s="3"/>
      <c r="F176" s="3"/>
      <c r="G176" s="3"/>
      <c r="H176" s="3"/>
      <c r="K176" s="4"/>
      <c r="M176" s="5">
        <v>10.87</v>
      </c>
      <c r="N176" t="s">
        <v>89</v>
      </c>
      <c r="O176" s="5"/>
      <c r="Q176" s="2"/>
      <c r="T176" s="4"/>
      <c r="AH176" t="str">
        <f>IFERROR(VLOOKUP($A176,fund_metadata!$A:$P,2,FALSE),"")</f>
        <v>Cliffwater</v>
      </c>
      <c r="AI176" t="str">
        <f>IFERROR(VLOOKUP($A176,fund_metadata!$A:$P,16,FALSE),"")</f>
        <v>private_credit</v>
      </c>
    </row>
    <row r="177" spans="1:35" x14ac:dyDescent="0.25">
      <c r="A177">
        <v>4</v>
      </c>
      <c r="B177" s="3">
        <v>45412</v>
      </c>
      <c r="C177" s="3"/>
      <c r="D177" s="3"/>
      <c r="E177" s="3"/>
      <c r="F177" s="3"/>
      <c r="G177" s="3"/>
      <c r="H177" s="3"/>
      <c r="Q177" s="7">
        <v>1.34E-2</v>
      </c>
      <c r="R177" t="s">
        <v>122</v>
      </c>
      <c r="AH177" t="str">
        <f>IFERROR(VLOOKUP($A177,fund_metadata!$A:$P,2,FALSE),"")</f>
        <v>Coller Secondaries</v>
      </c>
      <c r="AI177" t="str">
        <f>IFERROR(VLOOKUP($A177,fund_metadata!$A:$P,16,FALSE),"")</f>
        <v>secondaries</v>
      </c>
    </row>
    <row r="178" spans="1:35" x14ac:dyDescent="0.25">
      <c r="A178">
        <v>4</v>
      </c>
      <c r="B178" s="3">
        <v>45443</v>
      </c>
      <c r="C178" s="3"/>
      <c r="D178" s="3"/>
      <c r="E178" s="3"/>
      <c r="F178" s="3"/>
      <c r="G178" s="3"/>
      <c r="H178" s="3"/>
      <c r="K178" s="4"/>
      <c r="M178" s="5"/>
      <c r="Q178" s="2">
        <v>8.6999999999999994E-3</v>
      </c>
      <c r="R178" t="s">
        <v>122</v>
      </c>
      <c r="AH178" t="str">
        <f>IFERROR(VLOOKUP($A178,fund_metadata!$A:$P,2,FALSE),"")</f>
        <v>Coller Secondaries</v>
      </c>
      <c r="AI178" t="str">
        <f>IFERROR(VLOOKUP($A178,fund_metadata!$A:$P,16,FALSE),"")</f>
        <v>secondaries</v>
      </c>
    </row>
    <row r="179" spans="1:35" x14ac:dyDescent="0.25">
      <c r="A179">
        <v>4</v>
      </c>
      <c r="B179" s="3">
        <v>45473</v>
      </c>
      <c r="C179" s="3"/>
      <c r="D179" s="3"/>
      <c r="E179" s="3"/>
      <c r="F179" s="3"/>
      <c r="G179" s="3"/>
      <c r="H179" s="3"/>
      <c r="K179" s="4"/>
      <c r="M179" s="5"/>
      <c r="Q179" s="2">
        <v>1.3599999999999999E-2</v>
      </c>
      <c r="R179" t="s">
        <v>122</v>
      </c>
      <c r="S179">
        <v>60</v>
      </c>
      <c r="AH179" t="str">
        <f>IFERROR(VLOOKUP($A179,fund_metadata!$A:$P,2,FALSE),"")</f>
        <v>Coller Secondaries</v>
      </c>
      <c r="AI179" t="str">
        <f>IFERROR(VLOOKUP($A179,fund_metadata!$A:$P,16,FALSE),"")</f>
        <v>secondaries</v>
      </c>
    </row>
    <row r="180" spans="1:35" x14ac:dyDescent="0.25">
      <c r="A180">
        <v>4</v>
      </c>
      <c r="B180" s="3">
        <v>45504</v>
      </c>
      <c r="C180" s="3"/>
      <c r="D180" s="3"/>
      <c r="E180" s="3"/>
      <c r="F180" s="3"/>
      <c r="G180" s="3"/>
      <c r="H180" s="3"/>
      <c r="K180" s="4"/>
      <c r="M180" s="5"/>
      <c r="Q180" s="2">
        <v>1.9E-3</v>
      </c>
      <c r="R180" t="s">
        <v>122</v>
      </c>
      <c r="AH180" t="str">
        <f>IFERROR(VLOOKUP($A180,fund_metadata!$A:$P,2,FALSE),"")</f>
        <v>Coller Secondaries</v>
      </c>
      <c r="AI180" t="str">
        <f>IFERROR(VLOOKUP($A180,fund_metadata!$A:$P,16,FALSE),"")</f>
        <v>secondaries</v>
      </c>
    </row>
    <row r="181" spans="1:35" x14ac:dyDescent="0.25">
      <c r="A181">
        <v>4</v>
      </c>
      <c r="B181" s="3">
        <v>45535</v>
      </c>
      <c r="C181" s="3"/>
      <c r="D181" s="3"/>
      <c r="E181" s="3"/>
      <c r="F181" s="3"/>
      <c r="G181" s="3"/>
      <c r="H181" s="3"/>
      <c r="K181" s="4"/>
      <c r="M181" s="5"/>
      <c r="Q181" s="2">
        <v>4.8999999999999998E-3</v>
      </c>
      <c r="R181" t="s">
        <v>122</v>
      </c>
      <c r="AH181" t="str">
        <f>IFERROR(VLOOKUP($A181,fund_metadata!$A:$P,2,FALSE),"")</f>
        <v>Coller Secondaries</v>
      </c>
      <c r="AI181" t="str">
        <f>IFERROR(VLOOKUP($A181,fund_metadata!$A:$P,16,FALSE),"")</f>
        <v>secondaries</v>
      </c>
    </row>
    <row r="182" spans="1:35" x14ac:dyDescent="0.25">
      <c r="A182">
        <v>4</v>
      </c>
      <c r="B182" s="3">
        <v>45565</v>
      </c>
      <c r="C182" s="3"/>
      <c r="D182" s="3"/>
      <c r="E182" s="3"/>
      <c r="F182" s="3"/>
      <c r="G182" s="3"/>
      <c r="H182" s="3"/>
      <c r="K182" s="4"/>
      <c r="M182" s="5"/>
      <c r="Q182" s="2">
        <v>4.0000000000000002E-4</v>
      </c>
      <c r="R182" t="s">
        <v>122</v>
      </c>
      <c r="S182">
        <v>63</v>
      </c>
      <c r="V182">
        <v>67286832</v>
      </c>
      <c r="W182" t="s">
        <v>120</v>
      </c>
      <c r="AH182" t="str">
        <f>IFERROR(VLOOKUP($A182,fund_metadata!$A:$P,2,FALSE),"")</f>
        <v>Coller Secondaries</v>
      </c>
      <c r="AI182" t="str">
        <f>IFERROR(VLOOKUP($A182,fund_metadata!$A:$P,16,FALSE),"")</f>
        <v>secondaries</v>
      </c>
    </row>
    <row r="183" spans="1:35" x14ac:dyDescent="0.25">
      <c r="A183">
        <v>4</v>
      </c>
      <c r="B183" s="3">
        <v>45596</v>
      </c>
      <c r="C183" s="3"/>
      <c r="D183" s="3"/>
      <c r="E183" s="3"/>
      <c r="F183" s="3"/>
      <c r="G183" s="3"/>
      <c r="H183" s="3"/>
      <c r="K183" s="4"/>
      <c r="M183" s="5"/>
      <c r="Q183" s="2">
        <v>2.24E-2</v>
      </c>
      <c r="R183" t="s">
        <v>122</v>
      </c>
      <c r="AH183" t="str">
        <f>IFERROR(VLOOKUP($A183,fund_metadata!$A:$P,2,FALSE),"")</f>
        <v>Coller Secondaries</v>
      </c>
      <c r="AI183" t="str">
        <f>IFERROR(VLOOKUP($A183,fund_metadata!$A:$P,16,FALSE),"")</f>
        <v>secondaries</v>
      </c>
    </row>
    <row r="184" spans="1:35" x14ac:dyDescent="0.25">
      <c r="A184">
        <v>4</v>
      </c>
      <c r="B184" s="3">
        <v>45626</v>
      </c>
      <c r="C184" s="3"/>
      <c r="D184" s="3"/>
      <c r="E184" s="3"/>
      <c r="F184" s="3"/>
      <c r="G184" s="3"/>
      <c r="H184" s="3"/>
      <c r="K184" s="4"/>
      <c r="M184" s="5"/>
      <c r="Q184" s="2">
        <v>6.1999999999999998E-3</v>
      </c>
      <c r="R184" t="s">
        <v>122</v>
      </c>
      <c r="AH184" t="str">
        <f>IFERROR(VLOOKUP($A184,fund_metadata!$A:$P,2,FALSE),"")</f>
        <v>Coller Secondaries</v>
      </c>
      <c r="AI184" t="str">
        <f>IFERROR(VLOOKUP($A184,fund_metadata!$A:$P,16,FALSE),"")</f>
        <v>secondaries</v>
      </c>
    </row>
    <row r="185" spans="1:35" x14ac:dyDescent="0.25">
      <c r="A185">
        <v>4</v>
      </c>
      <c r="B185" s="3">
        <v>45657</v>
      </c>
      <c r="C185" s="3"/>
      <c r="D185" s="3"/>
      <c r="E185" s="3"/>
      <c r="F185" s="3"/>
      <c r="G185" s="3"/>
      <c r="H185" s="3"/>
      <c r="K185" s="4"/>
      <c r="M185" s="5"/>
      <c r="Q185" s="2">
        <v>4.82E-2</v>
      </c>
      <c r="R185" t="s">
        <v>122</v>
      </c>
      <c r="S185">
        <v>81</v>
      </c>
      <c r="AH185" t="str">
        <f>IFERROR(VLOOKUP($A185,fund_metadata!$A:$P,2,FALSE),"")</f>
        <v>Coller Secondaries</v>
      </c>
      <c r="AI185" t="str">
        <f>IFERROR(VLOOKUP($A185,fund_metadata!$A:$P,16,FALSE),"")</f>
        <v>secondaries</v>
      </c>
    </row>
    <row r="186" spans="1:35" x14ac:dyDescent="0.25">
      <c r="A186">
        <v>4</v>
      </c>
      <c r="B186" s="3">
        <v>45688</v>
      </c>
      <c r="C186" s="3"/>
      <c r="D186" s="3"/>
      <c r="E186" s="3"/>
      <c r="F186" s="3"/>
      <c r="G186" s="3"/>
      <c r="H186" s="3"/>
      <c r="K186" s="4"/>
      <c r="M186" s="5"/>
      <c r="Q186" s="2">
        <v>1.5E-3</v>
      </c>
      <c r="R186" t="s">
        <v>122</v>
      </c>
      <c r="AH186" t="str">
        <f>IFERROR(VLOOKUP($A186,fund_metadata!$A:$P,2,FALSE),"")</f>
        <v>Coller Secondaries</v>
      </c>
      <c r="AI186" t="str">
        <f>IFERROR(VLOOKUP($A186,fund_metadata!$A:$P,16,FALSE),"")</f>
        <v>secondaries</v>
      </c>
    </row>
    <row r="187" spans="1:35" x14ac:dyDescent="0.25">
      <c r="A187">
        <v>4</v>
      </c>
      <c r="B187" s="3">
        <v>45716</v>
      </c>
      <c r="C187" s="3"/>
      <c r="D187" s="3"/>
      <c r="E187" s="3"/>
      <c r="F187" s="3"/>
      <c r="G187" s="3"/>
      <c r="H187" s="3"/>
      <c r="K187" s="4"/>
      <c r="M187" s="5"/>
      <c r="Q187" s="2">
        <v>-5.9999999999999995E-4</v>
      </c>
      <c r="R187" t="s">
        <v>122</v>
      </c>
      <c r="AH187" t="str">
        <f>IFERROR(VLOOKUP($A187,fund_metadata!$A:$P,2,FALSE),"")</f>
        <v>Coller Secondaries</v>
      </c>
      <c r="AI187" t="str">
        <f>IFERROR(VLOOKUP($A187,fund_metadata!$A:$P,16,FALSE),"")</f>
        <v>secondaries</v>
      </c>
    </row>
    <row r="188" spans="1:35" x14ac:dyDescent="0.25">
      <c r="A188">
        <v>4</v>
      </c>
      <c r="B188" s="3">
        <v>45747</v>
      </c>
      <c r="C188" s="3"/>
      <c r="D188" s="3"/>
      <c r="E188" s="3"/>
      <c r="F188" s="3"/>
      <c r="G188" s="3"/>
      <c r="H188" s="3"/>
      <c r="K188" s="4"/>
      <c r="M188" s="5"/>
      <c r="Q188" s="2">
        <v>3.2599999999999997E-2</v>
      </c>
      <c r="R188" t="s">
        <v>122</v>
      </c>
      <c r="S188">
        <v>90</v>
      </c>
      <c r="AH188" t="str">
        <f>IFERROR(VLOOKUP($A188,fund_metadata!$A:$P,2,FALSE),"")</f>
        <v>Coller Secondaries</v>
      </c>
      <c r="AI188" t="str">
        <f>IFERROR(VLOOKUP($A188,fund_metadata!$A:$P,16,FALSE),"")</f>
        <v>secondaries</v>
      </c>
    </row>
    <row r="189" spans="1:35" x14ac:dyDescent="0.25">
      <c r="A189">
        <v>4</v>
      </c>
      <c r="B189" s="3">
        <v>45777</v>
      </c>
      <c r="C189" s="3"/>
      <c r="D189" s="3"/>
      <c r="E189" s="3"/>
      <c r="F189" s="3"/>
      <c r="G189" s="3"/>
      <c r="H189" s="3"/>
      <c r="K189" s="4"/>
      <c r="M189" s="5"/>
      <c r="Q189" s="2">
        <v>1.0200000000000001E-2</v>
      </c>
      <c r="R189" t="s">
        <v>122</v>
      </c>
      <c r="AH189" t="str">
        <f>IFERROR(VLOOKUP($A189,fund_metadata!$A:$P,2,FALSE),"")</f>
        <v>Coller Secondaries</v>
      </c>
      <c r="AI189" t="str">
        <f>IFERROR(VLOOKUP($A189,fund_metadata!$A:$P,16,FALSE),"")</f>
        <v>secondaries</v>
      </c>
    </row>
    <row r="190" spans="1:35" x14ac:dyDescent="0.25">
      <c r="A190">
        <v>4</v>
      </c>
      <c r="B190" s="3">
        <v>45808</v>
      </c>
      <c r="C190" s="3"/>
      <c r="D190" s="3"/>
      <c r="E190" s="3"/>
      <c r="F190" s="3"/>
      <c r="G190" s="3"/>
      <c r="H190" s="3"/>
      <c r="K190" s="4"/>
      <c r="M190" s="5"/>
      <c r="Q190" s="2">
        <v>7.3000000000000001E-3</v>
      </c>
      <c r="R190" t="s">
        <v>122</v>
      </c>
      <c r="AH190" t="str">
        <f>IFERROR(VLOOKUP($A190,fund_metadata!$A:$P,2,FALSE),"")</f>
        <v>Coller Secondaries</v>
      </c>
      <c r="AI190" t="str">
        <f>IFERROR(VLOOKUP($A190,fund_metadata!$A:$P,16,FALSE),"")</f>
        <v>secondaries</v>
      </c>
    </row>
    <row r="191" spans="1:35" x14ac:dyDescent="0.25">
      <c r="A191">
        <v>4</v>
      </c>
      <c r="B191" s="3">
        <v>45838</v>
      </c>
      <c r="C191" s="3"/>
      <c r="D191" s="3"/>
      <c r="E191" s="3"/>
      <c r="F191" s="3"/>
      <c r="G191" s="3"/>
      <c r="H191" s="3"/>
      <c r="Q191" s="7">
        <v>3.7600000000000001E-2</v>
      </c>
      <c r="R191" t="s">
        <v>122</v>
      </c>
      <c r="AH191" t="str">
        <f>IFERROR(VLOOKUP($A191,fund_metadata!$A:$P,2,FALSE),"")</f>
        <v>Coller Secondaries</v>
      </c>
      <c r="AI191" t="str">
        <f>IFERROR(VLOOKUP($A191,fund_metadata!$A:$P,16,FALSE),"")</f>
        <v>secondaries</v>
      </c>
    </row>
    <row r="192" spans="1:35" x14ac:dyDescent="0.25">
      <c r="A192">
        <v>4</v>
      </c>
      <c r="B192" s="3">
        <v>45869</v>
      </c>
      <c r="C192" s="3"/>
      <c r="D192" s="3"/>
      <c r="E192" s="3"/>
      <c r="F192" s="3"/>
      <c r="G192" s="3"/>
      <c r="H192" s="3"/>
      <c r="Q192" s="7">
        <v>1.1900000000000001E-2</v>
      </c>
      <c r="R192" t="s">
        <v>122</v>
      </c>
      <c r="AH192" t="str">
        <f>IFERROR(VLOOKUP($A192,fund_metadata!$A:$P,2,FALSE),"")</f>
        <v>Coller Secondaries</v>
      </c>
      <c r="AI192" t="str">
        <f>IFERROR(VLOOKUP($A192,fund_metadata!$A:$P,16,FALSE),"")</f>
        <v>secondaries</v>
      </c>
    </row>
    <row r="193" spans="1:35" x14ac:dyDescent="0.25">
      <c r="A193">
        <v>4</v>
      </c>
      <c r="B193" s="3">
        <v>45900</v>
      </c>
      <c r="C193" s="3"/>
      <c r="D193" s="3"/>
      <c r="E193" s="3"/>
      <c r="F193" s="3"/>
      <c r="G193" s="3"/>
      <c r="H193" s="3"/>
      <c r="Q193" s="7">
        <v>1.1299999999999999E-2</v>
      </c>
      <c r="R193" t="s">
        <v>122</v>
      </c>
      <c r="AH193" t="str">
        <f>IFERROR(VLOOKUP($A193,fund_metadata!$A:$P,2,FALSE),"")</f>
        <v>Coller Secondaries</v>
      </c>
      <c r="AI193" t="str">
        <f>IFERROR(VLOOKUP($A193,fund_metadata!$A:$P,16,FALSE),"")</f>
        <v>secondaries</v>
      </c>
    </row>
    <row r="194" spans="1:35" x14ac:dyDescent="0.25">
      <c r="A194">
        <v>4</v>
      </c>
      <c r="B194" s="3">
        <v>45930</v>
      </c>
      <c r="C194" s="3"/>
      <c r="D194" s="3"/>
      <c r="E194" s="3"/>
      <c r="F194" s="3"/>
      <c r="G194" s="3"/>
      <c r="H194" s="3"/>
      <c r="Q194" s="7">
        <v>1.9099999999999999E-2</v>
      </c>
      <c r="R194" t="s">
        <v>122</v>
      </c>
      <c r="AH194" t="str">
        <f>IFERROR(VLOOKUP($A194,fund_metadata!$A:$P,2,FALSE),"")</f>
        <v>Coller Secondaries</v>
      </c>
      <c r="AI194" t="str">
        <f>IFERROR(VLOOKUP($A194,fund_metadata!$A:$P,16,FALSE),"")</f>
        <v>secondaries</v>
      </c>
    </row>
    <row r="195" spans="1:35" x14ac:dyDescent="0.25">
      <c r="A195">
        <v>4</v>
      </c>
      <c r="B195" s="3">
        <v>45961</v>
      </c>
      <c r="C195" s="3"/>
      <c r="D195" s="3"/>
      <c r="E195" s="3"/>
      <c r="F195" s="3"/>
      <c r="G195" s="3"/>
      <c r="H195" s="3"/>
      <c r="Q195" s="7">
        <v>5.7000000000000002E-3</v>
      </c>
      <c r="R195" t="s">
        <v>122</v>
      </c>
      <c r="AH195" t="str">
        <f>IFERROR(VLOOKUP($A195,fund_metadata!$A:$P,2,FALSE),"")</f>
        <v>Coller Secondaries</v>
      </c>
      <c r="AI195" t="str">
        <f>IFERROR(VLOOKUP($A195,fund_metadata!$A:$P,16,FALSE),"")</f>
        <v>secondaries</v>
      </c>
    </row>
    <row r="196" spans="1:35" x14ac:dyDescent="0.25">
      <c r="A196">
        <v>4</v>
      </c>
      <c r="B196" s="3">
        <v>45991</v>
      </c>
      <c r="C196" s="3"/>
      <c r="D196" s="3"/>
      <c r="E196" s="3"/>
      <c r="F196" s="3"/>
      <c r="G196" s="3"/>
      <c r="H196" s="3"/>
      <c r="Q196" s="7">
        <v>5.7999999999999996E-3</v>
      </c>
      <c r="R196" t="s">
        <v>122</v>
      </c>
      <c r="AH196" t="str">
        <f>IFERROR(VLOOKUP($A196,fund_metadata!$A:$P,2,FALSE),"")</f>
        <v>Coller Secondaries</v>
      </c>
      <c r="AI196" t="str">
        <f>IFERROR(VLOOKUP($A196,fund_metadata!$A:$P,16,FALSE),"")</f>
        <v>secondaries</v>
      </c>
    </row>
    <row r="197" spans="1:35" x14ac:dyDescent="0.25">
      <c r="A197">
        <v>4</v>
      </c>
      <c r="B197" s="3">
        <v>46022</v>
      </c>
      <c r="C197" s="3"/>
      <c r="D197" s="3"/>
      <c r="E197" s="3"/>
      <c r="F197" s="3"/>
      <c r="G197" s="3"/>
      <c r="H197" s="3"/>
      <c r="Q197" s="7">
        <v>1.44E-2</v>
      </c>
      <c r="R197" t="s">
        <v>122</v>
      </c>
      <c r="AH197" t="str">
        <f>IFERROR(VLOOKUP($A197,fund_metadata!$A:$P,2,FALSE),"")</f>
        <v>Coller Secondaries</v>
      </c>
      <c r="AI197" t="str">
        <f>IFERROR(VLOOKUP($A197,fund_metadata!$A:$P,16,FALSE),"")</f>
        <v>secondaries</v>
      </c>
    </row>
    <row r="198" spans="1:35" x14ac:dyDescent="0.25">
      <c r="A198">
        <v>4</v>
      </c>
      <c r="B198" s="3">
        <v>46053</v>
      </c>
      <c r="C198" s="3"/>
      <c r="D198" s="3"/>
      <c r="E198" s="3"/>
      <c r="F198" s="3"/>
      <c r="G198" s="3"/>
      <c r="H198" s="3"/>
      <c r="I198" s="4">
        <v>9973022.5500000007</v>
      </c>
      <c r="J198" t="s">
        <v>105</v>
      </c>
      <c r="Q198" s="2">
        <v>-2.7000000000000001E-3</v>
      </c>
      <c r="R198" t="s">
        <v>122</v>
      </c>
      <c r="X198" s="4">
        <v>1798496.4569999999</v>
      </c>
      <c r="Y198" t="s">
        <v>105</v>
      </c>
      <c r="Z198" s="4">
        <v>10000000</v>
      </c>
      <c r="AA198" t="s">
        <v>105</v>
      </c>
      <c r="AB198" s="4">
        <v>0</v>
      </c>
      <c r="AC198" t="s">
        <v>105</v>
      </c>
      <c r="AD198" s="4">
        <v>0</v>
      </c>
      <c r="AE198" t="s">
        <v>105</v>
      </c>
      <c r="AH198" t="str">
        <f>IFERROR(VLOOKUP($A198,fund_metadata!$A:$P,2,FALSE),"")</f>
        <v>Coller Secondaries</v>
      </c>
      <c r="AI198" t="str">
        <f>IFERROR(VLOOKUP($A198,fund_metadata!$A:$P,16,FALSE),"")</f>
        <v>secondaries</v>
      </c>
    </row>
    <row r="199" spans="1:35" x14ac:dyDescent="0.25">
      <c r="A199">
        <v>4</v>
      </c>
      <c r="B199" s="3">
        <v>46081</v>
      </c>
      <c r="C199" s="3"/>
      <c r="D199" s="3"/>
      <c r="E199" s="3"/>
      <c r="F199" s="3"/>
      <c r="G199" s="3"/>
      <c r="H199" s="3"/>
      <c r="I199" s="4">
        <v>10199273.41</v>
      </c>
      <c r="J199" t="s">
        <v>105</v>
      </c>
      <c r="Q199" s="2">
        <v>2.2700000000000001E-2</v>
      </c>
      <c r="R199" t="s">
        <v>122</v>
      </c>
      <c r="X199" s="4">
        <v>1798496.4569999999</v>
      </c>
      <c r="Y199" t="s">
        <v>105</v>
      </c>
      <c r="Z199" s="4">
        <v>0</v>
      </c>
      <c r="AA199" t="s">
        <v>105</v>
      </c>
      <c r="AB199" s="4">
        <v>0</v>
      </c>
      <c r="AC199" t="s">
        <v>105</v>
      </c>
      <c r="AD199" s="4">
        <v>0</v>
      </c>
      <c r="AE199" t="s">
        <v>105</v>
      </c>
      <c r="AH199" t="str">
        <f>IFERROR(VLOOKUP($A199,fund_metadata!$A:$P,2,FALSE),"")</f>
        <v>Coller Secondaries</v>
      </c>
      <c r="AI199" t="str">
        <f>IFERROR(VLOOKUP($A199,fund_metadata!$A:$P,16,FALSE),"")</f>
        <v>secondaries</v>
      </c>
    </row>
    <row r="200" spans="1:35" x14ac:dyDescent="0.25">
      <c r="A200">
        <v>4</v>
      </c>
      <c r="B200" s="3">
        <v>46112</v>
      </c>
      <c r="C200" s="3"/>
      <c r="D200" s="3"/>
      <c r="E200" s="3"/>
      <c r="F200" s="3"/>
      <c r="G200" s="3"/>
      <c r="H200" s="3"/>
      <c r="I200" s="4">
        <v>10396928.17</v>
      </c>
      <c r="J200" t="s">
        <v>105</v>
      </c>
      <c r="Q200" s="2">
        <v>1.9400000000000001E-2</v>
      </c>
      <c r="R200" t="s">
        <v>122</v>
      </c>
      <c r="S200">
        <v>180</v>
      </c>
      <c r="X200" s="4">
        <v>1798496.4569999999</v>
      </c>
      <c r="Y200" t="s">
        <v>105</v>
      </c>
      <c r="Z200" s="4">
        <v>0</v>
      </c>
      <c r="AA200" t="s">
        <v>105</v>
      </c>
      <c r="AB200" s="4">
        <v>0</v>
      </c>
      <c r="AC200" t="s">
        <v>105</v>
      </c>
      <c r="AD200" s="4">
        <v>0</v>
      </c>
      <c r="AE200" t="s">
        <v>105</v>
      </c>
      <c r="AH200" t="str">
        <f>IFERROR(VLOOKUP($A200,fund_metadata!$A:$P,2,FALSE),"")</f>
        <v>Coller Secondaries</v>
      </c>
      <c r="AI200" t="str">
        <f>IFERROR(VLOOKUP($A200,fund_metadata!$A:$P,16,FALSE),"")</f>
        <v>secondaries</v>
      </c>
    </row>
    <row r="201" spans="1:35" x14ac:dyDescent="0.25">
      <c r="A201">
        <v>5</v>
      </c>
      <c r="B201" s="3">
        <v>45443</v>
      </c>
      <c r="C201" s="17">
        <v>0</v>
      </c>
      <c r="D201" s="3" t="s">
        <v>132</v>
      </c>
      <c r="E201" s="18">
        <v>0</v>
      </c>
      <c r="F201" s="3" t="s">
        <v>132</v>
      </c>
      <c r="G201" s="18">
        <v>0</v>
      </c>
      <c r="H201" s="3" t="s">
        <v>132</v>
      </c>
      <c r="K201" s="4"/>
      <c r="M201" s="5">
        <v>10</v>
      </c>
      <c r="N201" t="s">
        <v>89</v>
      </c>
      <c r="O201" s="5"/>
      <c r="Q201" s="2"/>
      <c r="T201" s="4"/>
      <c r="AH201" t="str">
        <f>IFERROR(VLOOKUP($A201,fund_metadata!$A:$P,2,FALSE),"")</f>
        <v>Stepstone PC Income</v>
      </c>
      <c r="AI201" t="str">
        <f>IFERROR(VLOOKUP($A201,fund_metadata!$A:$P,16,FALSE),"")</f>
        <v>private_credit</v>
      </c>
    </row>
    <row r="202" spans="1:35" x14ac:dyDescent="0.25">
      <c r="A202">
        <v>5</v>
      </c>
      <c r="B202" s="3">
        <v>45473</v>
      </c>
      <c r="C202" s="17">
        <v>0</v>
      </c>
      <c r="D202" s="3" t="s">
        <v>132</v>
      </c>
      <c r="E202" s="18">
        <v>0</v>
      </c>
      <c r="F202" s="3" t="s">
        <v>132</v>
      </c>
      <c r="G202" s="18">
        <v>0</v>
      </c>
      <c r="H202" s="3" t="s">
        <v>132</v>
      </c>
      <c r="K202" s="4">
        <v>73970000</v>
      </c>
      <c r="L202" t="s">
        <v>89</v>
      </c>
      <c r="M202" s="5">
        <v>10.039999999999999</v>
      </c>
      <c r="N202" t="s">
        <v>89</v>
      </c>
      <c r="O202" s="5"/>
      <c r="Q202" s="2">
        <v>4.0000000000000001E-3</v>
      </c>
      <c r="R202" t="s">
        <v>89</v>
      </c>
      <c r="S202">
        <v>55</v>
      </c>
      <c r="T202" s="4">
        <v>73680000</v>
      </c>
      <c r="U202" t="s">
        <v>89</v>
      </c>
      <c r="AH202" t="str">
        <f>IFERROR(VLOOKUP($A202,fund_metadata!$A:$P,2,FALSE),"")</f>
        <v>Stepstone PC Income</v>
      </c>
      <c r="AI202" t="str">
        <f>IFERROR(VLOOKUP($A202,fund_metadata!$A:$P,16,FALSE),"")</f>
        <v>private_credit</v>
      </c>
    </row>
    <row r="203" spans="1:35" x14ac:dyDescent="0.25">
      <c r="A203">
        <v>5</v>
      </c>
      <c r="B203" s="3">
        <v>45504</v>
      </c>
      <c r="C203" s="17">
        <v>0</v>
      </c>
      <c r="D203" s="3" t="s">
        <v>132</v>
      </c>
      <c r="E203" s="18">
        <v>0</v>
      </c>
      <c r="F203" s="3" t="s">
        <v>132</v>
      </c>
      <c r="G203" s="18">
        <v>73969188</v>
      </c>
      <c r="H203" s="3" t="s">
        <v>132</v>
      </c>
      <c r="K203" s="4">
        <v>76100000</v>
      </c>
      <c r="L203" t="s">
        <v>89</v>
      </c>
      <c r="M203" s="5">
        <v>10.119999999999999</v>
      </c>
      <c r="N203" t="s">
        <v>89</v>
      </c>
      <c r="O203" s="5"/>
      <c r="Q203" s="2">
        <v>8.0000000000000002E-3</v>
      </c>
      <c r="R203" t="s">
        <v>89</v>
      </c>
      <c r="T203" s="4"/>
      <c r="AH203" t="str">
        <f>IFERROR(VLOOKUP($A203,fund_metadata!$A:$P,2,FALSE),"")</f>
        <v>Stepstone PC Income</v>
      </c>
      <c r="AI203" t="str">
        <f>IFERROR(VLOOKUP($A203,fund_metadata!$A:$P,16,FALSE),"")</f>
        <v>private_credit</v>
      </c>
    </row>
    <row r="204" spans="1:35" x14ac:dyDescent="0.25">
      <c r="A204">
        <v>5</v>
      </c>
      <c r="B204" s="3">
        <v>45535</v>
      </c>
      <c r="C204" s="17">
        <v>0</v>
      </c>
      <c r="D204" s="3" t="s">
        <v>132</v>
      </c>
      <c r="E204" s="18">
        <v>0</v>
      </c>
      <c r="F204" s="3" t="s">
        <v>132</v>
      </c>
      <c r="G204" s="18">
        <v>76099804</v>
      </c>
      <c r="H204" s="3" t="s">
        <v>132</v>
      </c>
      <c r="K204" s="4">
        <v>94630000</v>
      </c>
      <c r="L204" t="s">
        <v>89</v>
      </c>
      <c r="M204" s="5">
        <v>10.19</v>
      </c>
      <c r="N204" t="s">
        <v>89</v>
      </c>
      <c r="O204" s="5"/>
      <c r="Q204" s="2">
        <v>6.8999999999999999E-3</v>
      </c>
      <c r="R204" t="s">
        <v>89</v>
      </c>
      <c r="T204" s="4"/>
      <c r="AH204" t="str">
        <f>IFERROR(VLOOKUP($A204,fund_metadata!$A:$P,2,FALSE),"")</f>
        <v>Stepstone PC Income</v>
      </c>
      <c r="AI204" t="str">
        <f>IFERROR(VLOOKUP($A204,fund_metadata!$A:$P,16,FALSE),"")</f>
        <v>private_credit</v>
      </c>
    </row>
    <row r="205" spans="1:35" x14ac:dyDescent="0.25">
      <c r="A205">
        <v>5</v>
      </c>
      <c r="B205" s="3">
        <v>45565</v>
      </c>
      <c r="C205" s="17">
        <v>189</v>
      </c>
      <c r="D205" s="3" t="s">
        <v>132</v>
      </c>
      <c r="E205" s="18">
        <v>0</v>
      </c>
      <c r="F205" s="3" t="s">
        <v>132</v>
      </c>
      <c r="G205" s="18">
        <v>94765843</v>
      </c>
      <c r="H205" s="3" t="s">
        <v>132</v>
      </c>
      <c r="K205" s="4">
        <v>115850000</v>
      </c>
      <c r="L205" t="s">
        <v>89</v>
      </c>
      <c r="M205" s="5">
        <v>10.26</v>
      </c>
      <c r="N205" t="s">
        <v>89</v>
      </c>
      <c r="O205" s="5"/>
      <c r="Q205" s="2">
        <v>6.8999999999999999E-3</v>
      </c>
      <c r="R205" t="s">
        <v>89</v>
      </c>
      <c r="S205">
        <v>196</v>
      </c>
      <c r="T205" s="4"/>
      <c r="AH205" t="str">
        <f>IFERROR(VLOOKUP($A205,fund_metadata!$A:$P,2,FALSE),"")</f>
        <v>Stepstone PC Income</v>
      </c>
      <c r="AI205" t="str">
        <f>IFERROR(VLOOKUP($A205,fund_metadata!$A:$P,16,FALSE),"")</f>
        <v>private_credit</v>
      </c>
    </row>
    <row r="206" spans="1:35" x14ac:dyDescent="0.25">
      <c r="A206">
        <v>5</v>
      </c>
      <c r="B206" s="3">
        <v>45596</v>
      </c>
      <c r="C206" s="17">
        <v>0</v>
      </c>
      <c r="D206" s="3" t="s">
        <v>132</v>
      </c>
      <c r="E206" s="18">
        <v>2268436</v>
      </c>
      <c r="F206" s="3" t="s">
        <v>132</v>
      </c>
      <c r="G206" s="18">
        <v>115879885</v>
      </c>
      <c r="H206" s="3" t="s">
        <v>132</v>
      </c>
      <c r="K206" s="4">
        <v>153260000</v>
      </c>
      <c r="L206" t="s">
        <v>89</v>
      </c>
      <c r="M206" s="5">
        <v>10.14</v>
      </c>
      <c r="N206" t="s">
        <v>89</v>
      </c>
      <c r="O206" s="5">
        <v>0.2</v>
      </c>
      <c r="P206" t="s">
        <v>89</v>
      </c>
      <c r="Q206" s="2">
        <v>8.0000000000000002E-3</v>
      </c>
      <c r="R206" t="s">
        <v>89</v>
      </c>
      <c r="T206" s="4"/>
      <c r="AH206" t="str">
        <f>IFERROR(VLOOKUP($A206,fund_metadata!$A:$P,2,FALSE),"")</f>
        <v>Stepstone PC Income</v>
      </c>
      <c r="AI206" t="str">
        <f>IFERROR(VLOOKUP($A206,fund_metadata!$A:$P,16,FALSE),"")</f>
        <v>private_credit</v>
      </c>
    </row>
    <row r="207" spans="1:35" x14ac:dyDescent="0.25">
      <c r="A207">
        <v>5</v>
      </c>
      <c r="B207" s="3">
        <v>45626</v>
      </c>
      <c r="C207" s="17">
        <v>0</v>
      </c>
      <c r="D207" s="3" t="s">
        <v>132</v>
      </c>
      <c r="E207" s="18">
        <v>0</v>
      </c>
      <c r="F207" s="3" t="s">
        <v>132</v>
      </c>
      <c r="G207" s="18">
        <v>153342141</v>
      </c>
      <c r="H207" s="3" t="s">
        <v>132</v>
      </c>
      <c r="K207" s="4">
        <v>165000000</v>
      </c>
      <c r="L207" t="s">
        <v>89</v>
      </c>
      <c r="M207" s="5">
        <v>10.199999999999999</v>
      </c>
      <c r="N207" t="s">
        <v>89</v>
      </c>
      <c r="O207" s="5"/>
      <c r="Q207" s="2">
        <v>5.8999999999999999E-3</v>
      </c>
      <c r="R207" t="s">
        <v>89</v>
      </c>
      <c r="T207" s="4"/>
      <c r="AH207" t="str">
        <f>IFERROR(VLOOKUP($A207,fund_metadata!$A:$P,2,FALSE),"")</f>
        <v>Stepstone PC Income</v>
      </c>
      <c r="AI207" t="str">
        <f>IFERROR(VLOOKUP($A207,fund_metadata!$A:$P,16,FALSE),"")</f>
        <v>private_credit</v>
      </c>
    </row>
    <row r="208" spans="1:35" x14ac:dyDescent="0.25">
      <c r="A208">
        <v>5</v>
      </c>
      <c r="B208" s="3">
        <v>45657</v>
      </c>
      <c r="C208" s="17">
        <v>0</v>
      </c>
      <c r="D208" s="3" t="s">
        <v>132</v>
      </c>
      <c r="E208" s="18">
        <v>3433683</v>
      </c>
      <c r="F208" s="3" t="s">
        <v>132</v>
      </c>
      <c r="G208" s="18">
        <v>165029640</v>
      </c>
      <c r="H208" s="3" t="s">
        <v>132</v>
      </c>
      <c r="K208" s="4">
        <v>167640000</v>
      </c>
      <c r="L208" t="s">
        <v>89</v>
      </c>
      <c r="M208" s="5">
        <v>10.07</v>
      </c>
      <c r="N208" t="s">
        <v>89</v>
      </c>
      <c r="O208" s="5">
        <v>0.21</v>
      </c>
      <c r="P208" t="s">
        <v>89</v>
      </c>
      <c r="Q208" s="2">
        <v>7.6E-3</v>
      </c>
      <c r="R208" t="s">
        <v>89</v>
      </c>
      <c r="S208">
        <v>298</v>
      </c>
      <c r="T208" s="4">
        <v>222330000</v>
      </c>
      <c r="U208" t="s">
        <v>89</v>
      </c>
      <c r="V208">
        <v>16744559</v>
      </c>
      <c r="W208" t="s">
        <v>121</v>
      </c>
      <c r="AH208" t="str">
        <f>IFERROR(VLOOKUP($A208,fund_metadata!$A:$P,2,FALSE),"")</f>
        <v>Stepstone PC Income</v>
      </c>
      <c r="AI208" t="str">
        <f>IFERROR(VLOOKUP($A208,fund_metadata!$A:$P,16,FALSE),"")</f>
        <v>private_credit</v>
      </c>
    </row>
    <row r="209" spans="1:35" x14ac:dyDescent="0.25">
      <c r="A209">
        <v>5</v>
      </c>
      <c r="B209" s="3">
        <v>45688</v>
      </c>
      <c r="C209" s="17">
        <v>0</v>
      </c>
      <c r="D209" s="3" t="s">
        <v>132</v>
      </c>
      <c r="E209" s="18">
        <v>0</v>
      </c>
      <c r="F209" s="3" t="s">
        <v>132</v>
      </c>
      <c r="G209" s="18">
        <v>741725163</v>
      </c>
      <c r="H209" s="3" t="s">
        <v>132</v>
      </c>
      <c r="K209" s="4">
        <v>761750000</v>
      </c>
      <c r="L209" t="s">
        <v>89</v>
      </c>
      <c r="M209" s="5">
        <v>10.15</v>
      </c>
      <c r="N209" t="s">
        <v>89</v>
      </c>
      <c r="O209" s="5"/>
      <c r="Q209" s="2">
        <v>7.9000000000000008E-3</v>
      </c>
      <c r="R209" t="s">
        <v>89</v>
      </c>
      <c r="T209" s="4"/>
      <c r="AH209" t="str">
        <f>IFERROR(VLOOKUP($A209,fund_metadata!$A:$P,2,FALSE),"")</f>
        <v>Stepstone PC Income</v>
      </c>
      <c r="AI209" t="str">
        <f>IFERROR(VLOOKUP($A209,fund_metadata!$A:$P,16,FALSE),"")</f>
        <v>private_credit</v>
      </c>
    </row>
    <row r="210" spans="1:35" x14ac:dyDescent="0.25">
      <c r="A210">
        <v>5</v>
      </c>
      <c r="B210" s="3">
        <v>45716</v>
      </c>
      <c r="C210" s="17">
        <v>0</v>
      </c>
      <c r="D210" s="3" t="s">
        <v>132</v>
      </c>
      <c r="E210" s="18">
        <v>0</v>
      </c>
      <c r="F210" s="3" t="s">
        <v>132</v>
      </c>
      <c r="G210" s="18">
        <v>762133134</v>
      </c>
      <c r="H210" s="3" t="s">
        <v>132</v>
      </c>
      <c r="K210" s="4">
        <v>782190000</v>
      </c>
      <c r="L210" t="s">
        <v>89</v>
      </c>
      <c r="M210" s="5">
        <v>10.210000000000001</v>
      </c>
      <c r="N210" t="s">
        <v>89</v>
      </c>
      <c r="O210" s="5"/>
      <c r="Q210" s="2">
        <v>5.8999999999999999E-3</v>
      </c>
      <c r="R210" t="s">
        <v>89</v>
      </c>
      <c r="T210" s="4"/>
      <c r="AH210" t="str">
        <f>IFERROR(VLOOKUP($A210,fund_metadata!$A:$P,2,FALSE),"")</f>
        <v>Stepstone PC Income</v>
      </c>
      <c r="AI210" t="str">
        <f>IFERROR(VLOOKUP($A210,fund_metadata!$A:$P,16,FALSE),"")</f>
        <v>private_credit</v>
      </c>
    </row>
    <row r="211" spans="1:35" x14ac:dyDescent="0.25">
      <c r="A211">
        <v>5</v>
      </c>
      <c r="B211" s="3">
        <v>45747</v>
      </c>
      <c r="C211" s="17">
        <v>2502628</v>
      </c>
      <c r="D211" s="3" t="s">
        <v>132</v>
      </c>
      <c r="E211" s="18">
        <v>0</v>
      </c>
      <c r="F211" s="3" t="s">
        <v>132</v>
      </c>
      <c r="G211" s="18">
        <v>782308802</v>
      </c>
      <c r="H211" s="3" t="s">
        <v>132</v>
      </c>
      <c r="K211" s="4">
        <v>807060000</v>
      </c>
      <c r="L211" t="s">
        <v>89</v>
      </c>
      <c r="M211" s="5">
        <v>10.28</v>
      </c>
      <c r="N211" t="s">
        <v>89</v>
      </c>
      <c r="O211" s="5"/>
      <c r="Q211" s="2">
        <v>6.8999999999999999E-3</v>
      </c>
      <c r="R211" t="s">
        <v>89</v>
      </c>
      <c r="S211">
        <v>544</v>
      </c>
      <c r="T211" s="4"/>
      <c r="AH211" t="str">
        <f>IFERROR(VLOOKUP($A211,fund_metadata!$A:$P,2,FALSE),"")</f>
        <v>Stepstone PC Income</v>
      </c>
      <c r="AI211" t="str">
        <f>IFERROR(VLOOKUP($A211,fund_metadata!$A:$P,16,FALSE),"")</f>
        <v>private_credit</v>
      </c>
    </row>
    <row r="212" spans="1:35" x14ac:dyDescent="0.25">
      <c r="A212">
        <v>5</v>
      </c>
      <c r="B212" s="3">
        <v>45777</v>
      </c>
      <c r="C212" s="17">
        <v>0</v>
      </c>
      <c r="D212" s="3" t="s">
        <v>132</v>
      </c>
      <c r="E212" s="18">
        <v>17108216</v>
      </c>
      <c r="F212" s="3" t="s">
        <v>132</v>
      </c>
      <c r="G212" s="18">
        <v>856606531</v>
      </c>
      <c r="H212" s="3" t="s">
        <v>132</v>
      </c>
      <c r="K212" s="4">
        <v>865860000</v>
      </c>
      <c r="L212" t="s">
        <v>89</v>
      </c>
      <c r="M212" s="5">
        <v>10.119999999999999</v>
      </c>
      <c r="N212" t="s">
        <v>89</v>
      </c>
      <c r="O212" s="5">
        <v>0.2</v>
      </c>
      <c r="P212" t="s">
        <v>89</v>
      </c>
      <c r="Q212" s="2">
        <v>4.4999999999999997E-3</v>
      </c>
      <c r="R212" t="s">
        <v>89</v>
      </c>
      <c r="T212" s="4"/>
      <c r="AH212" t="str">
        <f>IFERROR(VLOOKUP($A212,fund_metadata!$A:$P,2,FALSE),"")</f>
        <v>Stepstone PC Income</v>
      </c>
      <c r="AI212" t="str">
        <f>IFERROR(VLOOKUP($A212,fund_metadata!$A:$P,16,FALSE),"")</f>
        <v>private_credit</v>
      </c>
    </row>
    <row r="213" spans="1:35" x14ac:dyDescent="0.25">
      <c r="A213">
        <v>5</v>
      </c>
      <c r="B213" s="3">
        <v>45808</v>
      </c>
      <c r="C213" s="17">
        <v>0</v>
      </c>
      <c r="D213" s="3" t="s">
        <v>132</v>
      </c>
      <c r="E213" s="18">
        <v>0</v>
      </c>
      <c r="F213" s="3" t="s">
        <v>132</v>
      </c>
      <c r="G213" s="18">
        <v>866506936</v>
      </c>
      <c r="H213" s="3" t="s">
        <v>132</v>
      </c>
      <c r="K213" s="4">
        <v>889040000</v>
      </c>
      <c r="L213" t="s">
        <v>89</v>
      </c>
      <c r="M213" s="5">
        <v>10.199999999999999</v>
      </c>
      <c r="N213" t="s">
        <v>89</v>
      </c>
      <c r="O213" s="5"/>
      <c r="Q213" s="2">
        <v>7.9000000000000008E-3</v>
      </c>
      <c r="R213" t="s">
        <v>89</v>
      </c>
      <c r="T213" s="4"/>
      <c r="AH213" t="str">
        <f>IFERROR(VLOOKUP($A213,fund_metadata!$A:$P,2,FALSE),"")</f>
        <v>Stepstone PC Income</v>
      </c>
      <c r="AI213" t="str">
        <f>IFERROR(VLOOKUP($A213,fund_metadata!$A:$P,16,FALSE),"")</f>
        <v>private_credit</v>
      </c>
    </row>
    <row r="214" spans="1:35" x14ac:dyDescent="0.25">
      <c r="A214">
        <v>5</v>
      </c>
      <c r="B214" s="3">
        <v>45838</v>
      </c>
      <c r="C214" s="17">
        <v>15762631</v>
      </c>
      <c r="D214" s="3" t="s">
        <v>132</v>
      </c>
      <c r="E214" s="18">
        <v>0</v>
      </c>
      <c r="F214" s="3" t="s">
        <v>132</v>
      </c>
      <c r="G214" s="18">
        <v>889071536</v>
      </c>
      <c r="H214" s="3" t="s">
        <v>132</v>
      </c>
      <c r="K214" s="4">
        <v>896730000</v>
      </c>
      <c r="L214" t="s">
        <v>89</v>
      </c>
      <c r="M214" s="5">
        <v>10.29</v>
      </c>
      <c r="N214" t="s">
        <v>89</v>
      </c>
      <c r="O214" s="5"/>
      <c r="Q214" s="2">
        <v>8.8000000000000005E-3</v>
      </c>
      <c r="R214" t="s">
        <v>89</v>
      </c>
      <c r="S214">
        <v>710</v>
      </c>
      <c r="T214" s="4">
        <v>1110000000</v>
      </c>
      <c r="U214" t="s">
        <v>89</v>
      </c>
      <c r="V214">
        <v>87517119</v>
      </c>
      <c r="W214" t="s">
        <v>120</v>
      </c>
      <c r="AH214" t="str">
        <f>IFERROR(VLOOKUP($A214,fund_metadata!$A:$P,2,FALSE),"")</f>
        <v>Stepstone PC Income</v>
      </c>
      <c r="AI214" t="str">
        <f>IFERROR(VLOOKUP($A214,fund_metadata!$A:$P,16,FALSE),"")</f>
        <v>private_credit</v>
      </c>
    </row>
    <row r="215" spans="1:35" x14ac:dyDescent="0.25">
      <c r="A215">
        <v>5</v>
      </c>
      <c r="B215" s="3">
        <v>45869</v>
      </c>
      <c r="C215" s="17">
        <v>0</v>
      </c>
      <c r="D215" s="3" t="s">
        <v>132</v>
      </c>
      <c r="E215" s="18">
        <v>20110913</v>
      </c>
      <c r="F215" s="3" t="s">
        <v>132</v>
      </c>
      <c r="G215" s="18">
        <v>900244898</v>
      </c>
      <c r="H215" s="3" t="s">
        <v>132</v>
      </c>
      <c r="K215" s="4">
        <v>935790000</v>
      </c>
      <c r="L215" t="s">
        <v>89</v>
      </c>
      <c r="M215" s="5">
        <v>10.130000000000001</v>
      </c>
      <c r="N215" t="s">
        <v>89</v>
      </c>
      <c r="O215" s="5">
        <v>0.23</v>
      </c>
      <c r="P215" t="s">
        <v>89</v>
      </c>
      <c r="Q215" s="2">
        <v>6.8999999999999999E-3</v>
      </c>
      <c r="R215" t="s">
        <v>89</v>
      </c>
      <c r="T215" s="4"/>
      <c r="AH215" t="str">
        <f>IFERROR(VLOOKUP($A215,fund_metadata!$A:$P,2,FALSE),"")</f>
        <v>Stepstone PC Income</v>
      </c>
      <c r="AI215" t="str">
        <f>IFERROR(VLOOKUP($A215,fund_metadata!$A:$P,16,FALSE),"")</f>
        <v>private_credit</v>
      </c>
    </row>
    <row r="216" spans="1:35" x14ac:dyDescent="0.25">
      <c r="A216">
        <v>5</v>
      </c>
      <c r="B216" s="3">
        <v>45900</v>
      </c>
      <c r="C216" s="17">
        <v>0</v>
      </c>
      <c r="D216" s="3" t="s">
        <v>132</v>
      </c>
      <c r="E216" s="18">
        <v>0</v>
      </c>
      <c r="F216" s="3" t="s">
        <v>132</v>
      </c>
      <c r="G216" s="18">
        <v>935794722</v>
      </c>
      <c r="H216" s="3" t="s">
        <v>132</v>
      </c>
      <c r="K216" s="4">
        <v>954000000</v>
      </c>
      <c r="L216" t="s">
        <v>89</v>
      </c>
      <c r="M216" s="5">
        <v>10.220000000000001</v>
      </c>
      <c r="N216" t="s">
        <v>89</v>
      </c>
      <c r="O216" s="5"/>
      <c r="Q216" s="2">
        <v>8.8999999999999999E-3</v>
      </c>
      <c r="R216" t="s">
        <v>89</v>
      </c>
      <c r="T216" s="4"/>
      <c r="AH216" t="str">
        <f>IFERROR(VLOOKUP($A216,fund_metadata!$A:$P,2,FALSE),"")</f>
        <v>Stepstone PC Income</v>
      </c>
      <c r="AI216" t="str">
        <f>IFERROR(VLOOKUP($A216,fund_metadata!$A:$P,16,FALSE),"")</f>
        <v>private_credit</v>
      </c>
    </row>
    <row r="217" spans="1:35" x14ac:dyDescent="0.25">
      <c r="A217">
        <v>5</v>
      </c>
      <c r="B217" s="3">
        <v>45930</v>
      </c>
      <c r="C217" s="17">
        <v>1537436</v>
      </c>
      <c r="D217" s="3" t="s">
        <v>132</v>
      </c>
      <c r="E217" s="18">
        <v>0</v>
      </c>
      <c r="F217" s="3" t="s">
        <v>132</v>
      </c>
      <c r="G217" s="18">
        <v>954145623</v>
      </c>
      <c r="H217" s="3" t="s">
        <v>132</v>
      </c>
      <c r="K217" s="4">
        <v>966850000</v>
      </c>
      <c r="L217" t="s">
        <v>89</v>
      </c>
      <c r="M217" s="5">
        <v>10.29</v>
      </c>
      <c r="N217" t="s">
        <v>89</v>
      </c>
      <c r="O217" s="5"/>
      <c r="Q217" s="2">
        <v>6.7999999999999996E-3</v>
      </c>
      <c r="R217" t="s">
        <v>89</v>
      </c>
      <c r="S217">
        <v>846</v>
      </c>
      <c r="T217" s="4"/>
      <c r="AH217" t="str">
        <f>IFERROR(VLOOKUP($A217,fund_metadata!$A:$P,2,FALSE),"")</f>
        <v>Stepstone PC Income</v>
      </c>
      <c r="AI217" t="str">
        <f>IFERROR(VLOOKUP($A217,fund_metadata!$A:$P,16,FALSE),"")</f>
        <v>private_credit</v>
      </c>
    </row>
    <row r="218" spans="1:35" x14ac:dyDescent="0.25">
      <c r="A218">
        <v>5</v>
      </c>
      <c r="B218" s="3">
        <v>45961</v>
      </c>
      <c r="C218" s="17">
        <v>0</v>
      </c>
      <c r="D218" s="3" t="s">
        <v>132</v>
      </c>
      <c r="E218" s="18">
        <v>22777790</v>
      </c>
      <c r="F218" s="3" t="s">
        <v>132</v>
      </c>
      <c r="G218" s="18">
        <v>967106179</v>
      </c>
      <c r="H218" s="3" t="s">
        <v>132</v>
      </c>
      <c r="K218" s="4">
        <v>978760000</v>
      </c>
      <c r="L218" t="s">
        <v>89</v>
      </c>
      <c r="M218" s="5">
        <v>10.14</v>
      </c>
      <c r="N218" t="s">
        <v>89</v>
      </c>
      <c r="O218" s="5">
        <v>0.24</v>
      </c>
      <c r="P218" t="s">
        <v>89</v>
      </c>
      <c r="Q218" s="2">
        <v>9.1000000000000004E-3</v>
      </c>
      <c r="R218" t="s">
        <v>89</v>
      </c>
      <c r="T218" s="4"/>
      <c r="AH218" t="str">
        <f>IFERROR(VLOOKUP($A218,fund_metadata!$A:$P,2,FALSE),"")</f>
        <v>Stepstone PC Income</v>
      </c>
      <c r="AI218" t="str">
        <f>IFERROR(VLOOKUP($A218,fund_metadata!$A:$P,16,FALSE),"")</f>
        <v>private_credit</v>
      </c>
    </row>
    <row r="219" spans="1:35" x14ac:dyDescent="0.25">
      <c r="A219">
        <v>5</v>
      </c>
      <c r="B219" s="3">
        <v>45991</v>
      </c>
      <c r="C219" s="17">
        <v>0</v>
      </c>
      <c r="D219" s="3" t="s">
        <v>132</v>
      </c>
      <c r="E219" s="18">
        <v>0</v>
      </c>
      <c r="F219" s="3" t="s">
        <v>132</v>
      </c>
      <c r="G219" s="18">
        <v>979108288</v>
      </c>
      <c r="H219" s="3" t="s">
        <v>132</v>
      </c>
      <c r="K219" s="4">
        <v>1000000000</v>
      </c>
      <c r="L219" t="s">
        <v>89</v>
      </c>
      <c r="M219" s="5">
        <v>10.220000000000001</v>
      </c>
      <c r="N219" t="s">
        <v>89</v>
      </c>
      <c r="O219" s="5"/>
      <c r="Q219" s="2">
        <v>7.9000000000000008E-3</v>
      </c>
      <c r="R219" t="s">
        <v>89</v>
      </c>
      <c r="T219" s="4"/>
      <c r="AH219" t="str">
        <f>IFERROR(VLOOKUP($A219,fund_metadata!$A:$P,2,FALSE),"")</f>
        <v>Stepstone PC Income</v>
      </c>
      <c r="AI219" t="str">
        <f>IFERROR(VLOOKUP($A219,fund_metadata!$A:$P,16,FALSE),"")</f>
        <v>private_credit</v>
      </c>
    </row>
    <row r="220" spans="1:35" x14ac:dyDescent="0.25">
      <c r="A220">
        <v>5</v>
      </c>
      <c r="B220" s="3">
        <v>46022</v>
      </c>
      <c r="C220" s="17">
        <v>2629130</v>
      </c>
      <c r="D220" s="3" t="s">
        <v>132</v>
      </c>
      <c r="E220" s="18">
        <v>24360160</v>
      </c>
      <c r="F220" s="3" t="s">
        <v>132</v>
      </c>
      <c r="G220" s="18">
        <v>1002104033</v>
      </c>
      <c r="H220" s="3" t="s">
        <v>132</v>
      </c>
      <c r="I220">
        <v>4897959.18</v>
      </c>
      <c r="J220" t="s">
        <v>105</v>
      </c>
      <c r="K220" s="4">
        <v>1020000000</v>
      </c>
      <c r="L220" t="s">
        <v>89</v>
      </c>
      <c r="M220" s="5">
        <v>10.08</v>
      </c>
      <c r="N220" t="s">
        <v>89</v>
      </c>
      <c r="O220" s="5">
        <v>0.24</v>
      </c>
      <c r="P220" t="s">
        <v>89</v>
      </c>
      <c r="Q220" s="2">
        <v>1.0200000000000001E-2</v>
      </c>
      <c r="R220" t="s">
        <v>89</v>
      </c>
      <c r="S220">
        <v>1017</v>
      </c>
      <c r="T220" s="4">
        <v>1370000000</v>
      </c>
      <c r="U220" t="s">
        <v>89</v>
      </c>
      <c r="V220">
        <v>101338975</v>
      </c>
      <c r="W220" t="s">
        <v>121</v>
      </c>
      <c r="X220">
        <v>485908.64899999998</v>
      </c>
      <c r="Y220" t="s">
        <v>105</v>
      </c>
      <c r="Z220">
        <v>5000000</v>
      </c>
      <c r="AA220" t="s">
        <v>105</v>
      </c>
      <c r="AB220">
        <v>0</v>
      </c>
      <c r="AC220" t="s">
        <v>105</v>
      </c>
      <c r="AD220">
        <v>118561.71</v>
      </c>
      <c r="AE220" t="s">
        <v>105</v>
      </c>
      <c r="AH220" t="str">
        <f>IFERROR(VLOOKUP($A220,fund_metadata!$A:$P,2,FALSE),"")</f>
        <v>Stepstone PC Income</v>
      </c>
      <c r="AI220" t="str">
        <f>IFERROR(VLOOKUP($A220,fund_metadata!$A:$P,16,FALSE),"")</f>
        <v>private_credit</v>
      </c>
    </row>
    <row r="221" spans="1:35" x14ac:dyDescent="0.25">
      <c r="A221">
        <v>5</v>
      </c>
      <c r="B221" s="3">
        <v>46053</v>
      </c>
      <c r="C221" s="17">
        <v>0</v>
      </c>
      <c r="D221" s="3" t="s">
        <v>132</v>
      </c>
      <c r="E221" s="18">
        <v>0</v>
      </c>
      <c r="F221" s="3" t="s">
        <v>132</v>
      </c>
      <c r="G221" s="18">
        <v>1021815840</v>
      </c>
      <c r="H221" s="3" t="s">
        <v>132</v>
      </c>
      <c r="I221">
        <v>4936831.87</v>
      </c>
      <c r="J221" t="s">
        <v>105</v>
      </c>
      <c r="K221" s="4">
        <v>1050000000</v>
      </c>
      <c r="L221" t="s">
        <v>89</v>
      </c>
      <c r="M221" s="5">
        <v>10.16</v>
      </c>
      <c r="N221" t="s">
        <v>89</v>
      </c>
      <c r="O221" s="5"/>
      <c r="Q221" s="2">
        <v>7.9000000000000008E-3</v>
      </c>
      <c r="R221" t="s">
        <v>89</v>
      </c>
      <c r="T221" s="4"/>
      <c r="X221">
        <v>485908.64899999998</v>
      </c>
      <c r="Y221" t="s">
        <v>105</v>
      </c>
      <c r="AH221" t="str">
        <f>IFERROR(VLOOKUP($A221,fund_metadata!$A:$P,2,FALSE),"")</f>
        <v>Stepstone PC Income</v>
      </c>
      <c r="AI221" t="str">
        <f>IFERROR(VLOOKUP($A221,fund_metadata!$A:$P,16,FALSE),"")</f>
        <v>private_credit</v>
      </c>
    </row>
    <row r="222" spans="1:35" x14ac:dyDescent="0.25">
      <c r="A222">
        <v>5</v>
      </c>
      <c r="B222" s="3">
        <v>46081</v>
      </c>
      <c r="C222" s="17">
        <v>0</v>
      </c>
      <c r="D222" s="3" t="s">
        <v>132</v>
      </c>
      <c r="E222" s="18">
        <v>0</v>
      </c>
      <c r="F222" s="3" t="s">
        <v>132</v>
      </c>
      <c r="G222" s="18">
        <v>1049263652</v>
      </c>
      <c r="H222" s="3" t="s">
        <v>132</v>
      </c>
      <c r="I222">
        <v>4956268.22</v>
      </c>
      <c r="J222" t="s">
        <v>105</v>
      </c>
      <c r="K222" s="4">
        <v>1070000000</v>
      </c>
      <c r="L222" t="s">
        <v>89</v>
      </c>
      <c r="M222" s="5">
        <v>10.199999999999999</v>
      </c>
      <c r="N222" t="s">
        <v>89</v>
      </c>
      <c r="O222" s="5"/>
      <c r="Q222" s="2">
        <v>3.8999999999999998E-3</v>
      </c>
      <c r="R222" t="s">
        <v>89</v>
      </c>
      <c r="T222" s="4"/>
      <c r="X222">
        <v>485908.64899999998</v>
      </c>
      <c r="Y222" t="s">
        <v>105</v>
      </c>
      <c r="Z222">
        <v>0</v>
      </c>
      <c r="AA222" t="s">
        <v>105</v>
      </c>
      <c r="AB222">
        <v>0</v>
      </c>
      <c r="AC222" t="s">
        <v>105</v>
      </c>
      <c r="AD222">
        <v>0</v>
      </c>
      <c r="AE222" t="s">
        <v>105</v>
      </c>
      <c r="AH222" t="str">
        <f>IFERROR(VLOOKUP($A222,fund_metadata!$A:$P,2,FALSE),"")</f>
        <v>Stepstone PC Income</v>
      </c>
      <c r="AI222" t="str">
        <f>IFERROR(VLOOKUP($A222,fund_metadata!$A:$P,16,FALSE),"")</f>
        <v>private_credit</v>
      </c>
    </row>
    <row r="223" spans="1:35" x14ac:dyDescent="0.25">
      <c r="A223">
        <v>5</v>
      </c>
      <c r="B223" s="3">
        <v>46112</v>
      </c>
      <c r="C223" s="17">
        <v>33765604</v>
      </c>
      <c r="D223" s="3" t="s">
        <v>132</v>
      </c>
      <c r="E223" s="18">
        <v>0</v>
      </c>
      <c r="F223" s="3" t="s">
        <v>132</v>
      </c>
      <c r="G223" s="18">
        <v>1070555555</v>
      </c>
      <c r="H223" s="3" t="s">
        <v>132</v>
      </c>
      <c r="I223">
        <v>4975704.57</v>
      </c>
      <c r="J223" t="s">
        <v>105</v>
      </c>
      <c r="K223" s="4">
        <v>1050000000</v>
      </c>
      <c r="L223" t="s">
        <v>89</v>
      </c>
      <c r="M223" s="5">
        <v>10.24</v>
      </c>
      <c r="N223" t="s">
        <v>89</v>
      </c>
      <c r="O223" s="5"/>
      <c r="Q223" s="2">
        <v>3.8999999999999998E-3</v>
      </c>
      <c r="R223" t="s">
        <v>89</v>
      </c>
      <c r="S223">
        <v>1133</v>
      </c>
      <c r="T223" s="4"/>
      <c r="X223">
        <v>485908.64899999998</v>
      </c>
      <c r="Y223" t="s">
        <v>105</v>
      </c>
      <c r="Z223">
        <v>0</v>
      </c>
      <c r="AA223" t="s">
        <v>105</v>
      </c>
      <c r="AB223">
        <v>0</v>
      </c>
      <c r="AC223" t="s">
        <v>105</v>
      </c>
      <c r="AD223">
        <v>0</v>
      </c>
      <c r="AE223" t="s">
        <v>105</v>
      </c>
      <c r="AH223" t="str">
        <f>IFERROR(VLOOKUP($A223,fund_metadata!$A:$P,2,FALSE),"")</f>
        <v>Stepstone PC Income</v>
      </c>
      <c r="AI223" t="str">
        <f>IFERROR(VLOOKUP($A223,fund_metadata!$A:$P,16,FALSE),"")</f>
        <v>private_credit</v>
      </c>
    </row>
    <row r="224" spans="1:35" x14ac:dyDescent="0.25">
      <c r="A224">
        <v>5</v>
      </c>
      <c r="B224" s="3">
        <v>46142</v>
      </c>
      <c r="C224" s="17">
        <v>0</v>
      </c>
      <c r="D224" s="3" t="s">
        <v>132</v>
      </c>
      <c r="E224" s="18">
        <v>25497098</v>
      </c>
      <c r="F224" s="3" t="s">
        <v>132</v>
      </c>
      <c r="G224" s="18">
        <v>1055532787</v>
      </c>
      <c r="H224" s="3" t="s">
        <v>132</v>
      </c>
      <c r="I224">
        <v>4888241.01</v>
      </c>
      <c r="J224" t="s">
        <v>105</v>
      </c>
      <c r="K224" s="4">
        <v>1080000000</v>
      </c>
      <c r="L224" t="s">
        <v>89</v>
      </c>
      <c r="M224" s="5">
        <v>10.06</v>
      </c>
      <c r="N224" t="s">
        <v>89</v>
      </c>
      <c r="O224" s="5">
        <v>0.25</v>
      </c>
      <c r="P224" t="s">
        <v>89</v>
      </c>
      <c r="Q224" s="2">
        <v>6.7000000000000002E-3</v>
      </c>
      <c r="R224" t="s">
        <v>89</v>
      </c>
      <c r="T224" s="4"/>
      <c r="X224">
        <v>485908.64899999998</v>
      </c>
      <c r="Y224" t="s">
        <v>105</v>
      </c>
      <c r="Z224">
        <v>0</v>
      </c>
      <c r="AA224" t="s">
        <v>105</v>
      </c>
      <c r="AB224">
        <v>0</v>
      </c>
      <c r="AC224" t="s">
        <v>105</v>
      </c>
      <c r="AD224">
        <v>119970.85</v>
      </c>
      <c r="AE224" t="s">
        <v>105</v>
      </c>
      <c r="AH224" t="str">
        <f>IFERROR(VLOOKUP($A224,fund_metadata!$A:$P,2,FALSE),"")</f>
        <v>Stepstone PC Income</v>
      </c>
      <c r="AI224" t="str">
        <f>IFERROR(VLOOKUP($A224,fund_metadata!$A:$P,16,FALSE),"")</f>
        <v>private_credit</v>
      </c>
    </row>
    <row r="225" spans="1:35" x14ac:dyDescent="0.25">
      <c r="A225">
        <v>5</v>
      </c>
      <c r="B225" s="3">
        <v>46173</v>
      </c>
      <c r="C225" s="17"/>
      <c r="D225" s="3"/>
      <c r="E225" s="3"/>
      <c r="F225" s="3"/>
      <c r="G225" s="3"/>
      <c r="H225" s="3"/>
      <c r="K225" s="4"/>
      <c r="M225" s="5">
        <v>10.119999999999999</v>
      </c>
      <c r="N225" t="s">
        <v>89</v>
      </c>
      <c r="O225" s="5"/>
      <c r="Q225" s="2"/>
      <c r="T225" s="4"/>
      <c r="AH225" t="str">
        <f>IFERROR(VLOOKUP($A225,fund_metadata!$A:$P,2,FALSE),"")</f>
        <v>Stepstone PC Income</v>
      </c>
      <c r="AI225" t="str">
        <f>IFERROR(VLOOKUP($A225,fund_metadata!$A:$P,16,FALSE),"")</f>
        <v>private_credit</v>
      </c>
    </row>
    <row r="226" spans="1:35" x14ac:dyDescent="0.25">
      <c r="A226">
        <v>6</v>
      </c>
      <c r="B226" s="3">
        <v>44135</v>
      </c>
      <c r="C226" s="19">
        <v>0</v>
      </c>
      <c r="D226" s="3" t="s">
        <v>132</v>
      </c>
      <c r="E226" s="19">
        <v>0</v>
      </c>
      <c r="F226" s="3" t="s">
        <v>132</v>
      </c>
      <c r="G226" s="19">
        <v>0</v>
      </c>
      <c r="H226" s="3" t="s">
        <v>132</v>
      </c>
      <c r="K226" s="4"/>
      <c r="M226" s="5">
        <v>26.72</v>
      </c>
      <c r="N226" t="s">
        <v>89</v>
      </c>
      <c r="O226" s="20">
        <v>0</v>
      </c>
      <c r="P226" t="s">
        <v>132</v>
      </c>
      <c r="Q226" s="2">
        <v>6.88E-2</v>
      </c>
      <c r="R226" t="s">
        <v>132</v>
      </c>
      <c r="T226" s="4"/>
      <c r="AH226" t="str">
        <f>IFERROR(VLOOKUP($A226,fund_metadata!$A:$P,2,FALSE),"")</f>
        <v>Stepstone Private Markets</v>
      </c>
      <c r="AI226" t="str">
        <f>IFERROR(VLOOKUP($A226,fund_metadata!$A:$P,16,FALSE),"")</f>
        <v>secondaries</v>
      </c>
    </row>
    <row r="227" spans="1:35" x14ac:dyDescent="0.25">
      <c r="A227">
        <v>6</v>
      </c>
      <c r="B227" s="3">
        <v>44165</v>
      </c>
      <c r="C227" s="19">
        <v>0</v>
      </c>
      <c r="D227" s="3" t="s">
        <v>132</v>
      </c>
      <c r="E227" s="19">
        <v>0</v>
      </c>
      <c r="F227" s="3" t="s">
        <v>132</v>
      </c>
      <c r="G227" s="19">
        <v>37736731.479999997</v>
      </c>
      <c r="H227" s="3" t="s">
        <v>132</v>
      </c>
      <c r="K227" s="4"/>
      <c r="M227" s="5">
        <v>27.06</v>
      </c>
      <c r="N227" t="s">
        <v>89</v>
      </c>
      <c r="O227" s="20">
        <v>0</v>
      </c>
      <c r="P227" t="s">
        <v>132</v>
      </c>
      <c r="Q227" s="2">
        <v>1.2699999999999999E-2</v>
      </c>
      <c r="R227" t="s">
        <v>89</v>
      </c>
      <c r="T227" s="4"/>
      <c r="AH227" t="str">
        <f>IFERROR(VLOOKUP($A227,fund_metadata!$A:$P,2,FALSE),"")</f>
        <v>Stepstone Private Markets</v>
      </c>
      <c r="AI227" t="str">
        <f>IFERROR(VLOOKUP($A227,fund_metadata!$A:$P,16,FALSE),"")</f>
        <v>secondaries</v>
      </c>
    </row>
    <row r="228" spans="1:35" x14ac:dyDescent="0.25">
      <c r="A228">
        <v>6</v>
      </c>
      <c r="B228" s="3">
        <v>44196</v>
      </c>
      <c r="C228" s="19">
        <v>0</v>
      </c>
      <c r="D228" s="3" t="s">
        <v>132</v>
      </c>
      <c r="E228" s="19">
        <v>0</v>
      </c>
      <c r="F228" s="3" t="s">
        <v>132</v>
      </c>
      <c r="G228" s="19">
        <v>44495713.890000001</v>
      </c>
      <c r="H228" s="3" t="s">
        <v>132</v>
      </c>
      <c r="K228" s="4"/>
      <c r="M228" s="5">
        <v>31.23</v>
      </c>
      <c r="N228" t="s">
        <v>89</v>
      </c>
      <c r="O228" s="20">
        <v>0</v>
      </c>
      <c r="P228" t="s">
        <v>132</v>
      </c>
      <c r="Q228" s="2">
        <v>0.15409999999999999</v>
      </c>
      <c r="R228" t="s">
        <v>89</v>
      </c>
      <c r="S228">
        <v>22</v>
      </c>
      <c r="T228" s="4"/>
      <c r="AH228" t="str">
        <f>IFERROR(VLOOKUP($A228,fund_metadata!$A:$P,2,FALSE),"")</f>
        <v>Stepstone Private Markets</v>
      </c>
      <c r="AI228" t="str">
        <f>IFERROR(VLOOKUP($A228,fund_metadata!$A:$P,16,FALSE),"")</f>
        <v>secondaries</v>
      </c>
    </row>
    <row r="229" spans="1:35" x14ac:dyDescent="0.25">
      <c r="A229">
        <v>6</v>
      </c>
      <c r="B229" s="3">
        <v>44227</v>
      </c>
      <c r="C229" s="19">
        <v>0</v>
      </c>
      <c r="D229" s="3" t="s">
        <v>132</v>
      </c>
      <c r="E229" s="19">
        <v>0</v>
      </c>
      <c r="F229" s="3" t="s">
        <v>132</v>
      </c>
      <c r="G229" s="19">
        <v>54577483.130000003</v>
      </c>
      <c r="H229" s="3" t="s">
        <v>132</v>
      </c>
      <c r="K229" s="4"/>
      <c r="M229" s="5">
        <v>31.29</v>
      </c>
      <c r="N229" t="s">
        <v>89</v>
      </c>
      <c r="O229" s="20">
        <v>0</v>
      </c>
      <c r="P229" t="s">
        <v>132</v>
      </c>
      <c r="Q229" s="2">
        <v>1.9E-3</v>
      </c>
      <c r="R229" t="s">
        <v>89</v>
      </c>
      <c r="T229" s="4"/>
      <c r="AH229" t="str">
        <f>IFERROR(VLOOKUP($A229,fund_metadata!$A:$P,2,FALSE),"")</f>
        <v>Stepstone Private Markets</v>
      </c>
      <c r="AI229" t="str">
        <f>IFERROR(VLOOKUP($A229,fund_metadata!$A:$P,16,FALSE),"")</f>
        <v>secondaries</v>
      </c>
    </row>
    <row r="230" spans="1:35" x14ac:dyDescent="0.25">
      <c r="A230">
        <v>6</v>
      </c>
      <c r="B230" s="3">
        <v>44255</v>
      </c>
      <c r="C230" s="19">
        <v>0</v>
      </c>
      <c r="D230" s="3" t="s">
        <v>132</v>
      </c>
      <c r="E230" s="19">
        <v>0</v>
      </c>
      <c r="F230" s="3" t="s">
        <v>132</v>
      </c>
      <c r="G230" s="19">
        <v>58451080</v>
      </c>
      <c r="H230" s="3" t="s">
        <v>132</v>
      </c>
      <c r="K230" s="4"/>
      <c r="M230" s="5">
        <v>31.77</v>
      </c>
      <c r="N230" t="s">
        <v>89</v>
      </c>
      <c r="O230" s="20">
        <v>0</v>
      </c>
      <c r="P230" t="s">
        <v>132</v>
      </c>
      <c r="Q230" s="2">
        <v>1.5299999999999999E-2</v>
      </c>
      <c r="R230" t="s">
        <v>89</v>
      </c>
      <c r="T230" s="4"/>
      <c r="AH230" t="str">
        <f>IFERROR(VLOOKUP($A230,fund_metadata!$A:$P,2,FALSE),"")</f>
        <v>Stepstone Private Markets</v>
      </c>
      <c r="AI230" t="str">
        <f>IFERROR(VLOOKUP($A230,fund_metadata!$A:$P,16,FALSE),"")</f>
        <v>secondaries</v>
      </c>
    </row>
    <row r="231" spans="1:35" x14ac:dyDescent="0.25">
      <c r="A231">
        <v>6</v>
      </c>
      <c r="B231" s="3">
        <v>44286</v>
      </c>
      <c r="C231" s="19">
        <v>0</v>
      </c>
      <c r="D231" s="3" t="s">
        <v>132</v>
      </c>
      <c r="E231" s="19">
        <v>0</v>
      </c>
      <c r="F231" s="3" t="s">
        <v>132</v>
      </c>
      <c r="G231" s="19">
        <v>65848401</v>
      </c>
      <c r="H231" s="3" t="s">
        <v>132</v>
      </c>
      <c r="K231" s="4"/>
      <c r="M231" s="5">
        <v>32.729999999999997</v>
      </c>
      <c r="N231" t="s">
        <v>89</v>
      </c>
      <c r="O231" s="20">
        <v>0</v>
      </c>
      <c r="P231" t="s">
        <v>132</v>
      </c>
      <c r="Q231" s="2">
        <v>3.0200000000000001E-2</v>
      </c>
      <c r="R231" t="s">
        <v>89</v>
      </c>
      <c r="S231">
        <v>43</v>
      </c>
      <c r="T231" s="4">
        <v>115180000</v>
      </c>
      <c r="U231" t="s">
        <v>89</v>
      </c>
      <c r="V231">
        <v>2410487</v>
      </c>
      <c r="W231" t="s">
        <v>121</v>
      </c>
      <c r="AH231" t="str">
        <f>IFERROR(VLOOKUP($A231,fund_metadata!$A:$P,2,FALSE),"")</f>
        <v>Stepstone Private Markets</v>
      </c>
      <c r="AI231" t="str">
        <f>IFERROR(VLOOKUP($A231,fund_metadata!$A:$P,16,FALSE),"")</f>
        <v>secondaries</v>
      </c>
    </row>
    <row r="232" spans="1:35" x14ac:dyDescent="0.25">
      <c r="A232">
        <v>6</v>
      </c>
      <c r="B232" s="3">
        <v>44316</v>
      </c>
      <c r="C232" s="19">
        <v>0</v>
      </c>
      <c r="D232" s="3" t="s">
        <v>132</v>
      </c>
      <c r="E232" s="19">
        <v>0</v>
      </c>
      <c r="F232" s="3" t="s">
        <v>132</v>
      </c>
      <c r="G232" s="19">
        <v>83512008</v>
      </c>
      <c r="H232" s="3" t="s">
        <v>132</v>
      </c>
      <c r="K232" s="4"/>
      <c r="M232" s="5">
        <v>33.99</v>
      </c>
      <c r="N232" t="s">
        <v>89</v>
      </c>
      <c r="O232" s="20">
        <v>0</v>
      </c>
      <c r="P232" t="s">
        <v>132</v>
      </c>
      <c r="Q232" s="2">
        <v>3.85E-2</v>
      </c>
      <c r="R232" t="s">
        <v>89</v>
      </c>
      <c r="T232" s="4"/>
      <c r="AH232" t="str">
        <f>IFERROR(VLOOKUP($A232,fund_metadata!$A:$P,2,FALSE),"")</f>
        <v>Stepstone Private Markets</v>
      </c>
      <c r="AI232" t="str">
        <f>IFERROR(VLOOKUP($A232,fund_metadata!$A:$P,16,FALSE),"")</f>
        <v>secondaries</v>
      </c>
    </row>
    <row r="233" spans="1:35" x14ac:dyDescent="0.25">
      <c r="A233">
        <v>6</v>
      </c>
      <c r="B233" s="3">
        <v>44347</v>
      </c>
      <c r="C233" s="19">
        <v>0</v>
      </c>
      <c r="D233" s="3" t="s">
        <v>132</v>
      </c>
      <c r="E233" s="19">
        <v>0</v>
      </c>
      <c r="F233" s="3" t="s">
        <v>132</v>
      </c>
      <c r="G233" s="19">
        <v>98569537</v>
      </c>
      <c r="H233" s="3" t="s">
        <v>132</v>
      </c>
      <c r="K233" s="4"/>
      <c r="M233" s="5">
        <v>35.770000000000003</v>
      </c>
      <c r="N233" t="s">
        <v>89</v>
      </c>
      <c r="O233" s="20">
        <v>0</v>
      </c>
      <c r="P233" t="s">
        <v>132</v>
      </c>
      <c r="Q233" s="2">
        <v>5.2400000000000002E-2</v>
      </c>
      <c r="R233" t="s">
        <v>89</v>
      </c>
      <c r="T233" s="4"/>
      <c r="AH233" t="str">
        <f>IFERROR(VLOOKUP($A233,fund_metadata!$A:$P,2,FALSE),"")</f>
        <v>Stepstone Private Markets</v>
      </c>
      <c r="AI233" t="str">
        <f>IFERROR(VLOOKUP($A233,fund_metadata!$A:$P,16,FALSE),"")</f>
        <v>secondaries</v>
      </c>
    </row>
    <row r="234" spans="1:35" x14ac:dyDescent="0.25">
      <c r="A234">
        <v>6</v>
      </c>
      <c r="B234" s="3">
        <v>44377</v>
      </c>
      <c r="C234" s="19">
        <v>0</v>
      </c>
      <c r="D234" s="3" t="s">
        <v>132</v>
      </c>
      <c r="E234" s="19">
        <v>0</v>
      </c>
      <c r="F234" s="3" t="s">
        <v>132</v>
      </c>
      <c r="G234" s="19">
        <v>114215482</v>
      </c>
      <c r="H234" s="3" t="s">
        <v>132</v>
      </c>
      <c r="K234" s="4"/>
      <c r="M234" s="5">
        <v>36.159999999999997</v>
      </c>
      <c r="N234" t="s">
        <v>89</v>
      </c>
      <c r="O234" s="20">
        <v>0</v>
      </c>
      <c r="P234" t="s">
        <v>132</v>
      </c>
      <c r="Q234" s="2">
        <v>1.09E-2</v>
      </c>
      <c r="R234" t="s">
        <v>89</v>
      </c>
      <c r="S234">
        <v>57</v>
      </c>
      <c r="T234" s="4"/>
      <c r="AH234" t="str">
        <f>IFERROR(VLOOKUP($A234,fund_metadata!$A:$P,2,FALSE),"")</f>
        <v>Stepstone Private Markets</v>
      </c>
      <c r="AI234" t="str">
        <f>IFERROR(VLOOKUP($A234,fund_metadata!$A:$P,16,FALSE),"")</f>
        <v>secondaries</v>
      </c>
    </row>
    <row r="235" spans="1:35" x14ac:dyDescent="0.25">
      <c r="A235">
        <v>6</v>
      </c>
      <c r="B235" s="3">
        <v>44408</v>
      </c>
      <c r="C235" s="19">
        <v>0</v>
      </c>
      <c r="D235" s="3" t="s">
        <v>132</v>
      </c>
      <c r="E235" s="19">
        <v>0</v>
      </c>
      <c r="F235" s="3" t="s">
        <v>132</v>
      </c>
      <c r="G235" s="19">
        <v>137858583</v>
      </c>
      <c r="H235" s="3" t="s">
        <v>132</v>
      </c>
      <c r="K235" s="4"/>
      <c r="M235" s="5">
        <v>38</v>
      </c>
      <c r="N235" t="s">
        <v>89</v>
      </c>
      <c r="O235" s="20">
        <v>0</v>
      </c>
      <c r="P235" t="s">
        <v>132</v>
      </c>
      <c r="Q235" s="2">
        <v>5.0900000000000001E-2</v>
      </c>
      <c r="R235" t="s">
        <v>89</v>
      </c>
      <c r="T235" s="4"/>
      <c r="AH235" t="str">
        <f>IFERROR(VLOOKUP($A235,fund_metadata!$A:$P,2,FALSE),"")</f>
        <v>Stepstone Private Markets</v>
      </c>
      <c r="AI235" t="str">
        <f>IFERROR(VLOOKUP($A235,fund_metadata!$A:$P,16,FALSE),"")</f>
        <v>secondaries</v>
      </c>
    </row>
    <row r="236" spans="1:35" x14ac:dyDescent="0.25">
      <c r="A236">
        <v>6</v>
      </c>
      <c r="B236" s="3">
        <v>44439</v>
      </c>
      <c r="C236" s="19">
        <v>0</v>
      </c>
      <c r="D236" s="3" t="s">
        <v>132</v>
      </c>
      <c r="E236" s="19">
        <v>0</v>
      </c>
      <c r="F236" s="3" t="s">
        <v>132</v>
      </c>
      <c r="G236" s="19">
        <v>153134740</v>
      </c>
      <c r="H236" s="3" t="s">
        <v>132</v>
      </c>
      <c r="K236" s="4"/>
      <c r="M236" s="5">
        <v>40.270000000000003</v>
      </c>
      <c r="N236" t="s">
        <v>89</v>
      </c>
      <c r="O236" s="20">
        <v>0</v>
      </c>
      <c r="P236" t="s">
        <v>132</v>
      </c>
      <c r="Q236" s="2">
        <v>5.9700000000000003E-2</v>
      </c>
      <c r="R236" t="s">
        <v>89</v>
      </c>
      <c r="T236" s="4"/>
      <c r="AH236" t="str">
        <f>IFERROR(VLOOKUP($A236,fund_metadata!$A:$P,2,FALSE),"")</f>
        <v>Stepstone Private Markets</v>
      </c>
      <c r="AI236" t="str">
        <f>IFERROR(VLOOKUP($A236,fund_metadata!$A:$P,16,FALSE),"")</f>
        <v>secondaries</v>
      </c>
    </row>
    <row r="237" spans="1:35" x14ac:dyDescent="0.25">
      <c r="A237">
        <v>6</v>
      </c>
      <c r="B237" s="3">
        <v>44469</v>
      </c>
      <c r="C237" s="19">
        <v>0</v>
      </c>
      <c r="D237" s="3" t="s">
        <v>132</v>
      </c>
      <c r="E237" s="19">
        <v>0</v>
      </c>
      <c r="F237" s="3" t="s">
        <v>132</v>
      </c>
      <c r="G237" s="19">
        <v>182181188</v>
      </c>
      <c r="H237" s="3" t="s">
        <v>132</v>
      </c>
      <c r="K237" s="4"/>
      <c r="M237" s="5">
        <v>40.22</v>
      </c>
      <c r="N237" t="s">
        <v>89</v>
      </c>
      <c r="O237" s="20">
        <v>0</v>
      </c>
      <c r="P237" t="s">
        <v>132</v>
      </c>
      <c r="Q237" s="2">
        <v>-1.1999999999999999E-3</v>
      </c>
      <c r="R237" t="s">
        <v>89</v>
      </c>
      <c r="S237">
        <v>69</v>
      </c>
      <c r="T237" s="4">
        <v>222650000</v>
      </c>
      <c r="U237" t="s">
        <v>89</v>
      </c>
      <c r="V237">
        <v>4725736</v>
      </c>
      <c r="W237" t="s">
        <v>120</v>
      </c>
      <c r="AH237" t="str">
        <f>IFERROR(VLOOKUP($A237,fund_metadata!$A:$P,2,FALSE),"")</f>
        <v>Stepstone Private Markets</v>
      </c>
      <c r="AI237" t="str">
        <f>IFERROR(VLOOKUP($A237,fund_metadata!$A:$P,16,FALSE),"")</f>
        <v>secondaries</v>
      </c>
    </row>
    <row r="238" spans="1:35" x14ac:dyDescent="0.25">
      <c r="A238">
        <v>6</v>
      </c>
      <c r="B238" s="3">
        <v>44500</v>
      </c>
      <c r="C238" s="19">
        <v>0</v>
      </c>
      <c r="D238" s="3" t="s">
        <v>132</v>
      </c>
      <c r="E238" s="19">
        <v>0</v>
      </c>
      <c r="F238" s="3" t="s">
        <v>132</v>
      </c>
      <c r="G238" s="19">
        <v>198900566</v>
      </c>
      <c r="H238" s="3" t="s">
        <v>132</v>
      </c>
      <c r="K238" s="4"/>
      <c r="M238" s="5">
        <v>39.840000000000003</v>
      </c>
      <c r="N238" t="s">
        <v>89</v>
      </c>
      <c r="O238" s="20">
        <v>0</v>
      </c>
      <c r="P238" t="s">
        <v>132</v>
      </c>
      <c r="Q238" s="2">
        <v>-9.4000000000000004E-3</v>
      </c>
      <c r="R238" t="s">
        <v>89</v>
      </c>
      <c r="T238" s="4"/>
      <c r="AH238" t="str">
        <f>IFERROR(VLOOKUP($A238,fund_metadata!$A:$P,2,FALSE),"")</f>
        <v>Stepstone Private Markets</v>
      </c>
      <c r="AI238" t="str">
        <f>IFERROR(VLOOKUP($A238,fund_metadata!$A:$P,16,FALSE),"")</f>
        <v>secondaries</v>
      </c>
    </row>
    <row r="239" spans="1:35" x14ac:dyDescent="0.25">
      <c r="A239">
        <v>6</v>
      </c>
      <c r="B239" s="3">
        <v>44530</v>
      </c>
      <c r="C239" s="19">
        <v>0</v>
      </c>
      <c r="D239" s="3" t="s">
        <v>132</v>
      </c>
      <c r="E239" s="19">
        <v>0</v>
      </c>
      <c r="F239" s="3" t="s">
        <v>132</v>
      </c>
      <c r="G239" s="19">
        <v>218174850</v>
      </c>
      <c r="H239" s="3" t="s">
        <v>132</v>
      </c>
      <c r="K239" s="4"/>
      <c r="M239" s="5">
        <v>40.6</v>
      </c>
      <c r="N239" t="s">
        <v>89</v>
      </c>
      <c r="O239" s="20">
        <v>0</v>
      </c>
      <c r="P239" t="s">
        <v>132</v>
      </c>
      <c r="Q239" s="2">
        <v>1.9099999999999999E-2</v>
      </c>
      <c r="R239" t="s">
        <v>89</v>
      </c>
      <c r="T239" s="4"/>
      <c r="AH239" t="str">
        <f>IFERROR(VLOOKUP($A239,fund_metadata!$A:$P,2,FALSE),"")</f>
        <v>Stepstone Private Markets</v>
      </c>
      <c r="AI239" t="str">
        <f>IFERROR(VLOOKUP($A239,fund_metadata!$A:$P,16,FALSE),"")</f>
        <v>secondaries</v>
      </c>
    </row>
    <row r="240" spans="1:35" x14ac:dyDescent="0.25">
      <c r="A240">
        <v>6</v>
      </c>
      <c r="B240" s="3">
        <v>44561</v>
      </c>
      <c r="C240" s="19">
        <v>0</v>
      </c>
      <c r="D240" s="3" t="s">
        <v>132</v>
      </c>
      <c r="E240" s="19">
        <v>2864625</v>
      </c>
      <c r="F240" s="3" t="s">
        <v>132</v>
      </c>
      <c r="G240" s="19">
        <v>276692318</v>
      </c>
      <c r="H240" s="3" t="s">
        <v>132</v>
      </c>
      <c r="K240" s="4"/>
      <c r="M240" s="5">
        <v>41.17</v>
      </c>
      <c r="N240" t="s">
        <v>89</v>
      </c>
      <c r="O240" s="20">
        <v>0.38850000000000001</v>
      </c>
      <c r="P240" t="s">
        <v>132</v>
      </c>
      <c r="Q240" s="2">
        <v>2.3599999999999999E-2</v>
      </c>
      <c r="R240" t="s">
        <v>89</v>
      </c>
      <c r="S240">
        <v>98</v>
      </c>
      <c r="T240" s="4"/>
      <c r="AH240" t="str">
        <f>IFERROR(VLOOKUP($A240,fund_metadata!$A:$P,2,FALSE),"")</f>
        <v>Stepstone Private Markets</v>
      </c>
      <c r="AI240" t="str">
        <f>IFERROR(VLOOKUP($A240,fund_metadata!$A:$P,16,FALSE),"")</f>
        <v>secondaries</v>
      </c>
    </row>
    <row r="241" spans="1:35" x14ac:dyDescent="0.25">
      <c r="A241">
        <v>6</v>
      </c>
      <c r="B241" s="3">
        <v>44592</v>
      </c>
      <c r="C241" s="19">
        <v>0</v>
      </c>
      <c r="D241" s="3" t="s">
        <v>132</v>
      </c>
      <c r="E241" s="19">
        <v>0</v>
      </c>
      <c r="F241" s="3" t="s">
        <v>132</v>
      </c>
      <c r="G241" s="19">
        <v>304237551</v>
      </c>
      <c r="H241" s="3" t="s">
        <v>132</v>
      </c>
      <c r="K241" s="4"/>
      <c r="M241" s="5">
        <v>41.33</v>
      </c>
      <c r="N241" t="s">
        <v>89</v>
      </c>
      <c r="O241" s="20">
        <v>0</v>
      </c>
      <c r="P241" t="s">
        <v>132</v>
      </c>
      <c r="Q241" s="2">
        <v>3.8999999999999998E-3</v>
      </c>
      <c r="R241" t="s">
        <v>89</v>
      </c>
      <c r="T241" s="4"/>
      <c r="AH241" t="str">
        <f>IFERROR(VLOOKUP($A241,fund_metadata!$A:$P,2,FALSE),"")</f>
        <v>Stepstone Private Markets</v>
      </c>
      <c r="AI241" t="str">
        <f>IFERROR(VLOOKUP($A241,fund_metadata!$A:$P,16,FALSE),"")</f>
        <v>secondaries</v>
      </c>
    </row>
    <row r="242" spans="1:35" x14ac:dyDescent="0.25">
      <c r="A242">
        <v>6</v>
      </c>
      <c r="B242" s="3">
        <v>44620</v>
      </c>
      <c r="C242" s="19">
        <v>0</v>
      </c>
      <c r="D242" s="3" t="s">
        <v>132</v>
      </c>
      <c r="E242" s="19">
        <v>0</v>
      </c>
      <c r="F242" s="3" t="s">
        <v>132</v>
      </c>
      <c r="G242" s="19">
        <v>352903870</v>
      </c>
      <c r="H242" s="3" t="s">
        <v>132</v>
      </c>
      <c r="K242" s="4"/>
      <c r="M242" s="5">
        <v>41.67</v>
      </c>
      <c r="N242" t="s">
        <v>89</v>
      </c>
      <c r="O242" s="20">
        <v>0</v>
      </c>
      <c r="P242" t="s">
        <v>132</v>
      </c>
      <c r="Q242" s="2">
        <v>8.2000000000000007E-3</v>
      </c>
      <c r="R242" t="s">
        <v>89</v>
      </c>
      <c r="T242" s="4"/>
      <c r="AH242" t="str">
        <f>IFERROR(VLOOKUP($A242,fund_metadata!$A:$P,2,FALSE),"")</f>
        <v>Stepstone Private Markets</v>
      </c>
      <c r="AI242" t="str">
        <f>IFERROR(VLOOKUP($A242,fund_metadata!$A:$P,16,FALSE),"")</f>
        <v>secondaries</v>
      </c>
    </row>
    <row r="243" spans="1:35" x14ac:dyDescent="0.25">
      <c r="A243">
        <v>6</v>
      </c>
      <c r="B243" s="3">
        <v>44651</v>
      </c>
      <c r="C243" s="19">
        <v>0</v>
      </c>
      <c r="D243" s="3" t="s">
        <v>132</v>
      </c>
      <c r="E243" s="19">
        <v>1000495</v>
      </c>
      <c r="F243" s="3" t="s">
        <v>132</v>
      </c>
      <c r="G243" s="19">
        <v>400404377</v>
      </c>
      <c r="H243" s="3" t="s">
        <v>132</v>
      </c>
      <c r="K243" s="4"/>
      <c r="M243" s="5">
        <v>43.07</v>
      </c>
      <c r="N243" t="s">
        <v>89</v>
      </c>
      <c r="O243" s="20">
        <v>0.09</v>
      </c>
      <c r="P243" t="s">
        <v>132</v>
      </c>
      <c r="Q243" s="2">
        <v>3.5900000000000001E-2</v>
      </c>
      <c r="R243" t="s">
        <v>89</v>
      </c>
      <c r="S243">
        <v>107</v>
      </c>
      <c r="T243" s="4">
        <v>496220000</v>
      </c>
      <c r="U243" t="s">
        <v>89</v>
      </c>
      <c r="V243">
        <v>10337778</v>
      </c>
      <c r="W243" t="s">
        <v>121</v>
      </c>
      <c r="AH243" t="str">
        <f>IFERROR(VLOOKUP($A243,fund_metadata!$A:$P,2,FALSE),"")</f>
        <v>Stepstone Private Markets</v>
      </c>
      <c r="AI243" t="str">
        <f>IFERROR(VLOOKUP($A243,fund_metadata!$A:$P,16,FALSE),"")</f>
        <v>secondaries</v>
      </c>
    </row>
    <row r="244" spans="1:35" x14ac:dyDescent="0.25">
      <c r="A244">
        <v>6</v>
      </c>
      <c r="B244" s="3">
        <v>44681</v>
      </c>
      <c r="C244" s="19">
        <v>0</v>
      </c>
      <c r="D244" s="3" t="s">
        <v>132</v>
      </c>
      <c r="E244" s="19">
        <v>0</v>
      </c>
      <c r="F244" s="3" t="s">
        <v>132</v>
      </c>
      <c r="G244" s="19">
        <v>455989313</v>
      </c>
      <c r="H244" s="3" t="s">
        <v>132</v>
      </c>
      <c r="K244" s="4"/>
      <c r="M244" s="5">
        <v>43.65</v>
      </c>
      <c r="N244" t="s">
        <v>89</v>
      </c>
      <c r="O244" s="20">
        <v>0</v>
      </c>
      <c r="P244" t="s">
        <v>132</v>
      </c>
      <c r="Q244" s="2">
        <v>1.35E-2</v>
      </c>
      <c r="R244" t="s">
        <v>89</v>
      </c>
      <c r="T244" s="4"/>
      <c r="AH244" t="str">
        <f>IFERROR(VLOOKUP($A244,fund_metadata!$A:$P,2,FALSE),"")</f>
        <v>Stepstone Private Markets</v>
      </c>
      <c r="AI244" t="str">
        <f>IFERROR(VLOOKUP($A244,fund_metadata!$A:$P,16,FALSE),"")</f>
        <v>secondaries</v>
      </c>
    </row>
    <row r="245" spans="1:35" x14ac:dyDescent="0.25">
      <c r="A245">
        <v>6</v>
      </c>
      <c r="B245" s="3">
        <v>44712</v>
      </c>
      <c r="C245" s="19">
        <v>0</v>
      </c>
      <c r="D245" s="3" t="s">
        <v>132</v>
      </c>
      <c r="E245" s="19">
        <v>0</v>
      </c>
      <c r="F245" s="3" t="s">
        <v>132</v>
      </c>
      <c r="G245" s="19">
        <v>516543792</v>
      </c>
      <c r="H245" s="3" t="s">
        <v>132</v>
      </c>
      <c r="K245" s="4"/>
      <c r="M245" s="5">
        <v>43.97</v>
      </c>
      <c r="N245" t="s">
        <v>89</v>
      </c>
      <c r="O245" s="20">
        <v>0</v>
      </c>
      <c r="P245" t="s">
        <v>132</v>
      </c>
      <c r="Q245" s="2">
        <v>7.3000000000000001E-3</v>
      </c>
      <c r="R245" t="s">
        <v>89</v>
      </c>
      <c r="T245" s="4"/>
      <c r="AH245" t="str">
        <f>IFERROR(VLOOKUP($A245,fund_metadata!$A:$P,2,FALSE),"")</f>
        <v>Stepstone Private Markets</v>
      </c>
      <c r="AI245" t="str">
        <f>IFERROR(VLOOKUP($A245,fund_metadata!$A:$P,16,FALSE),"")</f>
        <v>secondaries</v>
      </c>
    </row>
    <row r="246" spans="1:35" x14ac:dyDescent="0.25">
      <c r="A246">
        <v>6</v>
      </c>
      <c r="B246" s="3">
        <v>44742</v>
      </c>
      <c r="C246" s="19">
        <v>294589</v>
      </c>
      <c r="D246" s="3" t="s">
        <v>132</v>
      </c>
      <c r="E246" s="19">
        <v>4401172</v>
      </c>
      <c r="F246" s="3" t="s">
        <v>132</v>
      </c>
      <c r="G246" s="19">
        <v>562960850</v>
      </c>
      <c r="H246" s="3" t="s">
        <v>132</v>
      </c>
      <c r="K246" s="4"/>
      <c r="M246" s="5">
        <v>43.6</v>
      </c>
      <c r="N246" t="s">
        <v>89</v>
      </c>
      <c r="O246" s="20">
        <v>0.32</v>
      </c>
      <c r="P246" t="s">
        <v>132</v>
      </c>
      <c r="Q246" s="2">
        <v>-1.1000000000000001E-3</v>
      </c>
      <c r="R246" t="s">
        <v>89</v>
      </c>
      <c r="S246">
        <v>135</v>
      </c>
      <c r="T246" s="4"/>
      <c r="AH246" t="str">
        <f>IFERROR(VLOOKUP($A246,fund_metadata!$A:$P,2,FALSE),"")</f>
        <v>Stepstone Private Markets</v>
      </c>
      <c r="AI246" t="str">
        <f>IFERROR(VLOOKUP($A246,fund_metadata!$A:$P,16,FALSE),"")</f>
        <v>secondaries</v>
      </c>
    </row>
    <row r="247" spans="1:35" x14ac:dyDescent="0.25">
      <c r="A247">
        <v>6</v>
      </c>
      <c r="B247" s="3">
        <v>44773</v>
      </c>
      <c r="C247" s="19">
        <v>0</v>
      </c>
      <c r="D247" s="3" t="s">
        <v>132</v>
      </c>
      <c r="E247" s="19">
        <v>0</v>
      </c>
      <c r="F247" s="3" t="s">
        <v>132</v>
      </c>
      <c r="G247" s="19">
        <v>594935166</v>
      </c>
      <c r="H247" s="3" t="s">
        <v>132</v>
      </c>
      <c r="K247" s="4"/>
      <c r="M247" s="5">
        <v>43.71</v>
      </c>
      <c r="N247" t="s">
        <v>89</v>
      </c>
      <c r="O247" s="20">
        <v>0</v>
      </c>
      <c r="P247" t="s">
        <v>132</v>
      </c>
      <c r="Q247" s="2">
        <v>2.5000000000000001E-3</v>
      </c>
      <c r="R247" t="s">
        <v>89</v>
      </c>
      <c r="T247" s="4"/>
      <c r="AH247" t="str">
        <f>IFERROR(VLOOKUP($A247,fund_metadata!$A:$P,2,FALSE),"")</f>
        <v>Stepstone Private Markets</v>
      </c>
      <c r="AI247" t="str">
        <f>IFERROR(VLOOKUP($A247,fund_metadata!$A:$P,16,FALSE),"")</f>
        <v>secondaries</v>
      </c>
    </row>
    <row r="248" spans="1:35" x14ac:dyDescent="0.25">
      <c r="A248">
        <v>6</v>
      </c>
      <c r="B248" s="3">
        <v>44804</v>
      </c>
      <c r="C248" s="19">
        <v>0</v>
      </c>
      <c r="D248" s="3" t="s">
        <v>132</v>
      </c>
      <c r="E248" s="19">
        <v>0</v>
      </c>
      <c r="F248" s="3" t="s">
        <v>132</v>
      </c>
      <c r="G248" s="19">
        <v>647633015</v>
      </c>
      <c r="H248" s="3" t="s">
        <v>132</v>
      </c>
      <c r="K248" s="4"/>
      <c r="M248" s="5">
        <v>43.32</v>
      </c>
      <c r="N248" t="s">
        <v>89</v>
      </c>
      <c r="O248" s="20">
        <v>0</v>
      </c>
      <c r="P248" t="s">
        <v>132</v>
      </c>
      <c r="Q248" s="2">
        <v>-8.8999999999999999E-3</v>
      </c>
      <c r="R248" t="s">
        <v>89</v>
      </c>
      <c r="T248" s="4"/>
      <c r="AH248" t="str">
        <f>IFERROR(VLOOKUP($A248,fund_metadata!$A:$P,2,FALSE),"")</f>
        <v>Stepstone Private Markets</v>
      </c>
      <c r="AI248" t="str">
        <f>IFERROR(VLOOKUP($A248,fund_metadata!$A:$P,16,FALSE),"")</f>
        <v>secondaries</v>
      </c>
    </row>
    <row r="249" spans="1:35" x14ac:dyDescent="0.25">
      <c r="A249">
        <v>6</v>
      </c>
      <c r="B249" s="3">
        <v>44834</v>
      </c>
      <c r="C249" s="19">
        <v>3636542</v>
      </c>
      <c r="D249" s="3" t="s">
        <v>132</v>
      </c>
      <c r="E249" s="19">
        <v>0</v>
      </c>
      <c r="F249" s="3" t="s">
        <v>132</v>
      </c>
      <c r="G249" s="19">
        <v>704405554</v>
      </c>
      <c r="H249" s="3" t="s">
        <v>132</v>
      </c>
      <c r="K249" s="4"/>
      <c r="M249" s="5">
        <v>43.26</v>
      </c>
      <c r="N249" t="s">
        <v>89</v>
      </c>
      <c r="O249" s="20">
        <v>0</v>
      </c>
      <c r="P249" t="s">
        <v>132</v>
      </c>
      <c r="Q249" s="2">
        <v>-1.4E-3</v>
      </c>
      <c r="R249" t="s">
        <v>89</v>
      </c>
      <c r="S249">
        <v>140</v>
      </c>
      <c r="T249" s="4">
        <v>869720000</v>
      </c>
      <c r="U249" t="s">
        <v>89</v>
      </c>
      <c r="V249">
        <v>16729144</v>
      </c>
      <c r="W249" t="s">
        <v>120</v>
      </c>
      <c r="AH249" t="str">
        <f>IFERROR(VLOOKUP($A249,fund_metadata!$A:$P,2,FALSE),"")</f>
        <v>Stepstone Private Markets</v>
      </c>
      <c r="AI249" t="str">
        <f>IFERROR(VLOOKUP($A249,fund_metadata!$A:$P,16,FALSE),"")</f>
        <v>secondaries</v>
      </c>
    </row>
    <row r="250" spans="1:35" x14ac:dyDescent="0.25">
      <c r="A250">
        <v>6</v>
      </c>
      <c r="B250" s="3">
        <v>44865</v>
      </c>
      <c r="C250" s="19">
        <v>0</v>
      </c>
      <c r="D250" s="3" t="s">
        <v>132</v>
      </c>
      <c r="E250" s="19">
        <v>0</v>
      </c>
      <c r="F250" s="3" t="s">
        <v>132</v>
      </c>
      <c r="G250" s="19">
        <v>768243817</v>
      </c>
      <c r="H250" s="3" t="s">
        <v>132</v>
      </c>
      <c r="K250" s="4"/>
      <c r="M250" s="5">
        <v>43.5</v>
      </c>
      <c r="N250" t="s">
        <v>89</v>
      </c>
      <c r="O250" s="20">
        <v>0</v>
      </c>
      <c r="P250" t="s">
        <v>132</v>
      </c>
      <c r="Q250" s="2">
        <v>5.4999999999999997E-3</v>
      </c>
      <c r="R250" t="s">
        <v>89</v>
      </c>
      <c r="T250" s="4"/>
      <c r="AH250" t="str">
        <f>IFERROR(VLOOKUP($A250,fund_metadata!$A:$P,2,FALSE),"")</f>
        <v>Stepstone Private Markets</v>
      </c>
      <c r="AI250" t="str">
        <f>IFERROR(VLOOKUP($A250,fund_metadata!$A:$P,16,FALSE),"")</f>
        <v>secondaries</v>
      </c>
    </row>
    <row r="251" spans="1:35" x14ac:dyDescent="0.25">
      <c r="A251">
        <v>6</v>
      </c>
      <c r="B251" s="3">
        <v>44895</v>
      </c>
      <c r="C251" s="19">
        <v>0</v>
      </c>
      <c r="D251" s="3" t="s">
        <v>132</v>
      </c>
      <c r="E251" s="19">
        <v>0</v>
      </c>
      <c r="F251" s="3" t="s">
        <v>132</v>
      </c>
      <c r="G251" s="19">
        <v>832082281</v>
      </c>
      <c r="H251" s="3" t="s">
        <v>132</v>
      </c>
      <c r="K251" s="4"/>
      <c r="M251" s="5">
        <v>44.16</v>
      </c>
      <c r="N251" t="s">
        <v>89</v>
      </c>
      <c r="O251" s="20">
        <v>0</v>
      </c>
      <c r="P251" t="s">
        <v>132</v>
      </c>
      <c r="Q251" s="2">
        <v>1.52E-2</v>
      </c>
      <c r="R251" t="s">
        <v>89</v>
      </c>
      <c r="T251" s="4"/>
      <c r="AH251" t="str">
        <f>IFERROR(VLOOKUP($A251,fund_metadata!$A:$P,2,FALSE),"")</f>
        <v>Stepstone Private Markets</v>
      </c>
      <c r="AI251" t="str">
        <f>IFERROR(VLOOKUP($A251,fund_metadata!$A:$P,16,FALSE),"")</f>
        <v>secondaries</v>
      </c>
    </row>
    <row r="252" spans="1:35" x14ac:dyDescent="0.25">
      <c r="A252">
        <v>6</v>
      </c>
      <c r="B252" s="3">
        <v>44926</v>
      </c>
      <c r="C252" s="19">
        <v>12504453</v>
      </c>
      <c r="D252" s="3" t="s">
        <v>132</v>
      </c>
      <c r="E252" s="19">
        <v>13001801</v>
      </c>
      <c r="F252" s="3" t="s">
        <v>132</v>
      </c>
      <c r="G252" s="19">
        <v>885686017</v>
      </c>
      <c r="H252" s="3" t="s">
        <v>132</v>
      </c>
      <c r="K252" s="4"/>
      <c r="M252" s="5">
        <v>43.75</v>
      </c>
      <c r="N252" t="s">
        <v>89</v>
      </c>
      <c r="O252" s="20">
        <v>0.63429999999999997</v>
      </c>
      <c r="P252" t="s">
        <v>132</v>
      </c>
      <c r="Q252" s="2">
        <v>4.8999999999999998E-3</v>
      </c>
      <c r="R252" t="s">
        <v>89</v>
      </c>
      <c r="S252">
        <v>150</v>
      </c>
      <c r="T252" s="4"/>
      <c r="AH252" t="str">
        <f>IFERROR(VLOOKUP($A252,fund_metadata!$A:$P,2,FALSE),"")</f>
        <v>Stepstone Private Markets</v>
      </c>
      <c r="AI252" t="str">
        <f>IFERROR(VLOOKUP($A252,fund_metadata!$A:$P,16,FALSE),"")</f>
        <v>secondaries</v>
      </c>
    </row>
    <row r="253" spans="1:35" x14ac:dyDescent="0.25">
      <c r="A253">
        <v>6</v>
      </c>
      <c r="B253" s="3">
        <v>44957</v>
      </c>
      <c r="C253" s="19">
        <v>0</v>
      </c>
      <c r="D253" s="3" t="s">
        <v>132</v>
      </c>
      <c r="E253" s="19">
        <v>0</v>
      </c>
      <c r="F253" s="3" t="s">
        <v>132</v>
      </c>
      <c r="G253" s="19">
        <v>891579363</v>
      </c>
      <c r="H253" s="3" t="s">
        <v>132</v>
      </c>
      <c r="K253" s="4"/>
      <c r="M253" s="5">
        <v>45.98</v>
      </c>
      <c r="N253" t="s">
        <v>89</v>
      </c>
      <c r="O253" s="20">
        <v>0</v>
      </c>
      <c r="P253" t="s">
        <v>132</v>
      </c>
      <c r="Q253" s="2">
        <v>5.0999999999999997E-2</v>
      </c>
      <c r="R253" t="s">
        <v>89</v>
      </c>
      <c r="T253" s="4"/>
      <c r="AH253" t="str">
        <f>IFERROR(VLOOKUP($A253,fund_metadata!$A:$P,2,FALSE),"")</f>
        <v>Stepstone Private Markets</v>
      </c>
      <c r="AI253" t="str">
        <f>IFERROR(VLOOKUP($A253,fund_metadata!$A:$P,16,FALSE),"")</f>
        <v>secondaries</v>
      </c>
    </row>
    <row r="254" spans="1:35" x14ac:dyDescent="0.25">
      <c r="A254">
        <v>6</v>
      </c>
      <c r="B254" s="3">
        <v>44985</v>
      </c>
      <c r="C254" s="19">
        <v>0</v>
      </c>
      <c r="D254" s="3" t="s">
        <v>132</v>
      </c>
      <c r="E254" s="19">
        <v>0</v>
      </c>
      <c r="F254" s="3" t="s">
        <v>132</v>
      </c>
      <c r="G254" s="19">
        <v>985531522</v>
      </c>
      <c r="H254" s="3" t="s">
        <v>132</v>
      </c>
      <c r="K254" s="4"/>
      <c r="M254" s="5">
        <v>45.74</v>
      </c>
      <c r="N254" t="s">
        <v>89</v>
      </c>
      <c r="O254" s="20">
        <v>0</v>
      </c>
      <c r="P254" t="s">
        <v>132</v>
      </c>
      <c r="Q254" s="2">
        <v>-5.1999999999999998E-3</v>
      </c>
      <c r="R254" t="s">
        <v>89</v>
      </c>
      <c r="T254" s="4"/>
      <c r="AH254" t="str">
        <f>IFERROR(VLOOKUP($A254,fund_metadata!$A:$P,2,FALSE),"")</f>
        <v>Stepstone Private Markets</v>
      </c>
      <c r="AI254" t="str">
        <f>IFERROR(VLOOKUP($A254,fund_metadata!$A:$P,16,FALSE),"")</f>
        <v>secondaries</v>
      </c>
    </row>
    <row r="255" spans="1:35" x14ac:dyDescent="0.25">
      <c r="A255">
        <v>6</v>
      </c>
      <c r="B255" s="3">
        <v>45016</v>
      </c>
      <c r="C255" s="19">
        <v>12646671</v>
      </c>
      <c r="D255" s="3" t="s">
        <v>132</v>
      </c>
      <c r="E255" s="19">
        <v>0</v>
      </c>
      <c r="F255" s="3" t="s">
        <v>132</v>
      </c>
      <c r="G255" s="19">
        <v>1015257544</v>
      </c>
      <c r="H255" s="3" t="s">
        <v>132</v>
      </c>
      <c r="K255" s="4">
        <v>1050000000</v>
      </c>
      <c r="L255" t="s">
        <v>89</v>
      </c>
      <c r="M255" s="5">
        <v>46.15</v>
      </c>
      <c r="N255" t="s">
        <v>89</v>
      </c>
      <c r="O255" s="20">
        <v>0</v>
      </c>
      <c r="P255" t="s">
        <v>132</v>
      </c>
      <c r="Q255" s="2">
        <v>8.9999999999999993E-3</v>
      </c>
      <c r="R255" t="s">
        <v>89</v>
      </c>
      <c r="S255">
        <v>158</v>
      </c>
      <c r="T255" s="4">
        <v>1150000000</v>
      </c>
      <c r="U255" t="s">
        <v>89</v>
      </c>
      <c r="AH255" t="str">
        <f>IFERROR(VLOOKUP($A255,fund_metadata!$A:$P,2,FALSE),"")</f>
        <v>Stepstone Private Markets</v>
      </c>
      <c r="AI255" t="str">
        <f>IFERROR(VLOOKUP($A255,fund_metadata!$A:$P,16,FALSE),"")</f>
        <v>secondaries</v>
      </c>
    </row>
    <row r="256" spans="1:35" x14ac:dyDescent="0.25">
      <c r="A256">
        <v>6</v>
      </c>
      <c r="B256" s="3">
        <v>45046</v>
      </c>
      <c r="C256" s="19">
        <v>0</v>
      </c>
      <c r="D256" s="3" t="s">
        <v>132</v>
      </c>
      <c r="E256" s="19">
        <v>0</v>
      </c>
      <c r="F256" s="3" t="s">
        <v>132</v>
      </c>
      <c r="G256" s="19">
        <v>1064821975</v>
      </c>
      <c r="H256" s="3" t="s">
        <v>132</v>
      </c>
      <c r="K256" s="4"/>
      <c r="M256" s="5">
        <v>46.46</v>
      </c>
      <c r="N256" t="s">
        <v>89</v>
      </c>
      <c r="O256" s="20">
        <v>0</v>
      </c>
      <c r="P256" t="s">
        <v>132</v>
      </c>
      <c r="Q256" s="2">
        <v>6.7000000000000002E-3</v>
      </c>
      <c r="R256" t="s">
        <v>89</v>
      </c>
      <c r="T256" s="4"/>
      <c r="AH256" t="str">
        <f>IFERROR(VLOOKUP($A256,fund_metadata!$A:$P,2,FALSE),"")</f>
        <v>Stepstone Private Markets</v>
      </c>
      <c r="AI256" t="str">
        <f>IFERROR(VLOOKUP($A256,fund_metadata!$A:$P,16,FALSE),"")</f>
        <v>secondaries</v>
      </c>
    </row>
    <row r="257" spans="1:35" x14ac:dyDescent="0.25">
      <c r="A257">
        <v>6</v>
      </c>
      <c r="B257" s="3">
        <v>45077</v>
      </c>
      <c r="C257" s="19">
        <v>0</v>
      </c>
      <c r="D257" s="3" t="s">
        <v>132</v>
      </c>
      <c r="E257" s="19">
        <v>0</v>
      </c>
      <c r="F257" s="3" t="s">
        <v>132</v>
      </c>
      <c r="G257" s="19">
        <v>1116359777</v>
      </c>
      <c r="H257" s="3" t="s">
        <v>132</v>
      </c>
      <c r="K257" s="4"/>
      <c r="M257" s="5">
        <v>46.22</v>
      </c>
      <c r="N257" t="s">
        <v>89</v>
      </c>
      <c r="O257" s="20">
        <v>0</v>
      </c>
      <c r="P257" t="s">
        <v>132</v>
      </c>
      <c r="Q257" s="2">
        <v>-5.1999999999999998E-3</v>
      </c>
      <c r="R257" t="s">
        <v>89</v>
      </c>
      <c r="T257" s="4"/>
      <c r="AH257" t="str">
        <f>IFERROR(VLOOKUP($A257,fund_metadata!$A:$P,2,FALSE),"")</f>
        <v>Stepstone Private Markets</v>
      </c>
      <c r="AI257" t="str">
        <f>IFERROR(VLOOKUP($A257,fund_metadata!$A:$P,16,FALSE),"")</f>
        <v>secondaries</v>
      </c>
    </row>
    <row r="258" spans="1:35" x14ac:dyDescent="0.25">
      <c r="A258">
        <v>6</v>
      </c>
      <c r="B258" s="3">
        <v>45107</v>
      </c>
      <c r="C258" s="19">
        <v>12861999</v>
      </c>
      <c r="D258" s="3" t="s">
        <v>132</v>
      </c>
      <c r="E258" s="19">
        <v>0</v>
      </c>
      <c r="F258" s="3" t="s">
        <v>132</v>
      </c>
      <c r="G258" s="19">
        <v>1151970022</v>
      </c>
      <c r="H258" s="3" t="s">
        <v>132</v>
      </c>
      <c r="K258" s="4"/>
      <c r="M258" s="5">
        <v>47.44</v>
      </c>
      <c r="N258" t="s">
        <v>89</v>
      </c>
      <c r="O258" s="20">
        <v>0</v>
      </c>
      <c r="P258" t="s">
        <v>132</v>
      </c>
      <c r="Q258" s="2">
        <v>2.64E-2</v>
      </c>
      <c r="R258" t="s">
        <v>89</v>
      </c>
      <c r="S258">
        <v>166</v>
      </c>
      <c r="T258" s="4"/>
      <c r="AH258" t="str">
        <f>IFERROR(VLOOKUP($A258,fund_metadata!$A:$P,2,FALSE),"")</f>
        <v>Stepstone Private Markets</v>
      </c>
      <c r="AI258" t="str">
        <f>IFERROR(VLOOKUP($A258,fund_metadata!$A:$P,16,FALSE),"")</f>
        <v>secondaries</v>
      </c>
    </row>
    <row r="259" spans="1:35" x14ac:dyDescent="0.25">
      <c r="A259">
        <v>6</v>
      </c>
      <c r="B259" s="3">
        <v>45138</v>
      </c>
      <c r="C259" s="19">
        <v>0</v>
      </c>
      <c r="D259" s="3" t="s">
        <v>132</v>
      </c>
      <c r="E259" s="19">
        <v>0</v>
      </c>
      <c r="F259" s="3" t="s">
        <v>132</v>
      </c>
      <c r="G259" s="19">
        <v>1245920341</v>
      </c>
      <c r="H259" s="3" t="s">
        <v>132</v>
      </c>
      <c r="K259" s="4">
        <v>1360000000</v>
      </c>
      <c r="L259" t="s">
        <v>89</v>
      </c>
      <c r="M259" s="5">
        <v>48.29</v>
      </c>
      <c r="N259" t="s">
        <v>89</v>
      </c>
      <c r="O259" s="20">
        <v>0</v>
      </c>
      <c r="P259" t="s">
        <v>132</v>
      </c>
      <c r="Q259" s="2">
        <v>1.7899999999999999E-2</v>
      </c>
      <c r="R259" t="s">
        <v>89</v>
      </c>
      <c r="T259" s="4"/>
      <c r="AH259" t="str">
        <f>IFERROR(VLOOKUP($A259,fund_metadata!$A:$P,2,FALSE),"")</f>
        <v>Stepstone Private Markets</v>
      </c>
      <c r="AI259" t="str">
        <f>IFERROR(VLOOKUP($A259,fund_metadata!$A:$P,16,FALSE),"")</f>
        <v>secondaries</v>
      </c>
    </row>
    <row r="260" spans="1:35" x14ac:dyDescent="0.25">
      <c r="A260">
        <v>6</v>
      </c>
      <c r="B260" s="3">
        <v>45169</v>
      </c>
      <c r="C260" s="19">
        <v>0</v>
      </c>
      <c r="D260" s="3" t="s">
        <v>132</v>
      </c>
      <c r="E260" s="19">
        <v>0</v>
      </c>
      <c r="F260" s="3" t="s">
        <v>132</v>
      </c>
      <c r="G260" s="19">
        <v>1362127991</v>
      </c>
      <c r="H260" s="3" t="s">
        <v>132</v>
      </c>
      <c r="K260" s="4">
        <v>1450000000</v>
      </c>
      <c r="L260" t="s">
        <v>89</v>
      </c>
      <c r="M260" s="5">
        <v>47.45</v>
      </c>
      <c r="N260" t="s">
        <v>89</v>
      </c>
      <c r="O260" s="20">
        <v>0</v>
      </c>
      <c r="P260" t="s">
        <v>132</v>
      </c>
      <c r="Q260" s="2">
        <v>-1.7399999999999999E-2</v>
      </c>
      <c r="R260" t="s">
        <v>89</v>
      </c>
      <c r="T260" s="4"/>
      <c r="AH260" t="str">
        <f>IFERROR(VLOOKUP($A260,fund_metadata!$A:$P,2,FALSE),"")</f>
        <v>Stepstone Private Markets</v>
      </c>
      <c r="AI260" t="str">
        <f>IFERROR(VLOOKUP($A260,fund_metadata!$A:$P,16,FALSE),"")</f>
        <v>secondaries</v>
      </c>
    </row>
    <row r="261" spans="1:35" x14ac:dyDescent="0.25">
      <c r="A261">
        <v>6</v>
      </c>
      <c r="B261" s="3">
        <v>45199</v>
      </c>
      <c r="C261" s="19">
        <v>20425053</v>
      </c>
      <c r="D261" s="3" t="s">
        <v>132</v>
      </c>
      <c r="E261" s="19">
        <v>0</v>
      </c>
      <c r="F261" s="3" t="s">
        <v>132</v>
      </c>
      <c r="G261" s="19">
        <v>1485618710</v>
      </c>
      <c r="H261" s="3" t="s">
        <v>132</v>
      </c>
      <c r="K261" s="4">
        <v>1540000000</v>
      </c>
      <c r="L261" t="s">
        <v>89</v>
      </c>
      <c r="M261" s="5">
        <v>47.2</v>
      </c>
      <c r="N261" t="s">
        <v>89</v>
      </c>
      <c r="O261" s="20">
        <v>0</v>
      </c>
      <c r="P261" t="s">
        <v>132</v>
      </c>
      <c r="Q261" s="2">
        <v>-5.3E-3</v>
      </c>
      <c r="R261" t="s">
        <v>89</v>
      </c>
      <c r="S261">
        <v>178</v>
      </c>
      <c r="T261" s="4">
        <v>1560000000</v>
      </c>
      <c r="U261" t="s">
        <v>89</v>
      </c>
      <c r="AH261" t="str">
        <f>IFERROR(VLOOKUP($A261,fund_metadata!$A:$P,2,FALSE),"")</f>
        <v>Stepstone Private Markets</v>
      </c>
      <c r="AI261" t="str">
        <f>IFERROR(VLOOKUP($A261,fund_metadata!$A:$P,16,FALSE),"")</f>
        <v>secondaries</v>
      </c>
    </row>
    <row r="262" spans="1:35" x14ac:dyDescent="0.25">
      <c r="A262">
        <v>6</v>
      </c>
      <c r="B262" s="3">
        <v>45230</v>
      </c>
      <c r="C262" s="19">
        <v>0</v>
      </c>
      <c r="D262" s="3" t="s">
        <v>132</v>
      </c>
      <c r="E262" s="19">
        <v>0</v>
      </c>
      <c r="F262" s="3" t="s">
        <v>132</v>
      </c>
      <c r="G262" s="19">
        <v>1531410529</v>
      </c>
      <c r="H262" s="3" t="s">
        <v>132</v>
      </c>
      <c r="K262" s="4">
        <v>1570000000</v>
      </c>
      <c r="L262" t="s">
        <v>89</v>
      </c>
      <c r="M262" s="5">
        <v>47.19</v>
      </c>
      <c r="N262" t="s">
        <v>89</v>
      </c>
      <c r="O262" s="20">
        <v>0</v>
      </c>
      <c r="P262" t="s">
        <v>132</v>
      </c>
      <c r="Q262" s="2">
        <v>-2.0000000000000001E-4</v>
      </c>
      <c r="R262" t="s">
        <v>89</v>
      </c>
      <c r="T262" s="4"/>
      <c r="AH262" t="str">
        <f>IFERROR(VLOOKUP($A262,fund_metadata!$A:$P,2,FALSE),"")</f>
        <v>Stepstone Private Markets</v>
      </c>
      <c r="AI262" t="str">
        <f>IFERROR(VLOOKUP($A262,fund_metadata!$A:$P,16,FALSE),"")</f>
        <v>secondaries</v>
      </c>
    </row>
    <row r="263" spans="1:35" x14ac:dyDescent="0.25">
      <c r="A263">
        <v>6</v>
      </c>
      <c r="B263" s="3">
        <v>45260</v>
      </c>
      <c r="C263" s="19">
        <v>0</v>
      </c>
      <c r="D263" s="3" t="s">
        <v>132</v>
      </c>
      <c r="E263" s="19">
        <v>5591922</v>
      </c>
      <c r="F263" s="3" t="s">
        <v>132</v>
      </c>
      <c r="G263" s="19">
        <v>1597459842</v>
      </c>
      <c r="H263" s="3" t="s">
        <v>132</v>
      </c>
      <c r="K263" s="4">
        <v>1690000000</v>
      </c>
      <c r="L263" t="s">
        <v>89</v>
      </c>
      <c r="M263" s="5">
        <v>48.51</v>
      </c>
      <c r="N263" t="s">
        <v>89</v>
      </c>
      <c r="O263" s="20">
        <v>0.161</v>
      </c>
      <c r="P263" t="s">
        <v>132</v>
      </c>
      <c r="Q263" s="2">
        <v>3.1399999999999997E-2</v>
      </c>
      <c r="R263" t="s">
        <v>89</v>
      </c>
      <c r="T263" s="4"/>
      <c r="AH263" t="str">
        <f>IFERROR(VLOOKUP($A263,fund_metadata!$A:$P,2,FALSE),"")</f>
        <v>Stepstone Private Markets</v>
      </c>
      <c r="AI263" t="str">
        <f>IFERROR(VLOOKUP($A263,fund_metadata!$A:$P,16,FALSE),"")</f>
        <v>secondaries</v>
      </c>
    </row>
    <row r="264" spans="1:35" x14ac:dyDescent="0.25">
      <c r="A264">
        <v>6</v>
      </c>
      <c r="B264" s="3">
        <v>45291</v>
      </c>
      <c r="C264" s="19">
        <v>17942127</v>
      </c>
      <c r="D264" s="3" t="s">
        <v>132</v>
      </c>
      <c r="E264" s="19">
        <v>0</v>
      </c>
      <c r="F264" s="3" t="s">
        <v>132</v>
      </c>
      <c r="G264" s="19">
        <v>1715889929</v>
      </c>
      <c r="H264" s="3" t="s">
        <v>132</v>
      </c>
      <c r="K264" s="4">
        <v>1790000000</v>
      </c>
      <c r="L264" t="s">
        <v>89</v>
      </c>
      <c r="M264" s="5">
        <v>49.39</v>
      </c>
      <c r="N264" t="s">
        <v>89</v>
      </c>
      <c r="O264" s="20">
        <v>0</v>
      </c>
      <c r="P264" t="s">
        <v>132</v>
      </c>
      <c r="Q264" s="2">
        <v>1.8100000000000002E-2</v>
      </c>
      <c r="R264" t="s">
        <v>89</v>
      </c>
      <c r="S264">
        <v>190</v>
      </c>
      <c r="T264" s="4"/>
      <c r="AH264" t="str">
        <f>IFERROR(VLOOKUP($A264,fund_metadata!$A:$P,2,FALSE),"")</f>
        <v>Stepstone Private Markets</v>
      </c>
      <c r="AI264" t="str">
        <f>IFERROR(VLOOKUP($A264,fund_metadata!$A:$P,16,FALSE),"")</f>
        <v>secondaries</v>
      </c>
    </row>
    <row r="265" spans="1:35" x14ac:dyDescent="0.25">
      <c r="A265">
        <v>6</v>
      </c>
      <c r="B265" s="3">
        <v>45322</v>
      </c>
      <c r="C265" s="19">
        <v>0</v>
      </c>
      <c r="D265" s="3" t="s">
        <v>132</v>
      </c>
      <c r="E265" s="19">
        <v>0</v>
      </c>
      <c r="F265" s="3" t="s">
        <v>132</v>
      </c>
      <c r="G265" s="19">
        <v>1823437913</v>
      </c>
      <c r="H265" s="3" t="s">
        <v>132</v>
      </c>
      <c r="K265" s="4">
        <v>1920000000</v>
      </c>
      <c r="L265" t="s">
        <v>89</v>
      </c>
      <c r="M265" s="5">
        <v>50.16</v>
      </c>
      <c r="N265" t="s">
        <v>89</v>
      </c>
      <c r="O265" s="20">
        <v>0</v>
      </c>
      <c r="P265" t="s">
        <v>132</v>
      </c>
      <c r="Q265" s="2">
        <v>1.5599999999999999E-2</v>
      </c>
      <c r="R265" t="s">
        <v>89</v>
      </c>
      <c r="T265" s="4"/>
      <c r="AH265" t="str">
        <f>IFERROR(VLOOKUP($A265,fund_metadata!$A:$P,2,FALSE),"")</f>
        <v>Stepstone Private Markets</v>
      </c>
      <c r="AI265" t="str">
        <f>IFERROR(VLOOKUP($A265,fund_metadata!$A:$P,16,FALSE),"")</f>
        <v>secondaries</v>
      </c>
    </row>
    <row r="266" spans="1:35" x14ac:dyDescent="0.25">
      <c r="A266">
        <v>6</v>
      </c>
      <c r="B266" s="3">
        <v>45351</v>
      </c>
      <c r="C266" s="19">
        <v>0</v>
      </c>
      <c r="D266" s="3" t="s">
        <v>132</v>
      </c>
      <c r="E266" s="19">
        <v>0</v>
      </c>
      <c r="F266" s="3" t="s">
        <v>132</v>
      </c>
      <c r="G266" s="19">
        <v>1969440511</v>
      </c>
      <c r="H266" s="3" t="s">
        <v>132</v>
      </c>
      <c r="K266" s="4">
        <v>2090000000</v>
      </c>
      <c r="L266" t="s">
        <v>89</v>
      </c>
      <c r="M266" s="5">
        <v>50.64</v>
      </c>
      <c r="N266" t="s">
        <v>89</v>
      </c>
      <c r="O266" s="20">
        <v>0</v>
      </c>
      <c r="P266" t="s">
        <v>132</v>
      </c>
      <c r="Q266" s="2">
        <v>9.5999999999999992E-3</v>
      </c>
      <c r="R266" t="s">
        <v>89</v>
      </c>
      <c r="T266" s="4"/>
      <c r="AH266" t="str">
        <f>IFERROR(VLOOKUP($A266,fund_metadata!$A:$P,2,FALSE),"")</f>
        <v>Stepstone Private Markets</v>
      </c>
      <c r="AI266" t="str">
        <f>IFERROR(VLOOKUP($A266,fund_metadata!$A:$P,16,FALSE),"")</f>
        <v>secondaries</v>
      </c>
    </row>
    <row r="267" spans="1:35" x14ac:dyDescent="0.25">
      <c r="A267">
        <v>6</v>
      </c>
      <c r="B267" s="3">
        <v>45382</v>
      </c>
      <c r="C267" s="19">
        <v>11447512</v>
      </c>
      <c r="D267" s="3" t="s">
        <v>132</v>
      </c>
      <c r="E267" s="19">
        <v>0</v>
      </c>
      <c r="F267" s="3" t="s">
        <v>132</v>
      </c>
      <c r="G267" s="19">
        <v>2127583539</v>
      </c>
      <c r="H267" s="3" t="s">
        <v>132</v>
      </c>
      <c r="K267" s="4">
        <v>2320000000</v>
      </c>
      <c r="L267" t="s">
        <v>89</v>
      </c>
      <c r="M267" s="5">
        <v>52.49</v>
      </c>
      <c r="N267" t="s">
        <v>89</v>
      </c>
      <c r="O267" s="20">
        <v>0</v>
      </c>
      <c r="P267" t="s">
        <v>132</v>
      </c>
      <c r="Q267" s="2">
        <v>3.6499999999999998E-2</v>
      </c>
      <c r="R267" t="s">
        <v>89</v>
      </c>
      <c r="S267">
        <v>206</v>
      </c>
      <c r="T267" s="4">
        <v>2340000000</v>
      </c>
      <c r="U267" t="s">
        <v>89</v>
      </c>
      <c r="V267">
        <v>37651634</v>
      </c>
      <c r="W267" t="s">
        <v>121</v>
      </c>
      <c r="AH267" t="str">
        <f>IFERROR(VLOOKUP($A267,fund_metadata!$A:$P,2,FALSE),"")</f>
        <v>Stepstone Private Markets</v>
      </c>
      <c r="AI267" t="str">
        <f>IFERROR(VLOOKUP($A267,fund_metadata!$A:$P,16,FALSE),"")</f>
        <v>secondaries</v>
      </c>
    </row>
    <row r="268" spans="1:35" x14ac:dyDescent="0.25">
      <c r="A268">
        <v>6</v>
      </c>
      <c r="B268" s="3">
        <v>45412</v>
      </c>
      <c r="C268" s="19">
        <v>0</v>
      </c>
      <c r="D268" s="3" t="s">
        <v>132</v>
      </c>
      <c r="E268" s="19">
        <v>0</v>
      </c>
      <c r="F268" s="3" t="s">
        <v>132</v>
      </c>
      <c r="G268" s="19">
        <v>2358714577</v>
      </c>
      <c r="H268" s="3" t="s">
        <v>132</v>
      </c>
      <c r="K268" s="4">
        <v>2450000000</v>
      </c>
      <c r="L268" t="s">
        <v>89</v>
      </c>
      <c r="M268" s="5">
        <v>51.87</v>
      </c>
      <c r="N268" t="s">
        <v>89</v>
      </c>
      <c r="O268" s="20">
        <v>0</v>
      </c>
      <c r="P268" t="s">
        <v>132</v>
      </c>
      <c r="Q268" s="2">
        <v>-1.18E-2</v>
      </c>
      <c r="R268" t="s">
        <v>89</v>
      </c>
      <c r="T268" s="4"/>
      <c r="AH268" t="str">
        <f>IFERROR(VLOOKUP($A268,fund_metadata!$A:$P,2,FALSE),"")</f>
        <v>Stepstone Private Markets</v>
      </c>
      <c r="AI268" t="str">
        <f>IFERROR(VLOOKUP($A268,fund_metadata!$A:$P,16,FALSE),"")</f>
        <v>secondaries</v>
      </c>
    </row>
    <row r="269" spans="1:35" x14ac:dyDescent="0.25">
      <c r="A269">
        <v>6</v>
      </c>
      <c r="B269" s="3">
        <v>45443</v>
      </c>
      <c r="C269" s="19">
        <v>0</v>
      </c>
      <c r="D269" s="3" t="s">
        <v>132</v>
      </c>
      <c r="E269" s="19">
        <v>0</v>
      </c>
      <c r="F269" s="3" t="s">
        <v>132</v>
      </c>
      <c r="G269" s="19">
        <v>2491683943</v>
      </c>
      <c r="H269" s="3" t="s">
        <v>132</v>
      </c>
      <c r="K269" s="4">
        <v>2640000000</v>
      </c>
      <c r="L269" t="s">
        <v>89</v>
      </c>
      <c r="M269" s="5">
        <v>52.45</v>
      </c>
      <c r="N269" t="s">
        <v>89</v>
      </c>
      <c r="O269" s="20">
        <v>0</v>
      </c>
      <c r="P269" t="s">
        <v>132</v>
      </c>
      <c r="Q269" s="2">
        <v>1.12E-2</v>
      </c>
      <c r="R269" t="s">
        <v>89</v>
      </c>
      <c r="T269" s="4"/>
      <c r="AH269" t="str">
        <f>IFERROR(VLOOKUP($A269,fund_metadata!$A:$P,2,FALSE),"")</f>
        <v>Stepstone Private Markets</v>
      </c>
      <c r="AI269" t="str">
        <f>IFERROR(VLOOKUP($A269,fund_metadata!$A:$P,16,FALSE),"")</f>
        <v>secondaries</v>
      </c>
    </row>
    <row r="270" spans="1:35" x14ac:dyDescent="0.25">
      <c r="A270">
        <v>6</v>
      </c>
      <c r="B270" s="3">
        <v>45473</v>
      </c>
      <c r="C270" s="19">
        <v>29493968</v>
      </c>
      <c r="D270" s="3" t="s">
        <v>132</v>
      </c>
      <c r="E270" s="19">
        <v>14176935</v>
      </c>
      <c r="F270" s="3" t="s">
        <v>132</v>
      </c>
      <c r="G270" s="19">
        <v>2694359024</v>
      </c>
      <c r="H270" s="3" t="s">
        <v>132</v>
      </c>
      <c r="K270" s="4">
        <v>2760000000</v>
      </c>
      <c r="L270" t="s">
        <v>89</v>
      </c>
      <c r="M270" s="5">
        <v>52.21</v>
      </c>
      <c r="N270" t="s">
        <v>89</v>
      </c>
      <c r="O270" s="20">
        <v>0.29289999999999999</v>
      </c>
      <c r="P270" t="s">
        <v>132</v>
      </c>
      <c r="Q270" s="2">
        <v>1E-3</v>
      </c>
      <c r="R270" t="s">
        <v>89</v>
      </c>
      <c r="S270">
        <v>221</v>
      </c>
      <c r="T270" s="4"/>
      <c r="AH270" t="str">
        <f>IFERROR(VLOOKUP($A270,fund_metadata!$A:$P,2,FALSE),"")</f>
        <v>Stepstone Private Markets</v>
      </c>
      <c r="AI270" t="str">
        <f>IFERROR(VLOOKUP($A270,fund_metadata!$A:$P,16,FALSE),"")</f>
        <v>secondaries</v>
      </c>
    </row>
    <row r="271" spans="1:35" x14ac:dyDescent="0.25">
      <c r="A271">
        <v>6</v>
      </c>
      <c r="B271" s="3">
        <v>45504</v>
      </c>
      <c r="C271" s="19">
        <v>0</v>
      </c>
      <c r="D271" s="3" t="s">
        <v>132</v>
      </c>
      <c r="E271" s="19">
        <v>0</v>
      </c>
      <c r="F271" s="3" t="s">
        <v>132</v>
      </c>
      <c r="G271" s="19">
        <v>2799679770</v>
      </c>
      <c r="H271" s="3" t="s">
        <v>132</v>
      </c>
      <c r="K271" s="4">
        <v>2930000000</v>
      </c>
      <c r="L271" t="s">
        <v>89</v>
      </c>
      <c r="M271" s="5">
        <v>53.05</v>
      </c>
      <c r="N271" t="s">
        <v>89</v>
      </c>
      <c r="O271" s="20">
        <v>0</v>
      </c>
      <c r="P271" t="s">
        <v>132</v>
      </c>
      <c r="Q271" s="2">
        <v>1.61E-2</v>
      </c>
      <c r="R271" t="s">
        <v>89</v>
      </c>
      <c r="T271" s="4"/>
      <c r="AH271" t="str">
        <f>IFERROR(VLOOKUP($A271,fund_metadata!$A:$P,2,FALSE),"")</f>
        <v>Stepstone Private Markets</v>
      </c>
      <c r="AI271" t="str">
        <f>IFERROR(VLOOKUP($A271,fund_metadata!$A:$P,16,FALSE),"")</f>
        <v>secondaries</v>
      </c>
    </row>
    <row r="272" spans="1:35" x14ac:dyDescent="0.25">
      <c r="A272">
        <v>6</v>
      </c>
      <c r="B272" s="3">
        <v>45535</v>
      </c>
      <c r="C272" s="19">
        <v>0</v>
      </c>
      <c r="D272" s="3" t="s">
        <v>132</v>
      </c>
      <c r="E272" s="19">
        <v>0</v>
      </c>
      <c r="F272" s="3" t="s">
        <v>132</v>
      </c>
      <c r="G272" s="19">
        <v>2978327313</v>
      </c>
      <c r="H272" s="3" t="s">
        <v>132</v>
      </c>
      <c r="K272" s="4">
        <v>3100000000</v>
      </c>
      <c r="L272" t="s">
        <v>89</v>
      </c>
      <c r="M272" s="5">
        <v>53.66</v>
      </c>
      <c r="N272" t="s">
        <v>89</v>
      </c>
      <c r="O272" s="20">
        <v>0</v>
      </c>
      <c r="P272" t="s">
        <v>132</v>
      </c>
      <c r="Q272" s="2">
        <v>1.15E-2</v>
      </c>
      <c r="R272" t="s">
        <v>89</v>
      </c>
      <c r="T272" s="4"/>
      <c r="AH272" t="str">
        <f>IFERROR(VLOOKUP($A272,fund_metadata!$A:$P,2,FALSE),"")</f>
        <v>Stepstone Private Markets</v>
      </c>
      <c r="AI272" t="str">
        <f>IFERROR(VLOOKUP($A272,fund_metadata!$A:$P,16,FALSE),"")</f>
        <v>secondaries</v>
      </c>
    </row>
    <row r="273" spans="1:35" x14ac:dyDescent="0.25">
      <c r="A273">
        <v>6</v>
      </c>
      <c r="B273" s="3">
        <v>45565</v>
      </c>
      <c r="C273" s="19">
        <v>46725641</v>
      </c>
      <c r="D273" s="3" t="s">
        <v>132</v>
      </c>
      <c r="E273" s="19">
        <v>0</v>
      </c>
      <c r="F273" s="3" t="s">
        <v>132</v>
      </c>
      <c r="G273" s="19">
        <v>3144243464</v>
      </c>
      <c r="H273" s="3" t="s">
        <v>132</v>
      </c>
      <c r="K273" s="4">
        <v>3250000000</v>
      </c>
      <c r="L273" t="s">
        <v>89</v>
      </c>
      <c r="M273" s="5">
        <v>54.97</v>
      </c>
      <c r="N273" t="s">
        <v>89</v>
      </c>
      <c r="O273" s="20">
        <v>0</v>
      </c>
      <c r="P273" t="s">
        <v>132</v>
      </c>
      <c r="Q273" s="2">
        <v>2.4400000000000002E-2</v>
      </c>
      <c r="R273" t="s">
        <v>89</v>
      </c>
      <c r="S273">
        <v>300</v>
      </c>
      <c r="T273" s="4">
        <v>3350000000</v>
      </c>
      <c r="U273" t="s">
        <v>89</v>
      </c>
      <c r="V273">
        <v>46858698</v>
      </c>
      <c r="W273" t="s">
        <v>120</v>
      </c>
      <c r="AH273" t="str">
        <f>IFERROR(VLOOKUP($A273,fund_metadata!$A:$P,2,FALSE),"")</f>
        <v>Stepstone Private Markets</v>
      </c>
      <c r="AI273" t="str">
        <f>IFERROR(VLOOKUP($A273,fund_metadata!$A:$P,16,FALSE),"")</f>
        <v>secondaries</v>
      </c>
    </row>
    <row r="274" spans="1:35" x14ac:dyDescent="0.25">
      <c r="A274">
        <v>6</v>
      </c>
      <c r="B274" s="3">
        <v>45596</v>
      </c>
      <c r="C274" s="19">
        <v>0</v>
      </c>
      <c r="D274" s="3" t="s">
        <v>132</v>
      </c>
      <c r="E274" s="19">
        <v>0</v>
      </c>
      <c r="F274" s="3" t="s">
        <v>132</v>
      </c>
      <c r="G274" s="19">
        <v>3293324163</v>
      </c>
      <c r="H274" s="3" t="s">
        <v>132</v>
      </c>
      <c r="K274" s="4">
        <v>3400000000</v>
      </c>
      <c r="L274" t="s">
        <v>89</v>
      </c>
      <c r="M274" s="5">
        <v>55.08</v>
      </c>
      <c r="N274" t="s">
        <v>89</v>
      </c>
      <c r="O274" s="20">
        <v>0</v>
      </c>
      <c r="P274" t="s">
        <v>132</v>
      </c>
      <c r="Q274" s="2">
        <v>2E-3</v>
      </c>
      <c r="R274" t="s">
        <v>89</v>
      </c>
      <c r="T274" s="4"/>
      <c r="AH274" t="str">
        <f>IFERROR(VLOOKUP($A274,fund_metadata!$A:$P,2,FALSE),"")</f>
        <v>Stepstone Private Markets</v>
      </c>
      <c r="AI274" t="str">
        <f>IFERROR(VLOOKUP($A274,fund_metadata!$A:$P,16,FALSE),"")</f>
        <v>secondaries</v>
      </c>
    </row>
    <row r="275" spans="1:35" x14ac:dyDescent="0.25">
      <c r="A275">
        <v>6</v>
      </c>
      <c r="B275" s="3">
        <v>45626</v>
      </c>
      <c r="C275" s="19">
        <v>0</v>
      </c>
      <c r="D275" s="3" t="s">
        <v>132</v>
      </c>
      <c r="E275" s="19">
        <v>0</v>
      </c>
      <c r="F275" s="3" t="s">
        <v>132</v>
      </c>
      <c r="G275" s="19">
        <v>3448870989</v>
      </c>
      <c r="H275" s="3" t="s">
        <v>132</v>
      </c>
      <c r="K275" s="4">
        <v>3590000000</v>
      </c>
      <c r="L275" t="s">
        <v>89</v>
      </c>
      <c r="M275" s="5">
        <v>55.69</v>
      </c>
      <c r="N275" t="s">
        <v>89</v>
      </c>
      <c r="O275" s="20">
        <v>0</v>
      </c>
      <c r="P275" t="s">
        <v>132</v>
      </c>
      <c r="Q275" s="2">
        <v>1.11E-2</v>
      </c>
      <c r="R275" t="s">
        <v>89</v>
      </c>
      <c r="T275" s="4"/>
      <c r="AH275" t="str">
        <f>IFERROR(VLOOKUP($A275,fund_metadata!$A:$P,2,FALSE),"")</f>
        <v>Stepstone Private Markets</v>
      </c>
      <c r="AI275" t="str">
        <f>IFERROR(VLOOKUP($A275,fund_metadata!$A:$P,16,FALSE),"")</f>
        <v>secondaries</v>
      </c>
    </row>
    <row r="276" spans="1:35" x14ac:dyDescent="0.25">
      <c r="A276">
        <v>6</v>
      </c>
      <c r="B276" s="3">
        <v>45657</v>
      </c>
      <c r="C276" s="19">
        <v>34449593</v>
      </c>
      <c r="D276" s="3" t="s">
        <v>132</v>
      </c>
      <c r="E276" s="19">
        <v>28333769</v>
      </c>
      <c r="F276" s="3" t="s">
        <v>132</v>
      </c>
      <c r="G276" s="19">
        <v>3636700470</v>
      </c>
      <c r="H276" s="3" t="s">
        <v>132</v>
      </c>
      <c r="K276" s="4">
        <v>3680000000</v>
      </c>
      <c r="L276" t="s">
        <v>89</v>
      </c>
      <c r="M276" s="5">
        <v>55.06</v>
      </c>
      <c r="N276" t="s">
        <v>89</v>
      </c>
      <c r="O276" s="20">
        <v>0.4269</v>
      </c>
      <c r="P276" t="s">
        <v>132</v>
      </c>
      <c r="Q276" s="2">
        <v>-3.5999999999999999E-3</v>
      </c>
      <c r="R276" t="s">
        <v>89</v>
      </c>
      <c r="S276">
        <v>349</v>
      </c>
      <c r="T276" s="4"/>
      <c r="AH276" t="str">
        <f>IFERROR(VLOOKUP($A276,fund_metadata!$A:$P,2,FALSE),"")</f>
        <v>Stepstone Private Markets</v>
      </c>
      <c r="AI276" t="str">
        <f>IFERROR(VLOOKUP($A276,fund_metadata!$A:$P,16,FALSE),"")</f>
        <v>secondaries</v>
      </c>
    </row>
    <row r="277" spans="1:35" x14ac:dyDescent="0.25">
      <c r="A277">
        <v>6</v>
      </c>
      <c r="B277" s="3">
        <v>45688</v>
      </c>
      <c r="C277" s="19">
        <v>0</v>
      </c>
      <c r="D277" s="3" t="s">
        <v>132</v>
      </c>
      <c r="E277" s="19">
        <v>7855</v>
      </c>
      <c r="F277" s="3" t="s">
        <v>132</v>
      </c>
      <c r="G277" s="19">
        <v>3751092833</v>
      </c>
      <c r="H277" s="3" t="s">
        <v>132</v>
      </c>
      <c r="K277" s="4">
        <v>3920000000</v>
      </c>
      <c r="L277" t="s">
        <v>89</v>
      </c>
      <c r="M277" s="5">
        <v>55.7</v>
      </c>
      <c r="N277" t="s">
        <v>89</v>
      </c>
      <c r="O277" s="20">
        <v>0</v>
      </c>
      <c r="P277" t="s">
        <v>132</v>
      </c>
      <c r="Q277" s="2">
        <v>1.1599999999999999E-2</v>
      </c>
      <c r="R277" t="s">
        <v>89</v>
      </c>
      <c r="T277" s="4"/>
      <c r="AH277" t="str">
        <f>IFERROR(VLOOKUP($A277,fund_metadata!$A:$P,2,FALSE),"")</f>
        <v>Stepstone Private Markets</v>
      </c>
      <c r="AI277" t="str">
        <f>IFERROR(VLOOKUP($A277,fund_metadata!$A:$P,16,FALSE),"")</f>
        <v>secondaries</v>
      </c>
    </row>
    <row r="278" spans="1:35" x14ac:dyDescent="0.25">
      <c r="A278">
        <v>6</v>
      </c>
      <c r="B278" s="3">
        <v>45716</v>
      </c>
      <c r="C278" s="19">
        <v>0</v>
      </c>
      <c r="D278" s="3" t="s">
        <v>132</v>
      </c>
      <c r="E278" s="19">
        <v>0</v>
      </c>
      <c r="F278" s="3" t="s">
        <v>132</v>
      </c>
      <c r="G278" s="19">
        <v>3985666343</v>
      </c>
      <c r="H278" s="3" t="s">
        <v>132</v>
      </c>
      <c r="K278" s="4">
        <v>4100000000</v>
      </c>
      <c r="L278" t="s">
        <v>89</v>
      </c>
      <c r="M278" s="5">
        <v>55.78</v>
      </c>
      <c r="N278" t="s">
        <v>89</v>
      </c>
      <c r="O278" s="20">
        <v>0</v>
      </c>
      <c r="P278" t="s">
        <v>132</v>
      </c>
      <c r="Q278" s="2">
        <v>1.4E-3</v>
      </c>
      <c r="R278" t="s">
        <v>89</v>
      </c>
      <c r="T278" s="4"/>
      <c r="AH278" t="str">
        <f>IFERROR(VLOOKUP($A278,fund_metadata!$A:$P,2,FALSE),"")</f>
        <v>Stepstone Private Markets</v>
      </c>
      <c r="AI278" t="str">
        <f>IFERROR(VLOOKUP($A278,fund_metadata!$A:$P,16,FALSE),"")</f>
        <v>secondaries</v>
      </c>
    </row>
    <row r="279" spans="1:35" x14ac:dyDescent="0.25">
      <c r="A279">
        <v>6</v>
      </c>
      <c r="B279" s="3">
        <v>45747</v>
      </c>
      <c r="C279" s="19">
        <v>66102610</v>
      </c>
      <c r="D279" s="3" t="s">
        <v>132</v>
      </c>
      <c r="E279" s="19">
        <v>0</v>
      </c>
      <c r="F279" s="3" t="s">
        <v>132</v>
      </c>
      <c r="G279" s="19">
        <v>4171987769</v>
      </c>
      <c r="H279" s="3" t="s">
        <v>132</v>
      </c>
      <c r="K279" s="4">
        <v>4200000000</v>
      </c>
      <c r="L279" t="s">
        <v>89</v>
      </c>
      <c r="M279" s="5">
        <v>55.62</v>
      </c>
      <c r="N279" t="s">
        <v>89</v>
      </c>
      <c r="O279" s="20">
        <v>0</v>
      </c>
      <c r="P279" t="s">
        <v>132</v>
      </c>
      <c r="Q279" s="2">
        <v>-2.8999999999999998E-3</v>
      </c>
      <c r="R279" t="s">
        <v>89</v>
      </c>
      <c r="S279">
        <v>360</v>
      </c>
      <c r="T279" s="4">
        <v>4410000000</v>
      </c>
      <c r="U279" t="s">
        <v>89</v>
      </c>
      <c r="V279">
        <v>59765181</v>
      </c>
      <c r="W279" t="s">
        <v>121</v>
      </c>
      <c r="AH279" t="str">
        <f>IFERROR(VLOOKUP($A279,fund_metadata!$A:$P,2,FALSE),"")</f>
        <v>Stepstone Private Markets</v>
      </c>
      <c r="AI279" t="str">
        <f>IFERROR(VLOOKUP($A279,fund_metadata!$A:$P,16,FALSE),"")</f>
        <v>secondaries</v>
      </c>
    </row>
    <row r="280" spans="1:35" x14ac:dyDescent="0.25">
      <c r="A280">
        <v>6</v>
      </c>
      <c r="B280" s="3">
        <v>45777</v>
      </c>
      <c r="C280" s="19">
        <v>660</v>
      </c>
      <c r="D280" s="3" t="s">
        <v>132</v>
      </c>
      <c r="E280" s="19">
        <v>0</v>
      </c>
      <c r="F280" s="3" t="s">
        <v>132</v>
      </c>
      <c r="G280" s="19">
        <v>4284152238</v>
      </c>
      <c r="H280" s="3" t="s">
        <v>132</v>
      </c>
      <c r="K280" s="4">
        <v>4420000000</v>
      </c>
      <c r="L280" t="s">
        <v>89</v>
      </c>
      <c r="M280" s="5">
        <v>56.2</v>
      </c>
      <c r="N280" t="s">
        <v>89</v>
      </c>
      <c r="O280" s="20">
        <v>0</v>
      </c>
      <c r="P280" t="s">
        <v>132</v>
      </c>
      <c r="Q280" s="2">
        <v>1.04E-2</v>
      </c>
      <c r="R280" t="s">
        <v>89</v>
      </c>
      <c r="T280" s="4"/>
      <c r="AH280" t="str">
        <f>IFERROR(VLOOKUP($A280,fund_metadata!$A:$P,2,FALSE),"")</f>
        <v>Stepstone Private Markets</v>
      </c>
      <c r="AI280" t="str">
        <f>IFERROR(VLOOKUP($A280,fund_metadata!$A:$P,16,FALSE),"")</f>
        <v>secondaries</v>
      </c>
    </row>
    <row r="281" spans="1:35" x14ac:dyDescent="0.25">
      <c r="A281">
        <v>6</v>
      </c>
      <c r="B281" s="3">
        <v>45808</v>
      </c>
      <c r="C281" s="19">
        <v>5408</v>
      </c>
      <c r="D281" s="3" t="s">
        <v>132</v>
      </c>
      <c r="E281" s="19">
        <v>0</v>
      </c>
      <c r="F281" s="3" t="s">
        <v>132</v>
      </c>
      <c r="G281" s="19">
        <v>4464332662</v>
      </c>
      <c r="H281" s="3" t="s">
        <v>132</v>
      </c>
      <c r="K281" s="4">
        <v>4710000000</v>
      </c>
      <c r="L281" t="s">
        <v>89</v>
      </c>
      <c r="M281" s="5">
        <v>57.79</v>
      </c>
      <c r="N281" t="s">
        <v>89</v>
      </c>
      <c r="O281" s="20">
        <v>0</v>
      </c>
      <c r="P281" t="s">
        <v>132</v>
      </c>
      <c r="Q281" s="2">
        <v>2.8299999999999999E-2</v>
      </c>
      <c r="R281" t="s">
        <v>89</v>
      </c>
      <c r="T281" s="4"/>
      <c r="AH281" t="str">
        <f>IFERROR(VLOOKUP($A281,fund_metadata!$A:$P,2,FALSE),"")</f>
        <v>Stepstone Private Markets</v>
      </c>
      <c r="AI281" t="str">
        <f>IFERROR(VLOOKUP($A281,fund_metadata!$A:$P,16,FALSE),"")</f>
        <v>secondaries</v>
      </c>
    </row>
    <row r="282" spans="1:35" x14ac:dyDescent="0.25">
      <c r="A282">
        <v>6</v>
      </c>
      <c r="B282" s="3">
        <v>45838</v>
      </c>
      <c r="C282" s="19">
        <v>99680141</v>
      </c>
      <c r="D282" s="3" t="s">
        <v>132</v>
      </c>
      <c r="E282" s="19">
        <v>16165308</v>
      </c>
      <c r="F282" s="3" t="s">
        <v>132</v>
      </c>
      <c r="G282" s="19">
        <v>4771080555</v>
      </c>
      <c r="H282" s="3" t="s">
        <v>132</v>
      </c>
      <c r="K282" s="4">
        <v>4870000000</v>
      </c>
      <c r="L282" t="s">
        <v>89</v>
      </c>
      <c r="M282" s="5">
        <v>58.9</v>
      </c>
      <c r="N282" t="s">
        <v>89</v>
      </c>
      <c r="O282" s="20">
        <v>0.19719999999999999</v>
      </c>
      <c r="P282" t="s">
        <v>132</v>
      </c>
      <c r="Q282" s="2">
        <v>2.2599999999999999E-2</v>
      </c>
      <c r="R282" t="s">
        <v>89</v>
      </c>
      <c r="S282">
        <v>389</v>
      </c>
      <c r="T282" s="4"/>
      <c r="AH282" t="str">
        <f>IFERROR(VLOOKUP($A282,fund_metadata!$A:$P,2,FALSE),"")</f>
        <v>Stepstone Private Markets</v>
      </c>
      <c r="AI282" t="str">
        <f>IFERROR(VLOOKUP($A282,fund_metadata!$A:$P,16,FALSE),"")</f>
        <v>secondaries</v>
      </c>
    </row>
    <row r="283" spans="1:35" x14ac:dyDescent="0.25">
      <c r="A283">
        <v>6</v>
      </c>
      <c r="B283" s="3">
        <v>45869</v>
      </c>
      <c r="C283" s="19">
        <v>1160</v>
      </c>
      <c r="D283" s="3" t="s">
        <v>132</v>
      </c>
      <c r="E283" s="19">
        <v>0</v>
      </c>
      <c r="F283" s="3" t="s">
        <v>132</v>
      </c>
      <c r="G283" s="19">
        <v>4927932685</v>
      </c>
      <c r="H283" s="3" t="s">
        <v>132</v>
      </c>
      <c r="K283" s="4">
        <v>5050000000</v>
      </c>
      <c r="L283" t="s">
        <v>89</v>
      </c>
      <c r="M283" s="5">
        <v>59.03</v>
      </c>
      <c r="N283" t="s">
        <v>89</v>
      </c>
      <c r="O283" s="20"/>
      <c r="P283" t="s">
        <v>132</v>
      </c>
      <c r="Q283" s="2">
        <v>2.2000000000000001E-3</v>
      </c>
      <c r="R283" t="s">
        <v>89</v>
      </c>
      <c r="T283" s="4"/>
      <c r="AH283" t="str">
        <f>IFERROR(VLOOKUP($A283,fund_metadata!$A:$P,2,FALSE),"")</f>
        <v>Stepstone Private Markets</v>
      </c>
      <c r="AI283" t="str">
        <f>IFERROR(VLOOKUP($A283,fund_metadata!$A:$P,16,FALSE),"")</f>
        <v>secondaries</v>
      </c>
    </row>
    <row r="284" spans="1:35" x14ac:dyDescent="0.25">
      <c r="A284">
        <v>6</v>
      </c>
      <c r="B284" s="3">
        <v>45900</v>
      </c>
      <c r="C284" s="19">
        <v>0</v>
      </c>
      <c r="D284" s="3" t="s">
        <v>132</v>
      </c>
      <c r="E284" s="19">
        <v>0</v>
      </c>
      <c r="F284" s="3" t="s">
        <v>132</v>
      </c>
      <c r="G284" s="19">
        <v>5105893354</v>
      </c>
      <c r="H284" s="3" t="s">
        <v>132</v>
      </c>
      <c r="K284" s="4">
        <v>5270000000</v>
      </c>
      <c r="L284" t="s">
        <v>89</v>
      </c>
      <c r="M284" s="5">
        <v>59.29</v>
      </c>
      <c r="N284" t="s">
        <v>89</v>
      </c>
      <c r="O284" s="20"/>
      <c r="P284" t="s">
        <v>132</v>
      </c>
      <c r="Q284" s="2">
        <v>4.4000000000000003E-3</v>
      </c>
      <c r="R284" t="s">
        <v>89</v>
      </c>
      <c r="T284" s="4"/>
      <c r="AH284" t="str">
        <f>IFERROR(VLOOKUP($A284,fund_metadata!$A:$P,2,FALSE),"")</f>
        <v>Stepstone Private Markets</v>
      </c>
      <c r="AI284" t="str">
        <f>IFERROR(VLOOKUP($A284,fund_metadata!$A:$P,16,FALSE),"")</f>
        <v>secondaries</v>
      </c>
    </row>
    <row r="285" spans="1:35" x14ac:dyDescent="0.25">
      <c r="A285">
        <v>6</v>
      </c>
      <c r="B285" s="3">
        <v>45930</v>
      </c>
      <c r="C285" s="19">
        <v>333453879</v>
      </c>
      <c r="D285" s="3" t="s">
        <v>132</v>
      </c>
      <c r="E285" s="19">
        <v>0</v>
      </c>
      <c r="F285" s="3" t="s">
        <v>132</v>
      </c>
      <c r="G285" s="19">
        <v>5332576370</v>
      </c>
      <c r="H285" s="3" t="s">
        <v>132</v>
      </c>
      <c r="K285" s="4">
        <v>5220000000</v>
      </c>
      <c r="L285" t="s">
        <v>89</v>
      </c>
      <c r="M285" s="5">
        <v>60.68</v>
      </c>
      <c r="N285" t="s">
        <v>89</v>
      </c>
      <c r="O285" s="20"/>
      <c r="P285" t="s">
        <v>132</v>
      </c>
      <c r="Q285" s="2">
        <v>2.3400000000000001E-2</v>
      </c>
      <c r="R285" t="s">
        <v>89</v>
      </c>
      <c r="S285">
        <v>433</v>
      </c>
      <c r="T285" s="4">
        <v>5380000000</v>
      </c>
      <c r="U285" t="s">
        <v>89</v>
      </c>
      <c r="AH285" t="str">
        <f>IFERROR(VLOOKUP($A285,fund_metadata!$A:$P,2,FALSE),"")</f>
        <v>Stepstone Private Markets</v>
      </c>
      <c r="AI285" t="str">
        <f>IFERROR(VLOOKUP($A285,fund_metadata!$A:$P,16,FALSE),"")</f>
        <v>secondaries</v>
      </c>
    </row>
    <row r="286" spans="1:35" x14ac:dyDescent="0.25">
      <c r="A286">
        <v>6</v>
      </c>
      <c r="B286" s="3">
        <v>45961</v>
      </c>
      <c r="C286" s="19">
        <v>0</v>
      </c>
      <c r="D286" s="3" t="s">
        <v>132</v>
      </c>
      <c r="E286" s="19">
        <v>0</v>
      </c>
      <c r="F286" s="3" t="s">
        <v>132</v>
      </c>
      <c r="G286" s="19">
        <v>5275350000</v>
      </c>
      <c r="H286" s="3" t="s">
        <v>132</v>
      </c>
      <c r="K286" s="4">
        <v>5430000000</v>
      </c>
      <c r="L286" t="s">
        <v>89</v>
      </c>
      <c r="M286" s="5">
        <v>61.28</v>
      </c>
      <c r="N286" t="s">
        <v>89</v>
      </c>
      <c r="O286" s="20"/>
      <c r="P286" t="s">
        <v>132</v>
      </c>
      <c r="Q286" s="2">
        <v>9.9000000000000008E-3</v>
      </c>
      <c r="R286" t="s">
        <v>89</v>
      </c>
      <c r="T286" s="4"/>
      <c r="AH286" t="str">
        <f>IFERROR(VLOOKUP($A286,fund_metadata!$A:$P,2,FALSE),"")</f>
        <v>Stepstone Private Markets</v>
      </c>
      <c r="AI286" t="str">
        <f>IFERROR(VLOOKUP($A286,fund_metadata!$A:$P,16,FALSE),"")</f>
        <v>secondaries</v>
      </c>
    </row>
    <row r="287" spans="1:35" x14ac:dyDescent="0.25">
      <c r="A287">
        <v>6</v>
      </c>
      <c r="B287" s="3">
        <v>45991</v>
      </c>
      <c r="C287" s="19">
        <v>0</v>
      </c>
      <c r="D287" s="3" t="s">
        <v>132</v>
      </c>
      <c r="E287" s="19">
        <v>0</v>
      </c>
      <c r="F287" s="3" t="s">
        <v>132</v>
      </c>
      <c r="G287" s="19">
        <v>5487112942</v>
      </c>
      <c r="H287" s="3" t="s">
        <v>132</v>
      </c>
      <c r="K287" s="4">
        <v>5530000000</v>
      </c>
      <c r="L287" t="s">
        <v>89</v>
      </c>
      <c r="M287" s="5">
        <v>61.05</v>
      </c>
      <c r="N287" t="s">
        <v>89</v>
      </c>
      <c r="O287" s="20"/>
      <c r="P287" t="s">
        <v>132</v>
      </c>
      <c r="Q287" s="2">
        <v>-3.8E-3</v>
      </c>
      <c r="R287" t="s">
        <v>89</v>
      </c>
      <c r="T287" s="4"/>
      <c r="AH287" t="str">
        <f>IFERROR(VLOOKUP($A287,fund_metadata!$A:$P,2,FALSE),"")</f>
        <v>Stepstone Private Markets</v>
      </c>
      <c r="AI287" t="str">
        <f>IFERROR(VLOOKUP($A287,fund_metadata!$A:$P,16,FALSE),"")</f>
        <v>secondaries</v>
      </c>
    </row>
    <row r="288" spans="1:35" x14ac:dyDescent="0.25">
      <c r="A288">
        <v>6</v>
      </c>
      <c r="B288" s="3">
        <v>46022</v>
      </c>
      <c r="C288" s="19">
        <v>157955078</v>
      </c>
      <c r="D288" s="3" t="s">
        <v>132</v>
      </c>
      <c r="E288" s="19">
        <v>45727962</v>
      </c>
      <c r="F288" s="3" t="s">
        <v>132</v>
      </c>
      <c r="G288" s="19">
        <v>5571338037</v>
      </c>
      <c r="H288" s="3" t="s">
        <v>132</v>
      </c>
      <c r="I288">
        <v>9909076.1400000006</v>
      </c>
      <c r="J288" t="s">
        <v>105</v>
      </c>
      <c r="K288" s="4">
        <v>5510000000</v>
      </c>
      <c r="L288" t="s">
        <v>89</v>
      </c>
      <c r="M288" s="5">
        <v>61.03</v>
      </c>
      <c r="N288" t="s">
        <v>89</v>
      </c>
      <c r="O288" s="20">
        <v>0.50590000000000002</v>
      </c>
      <c r="P288" t="s">
        <v>132</v>
      </c>
      <c r="Q288" s="2">
        <v>8.0000000000000002E-3</v>
      </c>
      <c r="R288" t="s">
        <v>89</v>
      </c>
      <c r="S288">
        <v>503</v>
      </c>
      <c r="T288" s="4"/>
      <c r="X288">
        <v>162364.01999999999</v>
      </c>
      <c r="Y288" t="s">
        <v>105</v>
      </c>
      <c r="Z288">
        <v>10000000</v>
      </c>
      <c r="AA288" t="s">
        <v>105</v>
      </c>
      <c r="AB288">
        <v>0</v>
      </c>
      <c r="AC288" t="s">
        <v>105</v>
      </c>
      <c r="AD288">
        <v>82139.960000000006</v>
      </c>
      <c r="AE288" t="s">
        <v>105</v>
      </c>
      <c r="AH288" t="str">
        <f>IFERROR(VLOOKUP($A288,fund_metadata!$A:$P,2,FALSE),"")</f>
        <v>Stepstone Private Markets</v>
      </c>
      <c r="AI288" t="str">
        <f>IFERROR(VLOOKUP($A288,fund_metadata!$A:$P,16,FALSE),"")</f>
        <v>secondaries</v>
      </c>
    </row>
    <row r="289" spans="1:35" x14ac:dyDescent="0.25">
      <c r="A289">
        <v>6</v>
      </c>
      <c r="B289" s="3">
        <v>46053</v>
      </c>
      <c r="C289" s="19">
        <v>0</v>
      </c>
      <c r="D289" s="3" t="s">
        <v>132</v>
      </c>
      <c r="E289" s="19">
        <v>0</v>
      </c>
      <c r="F289" s="3" t="s">
        <v>132</v>
      </c>
      <c r="G289" s="19">
        <v>5568481619</v>
      </c>
      <c r="H289" s="3" t="s">
        <v>132</v>
      </c>
      <c r="I289">
        <v>10038967.359999999</v>
      </c>
      <c r="J289" t="s">
        <v>105</v>
      </c>
      <c r="K289" s="4">
        <v>5730000000</v>
      </c>
      <c r="L289" t="s">
        <v>89</v>
      </c>
      <c r="M289" s="5">
        <v>61.83</v>
      </c>
      <c r="N289" t="s">
        <v>89</v>
      </c>
      <c r="O289" s="20"/>
      <c r="P289" t="s">
        <v>132</v>
      </c>
      <c r="Q289" s="2">
        <v>1.3100000000000001E-2</v>
      </c>
      <c r="R289" t="s">
        <v>89</v>
      </c>
      <c r="T289" s="4"/>
      <c r="X289">
        <v>162364.01999999999</v>
      </c>
      <c r="Y289" t="s">
        <v>105</v>
      </c>
      <c r="Z289">
        <v>0</v>
      </c>
      <c r="AA289" t="s">
        <v>105</v>
      </c>
      <c r="AB289">
        <v>0</v>
      </c>
      <c r="AC289" t="s">
        <v>105</v>
      </c>
      <c r="AD289">
        <v>0</v>
      </c>
      <c r="AE289" t="s">
        <v>105</v>
      </c>
      <c r="AH289" t="str">
        <f>IFERROR(VLOOKUP($A289,fund_metadata!$A:$P,2,FALSE),"")</f>
        <v>Stepstone Private Markets</v>
      </c>
      <c r="AI289" t="str">
        <f>IFERROR(VLOOKUP($A289,fund_metadata!$A:$P,16,FALSE),"")</f>
        <v>secondaries</v>
      </c>
    </row>
    <row r="290" spans="1:35" x14ac:dyDescent="0.25">
      <c r="A290">
        <v>6</v>
      </c>
      <c r="B290" s="3">
        <v>46081</v>
      </c>
      <c r="C290" s="19">
        <v>0</v>
      </c>
      <c r="D290" s="3" t="s">
        <v>132</v>
      </c>
      <c r="E290" s="19">
        <v>0</v>
      </c>
      <c r="F290" s="3" t="s">
        <v>132</v>
      </c>
      <c r="G290" s="19">
        <v>5798576455</v>
      </c>
      <c r="H290" s="3" t="s">
        <v>132</v>
      </c>
      <c r="I290">
        <v>10012989.109999999</v>
      </c>
      <c r="J290" t="s">
        <v>105</v>
      </c>
      <c r="K290" s="4">
        <v>5860000000</v>
      </c>
      <c r="L290" t="s">
        <v>89</v>
      </c>
      <c r="M290" s="5">
        <v>61.67</v>
      </c>
      <c r="N290" t="s">
        <v>89</v>
      </c>
      <c r="O290" s="20"/>
      <c r="P290" t="s">
        <v>132</v>
      </c>
      <c r="Q290" s="2">
        <v>-2.5999999999999999E-3</v>
      </c>
      <c r="R290" t="s">
        <v>89</v>
      </c>
      <c r="T290" s="4"/>
      <c r="X290">
        <v>162364.01999999999</v>
      </c>
      <c r="Y290" t="s">
        <v>105</v>
      </c>
      <c r="Z290">
        <v>0</v>
      </c>
      <c r="AA290" t="s">
        <v>105</v>
      </c>
      <c r="AB290">
        <v>0</v>
      </c>
      <c r="AC290" t="s">
        <v>105</v>
      </c>
      <c r="AD290">
        <v>0</v>
      </c>
      <c r="AE290" t="s">
        <v>105</v>
      </c>
      <c r="AH290" t="str">
        <f>IFERROR(VLOOKUP($A290,fund_metadata!$A:$P,2,FALSE),"")</f>
        <v>Stepstone Private Markets</v>
      </c>
      <c r="AI290" t="str">
        <f>IFERROR(VLOOKUP($A290,fund_metadata!$A:$P,16,FALSE),"")</f>
        <v>secondaries</v>
      </c>
    </row>
    <row r="291" spans="1:35" x14ac:dyDescent="0.25">
      <c r="A291">
        <v>6</v>
      </c>
      <c r="B291" s="3">
        <v>46112</v>
      </c>
      <c r="C291" s="19">
        <v>203550470</v>
      </c>
      <c r="D291" s="3" t="s">
        <v>132</v>
      </c>
      <c r="E291" s="19">
        <v>0</v>
      </c>
      <c r="F291" s="3" t="s">
        <v>132</v>
      </c>
      <c r="G291" s="19">
        <v>5902872498</v>
      </c>
      <c r="H291" s="3" t="s">
        <v>132</v>
      </c>
      <c r="I291">
        <v>9974021.75</v>
      </c>
      <c r="J291" t="s">
        <v>105</v>
      </c>
      <c r="K291" s="4">
        <v>5760000000</v>
      </c>
      <c r="L291" t="s">
        <v>89</v>
      </c>
      <c r="M291" s="5">
        <v>61.43</v>
      </c>
      <c r="N291" t="s">
        <v>89</v>
      </c>
      <c r="O291" s="20"/>
      <c r="P291" t="s">
        <v>132</v>
      </c>
      <c r="Q291" s="2">
        <v>-3.8999999999999998E-3</v>
      </c>
      <c r="R291" t="s">
        <v>89</v>
      </c>
      <c r="S291">
        <v>591</v>
      </c>
      <c r="T291" s="4"/>
      <c r="X291">
        <v>162364.01999999999</v>
      </c>
      <c r="Y291" t="s">
        <v>105</v>
      </c>
      <c r="Z291">
        <v>0</v>
      </c>
      <c r="AA291" t="s">
        <v>105</v>
      </c>
      <c r="AB291">
        <v>0</v>
      </c>
      <c r="AC291" t="s">
        <v>105</v>
      </c>
      <c r="AD291">
        <v>0</v>
      </c>
      <c r="AE291" t="s">
        <v>105</v>
      </c>
      <c r="AH291" t="str">
        <f>IFERROR(VLOOKUP($A291,fund_metadata!$A:$P,2,FALSE),"")</f>
        <v>Stepstone Private Markets</v>
      </c>
      <c r="AI291" t="str">
        <f>IFERROR(VLOOKUP($A291,fund_metadata!$A:$P,16,FALSE),"")</f>
        <v>secondaries</v>
      </c>
    </row>
    <row r="292" spans="1:35" x14ac:dyDescent="0.25">
      <c r="A292">
        <v>6</v>
      </c>
      <c r="B292" s="3">
        <v>46142</v>
      </c>
      <c r="C292" s="19">
        <v>0</v>
      </c>
      <c r="D292" s="3" t="s">
        <v>132</v>
      </c>
      <c r="E292" s="19">
        <v>0</v>
      </c>
      <c r="F292" s="3" t="s">
        <v>132</v>
      </c>
      <c r="G292" s="19">
        <v>5799163496</v>
      </c>
      <c r="H292" s="3" t="s">
        <v>132</v>
      </c>
      <c r="I292">
        <v>10318233.470000001</v>
      </c>
      <c r="J292" t="s">
        <v>105</v>
      </c>
      <c r="K292" s="4">
        <v>6090000000</v>
      </c>
      <c r="L292" t="s">
        <v>89</v>
      </c>
      <c r="M292" s="5">
        <v>63.55</v>
      </c>
      <c r="N292" t="s">
        <v>89</v>
      </c>
      <c r="O292" s="20"/>
      <c r="P292" t="s">
        <v>132</v>
      </c>
      <c r="Q292" s="2">
        <v>3.4500000000000003E-2</v>
      </c>
      <c r="R292" t="s">
        <v>89</v>
      </c>
      <c r="T292" s="4"/>
      <c r="X292">
        <v>162364.01999999999</v>
      </c>
      <c r="Y292" t="s">
        <v>105</v>
      </c>
      <c r="Z292">
        <v>0</v>
      </c>
      <c r="AA292" t="s">
        <v>105</v>
      </c>
      <c r="AB292">
        <v>0</v>
      </c>
      <c r="AC292" t="s">
        <v>105</v>
      </c>
      <c r="AD292">
        <v>0</v>
      </c>
      <c r="AE292" t="s">
        <v>105</v>
      </c>
      <c r="AH292" t="str">
        <f>IFERROR(VLOOKUP($A292,fund_metadata!$A:$P,2,FALSE),"")</f>
        <v>Stepstone Private Markets</v>
      </c>
      <c r="AI292" t="str">
        <f>IFERROR(VLOOKUP($A292,fund_metadata!$A:$P,16,FALSE),"")</f>
        <v>secondaries</v>
      </c>
    </row>
    <row r="293" spans="1:35" x14ac:dyDescent="0.25">
      <c r="A293">
        <v>6</v>
      </c>
      <c r="B293" s="3">
        <v>46173</v>
      </c>
      <c r="C293" s="3"/>
      <c r="D293" s="3"/>
      <c r="E293" s="3"/>
      <c r="F293" s="3"/>
      <c r="G293" s="3"/>
      <c r="H293" s="3"/>
      <c r="K293" s="4"/>
      <c r="M293" s="5">
        <v>63.92</v>
      </c>
      <c r="N293" t="s">
        <v>89</v>
      </c>
      <c r="O293" s="5"/>
      <c r="Q293" s="2"/>
      <c r="T293" s="4"/>
      <c r="AH293" t="str">
        <f>IFERROR(VLOOKUP($A293,fund_metadata!$A:$P,2,FALSE),"")</f>
        <v>Stepstone Private Markets</v>
      </c>
      <c r="AI293" t="str">
        <f>IFERROR(VLOOKUP($A293,fund_metadata!$A:$P,16,FALSE),"")</f>
        <v>secondaries</v>
      </c>
    </row>
    <row r="294" spans="1:35" x14ac:dyDescent="0.25">
      <c r="A294">
        <v>7</v>
      </c>
      <c r="B294" s="3">
        <v>44895</v>
      </c>
      <c r="C294" s="19">
        <v>0</v>
      </c>
      <c r="D294" s="3" t="s">
        <v>132</v>
      </c>
      <c r="E294" s="19">
        <v>0</v>
      </c>
      <c r="F294" s="3" t="s">
        <v>132</v>
      </c>
      <c r="G294" s="19">
        <v>0</v>
      </c>
      <c r="H294" s="3" t="s">
        <v>132</v>
      </c>
      <c r="K294" s="4"/>
      <c r="M294" s="5">
        <v>27.4</v>
      </c>
      <c r="N294" t="s">
        <v>108</v>
      </c>
      <c r="O294" s="20">
        <v>0</v>
      </c>
      <c r="P294" t="s">
        <v>132</v>
      </c>
      <c r="Q294" s="2">
        <v>9.5899999999999999E-2</v>
      </c>
      <c r="R294" t="s">
        <v>122</v>
      </c>
      <c r="AH294" t="str">
        <f>IFERROR(VLOOKUP($A294,fund_metadata!$A:$P,2,FALSE),"")</f>
        <v>Stepstone PV/Growth</v>
      </c>
      <c r="AI294" t="str">
        <f>IFERROR(VLOOKUP($A294,fund_metadata!$A:$P,16,FALSE),"")</f>
        <v>venture</v>
      </c>
    </row>
    <row r="295" spans="1:35" x14ac:dyDescent="0.25">
      <c r="A295">
        <v>7</v>
      </c>
      <c r="B295" s="3">
        <v>44926</v>
      </c>
      <c r="C295" s="19">
        <v>0</v>
      </c>
      <c r="D295" s="3" t="s">
        <v>132</v>
      </c>
      <c r="E295" s="19">
        <v>0</v>
      </c>
      <c r="F295" s="3" t="s">
        <v>132</v>
      </c>
      <c r="G295" s="19">
        <v>119530580</v>
      </c>
      <c r="H295" s="3" t="s">
        <v>132</v>
      </c>
      <c r="K295" s="4"/>
      <c r="M295" s="5">
        <v>27.4</v>
      </c>
      <c r="N295" t="s">
        <v>108</v>
      </c>
      <c r="O295" s="20">
        <v>0</v>
      </c>
      <c r="P295" t="s">
        <v>132</v>
      </c>
      <c r="Q295" s="2">
        <v>4.8800000000000003E-2</v>
      </c>
      <c r="R295" t="s">
        <v>122</v>
      </c>
      <c r="S295">
        <v>9</v>
      </c>
      <c r="AH295" t="str">
        <f>IFERROR(VLOOKUP($A295,fund_metadata!$A:$P,2,FALSE),"")</f>
        <v>Stepstone PV/Growth</v>
      </c>
      <c r="AI295" t="str">
        <f>IFERROR(VLOOKUP($A295,fund_metadata!$A:$P,16,FALSE),"")</f>
        <v>venture</v>
      </c>
    </row>
    <row r="296" spans="1:35" x14ac:dyDescent="0.25">
      <c r="A296">
        <v>7</v>
      </c>
      <c r="B296" s="3">
        <v>44957</v>
      </c>
      <c r="C296" s="19">
        <v>0</v>
      </c>
      <c r="D296" s="3" t="s">
        <v>132</v>
      </c>
      <c r="E296" s="19">
        <v>0</v>
      </c>
      <c r="F296" s="3" t="s">
        <v>132</v>
      </c>
      <c r="G296" s="19">
        <v>137420534</v>
      </c>
      <c r="H296" s="3" t="s">
        <v>132</v>
      </c>
      <c r="K296" s="4"/>
      <c r="M296" s="5">
        <v>28.73</v>
      </c>
      <c r="N296" t="s">
        <v>108</v>
      </c>
      <c r="O296" s="20">
        <v>0</v>
      </c>
      <c r="P296" t="s">
        <v>132</v>
      </c>
      <c r="Q296" s="2">
        <v>5.3199999999999997E-2</v>
      </c>
      <c r="R296" t="s">
        <v>122</v>
      </c>
      <c r="AH296" t="str">
        <f>IFERROR(VLOOKUP($A296,fund_metadata!$A:$P,2,FALSE),"")</f>
        <v>Stepstone PV/Growth</v>
      </c>
      <c r="AI296" t="str">
        <f>IFERROR(VLOOKUP($A296,fund_metadata!$A:$P,16,FALSE),"")</f>
        <v>venture</v>
      </c>
    </row>
    <row r="297" spans="1:35" x14ac:dyDescent="0.25">
      <c r="A297">
        <v>7</v>
      </c>
      <c r="B297" s="3">
        <v>44985</v>
      </c>
      <c r="C297" s="19">
        <v>0</v>
      </c>
      <c r="D297" s="3" t="s">
        <v>132</v>
      </c>
      <c r="E297" s="19">
        <v>0</v>
      </c>
      <c r="F297" s="3" t="s">
        <v>132</v>
      </c>
      <c r="G297" s="19">
        <v>156637817</v>
      </c>
      <c r="H297" s="3" t="s">
        <v>132</v>
      </c>
      <c r="K297" s="4"/>
      <c r="M297" s="5">
        <v>30.26</v>
      </c>
      <c r="N297" t="s">
        <v>108</v>
      </c>
      <c r="O297" s="20">
        <v>0</v>
      </c>
      <c r="P297" t="s">
        <v>132</v>
      </c>
      <c r="Q297" s="2">
        <v>-4.8000000000000001E-2</v>
      </c>
      <c r="R297" t="s">
        <v>122</v>
      </c>
      <c r="AH297" t="str">
        <f>IFERROR(VLOOKUP($A297,fund_metadata!$A:$P,2,FALSE),"")</f>
        <v>Stepstone PV/Growth</v>
      </c>
      <c r="AI297" t="str">
        <f>IFERROR(VLOOKUP($A297,fund_metadata!$A:$P,16,FALSE),"")</f>
        <v>venture</v>
      </c>
    </row>
    <row r="298" spans="1:35" x14ac:dyDescent="0.25">
      <c r="A298">
        <v>7</v>
      </c>
      <c r="B298" s="3">
        <v>45016</v>
      </c>
      <c r="C298" s="19">
        <v>0</v>
      </c>
      <c r="D298" s="3" t="s">
        <v>132</v>
      </c>
      <c r="E298" s="19">
        <v>0</v>
      </c>
      <c r="F298" s="3" t="s">
        <v>132</v>
      </c>
      <c r="G298" s="19">
        <v>168552889</v>
      </c>
      <c r="H298" s="3" t="s">
        <v>132</v>
      </c>
      <c r="K298" s="4"/>
      <c r="M298" s="5">
        <v>30.12</v>
      </c>
      <c r="N298" t="s">
        <v>108</v>
      </c>
      <c r="O298" s="20">
        <v>0</v>
      </c>
      <c r="P298" t="s">
        <v>132</v>
      </c>
      <c r="Q298" s="2">
        <v>5.9999999999999995E-4</v>
      </c>
      <c r="R298" t="s">
        <v>122</v>
      </c>
      <c r="S298">
        <v>15</v>
      </c>
      <c r="V298">
        <v>6167112</v>
      </c>
      <c r="W298" t="s">
        <v>121</v>
      </c>
      <c r="AH298" t="str">
        <f>IFERROR(VLOOKUP($A298,fund_metadata!$A:$P,2,FALSE),"")</f>
        <v>Stepstone PV/Growth</v>
      </c>
      <c r="AI298" t="str">
        <f>IFERROR(VLOOKUP($A298,fund_metadata!$A:$P,16,FALSE),"")</f>
        <v>venture</v>
      </c>
    </row>
    <row r="299" spans="1:35" x14ac:dyDescent="0.25">
      <c r="A299">
        <v>7</v>
      </c>
      <c r="B299" s="3">
        <v>45046</v>
      </c>
      <c r="C299" s="19">
        <v>0</v>
      </c>
      <c r="D299" s="3" t="s">
        <v>132</v>
      </c>
      <c r="E299" s="19">
        <v>0</v>
      </c>
      <c r="F299" s="3" t="s">
        <v>132</v>
      </c>
      <c r="G299" s="19">
        <v>186658706</v>
      </c>
      <c r="H299" s="3" t="s">
        <v>132</v>
      </c>
      <c r="K299" s="4"/>
      <c r="M299" s="5">
        <v>30.13</v>
      </c>
      <c r="N299" t="s">
        <v>108</v>
      </c>
      <c r="O299" s="20">
        <v>0</v>
      </c>
      <c r="P299" t="s">
        <v>132</v>
      </c>
      <c r="Q299" s="2">
        <v>2.8999999999999998E-3</v>
      </c>
      <c r="R299" t="s">
        <v>122</v>
      </c>
      <c r="AH299" t="str">
        <f>IFERROR(VLOOKUP($A299,fund_metadata!$A:$P,2,FALSE),"")</f>
        <v>Stepstone PV/Growth</v>
      </c>
      <c r="AI299" t="str">
        <f>IFERROR(VLOOKUP($A299,fund_metadata!$A:$P,16,FALSE),"")</f>
        <v>venture</v>
      </c>
    </row>
    <row r="300" spans="1:35" x14ac:dyDescent="0.25">
      <c r="A300">
        <v>7</v>
      </c>
      <c r="B300" s="3">
        <v>45077</v>
      </c>
      <c r="C300" s="19">
        <v>0</v>
      </c>
      <c r="D300" s="3" t="s">
        <v>132</v>
      </c>
      <c r="E300" s="19">
        <v>0</v>
      </c>
      <c r="F300" s="3" t="s">
        <v>132</v>
      </c>
      <c r="G300" s="19">
        <v>199506130</v>
      </c>
      <c r="H300" s="3" t="s">
        <v>132</v>
      </c>
      <c r="K300" s="4"/>
      <c r="M300" s="5">
        <v>30.22</v>
      </c>
      <c r="N300" t="s">
        <v>108</v>
      </c>
      <c r="O300" s="20">
        <v>0</v>
      </c>
      <c r="P300" t="s">
        <v>132</v>
      </c>
      <c r="Q300" s="2">
        <v>-2.9999999999999997E-4</v>
      </c>
      <c r="R300" t="s">
        <v>122</v>
      </c>
      <c r="AH300" t="str">
        <f>IFERROR(VLOOKUP($A300,fund_metadata!$A:$P,2,FALSE),"")</f>
        <v>Stepstone PV/Growth</v>
      </c>
      <c r="AI300" t="str">
        <f>IFERROR(VLOOKUP($A300,fund_metadata!$A:$P,16,FALSE),"")</f>
        <v>venture</v>
      </c>
    </row>
    <row r="301" spans="1:35" x14ac:dyDescent="0.25">
      <c r="A301">
        <v>7</v>
      </c>
      <c r="B301" s="3">
        <v>45107</v>
      </c>
      <c r="C301" s="19">
        <v>0</v>
      </c>
      <c r="D301" s="3" t="s">
        <v>132</v>
      </c>
      <c r="E301" s="19">
        <v>0</v>
      </c>
      <c r="F301" s="3" t="s">
        <v>132</v>
      </c>
      <c r="G301" s="19">
        <v>206428820</v>
      </c>
      <c r="H301" s="3" t="s">
        <v>132</v>
      </c>
      <c r="K301" s="4"/>
      <c r="M301" s="5">
        <v>30.21</v>
      </c>
      <c r="N301" t="s">
        <v>108</v>
      </c>
      <c r="O301" s="20">
        <v>0</v>
      </c>
      <c r="P301" t="s">
        <v>132</v>
      </c>
      <c r="Q301" s="2">
        <v>2.35E-2</v>
      </c>
      <c r="R301" t="s">
        <v>122</v>
      </c>
      <c r="S301">
        <v>30</v>
      </c>
      <c r="AH301" t="str">
        <f>IFERROR(VLOOKUP($A301,fund_metadata!$A:$P,2,FALSE),"")</f>
        <v>Stepstone PV/Growth</v>
      </c>
      <c r="AI301" t="str">
        <f>IFERROR(VLOOKUP($A301,fund_metadata!$A:$P,16,FALSE),"")</f>
        <v>venture</v>
      </c>
    </row>
    <row r="302" spans="1:35" x14ac:dyDescent="0.25">
      <c r="A302">
        <v>7</v>
      </c>
      <c r="B302" s="3">
        <v>45138</v>
      </c>
      <c r="C302" s="19">
        <v>0</v>
      </c>
      <c r="D302" s="3" t="s">
        <v>132</v>
      </c>
      <c r="E302" s="19">
        <v>0</v>
      </c>
      <c r="F302" s="3" t="s">
        <v>132</v>
      </c>
      <c r="G302" s="19">
        <v>221918346</v>
      </c>
      <c r="H302" s="3" t="s">
        <v>132</v>
      </c>
      <c r="K302" s="4"/>
      <c r="M302" s="5">
        <v>30.92</v>
      </c>
      <c r="N302" t="s">
        <v>108</v>
      </c>
      <c r="O302" s="20">
        <v>0</v>
      </c>
      <c r="P302" t="s">
        <v>132</v>
      </c>
      <c r="Q302" s="2">
        <v>5.1999999999999998E-3</v>
      </c>
      <c r="R302" t="s">
        <v>122</v>
      </c>
      <c r="AH302" t="str">
        <f>IFERROR(VLOOKUP($A302,fund_metadata!$A:$P,2,FALSE),"")</f>
        <v>Stepstone PV/Growth</v>
      </c>
      <c r="AI302" t="str">
        <f>IFERROR(VLOOKUP($A302,fund_metadata!$A:$P,16,FALSE),"")</f>
        <v>venture</v>
      </c>
    </row>
    <row r="303" spans="1:35" x14ac:dyDescent="0.25">
      <c r="A303">
        <v>7</v>
      </c>
      <c r="B303" s="3">
        <v>45169</v>
      </c>
      <c r="C303" s="19">
        <v>0</v>
      </c>
      <c r="D303" s="3" t="s">
        <v>132</v>
      </c>
      <c r="E303" s="19">
        <v>0</v>
      </c>
      <c r="F303" s="3" t="s">
        <v>132</v>
      </c>
      <c r="G303" s="19">
        <v>228548090</v>
      </c>
      <c r="H303" s="3" t="s">
        <v>132</v>
      </c>
      <c r="K303" s="4"/>
      <c r="M303" s="5">
        <v>31.08</v>
      </c>
      <c r="N303" t="s">
        <v>108</v>
      </c>
      <c r="O303" s="20">
        <v>0</v>
      </c>
      <c r="P303" t="s">
        <v>132</v>
      </c>
      <c r="Q303" s="2">
        <v>4.8899999999999999E-2</v>
      </c>
      <c r="R303" t="s">
        <v>122</v>
      </c>
      <c r="AH303" t="str">
        <f>IFERROR(VLOOKUP($A303,fund_metadata!$A:$P,2,FALSE),"")</f>
        <v>Stepstone PV/Growth</v>
      </c>
      <c r="AI303" t="str">
        <f>IFERROR(VLOOKUP($A303,fund_metadata!$A:$P,16,FALSE),"")</f>
        <v>venture</v>
      </c>
    </row>
    <row r="304" spans="1:35" x14ac:dyDescent="0.25">
      <c r="A304">
        <v>7</v>
      </c>
      <c r="B304" s="3">
        <v>45199</v>
      </c>
      <c r="C304" s="19">
        <v>0</v>
      </c>
      <c r="D304" s="3" t="s">
        <v>132</v>
      </c>
      <c r="E304" s="19">
        <v>0</v>
      </c>
      <c r="F304" s="3" t="s">
        <v>132</v>
      </c>
      <c r="G304" s="19">
        <v>256162166</v>
      </c>
      <c r="H304" s="3" t="s">
        <v>132</v>
      </c>
      <c r="K304" s="4"/>
      <c r="M304" s="5">
        <v>32.6</v>
      </c>
      <c r="N304" t="s">
        <v>108</v>
      </c>
      <c r="O304" s="20">
        <v>0</v>
      </c>
      <c r="P304" t="s">
        <v>132</v>
      </c>
      <c r="Q304" s="2">
        <v>5.1999999999999998E-3</v>
      </c>
      <c r="R304" t="s">
        <v>122</v>
      </c>
      <c r="S304">
        <v>45</v>
      </c>
      <c r="AH304" t="str">
        <f>IFERROR(VLOOKUP($A304,fund_metadata!$A:$P,2,FALSE),"")</f>
        <v>Stepstone PV/Growth</v>
      </c>
      <c r="AI304" t="str">
        <f>IFERROR(VLOOKUP($A304,fund_metadata!$A:$P,16,FALSE),"")</f>
        <v>venture</v>
      </c>
    </row>
    <row r="305" spans="1:35" x14ac:dyDescent="0.25">
      <c r="A305">
        <v>7</v>
      </c>
      <c r="B305" s="3">
        <v>45230</v>
      </c>
      <c r="C305" s="19">
        <v>0</v>
      </c>
      <c r="D305" s="3" t="s">
        <v>132</v>
      </c>
      <c r="E305" s="19">
        <v>0</v>
      </c>
      <c r="F305" s="3" t="s">
        <v>132</v>
      </c>
      <c r="G305" s="19">
        <v>278055755</v>
      </c>
      <c r="H305" s="3" t="s">
        <v>132</v>
      </c>
      <c r="K305" s="4"/>
      <c r="M305" s="5">
        <v>32.770000000000003</v>
      </c>
      <c r="N305" t="s">
        <v>108</v>
      </c>
      <c r="O305" s="20">
        <v>0</v>
      </c>
      <c r="P305" t="s">
        <v>132</v>
      </c>
      <c r="Q305" s="2">
        <v>2.5000000000000001E-2</v>
      </c>
      <c r="R305" t="s">
        <v>122</v>
      </c>
      <c r="AH305" t="str">
        <f>IFERROR(VLOOKUP($A305,fund_metadata!$A:$P,2,FALSE),"")</f>
        <v>Stepstone PV/Growth</v>
      </c>
      <c r="AI305" t="str">
        <f>IFERROR(VLOOKUP($A305,fund_metadata!$A:$P,16,FALSE),"")</f>
        <v>venture</v>
      </c>
    </row>
    <row r="306" spans="1:35" x14ac:dyDescent="0.25">
      <c r="A306">
        <v>7</v>
      </c>
      <c r="B306" s="3">
        <v>45260</v>
      </c>
      <c r="C306" s="19">
        <v>0</v>
      </c>
      <c r="D306" s="3" t="s">
        <v>132</v>
      </c>
      <c r="E306" s="19">
        <v>0</v>
      </c>
      <c r="F306" s="3" t="s">
        <v>132</v>
      </c>
      <c r="G306" s="19">
        <v>298623062</v>
      </c>
      <c r="H306" s="3" t="s">
        <v>132</v>
      </c>
      <c r="K306" s="4"/>
      <c r="M306" s="5">
        <v>33.590000000000003</v>
      </c>
      <c r="N306" t="s">
        <v>108</v>
      </c>
      <c r="O306" s="20">
        <v>0</v>
      </c>
      <c r="P306" t="s">
        <v>132</v>
      </c>
      <c r="Q306" s="2">
        <v>4.4999999999999997E-3</v>
      </c>
      <c r="R306" t="s">
        <v>122</v>
      </c>
      <c r="AH306" t="str">
        <f>IFERROR(VLOOKUP($A306,fund_metadata!$A:$P,2,FALSE),"")</f>
        <v>Stepstone PV/Growth</v>
      </c>
      <c r="AI306" t="str">
        <f>IFERROR(VLOOKUP($A306,fund_metadata!$A:$P,16,FALSE),"")</f>
        <v>venture</v>
      </c>
    </row>
    <row r="307" spans="1:35" x14ac:dyDescent="0.25">
      <c r="A307">
        <v>7</v>
      </c>
      <c r="B307" s="3">
        <v>45291</v>
      </c>
      <c r="C307" s="19">
        <v>0</v>
      </c>
      <c r="D307" s="3" t="s">
        <v>132</v>
      </c>
      <c r="E307" s="19">
        <v>0</v>
      </c>
      <c r="F307" s="3" t="s">
        <v>132</v>
      </c>
      <c r="G307" s="19">
        <v>323412119</v>
      </c>
      <c r="H307" s="3" t="s">
        <v>132</v>
      </c>
      <c r="M307" s="5">
        <v>33.74</v>
      </c>
      <c r="N307" t="s">
        <v>108</v>
      </c>
      <c r="O307" s="20">
        <v>0</v>
      </c>
      <c r="P307" t="s">
        <v>132</v>
      </c>
      <c r="Q307" s="2">
        <v>4.53E-2</v>
      </c>
      <c r="R307" t="s">
        <v>122</v>
      </c>
      <c r="AH307" t="str">
        <f>IFERROR(VLOOKUP($A307,fund_metadata!$A:$P,2,FALSE),"")</f>
        <v>Stepstone PV/Growth</v>
      </c>
      <c r="AI307" t="str">
        <f>IFERROR(VLOOKUP($A307,fund_metadata!$A:$P,16,FALSE),"")</f>
        <v>venture</v>
      </c>
    </row>
    <row r="308" spans="1:35" x14ac:dyDescent="0.25">
      <c r="A308">
        <v>7</v>
      </c>
      <c r="B308" s="3">
        <v>45322</v>
      </c>
      <c r="C308" s="19">
        <v>0</v>
      </c>
      <c r="D308" s="3" t="s">
        <v>132</v>
      </c>
      <c r="E308" s="19">
        <v>0</v>
      </c>
      <c r="F308" s="3" t="s">
        <v>132</v>
      </c>
      <c r="G308" s="19">
        <v>353871766</v>
      </c>
      <c r="H308" s="3" t="s">
        <v>132</v>
      </c>
      <c r="M308" s="5">
        <v>35.270000000000003</v>
      </c>
      <c r="N308" t="s">
        <v>108</v>
      </c>
      <c r="O308" s="20">
        <v>0</v>
      </c>
      <c r="P308" t="s">
        <v>132</v>
      </c>
      <c r="Q308" s="2">
        <v>-4.7999999999999996E-3</v>
      </c>
      <c r="R308" t="s">
        <v>122</v>
      </c>
      <c r="AH308" t="str">
        <f>IFERROR(VLOOKUP($A308,fund_metadata!$A:$P,2,FALSE),"")</f>
        <v>Stepstone PV/Growth</v>
      </c>
      <c r="AI308" t="str">
        <f>IFERROR(VLOOKUP($A308,fund_metadata!$A:$P,16,FALSE),"")</f>
        <v>venture</v>
      </c>
    </row>
    <row r="309" spans="1:35" x14ac:dyDescent="0.25">
      <c r="A309">
        <v>7</v>
      </c>
      <c r="B309" s="3">
        <v>45351</v>
      </c>
      <c r="C309" s="19">
        <v>0</v>
      </c>
      <c r="D309" s="3" t="s">
        <v>132</v>
      </c>
      <c r="E309" s="19">
        <v>0</v>
      </c>
      <c r="F309" s="3" t="s">
        <v>132</v>
      </c>
      <c r="G309" s="19">
        <v>383880814</v>
      </c>
      <c r="H309" s="3" t="s">
        <v>132</v>
      </c>
      <c r="M309" s="5">
        <v>35.1</v>
      </c>
      <c r="N309" t="s">
        <v>108</v>
      </c>
      <c r="O309" s="20">
        <v>0</v>
      </c>
      <c r="P309" t="s">
        <v>132</v>
      </c>
      <c r="Q309" s="2">
        <v>1.2500000000000001E-2</v>
      </c>
      <c r="R309" t="s">
        <v>122</v>
      </c>
      <c r="AH309" t="str">
        <f>IFERROR(VLOOKUP($A309,fund_metadata!$A:$P,2,FALSE),"")</f>
        <v>Stepstone PV/Growth</v>
      </c>
      <c r="AI309" t="str">
        <f>IFERROR(VLOOKUP($A309,fund_metadata!$A:$P,16,FALSE),"")</f>
        <v>venture</v>
      </c>
    </row>
    <row r="310" spans="1:35" x14ac:dyDescent="0.25">
      <c r="A310">
        <v>7</v>
      </c>
      <c r="B310" s="3">
        <v>45382</v>
      </c>
      <c r="C310" s="19">
        <v>516166</v>
      </c>
      <c r="D310" s="3" t="s">
        <v>132</v>
      </c>
      <c r="E310" s="19">
        <v>0</v>
      </c>
      <c r="F310" s="3" t="s">
        <v>132</v>
      </c>
      <c r="G310" s="19">
        <v>441262926</v>
      </c>
      <c r="H310" s="3" t="s">
        <v>132</v>
      </c>
      <c r="M310" s="5">
        <v>35.54</v>
      </c>
      <c r="N310" t="s">
        <v>108</v>
      </c>
      <c r="O310" s="20">
        <v>0</v>
      </c>
      <c r="P310" t="s">
        <v>132</v>
      </c>
      <c r="Q310" s="2">
        <v>2.87E-2</v>
      </c>
      <c r="R310" t="s">
        <v>122</v>
      </c>
      <c r="AH310" t="str">
        <f>IFERROR(VLOOKUP($A310,fund_metadata!$A:$P,2,FALSE),"")</f>
        <v>Stepstone PV/Growth</v>
      </c>
      <c r="AI310" t="str">
        <f>IFERROR(VLOOKUP($A310,fund_metadata!$A:$P,16,FALSE),"")</f>
        <v>venture</v>
      </c>
    </row>
    <row r="311" spans="1:35" x14ac:dyDescent="0.25">
      <c r="A311">
        <v>7</v>
      </c>
      <c r="B311" s="3">
        <v>45412</v>
      </c>
      <c r="C311" s="19">
        <v>0</v>
      </c>
      <c r="D311" s="3" t="s">
        <v>132</v>
      </c>
      <c r="E311" s="19">
        <v>0</v>
      </c>
      <c r="F311" s="3" t="s">
        <v>132</v>
      </c>
      <c r="G311" s="19">
        <v>502319295</v>
      </c>
      <c r="H311" s="3" t="s">
        <v>132</v>
      </c>
      <c r="M311" s="5">
        <v>36.56</v>
      </c>
      <c r="N311" t="s">
        <v>108</v>
      </c>
      <c r="O311" s="20">
        <v>0</v>
      </c>
      <c r="P311" t="s">
        <v>132</v>
      </c>
      <c r="Q311" s="2">
        <v>-3.0000000000000001E-3</v>
      </c>
      <c r="R311" t="s">
        <v>122</v>
      </c>
      <c r="AH311" t="str">
        <f>IFERROR(VLOOKUP($A311,fund_metadata!$A:$P,2,FALSE),"")</f>
        <v>Stepstone PV/Growth</v>
      </c>
      <c r="AI311" t="str">
        <f>IFERROR(VLOOKUP($A311,fund_metadata!$A:$P,16,FALSE),"")</f>
        <v>venture</v>
      </c>
    </row>
    <row r="312" spans="1:35" x14ac:dyDescent="0.25">
      <c r="A312">
        <v>7</v>
      </c>
      <c r="B312" s="3">
        <v>45443</v>
      </c>
      <c r="C312" s="19">
        <v>0</v>
      </c>
      <c r="D312" s="3" t="s">
        <v>132</v>
      </c>
      <c r="E312" s="19">
        <v>0</v>
      </c>
      <c r="F312" s="3" t="s">
        <v>132</v>
      </c>
      <c r="G312" s="19">
        <v>559419917</v>
      </c>
      <c r="H312" s="3" t="s">
        <v>132</v>
      </c>
      <c r="M312" s="5">
        <v>36.450000000000003</v>
      </c>
      <c r="N312" t="s">
        <v>108</v>
      </c>
      <c r="O312" s="20">
        <v>0</v>
      </c>
      <c r="P312" t="s">
        <v>132</v>
      </c>
      <c r="Q312" s="2">
        <v>1.5900000000000001E-2</v>
      </c>
      <c r="R312" t="s">
        <v>122</v>
      </c>
      <c r="AH312" t="str">
        <f>IFERROR(VLOOKUP($A312,fund_metadata!$A:$P,2,FALSE),"")</f>
        <v>Stepstone PV/Growth</v>
      </c>
      <c r="AI312" t="str">
        <f>IFERROR(VLOOKUP($A312,fund_metadata!$A:$P,16,FALSE),"")</f>
        <v>venture</v>
      </c>
    </row>
    <row r="313" spans="1:35" x14ac:dyDescent="0.25">
      <c r="A313">
        <v>7</v>
      </c>
      <c r="B313" s="3">
        <v>45473</v>
      </c>
      <c r="C313" s="19">
        <v>1260079</v>
      </c>
      <c r="D313" s="3" t="s">
        <v>132</v>
      </c>
      <c r="E313" s="19">
        <v>0</v>
      </c>
      <c r="F313" s="3" t="s">
        <v>132</v>
      </c>
      <c r="G313" s="19">
        <v>622492484</v>
      </c>
      <c r="H313" s="3" t="s">
        <v>132</v>
      </c>
      <c r="M313" s="5">
        <v>37.03</v>
      </c>
      <c r="N313" t="s">
        <v>108</v>
      </c>
      <c r="O313" s="20">
        <v>0</v>
      </c>
      <c r="P313" t="s">
        <v>132</v>
      </c>
      <c r="Q313" s="2">
        <v>2.4E-2</v>
      </c>
      <c r="R313" t="s">
        <v>122</v>
      </c>
      <c r="AH313" t="str">
        <f>IFERROR(VLOOKUP($A313,fund_metadata!$A:$P,2,FALSE),"")</f>
        <v>Stepstone PV/Growth</v>
      </c>
      <c r="AI313" t="str">
        <f>IFERROR(VLOOKUP($A313,fund_metadata!$A:$P,16,FALSE),"")</f>
        <v>venture</v>
      </c>
    </row>
    <row r="314" spans="1:35" x14ac:dyDescent="0.25">
      <c r="A314">
        <v>7</v>
      </c>
      <c r="B314" s="3">
        <v>45504</v>
      </c>
      <c r="C314" s="19">
        <v>0</v>
      </c>
      <c r="D314" s="3" t="s">
        <v>132</v>
      </c>
      <c r="E314" s="19">
        <v>0</v>
      </c>
      <c r="F314" s="3" t="s">
        <v>132</v>
      </c>
      <c r="G314" s="19">
        <v>703943186</v>
      </c>
      <c r="H314" s="3" t="s">
        <v>132</v>
      </c>
      <c r="M314" s="5">
        <v>37.92</v>
      </c>
      <c r="N314" t="s">
        <v>108</v>
      </c>
      <c r="O314" s="20">
        <v>0</v>
      </c>
      <c r="P314" t="s">
        <v>132</v>
      </c>
      <c r="Q314" s="2">
        <v>5.7999999999999996E-3</v>
      </c>
      <c r="R314" t="s">
        <v>122</v>
      </c>
      <c r="AH314" t="str">
        <f>IFERROR(VLOOKUP($A314,fund_metadata!$A:$P,2,FALSE),"")</f>
        <v>Stepstone PV/Growth</v>
      </c>
      <c r="AI314" t="str">
        <f>IFERROR(VLOOKUP($A314,fund_metadata!$A:$P,16,FALSE),"")</f>
        <v>venture</v>
      </c>
    </row>
    <row r="315" spans="1:35" x14ac:dyDescent="0.25">
      <c r="A315">
        <v>7</v>
      </c>
      <c r="B315" s="3">
        <v>45535</v>
      </c>
      <c r="C315" s="19">
        <v>0</v>
      </c>
      <c r="D315" s="3" t="s">
        <v>132</v>
      </c>
      <c r="E315" s="19">
        <v>0</v>
      </c>
      <c r="F315" s="3" t="s">
        <v>132</v>
      </c>
      <c r="G315" s="19">
        <v>752675700</v>
      </c>
      <c r="H315" s="3" t="s">
        <v>132</v>
      </c>
      <c r="M315" s="5">
        <v>38.14</v>
      </c>
      <c r="N315" t="s">
        <v>108</v>
      </c>
      <c r="O315" s="20">
        <v>0</v>
      </c>
      <c r="P315" t="s">
        <v>132</v>
      </c>
      <c r="Q315" s="2">
        <v>1.6799999999999999E-2</v>
      </c>
      <c r="R315" t="s">
        <v>122</v>
      </c>
      <c r="AH315" t="str">
        <f>IFERROR(VLOOKUP($A315,fund_metadata!$A:$P,2,FALSE),"")</f>
        <v>Stepstone PV/Growth</v>
      </c>
      <c r="AI315" t="str">
        <f>IFERROR(VLOOKUP($A315,fund_metadata!$A:$P,16,FALSE),"")</f>
        <v>venture</v>
      </c>
    </row>
    <row r="316" spans="1:35" x14ac:dyDescent="0.25">
      <c r="A316">
        <v>7</v>
      </c>
      <c r="B316" s="3">
        <v>45565</v>
      </c>
      <c r="C316" s="19">
        <v>1717956</v>
      </c>
      <c r="D316" s="3" t="s">
        <v>132</v>
      </c>
      <c r="E316" s="19">
        <v>0</v>
      </c>
      <c r="F316" s="3" t="s">
        <v>132</v>
      </c>
      <c r="G316" s="19">
        <v>889773797</v>
      </c>
      <c r="H316" s="3" t="s">
        <v>132</v>
      </c>
      <c r="M316" s="5">
        <v>38.78</v>
      </c>
      <c r="N316" t="s">
        <v>108</v>
      </c>
      <c r="O316" s="20">
        <v>0</v>
      </c>
      <c r="P316" t="s">
        <v>132</v>
      </c>
      <c r="Q316" s="2">
        <v>2.3E-3</v>
      </c>
      <c r="R316" t="s">
        <v>122</v>
      </c>
      <c r="AH316" t="str">
        <f>IFERROR(VLOOKUP($A316,fund_metadata!$A:$P,2,FALSE),"")</f>
        <v>Stepstone PV/Growth</v>
      </c>
      <c r="AI316" t="str">
        <f>IFERROR(VLOOKUP($A316,fund_metadata!$A:$P,16,FALSE),"")</f>
        <v>venture</v>
      </c>
    </row>
    <row r="317" spans="1:35" x14ac:dyDescent="0.25">
      <c r="A317">
        <v>7</v>
      </c>
      <c r="B317" s="3">
        <v>45596</v>
      </c>
      <c r="C317" s="19">
        <v>0</v>
      </c>
      <c r="D317" s="3" t="s">
        <v>132</v>
      </c>
      <c r="E317" s="19">
        <v>0</v>
      </c>
      <c r="F317" s="3" t="s">
        <v>132</v>
      </c>
      <c r="G317" s="19">
        <v>1008342636</v>
      </c>
      <c r="H317" s="3" t="s">
        <v>132</v>
      </c>
      <c r="M317" s="5">
        <v>38.869999999999997</v>
      </c>
      <c r="N317" t="s">
        <v>108</v>
      </c>
      <c r="O317" s="20">
        <v>0</v>
      </c>
      <c r="P317" t="s">
        <v>132</v>
      </c>
      <c r="Q317" s="2">
        <v>5.4000000000000003E-3</v>
      </c>
      <c r="R317" t="s">
        <v>122</v>
      </c>
      <c r="AH317" t="str">
        <f>IFERROR(VLOOKUP($A317,fund_metadata!$A:$P,2,FALSE),"")</f>
        <v>Stepstone PV/Growth</v>
      </c>
      <c r="AI317" t="str">
        <f>IFERROR(VLOOKUP($A317,fund_metadata!$A:$P,16,FALSE),"")</f>
        <v>venture</v>
      </c>
    </row>
    <row r="318" spans="1:35" x14ac:dyDescent="0.25">
      <c r="A318">
        <v>7</v>
      </c>
      <c r="B318" s="3">
        <v>45626</v>
      </c>
      <c r="C318" s="19">
        <v>0</v>
      </c>
      <c r="D318" s="3" t="s">
        <v>132</v>
      </c>
      <c r="E318" s="19">
        <v>0</v>
      </c>
      <c r="F318" s="3" t="s">
        <v>132</v>
      </c>
      <c r="G318" s="19">
        <v>1126147746</v>
      </c>
      <c r="H318" s="3" t="s">
        <v>132</v>
      </c>
      <c r="M318" s="5">
        <v>39.08</v>
      </c>
      <c r="N318" t="s">
        <v>108</v>
      </c>
      <c r="O318" s="20">
        <v>0</v>
      </c>
      <c r="P318" t="s">
        <v>132</v>
      </c>
      <c r="Q318" s="2">
        <v>2.1000000000000001E-2</v>
      </c>
      <c r="R318" t="s">
        <v>122</v>
      </c>
      <c r="AH318" t="str">
        <f>IFERROR(VLOOKUP($A318,fund_metadata!$A:$P,2,FALSE),"")</f>
        <v>Stepstone PV/Growth</v>
      </c>
      <c r="AI318" t="str">
        <f>IFERROR(VLOOKUP($A318,fund_metadata!$A:$P,16,FALSE),"")</f>
        <v>venture</v>
      </c>
    </row>
    <row r="319" spans="1:35" x14ac:dyDescent="0.25">
      <c r="A319">
        <v>7</v>
      </c>
      <c r="B319" s="3">
        <v>45657</v>
      </c>
      <c r="C319" s="19">
        <v>14984343</v>
      </c>
      <c r="D319" s="3" t="s">
        <v>132</v>
      </c>
      <c r="E319" s="19">
        <v>8469347</v>
      </c>
      <c r="F319" s="3" t="s">
        <v>132</v>
      </c>
      <c r="G319" s="19">
        <v>1248943539</v>
      </c>
      <c r="H319" s="3" t="s">
        <v>132</v>
      </c>
      <c r="M319" s="5">
        <v>39.9</v>
      </c>
      <c r="N319" t="s">
        <v>108</v>
      </c>
      <c r="O319" s="20">
        <v>0.2465</v>
      </c>
      <c r="P319" t="s">
        <v>132</v>
      </c>
      <c r="Q319" s="2">
        <v>2.3900000000000001E-2</v>
      </c>
      <c r="R319" t="s">
        <v>122</v>
      </c>
      <c r="AH319" t="str">
        <f>IFERROR(VLOOKUP($A319,fund_metadata!$A:$P,2,FALSE),"")</f>
        <v>Stepstone PV/Growth</v>
      </c>
      <c r="AI319" t="str">
        <f>IFERROR(VLOOKUP($A319,fund_metadata!$A:$P,16,FALSE),"")</f>
        <v>venture</v>
      </c>
    </row>
    <row r="320" spans="1:35" x14ac:dyDescent="0.25">
      <c r="A320">
        <v>7</v>
      </c>
      <c r="B320" s="3">
        <v>45688</v>
      </c>
      <c r="C320" s="19">
        <v>0</v>
      </c>
      <c r="D320" s="3" t="s">
        <v>132</v>
      </c>
      <c r="E320" s="19">
        <v>0</v>
      </c>
      <c r="F320" s="3" t="s">
        <v>132</v>
      </c>
      <c r="G320" s="19">
        <v>1373954037</v>
      </c>
      <c r="H320" s="3" t="s">
        <v>132</v>
      </c>
      <c r="M320" s="5">
        <v>40.61</v>
      </c>
      <c r="N320" t="s">
        <v>108</v>
      </c>
      <c r="O320" s="20">
        <v>0</v>
      </c>
      <c r="P320" t="s">
        <v>132</v>
      </c>
      <c r="Q320" s="2">
        <v>2.12E-2</v>
      </c>
      <c r="R320" t="s">
        <v>122</v>
      </c>
      <c r="AH320" t="str">
        <f>IFERROR(VLOOKUP($A320,fund_metadata!$A:$P,2,FALSE),"")</f>
        <v>Stepstone PV/Growth</v>
      </c>
      <c r="AI320" t="str">
        <f>IFERROR(VLOOKUP($A320,fund_metadata!$A:$P,16,FALSE),"")</f>
        <v>venture</v>
      </c>
    </row>
    <row r="321" spans="1:35" x14ac:dyDescent="0.25">
      <c r="A321">
        <v>7</v>
      </c>
      <c r="B321" s="3">
        <v>45716</v>
      </c>
      <c r="C321" s="19">
        <v>0</v>
      </c>
      <c r="D321" s="3" t="s">
        <v>132</v>
      </c>
      <c r="E321" s="19">
        <v>0</v>
      </c>
      <c r="F321" s="3" t="s">
        <v>132</v>
      </c>
      <c r="G321" s="19">
        <v>1560037491</v>
      </c>
      <c r="H321" s="3" t="s">
        <v>132</v>
      </c>
      <c r="M321" s="5">
        <v>41.47</v>
      </c>
      <c r="N321" t="s">
        <v>108</v>
      </c>
      <c r="O321" s="20">
        <v>0</v>
      </c>
      <c r="P321" t="s">
        <v>132</v>
      </c>
      <c r="Q321" s="2">
        <v>1.23E-2</v>
      </c>
      <c r="R321" t="s">
        <v>122</v>
      </c>
      <c r="AH321" t="str">
        <f>IFERROR(VLOOKUP($A321,fund_metadata!$A:$P,2,FALSE),"")</f>
        <v>Stepstone PV/Growth</v>
      </c>
      <c r="AI321" t="str">
        <f>IFERROR(VLOOKUP($A321,fund_metadata!$A:$P,16,FALSE),"")</f>
        <v>venture</v>
      </c>
    </row>
    <row r="322" spans="1:35" x14ac:dyDescent="0.25">
      <c r="A322">
        <v>7</v>
      </c>
      <c r="B322" s="3">
        <v>45747</v>
      </c>
      <c r="C322" s="19">
        <v>20121077</v>
      </c>
      <c r="D322" s="3" t="s">
        <v>132</v>
      </c>
      <c r="E322" s="19">
        <v>0</v>
      </c>
      <c r="F322" s="3" t="s">
        <v>132</v>
      </c>
      <c r="G322" s="19">
        <v>1712357718</v>
      </c>
      <c r="H322" s="3" t="s">
        <v>132</v>
      </c>
      <c r="M322" s="5">
        <v>41.98</v>
      </c>
      <c r="N322" t="s">
        <v>108</v>
      </c>
      <c r="O322" s="20">
        <v>0</v>
      </c>
      <c r="P322" t="s">
        <v>132</v>
      </c>
      <c r="Q322" s="2">
        <v>2.9499999999999998E-2</v>
      </c>
      <c r="R322" t="s">
        <v>122</v>
      </c>
      <c r="AH322" t="str">
        <f>IFERROR(VLOOKUP($A322,fund_metadata!$A:$P,2,FALSE),"")</f>
        <v>Stepstone PV/Growth</v>
      </c>
      <c r="AI322" t="str">
        <f>IFERROR(VLOOKUP($A322,fund_metadata!$A:$P,16,FALSE),"")</f>
        <v>venture</v>
      </c>
    </row>
    <row r="323" spans="1:35" x14ac:dyDescent="0.25">
      <c r="A323">
        <v>7</v>
      </c>
      <c r="B323" s="3">
        <v>45777</v>
      </c>
      <c r="C323" s="19">
        <v>0</v>
      </c>
      <c r="D323" s="3" t="s">
        <v>132</v>
      </c>
      <c r="E323" s="19">
        <v>0</v>
      </c>
      <c r="F323" s="3" t="s">
        <v>132</v>
      </c>
      <c r="G323" s="19">
        <v>1902805710</v>
      </c>
      <c r="H323" s="3" t="s">
        <v>132</v>
      </c>
      <c r="M323" s="5">
        <v>43.22</v>
      </c>
      <c r="N323" t="s">
        <v>108</v>
      </c>
      <c r="O323" s="20">
        <v>0</v>
      </c>
      <c r="P323" t="s">
        <v>132</v>
      </c>
      <c r="Q323" s="2">
        <v>5.3E-3</v>
      </c>
      <c r="R323" t="s">
        <v>122</v>
      </c>
      <c r="AH323" t="str">
        <f>IFERROR(VLOOKUP($A323,fund_metadata!$A:$P,2,FALSE),"")</f>
        <v>Stepstone PV/Growth</v>
      </c>
      <c r="AI323" t="str">
        <f>IFERROR(VLOOKUP($A323,fund_metadata!$A:$P,16,FALSE),"")</f>
        <v>venture</v>
      </c>
    </row>
    <row r="324" spans="1:35" x14ac:dyDescent="0.25">
      <c r="A324">
        <v>7</v>
      </c>
      <c r="B324" s="3">
        <v>45808</v>
      </c>
      <c r="C324" s="19">
        <v>0</v>
      </c>
      <c r="D324" s="3" t="s">
        <v>132</v>
      </c>
      <c r="E324" s="19">
        <v>0</v>
      </c>
      <c r="F324" s="3" t="s">
        <v>132</v>
      </c>
      <c r="G324" s="19">
        <v>2049521588</v>
      </c>
      <c r="H324" s="3" t="s">
        <v>132</v>
      </c>
      <c r="M324" s="5">
        <v>43.45</v>
      </c>
      <c r="N324" t="s">
        <v>108</v>
      </c>
      <c r="O324" s="20">
        <v>0</v>
      </c>
      <c r="P324" t="s">
        <v>132</v>
      </c>
      <c r="Q324" s="2">
        <v>2.8299999999999999E-2</v>
      </c>
      <c r="R324" t="s">
        <v>122</v>
      </c>
      <c r="AH324" t="str">
        <f>IFERROR(VLOOKUP($A324,fund_metadata!$A:$P,2,FALSE),"")</f>
        <v>Stepstone PV/Growth</v>
      </c>
      <c r="AI324" t="str">
        <f>IFERROR(VLOOKUP($A324,fund_metadata!$A:$P,16,FALSE),"")</f>
        <v>venture</v>
      </c>
    </row>
    <row r="325" spans="1:35" x14ac:dyDescent="0.25">
      <c r="A325">
        <v>7</v>
      </c>
      <c r="B325" s="3">
        <v>45838</v>
      </c>
      <c r="C325" s="19">
        <v>20227283</v>
      </c>
      <c r="D325" s="3" t="s">
        <v>132</v>
      </c>
      <c r="E325" s="19">
        <v>0</v>
      </c>
      <c r="F325" s="3" t="s">
        <v>132</v>
      </c>
      <c r="G325" s="19">
        <v>2210561278</v>
      </c>
      <c r="H325" s="3" t="s">
        <v>132</v>
      </c>
      <c r="M325" s="5">
        <v>44.68</v>
      </c>
      <c r="N325" t="s">
        <v>108</v>
      </c>
      <c r="O325" s="20">
        <v>0</v>
      </c>
      <c r="P325" t="s">
        <v>132</v>
      </c>
      <c r="Q325" s="2">
        <v>7.1999999999999998E-3</v>
      </c>
      <c r="R325" t="s">
        <v>122</v>
      </c>
      <c r="AH325" t="str">
        <f>IFERROR(VLOOKUP($A325,fund_metadata!$A:$P,2,FALSE),"")</f>
        <v>Stepstone PV/Growth</v>
      </c>
      <c r="AI325" t="str">
        <f>IFERROR(VLOOKUP($A325,fund_metadata!$A:$P,16,FALSE),"")</f>
        <v>venture</v>
      </c>
    </row>
    <row r="326" spans="1:35" x14ac:dyDescent="0.25">
      <c r="A326">
        <v>7</v>
      </c>
      <c r="B326" s="3">
        <v>45869</v>
      </c>
      <c r="C326" s="19">
        <v>0</v>
      </c>
      <c r="D326" s="3" t="s">
        <v>132</v>
      </c>
      <c r="E326" s="19">
        <v>0</v>
      </c>
      <c r="F326" s="3" t="s">
        <v>132</v>
      </c>
      <c r="G326" s="19">
        <v>2362734729</v>
      </c>
      <c r="H326" s="3" t="s">
        <v>132</v>
      </c>
      <c r="M326" s="5">
        <v>45</v>
      </c>
      <c r="N326" t="s">
        <v>108</v>
      </c>
      <c r="O326" s="20">
        <v>0</v>
      </c>
      <c r="P326" t="s">
        <v>132</v>
      </c>
      <c r="Q326" s="2">
        <v>1.3599999999999999E-2</v>
      </c>
      <c r="R326" t="s">
        <v>122</v>
      </c>
      <c r="AH326" t="str">
        <f>IFERROR(VLOOKUP($A326,fund_metadata!$A:$P,2,FALSE),"")</f>
        <v>Stepstone PV/Growth</v>
      </c>
      <c r="AI326" t="str">
        <f>IFERROR(VLOOKUP($A326,fund_metadata!$A:$P,16,FALSE),"")</f>
        <v>venture</v>
      </c>
    </row>
    <row r="327" spans="1:35" x14ac:dyDescent="0.25">
      <c r="A327">
        <v>7</v>
      </c>
      <c r="B327" s="3">
        <v>45900</v>
      </c>
      <c r="C327" s="19">
        <v>0</v>
      </c>
      <c r="D327" s="3" t="s">
        <v>132</v>
      </c>
      <c r="E327" s="19">
        <v>0</v>
      </c>
      <c r="F327" s="3" t="s">
        <v>132</v>
      </c>
      <c r="G327" s="19">
        <v>2569772410</v>
      </c>
      <c r="H327" s="3" t="s">
        <v>132</v>
      </c>
      <c r="M327" s="5">
        <v>45.61</v>
      </c>
      <c r="N327" t="s">
        <v>108</v>
      </c>
      <c r="O327" s="20">
        <v>0</v>
      </c>
      <c r="P327" t="s">
        <v>132</v>
      </c>
      <c r="Q327" s="2">
        <v>2.7400000000000001E-2</v>
      </c>
      <c r="R327" t="s">
        <v>122</v>
      </c>
      <c r="AH327" t="str">
        <f>IFERROR(VLOOKUP($A327,fund_metadata!$A:$P,2,FALSE),"")</f>
        <v>Stepstone PV/Growth</v>
      </c>
      <c r="AI327" t="str">
        <f>IFERROR(VLOOKUP($A327,fund_metadata!$A:$P,16,FALSE),"")</f>
        <v>venture</v>
      </c>
    </row>
    <row r="328" spans="1:35" x14ac:dyDescent="0.25">
      <c r="A328">
        <v>7</v>
      </c>
      <c r="B328" s="3">
        <v>45930</v>
      </c>
      <c r="C328" s="19">
        <v>25926850</v>
      </c>
      <c r="D328" s="3" t="s">
        <v>132</v>
      </c>
      <c r="E328" s="19">
        <v>0</v>
      </c>
      <c r="F328" s="3" t="s">
        <v>132</v>
      </c>
      <c r="G328" s="19">
        <v>2913714747</v>
      </c>
      <c r="H328" s="3" t="s">
        <v>132</v>
      </c>
      <c r="M328" s="5">
        <v>46.86</v>
      </c>
      <c r="N328" t="s">
        <v>108</v>
      </c>
      <c r="O328" s="20">
        <v>0</v>
      </c>
      <c r="P328" t="s">
        <v>132</v>
      </c>
      <c r="Q328" s="2">
        <v>2.1999999999999999E-2</v>
      </c>
      <c r="R328" t="s">
        <v>122</v>
      </c>
      <c r="AH328" t="str">
        <f>IFERROR(VLOOKUP($A328,fund_metadata!$A:$P,2,FALSE),"")</f>
        <v>Stepstone PV/Growth</v>
      </c>
      <c r="AI328" t="str">
        <f>IFERROR(VLOOKUP($A328,fund_metadata!$A:$P,16,FALSE),"")</f>
        <v>venture</v>
      </c>
    </row>
    <row r="329" spans="1:35" x14ac:dyDescent="0.25">
      <c r="A329">
        <v>7</v>
      </c>
      <c r="B329" s="3">
        <v>45961</v>
      </c>
      <c r="C329" s="19">
        <v>0</v>
      </c>
      <c r="D329" s="3" t="s">
        <v>132</v>
      </c>
      <c r="E329" s="19">
        <v>0</v>
      </c>
      <c r="F329" s="3" t="s">
        <v>132</v>
      </c>
      <c r="G329" s="19">
        <v>3231630731</v>
      </c>
      <c r="H329" s="3" t="s">
        <v>132</v>
      </c>
      <c r="M329" s="5">
        <v>47.89</v>
      </c>
      <c r="N329" t="s">
        <v>108</v>
      </c>
      <c r="O329" s="20">
        <v>0</v>
      </c>
      <c r="P329" t="s">
        <v>132</v>
      </c>
      <c r="Q329" s="2">
        <v>3.5900000000000001E-2</v>
      </c>
      <c r="R329" t="s">
        <v>122</v>
      </c>
      <c r="AH329" t="str">
        <f>IFERROR(VLOOKUP($A329,fund_metadata!$A:$P,2,FALSE),"")</f>
        <v>Stepstone PV/Growth</v>
      </c>
      <c r="AI329" t="str">
        <f>IFERROR(VLOOKUP($A329,fund_metadata!$A:$P,16,FALSE),"")</f>
        <v>venture</v>
      </c>
    </row>
    <row r="330" spans="1:35" x14ac:dyDescent="0.25">
      <c r="A330">
        <v>7</v>
      </c>
      <c r="B330" s="3">
        <v>45991</v>
      </c>
      <c r="C330" s="19">
        <v>0</v>
      </c>
      <c r="D330" s="3" t="s">
        <v>132</v>
      </c>
      <c r="E330" s="19">
        <v>0</v>
      </c>
      <c r="F330" s="3" t="s">
        <v>132</v>
      </c>
      <c r="G330" s="19">
        <v>3612456067</v>
      </c>
      <c r="H330" s="3" t="s">
        <v>132</v>
      </c>
      <c r="M330" s="5">
        <v>49.61</v>
      </c>
      <c r="N330" t="s">
        <v>108</v>
      </c>
      <c r="O330" s="20">
        <v>0</v>
      </c>
      <c r="P330" t="s">
        <v>132</v>
      </c>
      <c r="Q330" s="2">
        <v>5.3600000000000002E-2</v>
      </c>
      <c r="R330" t="s">
        <v>122</v>
      </c>
      <c r="AH330" t="str">
        <f>IFERROR(VLOOKUP($A330,fund_metadata!$A:$P,2,FALSE),"")</f>
        <v>Stepstone PV/Growth</v>
      </c>
      <c r="AI330" t="str">
        <f>IFERROR(VLOOKUP($A330,fund_metadata!$A:$P,16,FALSE),"")</f>
        <v>venture</v>
      </c>
    </row>
    <row r="331" spans="1:35" x14ac:dyDescent="0.25">
      <c r="A331">
        <v>7</v>
      </c>
      <c r="B331" s="3">
        <v>46022</v>
      </c>
      <c r="C331" s="19">
        <v>42682394</v>
      </c>
      <c r="D331" s="3" t="s">
        <v>132</v>
      </c>
      <c r="E331" s="19">
        <v>6079199</v>
      </c>
      <c r="F331" s="3" t="s">
        <v>132</v>
      </c>
      <c r="G331" s="19">
        <v>4126140558</v>
      </c>
      <c r="H331" s="3" t="s">
        <v>132</v>
      </c>
      <c r="M331" s="5">
        <v>52.27</v>
      </c>
      <c r="N331" t="s">
        <v>108</v>
      </c>
      <c r="O331" s="20">
        <v>7.1900000000000006E-2</v>
      </c>
      <c r="P331" t="s">
        <v>132</v>
      </c>
      <c r="Q331" s="2">
        <v>7.8299999999999995E-2</v>
      </c>
      <c r="R331" t="s">
        <v>122</v>
      </c>
      <c r="AH331" t="str">
        <f>IFERROR(VLOOKUP($A331,fund_metadata!$A:$P,2,FALSE),"")</f>
        <v>Stepstone PV/Growth</v>
      </c>
      <c r="AI331" t="str">
        <f>IFERROR(VLOOKUP($A331,fund_metadata!$A:$P,16,FALSE),"")</f>
        <v>venture</v>
      </c>
    </row>
    <row r="332" spans="1:35" x14ac:dyDescent="0.25">
      <c r="A332">
        <v>7</v>
      </c>
      <c r="B332" s="3">
        <v>46053</v>
      </c>
      <c r="C332" s="19">
        <v>0</v>
      </c>
      <c r="D332" s="3" t="s">
        <v>132</v>
      </c>
      <c r="E332" s="19">
        <v>0</v>
      </c>
      <c r="F332" s="3" t="s">
        <v>132</v>
      </c>
      <c r="G332" s="19">
        <v>4676883718</v>
      </c>
      <c r="H332" s="3" t="s">
        <v>132</v>
      </c>
      <c r="I332" s="4">
        <v>5051518.92</v>
      </c>
      <c r="J332" t="s">
        <v>105</v>
      </c>
      <c r="M332" s="5">
        <v>56.29</v>
      </c>
      <c r="N332" t="s">
        <v>108</v>
      </c>
      <c r="O332" s="20">
        <v>0</v>
      </c>
      <c r="P332" t="s">
        <v>132</v>
      </c>
      <c r="Q332" s="2">
        <v>1.03E-2</v>
      </c>
      <c r="R332" t="s">
        <v>122</v>
      </c>
      <c r="X332" s="4">
        <v>88825.724000000002</v>
      </c>
      <c r="Y332" t="s">
        <v>105</v>
      </c>
      <c r="Z332" s="4">
        <v>5000000</v>
      </c>
      <c r="AA332" t="s">
        <v>105</v>
      </c>
      <c r="AB332" s="4">
        <v>0</v>
      </c>
      <c r="AC332" t="s">
        <v>105</v>
      </c>
      <c r="AD332" s="4">
        <v>0</v>
      </c>
      <c r="AE332" t="s">
        <v>105</v>
      </c>
      <c r="AH332" t="str">
        <f>IFERROR(VLOOKUP($A332,fund_metadata!$A:$P,2,FALSE),"")</f>
        <v>Stepstone PV/Growth</v>
      </c>
      <c r="AI332" t="str">
        <f>IFERROR(VLOOKUP($A332,fund_metadata!$A:$P,16,FALSE),"")</f>
        <v>venture</v>
      </c>
    </row>
    <row r="333" spans="1:35" x14ac:dyDescent="0.25">
      <c r="A333">
        <v>7</v>
      </c>
      <c r="B333" s="3">
        <v>46081</v>
      </c>
      <c r="C333" s="19">
        <v>0</v>
      </c>
      <c r="D333" s="3" t="s">
        <v>132</v>
      </c>
      <c r="E333" s="19">
        <v>0</v>
      </c>
      <c r="F333" s="3" t="s">
        <v>132</v>
      </c>
      <c r="G333" s="19">
        <v>5065832332</v>
      </c>
      <c r="H333" s="3" t="s">
        <v>132</v>
      </c>
      <c r="I333" s="4">
        <v>5435246.0499999998</v>
      </c>
      <c r="J333" t="s">
        <v>105</v>
      </c>
      <c r="M333" s="5">
        <v>56.87</v>
      </c>
      <c r="N333" t="s">
        <v>108</v>
      </c>
      <c r="O333" s="20">
        <v>0</v>
      </c>
      <c r="P333" t="s">
        <v>132</v>
      </c>
      <c r="Q333" s="2">
        <v>7.5999999999999998E-2</v>
      </c>
      <c r="R333" t="s">
        <v>122</v>
      </c>
      <c r="X333" s="4">
        <v>88825.724000000002</v>
      </c>
      <c r="Y333" t="s">
        <v>105</v>
      </c>
      <c r="Z333" s="4">
        <v>0</v>
      </c>
      <c r="AA333" t="s">
        <v>105</v>
      </c>
      <c r="AB333" s="4">
        <v>0</v>
      </c>
      <c r="AC333" t="s">
        <v>105</v>
      </c>
      <c r="AD333" s="4">
        <v>0</v>
      </c>
      <c r="AE333" t="s">
        <v>105</v>
      </c>
      <c r="AH333" t="str">
        <f>IFERROR(VLOOKUP($A333,fund_metadata!$A:$P,2,FALSE),"")</f>
        <v>Stepstone PV/Growth</v>
      </c>
      <c r="AI333" t="str">
        <f>IFERROR(VLOOKUP($A333,fund_metadata!$A:$P,16,FALSE),"")</f>
        <v>venture</v>
      </c>
    </row>
    <row r="334" spans="1:35" x14ac:dyDescent="0.25">
      <c r="A334">
        <v>7</v>
      </c>
      <c r="B334" s="3">
        <v>46112</v>
      </c>
      <c r="C334" s="19">
        <v>32000348</v>
      </c>
      <c r="D334" s="3" t="s">
        <v>132</v>
      </c>
      <c r="E334" s="19">
        <v>0</v>
      </c>
      <c r="F334" s="3" t="s">
        <v>132</v>
      </c>
      <c r="G334" s="19">
        <v>5852501559</v>
      </c>
      <c r="H334" s="3" t="s">
        <v>132</v>
      </c>
      <c r="I334" s="4">
        <v>5505418.3700000001</v>
      </c>
      <c r="J334" t="s">
        <v>105</v>
      </c>
      <c r="M334" s="5">
        <v>61.19</v>
      </c>
      <c r="N334" t="s">
        <v>108</v>
      </c>
      <c r="O334" s="20">
        <v>0</v>
      </c>
      <c r="P334" t="s">
        <v>132</v>
      </c>
      <c r="Q334" s="2">
        <v>1.29E-2</v>
      </c>
      <c r="R334" t="s">
        <v>122</v>
      </c>
      <c r="S334">
        <v>364</v>
      </c>
      <c r="X334" s="4">
        <v>88825.724000000002</v>
      </c>
      <c r="Y334" t="s">
        <v>105</v>
      </c>
      <c r="Z334" s="4">
        <v>0</v>
      </c>
      <c r="AA334" t="s">
        <v>105</v>
      </c>
      <c r="AB334" s="4">
        <v>0</v>
      </c>
      <c r="AC334" t="s">
        <v>105</v>
      </c>
      <c r="AD334" s="4">
        <v>0</v>
      </c>
      <c r="AE334" t="s">
        <v>105</v>
      </c>
      <c r="AH334" t="str">
        <f>IFERROR(VLOOKUP($A334,fund_metadata!$A:$P,2,FALSE),"")</f>
        <v>Stepstone PV/Growth</v>
      </c>
      <c r="AI334" t="str">
        <f>IFERROR(VLOOKUP($A334,fund_metadata!$A:$P,16,FALSE),"")</f>
        <v>venture</v>
      </c>
    </row>
    <row r="335" spans="1:35" x14ac:dyDescent="0.25">
      <c r="A335">
        <v>7</v>
      </c>
      <c r="B335" s="3">
        <v>46142</v>
      </c>
      <c r="C335" s="19">
        <v>0</v>
      </c>
      <c r="D335" s="3" t="s">
        <v>132</v>
      </c>
      <c r="E335" s="19">
        <v>0</v>
      </c>
      <c r="F335" s="3" t="s">
        <v>132</v>
      </c>
      <c r="G335" s="19">
        <v>6406421995</v>
      </c>
      <c r="H335" s="3" t="s">
        <v>132</v>
      </c>
      <c r="I335" s="4">
        <v>5536507.3799999999</v>
      </c>
      <c r="J335" t="s">
        <v>104</v>
      </c>
      <c r="M335" s="5">
        <v>61.98</v>
      </c>
      <c r="N335" t="s">
        <v>108</v>
      </c>
      <c r="O335" s="20">
        <v>0</v>
      </c>
      <c r="P335" t="s">
        <v>132</v>
      </c>
      <c r="Q335" s="2">
        <v>5.5999999999999999E-3</v>
      </c>
      <c r="R335" t="s">
        <v>122</v>
      </c>
      <c r="X335" s="4"/>
      <c r="Z335" s="4"/>
      <c r="AB335" s="4"/>
      <c r="AD335" s="4"/>
      <c r="AH335" t="str">
        <f>IFERROR(VLOOKUP($A335,fund_metadata!$A:$P,2,FALSE),"")</f>
        <v>Stepstone PV/Growth</v>
      </c>
      <c r="AI335" t="str">
        <f>IFERROR(VLOOKUP($A335,fund_metadata!$A:$P,16,FALSE),"")</f>
        <v>venture</v>
      </c>
    </row>
    <row r="336" spans="1:35" x14ac:dyDescent="0.25">
      <c r="A336">
        <v>7</v>
      </c>
      <c r="B336" s="3">
        <v>46173</v>
      </c>
      <c r="C336" s="3"/>
      <c r="D336" s="3"/>
      <c r="E336" s="3"/>
      <c r="F336" s="3"/>
      <c r="G336" s="3"/>
      <c r="H336" s="3"/>
      <c r="M336" s="5">
        <v>62.33</v>
      </c>
      <c r="N336" t="s">
        <v>108</v>
      </c>
      <c r="Q336" s="2"/>
      <c r="AH336" t="str">
        <f>IFERROR(VLOOKUP($A336,fund_metadata!$A:$P,2,FALSE),"")</f>
        <v>Stepstone PV/Growth</v>
      </c>
      <c r="AI336" t="str">
        <f>IFERROR(VLOOKUP($A336,fund_metadata!$A:$P,16,FALSE),"")</f>
        <v>venture</v>
      </c>
    </row>
    <row r="337" spans="1:35" x14ac:dyDescent="0.25">
      <c r="A337">
        <v>8</v>
      </c>
      <c r="B337" s="3">
        <v>42308</v>
      </c>
      <c r="C337" s="3"/>
      <c r="D337" s="3"/>
      <c r="E337" s="3"/>
      <c r="F337" s="3"/>
      <c r="G337" s="3"/>
      <c r="H337" s="3"/>
      <c r="M337" s="5">
        <v>10.27</v>
      </c>
      <c r="N337" t="s">
        <v>89</v>
      </c>
      <c r="AH337" t="str">
        <f>IFERROR(VLOOKUP($A337,fund_metadata!$A:$P,2,FALSE),"")</f>
        <v>AMG Pantheon</v>
      </c>
      <c r="AI337" t="str">
        <f>IFERROR(VLOOKUP($A337,fund_metadata!$A:$P,16,FALSE),"")</f>
        <v>secondaries</v>
      </c>
    </row>
    <row r="338" spans="1:35" x14ac:dyDescent="0.25">
      <c r="A338">
        <v>8</v>
      </c>
      <c r="B338" s="3">
        <v>42338</v>
      </c>
      <c r="C338" s="3"/>
      <c r="D338" s="3"/>
      <c r="E338" s="3"/>
      <c r="F338" s="3"/>
      <c r="G338" s="3"/>
      <c r="H338" s="3"/>
      <c r="M338" s="5">
        <v>10.26</v>
      </c>
      <c r="N338" t="s">
        <v>89</v>
      </c>
      <c r="Q338" s="7">
        <v>-1E-3</v>
      </c>
      <c r="R338" t="s">
        <v>89</v>
      </c>
      <c r="AH338" t="str">
        <f>IFERROR(VLOOKUP($A338,fund_metadata!$A:$P,2,FALSE),"")</f>
        <v>AMG Pantheon</v>
      </c>
      <c r="AI338" t="str">
        <f>IFERROR(VLOOKUP($A338,fund_metadata!$A:$P,16,FALSE),"")</f>
        <v>secondaries</v>
      </c>
    </row>
    <row r="339" spans="1:35" x14ac:dyDescent="0.25">
      <c r="A339">
        <v>8</v>
      </c>
      <c r="B339" s="3">
        <v>42369</v>
      </c>
      <c r="C339" s="3"/>
      <c r="D339" s="3"/>
      <c r="E339" s="3"/>
      <c r="F339" s="3"/>
      <c r="G339" s="3"/>
      <c r="H339" s="3"/>
      <c r="M339" s="5">
        <v>10.28</v>
      </c>
      <c r="N339" t="s">
        <v>89</v>
      </c>
      <c r="Q339" s="7">
        <v>1.9E-3</v>
      </c>
      <c r="R339" t="s">
        <v>89</v>
      </c>
      <c r="AH339" t="str">
        <f>IFERROR(VLOOKUP($A339,fund_metadata!$A:$P,2,FALSE),"")</f>
        <v>AMG Pantheon</v>
      </c>
      <c r="AI339" t="str">
        <f>IFERROR(VLOOKUP($A339,fund_metadata!$A:$P,16,FALSE),"")</f>
        <v>secondaries</v>
      </c>
    </row>
    <row r="340" spans="1:35" x14ac:dyDescent="0.25">
      <c r="A340">
        <v>8</v>
      </c>
      <c r="B340" s="3">
        <v>42400</v>
      </c>
      <c r="C340" s="3"/>
      <c r="D340" s="3"/>
      <c r="E340" s="3"/>
      <c r="F340" s="3"/>
      <c r="G340" s="3"/>
      <c r="H340" s="3"/>
      <c r="M340" s="5">
        <v>10.220000000000001</v>
      </c>
      <c r="N340" t="s">
        <v>89</v>
      </c>
      <c r="Q340" s="7">
        <v>-5.7999999999999996E-3</v>
      </c>
      <c r="R340" t="s">
        <v>89</v>
      </c>
      <c r="AH340" t="str">
        <f>IFERROR(VLOOKUP($A340,fund_metadata!$A:$P,2,FALSE),"")</f>
        <v>AMG Pantheon</v>
      </c>
      <c r="AI340" t="str">
        <f>IFERROR(VLOOKUP($A340,fund_metadata!$A:$P,16,FALSE),"")</f>
        <v>secondaries</v>
      </c>
    </row>
    <row r="341" spans="1:35" x14ac:dyDescent="0.25">
      <c r="A341">
        <v>8</v>
      </c>
      <c r="B341" s="3">
        <v>42429</v>
      </c>
      <c r="C341" s="3"/>
      <c r="D341" s="3"/>
      <c r="E341" s="3"/>
      <c r="F341" s="3"/>
      <c r="G341" s="3"/>
      <c r="H341" s="3"/>
      <c r="M341" s="5">
        <v>10.210000000000001</v>
      </c>
      <c r="N341" t="s">
        <v>89</v>
      </c>
      <c r="Q341" s="7">
        <v>-1E-3</v>
      </c>
      <c r="R341" t="s">
        <v>89</v>
      </c>
      <c r="AH341" t="str">
        <f>IFERROR(VLOOKUP($A341,fund_metadata!$A:$P,2,FALSE),"")</f>
        <v>AMG Pantheon</v>
      </c>
      <c r="AI341" t="str">
        <f>IFERROR(VLOOKUP($A341,fund_metadata!$A:$P,16,FALSE),"")</f>
        <v>secondaries</v>
      </c>
    </row>
    <row r="342" spans="1:35" x14ac:dyDescent="0.25">
      <c r="A342">
        <v>8</v>
      </c>
      <c r="B342" s="3">
        <v>42460</v>
      </c>
      <c r="C342" s="3"/>
      <c r="D342" s="3"/>
      <c r="E342" s="3"/>
      <c r="F342" s="3"/>
      <c r="G342" s="3"/>
      <c r="H342" s="3"/>
      <c r="M342" s="5">
        <v>10.29</v>
      </c>
      <c r="N342" t="s">
        <v>89</v>
      </c>
      <c r="Q342" s="7">
        <v>7.7999999999999996E-3</v>
      </c>
      <c r="R342" t="s">
        <v>89</v>
      </c>
      <c r="AH342" t="str">
        <f>IFERROR(VLOOKUP($A342,fund_metadata!$A:$P,2,FALSE),"")</f>
        <v>AMG Pantheon</v>
      </c>
      <c r="AI342" t="str">
        <f>IFERROR(VLOOKUP($A342,fund_metadata!$A:$P,16,FALSE),"")</f>
        <v>secondaries</v>
      </c>
    </row>
    <row r="343" spans="1:35" x14ac:dyDescent="0.25">
      <c r="A343">
        <v>8</v>
      </c>
      <c r="B343" s="3">
        <v>42490</v>
      </c>
      <c r="C343" s="3"/>
      <c r="D343" s="3"/>
      <c r="E343" s="3"/>
      <c r="F343" s="3"/>
      <c r="G343" s="3"/>
      <c r="H343" s="3"/>
      <c r="M343" s="5">
        <v>10.29</v>
      </c>
      <c r="N343" t="s">
        <v>89</v>
      </c>
      <c r="Q343" s="7">
        <v>0</v>
      </c>
      <c r="R343" t="s">
        <v>89</v>
      </c>
      <c r="AH343" t="str">
        <f>IFERROR(VLOOKUP($A343,fund_metadata!$A:$P,2,FALSE),"")</f>
        <v>AMG Pantheon</v>
      </c>
      <c r="AI343" t="str">
        <f>IFERROR(VLOOKUP($A343,fund_metadata!$A:$P,16,FALSE),"")</f>
        <v>secondaries</v>
      </c>
    </row>
    <row r="344" spans="1:35" x14ac:dyDescent="0.25">
      <c r="A344">
        <v>8</v>
      </c>
      <c r="B344" s="3">
        <v>42521</v>
      </c>
      <c r="C344" s="3"/>
      <c r="D344" s="3"/>
      <c r="E344" s="3"/>
      <c r="F344" s="3"/>
      <c r="G344" s="3"/>
      <c r="H344" s="3"/>
      <c r="M344" s="5">
        <v>10.32</v>
      </c>
      <c r="N344" t="s">
        <v>89</v>
      </c>
      <c r="Q344" s="7">
        <v>2.8999999999999998E-3</v>
      </c>
      <c r="R344" t="s">
        <v>89</v>
      </c>
      <c r="AH344" t="str">
        <f>IFERROR(VLOOKUP($A344,fund_metadata!$A:$P,2,FALSE),"")</f>
        <v>AMG Pantheon</v>
      </c>
      <c r="AI344" t="str">
        <f>IFERROR(VLOOKUP($A344,fund_metadata!$A:$P,16,FALSE),"")</f>
        <v>secondaries</v>
      </c>
    </row>
    <row r="345" spans="1:35" x14ac:dyDescent="0.25">
      <c r="A345">
        <v>8</v>
      </c>
      <c r="B345" s="3">
        <v>42551</v>
      </c>
      <c r="C345" s="3"/>
      <c r="D345" s="3"/>
      <c r="E345" s="3"/>
      <c r="F345" s="3"/>
      <c r="G345" s="3"/>
      <c r="H345" s="3"/>
      <c r="M345" s="5">
        <v>10.32</v>
      </c>
      <c r="N345" t="s">
        <v>89</v>
      </c>
      <c r="Q345" s="7">
        <v>0</v>
      </c>
      <c r="R345" t="s">
        <v>89</v>
      </c>
      <c r="AH345" t="str">
        <f>IFERROR(VLOOKUP($A345,fund_metadata!$A:$P,2,FALSE),"")</f>
        <v>AMG Pantheon</v>
      </c>
      <c r="AI345" t="str">
        <f>IFERROR(VLOOKUP($A345,fund_metadata!$A:$P,16,FALSE),"")</f>
        <v>secondaries</v>
      </c>
    </row>
    <row r="346" spans="1:35" x14ac:dyDescent="0.25">
      <c r="A346">
        <v>8</v>
      </c>
      <c r="B346" s="3">
        <v>42582</v>
      </c>
      <c r="C346" s="3"/>
      <c r="D346" s="3"/>
      <c r="E346" s="3"/>
      <c r="F346" s="3"/>
      <c r="G346" s="3"/>
      <c r="H346" s="3"/>
      <c r="M346" s="5">
        <v>10.36</v>
      </c>
      <c r="N346" t="s">
        <v>89</v>
      </c>
      <c r="Q346" s="7">
        <v>3.8999999999999998E-3</v>
      </c>
      <c r="R346" t="s">
        <v>89</v>
      </c>
      <c r="AH346" t="str">
        <f>IFERROR(VLOOKUP($A346,fund_metadata!$A:$P,2,FALSE),"")</f>
        <v>AMG Pantheon</v>
      </c>
      <c r="AI346" t="str">
        <f>IFERROR(VLOOKUP($A346,fund_metadata!$A:$P,16,FALSE),"")</f>
        <v>secondaries</v>
      </c>
    </row>
    <row r="347" spans="1:35" x14ac:dyDescent="0.25">
      <c r="A347">
        <v>8</v>
      </c>
      <c r="B347" s="3">
        <v>42613</v>
      </c>
      <c r="C347" s="3"/>
      <c r="D347" s="3"/>
      <c r="E347" s="3"/>
      <c r="F347" s="3"/>
      <c r="G347" s="3"/>
      <c r="H347" s="3"/>
      <c r="M347" s="5">
        <v>10.39</v>
      </c>
      <c r="N347" t="s">
        <v>89</v>
      </c>
      <c r="Q347" s="7">
        <v>2.8999999999999998E-3</v>
      </c>
      <c r="R347" t="s">
        <v>89</v>
      </c>
      <c r="AH347" t="str">
        <f>IFERROR(VLOOKUP($A347,fund_metadata!$A:$P,2,FALSE),"")</f>
        <v>AMG Pantheon</v>
      </c>
      <c r="AI347" t="str">
        <f>IFERROR(VLOOKUP($A347,fund_metadata!$A:$P,16,FALSE),"")</f>
        <v>secondaries</v>
      </c>
    </row>
    <row r="348" spans="1:35" x14ac:dyDescent="0.25">
      <c r="A348">
        <v>8</v>
      </c>
      <c r="B348" s="3">
        <v>42643</v>
      </c>
      <c r="C348" s="3"/>
      <c r="D348" s="3"/>
      <c r="E348" s="3"/>
      <c r="F348" s="3"/>
      <c r="G348" s="3"/>
      <c r="H348" s="3"/>
      <c r="M348" s="5">
        <v>10.39</v>
      </c>
      <c r="N348" t="s">
        <v>89</v>
      </c>
      <c r="Q348" s="7">
        <v>0</v>
      </c>
      <c r="R348" t="s">
        <v>89</v>
      </c>
      <c r="T348">
        <v>2700000</v>
      </c>
      <c r="U348" t="s">
        <v>89</v>
      </c>
      <c r="AH348" t="str">
        <f>IFERROR(VLOOKUP($A348,fund_metadata!$A:$P,2,FALSE),"")</f>
        <v>AMG Pantheon</v>
      </c>
      <c r="AI348" t="str">
        <f>IFERROR(VLOOKUP($A348,fund_metadata!$A:$P,16,FALSE),"")</f>
        <v>secondaries</v>
      </c>
    </row>
    <row r="349" spans="1:35" x14ac:dyDescent="0.25">
      <c r="A349">
        <v>8</v>
      </c>
      <c r="B349" s="3">
        <v>42674</v>
      </c>
      <c r="C349" s="3"/>
      <c r="D349" s="3"/>
      <c r="E349" s="3"/>
      <c r="F349" s="3"/>
      <c r="G349" s="3"/>
      <c r="H349" s="3"/>
      <c r="M349" s="5">
        <v>10.35</v>
      </c>
      <c r="N349" t="s">
        <v>89</v>
      </c>
      <c r="Q349" s="7">
        <v>-3.8E-3</v>
      </c>
      <c r="R349" t="s">
        <v>89</v>
      </c>
      <c r="AH349" t="str">
        <f>IFERROR(VLOOKUP($A349,fund_metadata!$A:$P,2,FALSE),"")</f>
        <v>AMG Pantheon</v>
      </c>
      <c r="AI349" t="str">
        <f>IFERROR(VLOOKUP($A349,fund_metadata!$A:$P,16,FALSE),"")</f>
        <v>secondaries</v>
      </c>
    </row>
    <row r="350" spans="1:35" x14ac:dyDescent="0.25">
      <c r="A350">
        <v>8</v>
      </c>
      <c r="B350" s="3">
        <v>42704</v>
      </c>
      <c r="C350" s="3"/>
      <c r="D350" s="3"/>
      <c r="E350" s="3"/>
      <c r="F350" s="3"/>
      <c r="G350" s="3"/>
      <c r="H350" s="3"/>
      <c r="M350" s="5">
        <v>10.55</v>
      </c>
      <c r="N350" t="s">
        <v>89</v>
      </c>
      <c r="Q350" s="7">
        <v>1.9300000000000001E-2</v>
      </c>
      <c r="R350" t="s">
        <v>89</v>
      </c>
      <c r="AH350" t="str">
        <f>IFERROR(VLOOKUP($A350,fund_metadata!$A:$P,2,FALSE),"")</f>
        <v>AMG Pantheon</v>
      </c>
      <c r="AI350" t="str">
        <f>IFERROR(VLOOKUP($A350,fund_metadata!$A:$P,16,FALSE),"")</f>
        <v>secondaries</v>
      </c>
    </row>
    <row r="351" spans="1:35" x14ac:dyDescent="0.25">
      <c r="A351">
        <v>8</v>
      </c>
      <c r="B351" s="3">
        <v>42735</v>
      </c>
      <c r="C351" s="3"/>
      <c r="D351" s="3"/>
      <c r="E351" s="3"/>
      <c r="F351" s="3"/>
      <c r="G351" s="3"/>
      <c r="H351" s="3"/>
      <c r="M351" s="5">
        <v>10.57</v>
      </c>
      <c r="N351" t="s">
        <v>89</v>
      </c>
      <c r="Q351" s="7">
        <v>1.9E-3</v>
      </c>
      <c r="R351" t="s">
        <v>89</v>
      </c>
      <c r="AH351" t="str">
        <f>IFERROR(VLOOKUP($A351,fund_metadata!$A:$P,2,FALSE),"")</f>
        <v>AMG Pantheon</v>
      </c>
      <c r="AI351" t="str">
        <f>IFERROR(VLOOKUP($A351,fund_metadata!$A:$P,16,FALSE),"")</f>
        <v>secondaries</v>
      </c>
    </row>
    <row r="352" spans="1:35" x14ac:dyDescent="0.25">
      <c r="A352">
        <v>8</v>
      </c>
      <c r="B352" s="3">
        <v>42766</v>
      </c>
      <c r="C352" s="3"/>
      <c r="D352" s="3"/>
      <c r="E352" s="3"/>
      <c r="F352" s="3"/>
      <c r="G352" s="3"/>
      <c r="H352" s="3"/>
      <c r="M352" s="5">
        <v>10.58</v>
      </c>
      <c r="N352" t="s">
        <v>89</v>
      </c>
      <c r="Q352" s="7">
        <v>8.9999999999999998E-4</v>
      </c>
      <c r="R352" t="s">
        <v>89</v>
      </c>
      <c r="AH352" t="str">
        <f>IFERROR(VLOOKUP($A352,fund_metadata!$A:$P,2,FALSE),"")</f>
        <v>AMG Pantheon</v>
      </c>
      <c r="AI352" t="str">
        <f>IFERROR(VLOOKUP($A352,fund_metadata!$A:$P,16,FALSE),"")</f>
        <v>secondaries</v>
      </c>
    </row>
    <row r="353" spans="1:35" x14ac:dyDescent="0.25">
      <c r="A353">
        <v>8</v>
      </c>
      <c r="B353" s="3">
        <v>42794</v>
      </c>
      <c r="C353" s="3"/>
      <c r="D353" s="3"/>
      <c r="E353" s="3"/>
      <c r="F353" s="3"/>
      <c r="G353" s="3"/>
      <c r="H353" s="3"/>
      <c r="M353" s="5">
        <v>10.72</v>
      </c>
      <c r="N353" t="s">
        <v>89</v>
      </c>
      <c r="Q353" s="7">
        <v>1.32E-2</v>
      </c>
      <c r="R353" t="s">
        <v>89</v>
      </c>
      <c r="AH353" t="str">
        <f>IFERROR(VLOOKUP($A353,fund_metadata!$A:$P,2,FALSE),"")</f>
        <v>AMG Pantheon</v>
      </c>
      <c r="AI353" t="str">
        <f>IFERROR(VLOOKUP($A353,fund_metadata!$A:$P,16,FALSE),"")</f>
        <v>secondaries</v>
      </c>
    </row>
    <row r="354" spans="1:35" x14ac:dyDescent="0.25">
      <c r="A354">
        <v>8</v>
      </c>
      <c r="B354" s="3">
        <v>42825</v>
      </c>
      <c r="C354" s="3"/>
      <c r="D354" s="3"/>
      <c r="E354" s="3"/>
      <c r="F354" s="3"/>
      <c r="G354" s="3"/>
      <c r="H354" s="3"/>
      <c r="M354" s="5">
        <v>10.83</v>
      </c>
      <c r="N354" t="s">
        <v>89</v>
      </c>
      <c r="Q354" s="7">
        <v>1.03E-2</v>
      </c>
      <c r="R354" t="s">
        <v>89</v>
      </c>
      <c r="AH354" t="str">
        <f>IFERROR(VLOOKUP($A354,fund_metadata!$A:$P,2,FALSE),"")</f>
        <v>AMG Pantheon</v>
      </c>
      <c r="AI354" t="str">
        <f>IFERROR(VLOOKUP($A354,fund_metadata!$A:$P,16,FALSE),"")</f>
        <v>secondaries</v>
      </c>
    </row>
    <row r="355" spans="1:35" x14ac:dyDescent="0.25">
      <c r="A355">
        <v>8</v>
      </c>
      <c r="B355" s="3">
        <v>42855</v>
      </c>
      <c r="C355" s="3"/>
      <c r="D355" s="3"/>
      <c r="E355" s="3"/>
      <c r="F355" s="3"/>
      <c r="G355" s="3"/>
      <c r="H355" s="3"/>
      <c r="M355" s="5">
        <v>10.84</v>
      </c>
      <c r="N355" t="s">
        <v>89</v>
      </c>
      <c r="Q355" s="7">
        <v>8.9999999999999998E-4</v>
      </c>
      <c r="R355" t="s">
        <v>89</v>
      </c>
      <c r="AH355" t="str">
        <f>IFERROR(VLOOKUP($A355,fund_metadata!$A:$P,2,FALSE),"")</f>
        <v>AMG Pantheon</v>
      </c>
      <c r="AI355" t="str">
        <f>IFERROR(VLOOKUP($A355,fund_metadata!$A:$P,16,FALSE),"")</f>
        <v>secondaries</v>
      </c>
    </row>
    <row r="356" spans="1:35" x14ac:dyDescent="0.25">
      <c r="A356">
        <v>8</v>
      </c>
      <c r="B356" s="3">
        <v>42886</v>
      </c>
      <c r="C356" s="3"/>
      <c r="D356" s="3"/>
      <c r="E356" s="3"/>
      <c r="F356" s="3"/>
      <c r="G356" s="3"/>
      <c r="H356" s="3"/>
      <c r="M356" s="5">
        <v>11.81</v>
      </c>
      <c r="N356" t="s">
        <v>89</v>
      </c>
      <c r="Q356" s="7">
        <v>8.9499999999999996E-2</v>
      </c>
      <c r="R356" t="s">
        <v>89</v>
      </c>
      <c r="AH356" t="str">
        <f>IFERROR(VLOOKUP($A356,fund_metadata!$A:$P,2,FALSE),"")</f>
        <v>AMG Pantheon</v>
      </c>
      <c r="AI356" t="str">
        <f>IFERROR(VLOOKUP($A356,fund_metadata!$A:$P,16,FALSE),"")</f>
        <v>secondaries</v>
      </c>
    </row>
    <row r="357" spans="1:35" x14ac:dyDescent="0.25">
      <c r="A357">
        <v>8</v>
      </c>
      <c r="B357" s="3">
        <v>42916</v>
      </c>
      <c r="C357" s="3"/>
      <c r="D357" s="3"/>
      <c r="E357" s="3"/>
      <c r="F357" s="3"/>
      <c r="G357" s="3"/>
      <c r="H357" s="3"/>
      <c r="M357" s="5">
        <v>11.88</v>
      </c>
      <c r="N357" t="s">
        <v>89</v>
      </c>
      <c r="Q357" s="7">
        <v>5.8999999999999999E-3</v>
      </c>
      <c r="R357" t="s">
        <v>89</v>
      </c>
      <c r="AH357" t="str">
        <f>IFERROR(VLOOKUP($A357,fund_metadata!$A:$P,2,FALSE),"")</f>
        <v>AMG Pantheon</v>
      </c>
      <c r="AI357" t="str">
        <f>IFERROR(VLOOKUP($A357,fund_metadata!$A:$P,16,FALSE),"")</f>
        <v>secondaries</v>
      </c>
    </row>
    <row r="358" spans="1:35" x14ac:dyDescent="0.25">
      <c r="A358">
        <v>8</v>
      </c>
      <c r="B358" s="3">
        <v>42947</v>
      </c>
      <c r="C358" s="3"/>
      <c r="D358" s="3"/>
      <c r="E358" s="3"/>
      <c r="F358" s="3"/>
      <c r="G358" s="3"/>
      <c r="H358" s="3"/>
      <c r="M358" s="5">
        <v>11.97</v>
      </c>
      <c r="N358" t="s">
        <v>89</v>
      </c>
      <c r="Q358" s="7">
        <v>7.6E-3</v>
      </c>
      <c r="R358" t="s">
        <v>89</v>
      </c>
      <c r="AH358" t="str">
        <f>IFERROR(VLOOKUP($A358,fund_metadata!$A:$P,2,FALSE),"")</f>
        <v>AMG Pantheon</v>
      </c>
      <c r="AI358" t="str">
        <f>IFERROR(VLOOKUP($A358,fund_metadata!$A:$P,16,FALSE),"")</f>
        <v>secondaries</v>
      </c>
    </row>
    <row r="359" spans="1:35" x14ac:dyDescent="0.25">
      <c r="A359">
        <v>8</v>
      </c>
      <c r="B359" s="3">
        <v>42978</v>
      </c>
      <c r="C359" s="3"/>
      <c r="D359" s="3"/>
      <c r="E359" s="3"/>
      <c r="F359" s="3"/>
      <c r="G359" s="3"/>
      <c r="H359" s="3"/>
      <c r="M359" s="5">
        <v>12.29</v>
      </c>
      <c r="N359" t="s">
        <v>89</v>
      </c>
      <c r="Q359" s="7">
        <v>2.6700000000000002E-2</v>
      </c>
      <c r="R359" t="s">
        <v>89</v>
      </c>
      <c r="AH359" t="str">
        <f>IFERROR(VLOOKUP($A359,fund_metadata!$A:$P,2,FALSE),"")</f>
        <v>AMG Pantheon</v>
      </c>
      <c r="AI359" t="str">
        <f>IFERROR(VLOOKUP($A359,fund_metadata!$A:$P,16,FALSE),"")</f>
        <v>secondaries</v>
      </c>
    </row>
    <row r="360" spans="1:35" x14ac:dyDescent="0.25">
      <c r="A360">
        <v>8</v>
      </c>
      <c r="B360" s="3">
        <v>43008</v>
      </c>
      <c r="C360" s="3"/>
      <c r="D360" s="3"/>
      <c r="E360" s="3"/>
      <c r="F360" s="3"/>
      <c r="G360" s="3"/>
      <c r="H360" s="3"/>
      <c r="M360" s="5">
        <v>12.34</v>
      </c>
      <c r="N360" t="s">
        <v>89</v>
      </c>
      <c r="Q360" s="7">
        <v>4.1000000000000003E-3</v>
      </c>
      <c r="R360" t="s">
        <v>89</v>
      </c>
      <c r="T360">
        <v>5250000</v>
      </c>
      <c r="U360" t="s">
        <v>89</v>
      </c>
      <c r="AH360" t="str">
        <f>IFERROR(VLOOKUP($A360,fund_metadata!$A:$P,2,FALSE),"")</f>
        <v>AMG Pantheon</v>
      </c>
      <c r="AI360" t="str">
        <f>IFERROR(VLOOKUP($A360,fund_metadata!$A:$P,16,FALSE),"")</f>
        <v>secondaries</v>
      </c>
    </row>
    <row r="361" spans="1:35" x14ac:dyDescent="0.25">
      <c r="A361">
        <v>8</v>
      </c>
      <c r="B361" s="3">
        <v>43039</v>
      </c>
      <c r="C361" s="3"/>
      <c r="D361" s="3"/>
      <c r="E361" s="3"/>
      <c r="F361" s="3"/>
      <c r="G361" s="3"/>
      <c r="H361" s="3"/>
      <c r="M361" s="5">
        <v>12.51</v>
      </c>
      <c r="N361" t="s">
        <v>89</v>
      </c>
      <c r="Q361" s="7">
        <v>1.38E-2</v>
      </c>
      <c r="R361" t="s">
        <v>89</v>
      </c>
      <c r="AH361" t="str">
        <f>IFERROR(VLOOKUP($A361,fund_metadata!$A:$P,2,FALSE),"")</f>
        <v>AMG Pantheon</v>
      </c>
      <c r="AI361" t="str">
        <f>IFERROR(VLOOKUP($A361,fund_metadata!$A:$P,16,FALSE),"")</f>
        <v>secondaries</v>
      </c>
    </row>
    <row r="362" spans="1:35" x14ac:dyDescent="0.25">
      <c r="A362">
        <v>8</v>
      </c>
      <c r="B362" s="3">
        <v>43069</v>
      </c>
      <c r="C362" s="3"/>
      <c r="D362" s="3"/>
      <c r="E362" s="3"/>
      <c r="F362" s="3"/>
      <c r="G362" s="3"/>
      <c r="H362" s="3"/>
      <c r="M362" s="5">
        <v>12.62</v>
      </c>
      <c r="N362" t="s">
        <v>89</v>
      </c>
      <c r="Q362" s="7">
        <v>8.8000000000000005E-3</v>
      </c>
      <c r="R362" t="s">
        <v>89</v>
      </c>
      <c r="AH362" t="str">
        <f>IFERROR(VLOOKUP($A362,fund_metadata!$A:$P,2,FALSE),"")</f>
        <v>AMG Pantheon</v>
      </c>
      <c r="AI362" t="str">
        <f>IFERROR(VLOOKUP($A362,fund_metadata!$A:$P,16,FALSE),"")</f>
        <v>secondaries</v>
      </c>
    </row>
    <row r="363" spans="1:35" x14ac:dyDescent="0.25">
      <c r="A363">
        <v>8</v>
      </c>
      <c r="B363" s="3">
        <v>43100</v>
      </c>
      <c r="C363" s="3"/>
      <c r="D363" s="3"/>
      <c r="E363" s="3"/>
      <c r="F363" s="3"/>
      <c r="G363" s="3"/>
      <c r="H363" s="3"/>
      <c r="M363" s="5">
        <v>12.63</v>
      </c>
      <c r="N363" t="s">
        <v>89</v>
      </c>
      <c r="Q363" s="7">
        <v>1.5E-3</v>
      </c>
      <c r="R363" t="s">
        <v>89</v>
      </c>
      <c r="AH363" t="str">
        <f>IFERROR(VLOOKUP($A363,fund_metadata!$A:$P,2,FALSE),"")</f>
        <v>AMG Pantheon</v>
      </c>
      <c r="AI363" t="str">
        <f>IFERROR(VLOOKUP($A363,fund_metadata!$A:$P,16,FALSE),"")</f>
        <v>secondaries</v>
      </c>
    </row>
    <row r="364" spans="1:35" x14ac:dyDescent="0.25">
      <c r="A364">
        <v>8</v>
      </c>
      <c r="B364" s="3">
        <v>43131</v>
      </c>
      <c r="C364" s="3"/>
      <c r="D364" s="3"/>
      <c r="E364" s="3"/>
      <c r="F364" s="3"/>
      <c r="G364" s="3"/>
      <c r="H364" s="3"/>
      <c r="M364" s="5">
        <v>12.88</v>
      </c>
      <c r="N364" t="s">
        <v>89</v>
      </c>
      <c r="Q364" s="7">
        <v>1.9800000000000002E-2</v>
      </c>
      <c r="R364" t="s">
        <v>89</v>
      </c>
      <c r="AH364" t="str">
        <f>IFERROR(VLOOKUP($A364,fund_metadata!$A:$P,2,FALSE),"")</f>
        <v>AMG Pantheon</v>
      </c>
      <c r="AI364" t="str">
        <f>IFERROR(VLOOKUP($A364,fund_metadata!$A:$P,16,FALSE),"")</f>
        <v>secondaries</v>
      </c>
    </row>
    <row r="365" spans="1:35" x14ac:dyDescent="0.25">
      <c r="A365">
        <v>8</v>
      </c>
      <c r="B365" s="3">
        <v>43159</v>
      </c>
      <c r="C365" s="3"/>
      <c r="D365" s="3"/>
      <c r="E365" s="3"/>
      <c r="F365" s="3"/>
      <c r="G365" s="3"/>
      <c r="H365" s="3"/>
      <c r="M365" s="5">
        <v>12.95</v>
      </c>
      <c r="N365" t="s">
        <v>89</v>
      </c>
      <c r="Q365" s="7">
        <v>5.4000000000000003E-3</v>
      </c>
      <c r="R365" t="s">
        <v>89</v>
      </c>
      <c r="AH365" t="str">
        <f>IFERROR(VLOOKUP($A365,fund_metadata!$A:$P,2,FALSE),"")</f>
        <v>AMG Pantheon</v>
      </c>
      <c r="AI365" t="str">
        <f>IFERROR(VLOOKUP($A365,fund_metadata!$A:$P,16,FALSE),"")</f>
        <v>secondaries</v>
      </c>
    </row>
    <row r="366" spans="1:35" x14ac:dyDescent="0.25">
      <c r="A366">
        <v>8</v>
      </c>
      <c r="B366" s="3">
        <v>43190</v>
      </c>
      <c r="C366" s="3"/>
      <c r="D366" s="3"/>
      <c r="E366" s="3"/>
      <c r="F366" s="3"/>
      <c r="G366" s="3"/>
      <c r="H366" s="3"/>
      <c r="M366" s="5">
        <v>13.3</v>
      </c>
      <c r="N366" t="s">
        <v>89</v>
      </c>
      <c r="Q366" s="7">
        <v>2.7E-2</v>
      </c>
      <c r="R366" t="s">
        <v>89</v>
      </c>
      <c r="T366">
        <v>7170000</v>
      </c>
      <c r="U366" t="s">
        <v>89</v>
      </c>
      <c r="AH366" t="str">
        <f>IFERROR(VLOOKUP($A366,fund_metadata!$A:$P,2,FALSE),"")</f>
        <v>AMG Pantheon</v>
      </c>
      <c r="AI366" t="str">
        <f>IFERROR(VLOOKUP($A366,fund_metadata!$A:$P,16,FALSE),"")</f>
        <v>secondaries</v>
      </c>
    </row>
    <row r="367" spans="1:35" x14ac:dyDescent="0.25">
      <c r="A367">
        <v>8</v>
      </c>
      <c r="B367" s="3">
        <v>43220</v>
      </c>
      <c r="C367" s="3"/>
      <c r="D367" s="3"/>
      <c r="E367" s="3"/>
      <c r="F367" s="3"/>
      <c r="G367" s="3"/>
      <c r="H367" s="3"/>
      <c r="M367" s="5">
        <v>13.44</v>
      </c>
      <c r="N367" t="s">
        <v>89</v>
      </c>
      <c r="Q367" s="7">
        <v>1.0500000000000001E-2</v>
      </c>
      <c r="R367" t="s">
        <v>89</v>
      </c>
      <c r="AH367" t="str">
        <f>IFERROR(VLOOKUP($A367,fund_metadata!$A:$P,2,FALSE),"")</f>
        <v>AMG Pantheon</v>
      </c>
      <c r="AI367" t="str">
        <f>IFERROR(VLOOKUP($A367,fund_metadata!$A:$P,16,FALSE),"")</f>
        <v>secondaries</v>
      </c>
    </row>
    <row r="368" spans="1:35" x14ac:dyDescent="0.25">
      <c r="A368">
        <v>8</v>
      </c>
      <c r="B368" s="3">
        <v>43251</v>
      </c>
      <c r="C368" s="3"/>
      <c r="D368" s="3"/>
      <c r="E368" s="3"/>
      <c r="F368" s="3"/>
      <c r="G368" s="3"/>
      <c r="H368" s="3"/>
      <c r="M368" s="5">
        <v>13.52</v>
      </c>
      <c r="N368" t="s">
        <v>89</v>
      </c>
      <c r="Q368" s="7">
        <v>6.0000000000000001E-3</v>
      </c>
      <c r="R368" t="s">
        <v>89</v>
      </c>
      <c r="AH368" t="str">
        <f>IFERROR(VLOOKUP($A368,fund_metadata!$A:$P,2,FALSE),"")</f>
        <v>AMG Pantheon</v>
      </c>
      <c r="AI368" t="str">
        <f>IFERROR(VLOOKUP($A368,fund_metadata!$A:$P,16,FALSE),"")</f>
        <v>secondaries</v>
      </c>
    </row>
    <row r="369" spans="1:35" x14ac:dyDescent="0.25">
      <c r="A369">
        <v>8</v>
      </c>
      <c r="B369" s="3">
        <v>43281</v>
      </c>
      <c r="C369" s="3"/>
      <c r="D369" s="3"/>
      <c r="E369" s="3"/>
      <c r="F369" s="3"/>
      <c r="G369" s="3"/>
      <c r="H369" s="3"/>
      <c r="M369" s="5">
        <v>13.65</v>
      </c>
      <c r="N369" t="s">
        <v>89</v>
      </c>
      <c r="Q369" s="7">
        <v>9.5999999999999992E-3</v>
      </c>
      <c r="R369" t="s">
        <v>89</v>
      </c>
      <c r="AH369" t="str">
        <f>IFERROR(VLOOKUP($A369,fund_metadata!$A:$P,2,FALSE),"")</f>
        <v>AMG Pantheon</v>
      </c>
      <c r="AI369" t="str">
        <f>IFERROR(VLOOKUP($A369,fund_metadata!$A:$P,16,FALSE),"")</f>
        <v>secondaries</v>
      </c>
    </row>
    <row r="370" spans="1:35" x14ac:dyDescent="0.25">
      <c r="A370">
        <v>8</v>
      </c>
      <c r="B370" s="3">
        <v>43312</v>
      </c>
      <c r="C370" s="3"/>
      <c r="D370" s="3"/>
      <c r="E370" s="3"/>
      <c r="F370" s="3"/>
      <c r="G370" s="3"/>
      <c r="H370" s="3"/>
      <c r="M370" s="5">
        <v>14</v>
      </c>
      <c r="N370" t="s">
        <v>89</v>
      </c>
      <c r="Q370" s="7">
        <v>2.5600000000000001E-2</v>
      </c>
      <c r="R370" t="s">
        <v>89</v>
      </c>
      <c r="AH370" t="str">
        <f>IFERROR(VLOOKUP($A370,fund_metadata!$A:$P,2,FALSE),"")</f>
        <v>AMG Pantheon</v>
      </c>
      <c r="AI370" t="str">
        <f>IFERROR(VLOOKUP($A370,fund_metadata!$A:$P,16,FALSE),"")</f>
        <v>secondaries</v>
      </c>
    </row>
    <row r="371" spans="1:35" x14ac:dyDescent="0.25">
      <c r="A371">
        <v>8</v>
      </c>
      <c r="B371" s="3">
        <v>43343</v>
      </c>
      <c r="C371" s="3"/>
      <c r="D371" s="3"/>
      <c r="E371" s="3"/>
      <c r="F371" s="3"/>
      <c r="G371" s="3"/>
      <c r="H371" s="3"/>
      <c r="M371" s="5">
        <v>14.18</v>
      </c>
      <c r="N371" t="s">
        <v>89</v>
      </c>
      <c r="Q371" s="7">
        <v>1.29E-2</v>
      </c>
      <c r="R371" t="s">
        <v>89</v>
      </c>
      <c r="AH371" t="str">
        <f>IFERROR(VLOOKUP($A371,fund_metadata!$A:$P,2,FALSE),"")</f>
        <v>AMG Pantheon</v>
      </c>
      <c r="AI371" t="str">
        <f>IFERROR(VLOOKUP($A371,fund_metadata!$A:$P,16,FALSE),"")</f>
        <v>secondaries</v>
      </c>
    </row>
    <row r="372" spans="1:35" x14ac:dyDescent="0.25">
      <c r="A372">
        <v>8</v>
      </c>
      <c r="B372" s="3">
        <v>43373</v>
      </c>
      <c r="C372" s="3"/>
      <c r="D372" s="3"/>
      <c r="E372" s="3"/>
      <c r="F372" s="3"/>
      <c r="G372" s="3"/>
      <c r="H372" s="3"/>
      <c r="M372" s="5">
        <v>14.22</v>
      </c>
      <c r="N372" t="s">
        <v>89</v>
      </c>
      <c r="Q372" s="7">
        <v>2.8E-3</v>
      </c>
      <c r="R372" t="s">
        <v>89</v>
      </c>
      <c r="T372">
        <v>19040000</v>
      </c>
      <c r="U372" t="s">
        <v>89</v>
      </c>
      <c r="AH372" t="str">
        <f>IFERROR(VLOOKUP($A372,fund_metadata!$A:$P,2,FALSE),"")</f>
        <v>AMG Pantheon</v>
      </c>
      <c r="AI372" t="str">
        <f>IFERROR(VLOOKUP($A372,fund_metadata!$A:$P,16,FALSE),"")</f>
        <v>secondaries</v>
      </c>
    </row>
    <row r="373" spans="1:35" x14ac:dyDescent="0.25">
      <c r="A373">
        <v>8</v>
      </c>
      <c r="B373" s="3">
        <v>43404</v>
      </c>
      <c r="C373" s="3"/>
      <c r="D373" s="3"/>
      <c r="E373" s="3"/>
      <c r="F373" s="3"/>
      <c r="G373" s="3"/>
      <c r="H373" s="3"/>
      <c r="M373" s="5">
        <v>13.86</v>
      </c>
      <c r="N373" t="s">
        <v>89</v>
      </c>
      <c r="Q373" s="7">
        <v>-2.53E-2</v>
      </c>
      <c r="R373" t="s">
        <v>89</v>
      </c>
      <c r="AH373" t="str">
        <f>IFERROR(VLOOKUP($A373,fund_metadata!$A:$P,2,FALSE),"")</f>
        <v>AMG Pantheon</v>
      </c>
      <c r="AI373" t="str">
        <f>IFERROR(VLOOKUP($A373,fund_metadata!$A:$P,16,FALSE),"")</f>
        <v>secondaries</v>
      </c>
    </row>
    <row r="374" spans="1:35" x14ac:dyDescent="0.25">
      <c r="A374">
        <v>8</v>
      </c>
      <c r="B374" s="3">
        <v>43434</v>
      </c>
      <c r="C374" s="3"/>
      <c r="D374" s="3"/>
      <c r="E374" s="3"/>
      <c r="F374" s="3"/>
      <c r="G374" s="3"/>
      <c r="H374" s="3"/>
      <c r="M374" s="5">
        <v>13.92</v>
      </c>
      <c r="N374" t="s">
        <v>89</v>
      </c>
      <c r="Q374" s="7">
        <v>4.3E-3</v>
      </c>
      <c r="R374" t="s">
        <v>89</v>
      </c>
      <c r="AH374" t="str">
        <f>IFERROR(VLOOKUP($A374,fund_metadata!$A:$P,2,FALSE),"")</f>
        <v>AMG Pantheon</v>
      </c>
      <c r="AI374" t="str">
        <f>IFERROR(VLOOKUP($A374,fund_metadata!$A:$P,16,FALSE),"")</f>
        <v>secondaries</v>
      </c>
    </row>
    <row r="375" spans="1:35" x14ac:dyDescent="0.25">
      <c r="A375">
        <v>8</v>
      </c>
      <c r="B375" s="3">
        <v>43465</v>
      </c>
      <c r="C375" s="3"/>
      <c r="D375" s="3"/>
      <c r="E375" s="3"/>
      <c r="F375" s="3"/>
      <c r="G375" s="3"/>
      <c r="H375" s="3"/>
      <c r="M375" s="5">
        <v>13.25</v>
      </c>
      <c r="N375" t="s">
        <v>89</v>
      </c>
      <c r="O375">
        <v>0.28999999999999998</v>
      </c>
      <c r="P375" t="s">
        <v>89</v>
      </c>
      <c r="Q375" s="7">
        <v>-2.35E-2</v>
      </c>
      <c r="R375" t="s">
        <v>89</v>
      </c>
      <c r="AH375" t="str">
        <f>IFERROR(VLOOKUP($A375,fund_metadata!$A:$P,2,FALSE),"")</f>
        <v>AMG Pantheon</v>
      </c>
      <c r="AI375" t="str">
        <f>IFERROR(VLOOKUP($A375,fund_metadata!$A:$P,16,FALSE),"")</f>
        <v>secondaries</v>
      </c>
    </row>
    <row r="376" spans="1:35" x14ac:dyDescent="0.25">
      <c r="A376">
        <v>8</v>
      </c>
      <c r="B376" s="3">
        <v>43496</v>
      </c>
      <c r="C376" s="3"/>
      <c r="D376" s="3"/>
      <c r="E376" s="3"/>
      <c r="F376" s="3"/>
      <c r="G376" s="3"/>
      <c r="H376" s="3"/>
      <c r="M376" s="5">
        <v>13.3</v>
      </c>
      <c r="N376" t="s">
        <v>89</v>
      </c>
      <c r="Q376" s="7">
        <v>3.8E-3</v>
      </c>
      <c r="R376" t="s">
        <v>89</v>
      </c>
      <c r="AH376" t="str">
        <f>IFERROR(VLOOKUP($A376,fund_metadata!$A:$P,2,FALSE),"")</f>
        <v>AMG Pantheon</v>
      </c>
      <c r="AI376" t="str">
        <f>IFERROR(VLOOKUP($A376,fund_metadata!$A:$P,16,FALSE),"")</f>
        <v>secondaries</v>
      </c>
    </row>
    <row r="377" spans="1:35" x14ac:dyDescent="0.25">
      <c r="A377">
        <v>8</v>
      </c>
      <c r="B377" s="3">
        <v>43524</v>
      </c>
      <c r="C377" s="3"/>
      <c r="D377" s="3"/>
      <c r="E377" s="3"/>
      <c r="F377" s="3"/>
      <c r="G377" s="3"/>
      <c r="H377" s="3"/>
      <c r="M377" s="5">
        <v>13.69</v>
      </c>
      <c r="N377" t="s">
        <v>89</v>
      </c>
      <c r="Q377" s="7">
        <v>2.93E-2</v>
      </c>
      <c r="R377" t="s">
        <v>89</v>
      </c>
      <c r="AH377" t="str">
        <f>IFERROR(VLOOKUP($A377,fund_metadata!$A:$P,2,FALSE),"")</f>
        <v>AMG Pantheon</v>
      </c>
      <c r="AI377" t="str">
        <f>IFERROR(VLOOKUP($A377,fund_metadata!$A:$P,16,FALSE),"")</f>
        <v>secondaries</v>
      </c>
    </row>
    <row r="378" spans="1:35" x14ac:dyDescent="0.25">
      <c r="A378">
        <v>8</v>
      </c>
      <c r="B378" s="3">
        <v>43555</v>
      </c>
      <c r="C378" s="3"/>
      <c r="D378" s="3"/>
      <c r="E378" s="3"/>
      <c r="F378" s="3"/>
      <c r="G378" s="3"/>
      <c r="H378" s="3"/>
      <c r="M378" s="5">
        <v>13.69</v>
      </c>
      <c r="N378" t="s">
        <v>89</v>
      </c>
      <c r="Q378" s="7">
        <v>0</v>
      </c>
      <c r="R378" t="s">
        <v>89</v>
      </c>
      <c r="T378">
        <v>37050000</v>
      </c>
      <c r="U378" t="s">
        <v>89</v>
      </c>
      <c r="AH378" t="str">
        <f>IFERROR(VLOOKUP($A378,fund_metadata!$A:$P,2,FALSE),"")</f>
        <v>AMG Pantheon</v>
      </c>
      <c r="AI378" t="str">
        <f>IFERROR(VLOOKUP($A378,fund_metadata!$A:$P,16,FALSE),"")</f>
        <v>secondaries</v>
      </c>
    </row>
    <row r="379" spans="1:35" x14ac:dyDescent="0.25">
      <c r="A379">
        <v>8</v>
      </c>
      <c r="B379" s="3">
        <v>43585</v>
      </c>
      <c r="C379" s="3"/>
      <c r="D379" s="3"/>
      <c r="E379" s="3"/>
      <c r="F379" s="3"/>
      <c r="G379" s="3"/>
      <c r="H379" s="3"/>
      <c r="M379" s="5">
        <v>13.94</v>
      </c>
      <c r="N379" t="s">
        <v>89</v>
      </c>
      <c r="Q379" s="7">
        <v>1.83E-2</v>
      </c>
      <c r="R379" t="s">
        <v>89</v>
      </c>
      <c r="AH379" t="str">
        <f>IFERROR(VLOOKUP($A379,fund_metadata!$A:$P,2,FALSE),"")</f>
        <v>AMG Pantheon</v>
      </c>
      <c r="AI379" t="str">
        <f>IFERROR(VLOOKUP($A379,fund_metadata!$A:$P,16,FALSE),"")</f>
        <v>secondaries</v>
      </c>
    </row>
    <row r="380" spans="1:35" x14ac:dyDescent="0.25">
      <c r="A380">
        <v>8</v>
      </c>
      <c r="B380" s="3">
        <v>43616</v>
      </c>
      <c r="C380" s="3"/>
      <c r="D380" s="3"/>
      <c r="E380" s="3"/>
      <c r="F380" s="3"/>
      <c r="G380" s="3"/>
      <c r="H380" s="3"/>
      <c r="M380" s="5">
        <v>14.2</v>
      </c>
      <c r="N380" t="s">
        <v>89</v>
      </c>
      <c r="Q380" s="7">
        <v>1.8700000000000001E-2</v>
      </c>
      <c r="R380" t="s">
        <v>89</v>
      </c>
      <c r="AH380" t="str">
        <f>IFERROR(VLOOKUP($A380,fund_metadata!$A:$P,2,FALSE),"")</f>
        <v>AMG Pantheon</v>
      </c>
      <c r="AI380" t="str">
        <f>IFERROR(VLOOKUP($A380,fund_metadata!$A:$P,16,FALSE),"")</f>
        <v>secondaries</v>
      </c>
    </row>
    <row r="381" spans="1:35" x14ac:dyDescent="0.25">
      <c r="A381">
        <v>8</v>
      </c>
      <c r="B381" s="3">
        <v>43646</v>
      </c>
      <c r="C381" s="3"/>
      <c r="D381" s="3"/>
      <c r="E381" s="3"/>
      <c r="F381" s="3"/>
      <c r="G381" s="3"/>
      <c r="H381" s="3"/>
      <c r="M381" s="5">
        <v>14.19</v>
      </c>
      <c r="N381" t="s">
        <v>89</v>
      </c>
      <c r="Q381" s="7">
        <v>-6.9999999999999999E-4</v>
      </c>
      <c r="R381" t="s">
        <v>89</v>
      </c>
      <c r="AH381" t="str">
        <f>IFERROR(VLOOKUP($A381,fund_metadata!$A:$P,2,FALSE),"")</f>
        <v>AMG Pantheon</v>
      </c>
      <c r="AI381" t="str">
        <f>IFERROR(VLOOKUP($A381,fund_metadata!$A:$P,16,FALSE),"")</f>
        <v>secondaries</v>
      </c>
    </row>
    <row r="382" spans="1:35" x14ac:dyDescent="0.25">
      <c r="A382">
        <v>8</v>
      </c>
      <c r="B382" s="3">
        <v>43677</v>
      </c>
      <c r="C382" s="3"/>
      <c r="D382" s="3"/>
      <c r="E382" s="3"/>
      <c r="F382" s="3"/>
      <c r="G382" s="3"/>
      <c r="H382" s="3"/>
      <c r="M382" s="5">
        <v>14.55</v>
      </c>
      <c r="N382" t="s">
        <v>89</v>
      </c>
      <c r="Q382" s="7">
        <v>2.5399999999999999E-2</v>
      </c>
      <c r="R382" t="s">
        <v>89</v>
      </c>
      <c r="AH382" t="str">
        <f>IFERROR(VLOOKUP($A382,fund_metadata!$A:$P,2,FALSE),"")</f>
        <v>AMG Pantheon</v>
      </c>
      <c r="AI382" t="str">
        <f>IFERROR(VLOOKUP($A382,fund_metadata!$A:$P,16,FALSE),"")</f>
        <v>secondaries</v>
      </c>
    </row>
    <row r="383" spans="1:35" x14ac:dyDescent="0.25">
      <c r="A383">
        <v>8</v>
      </c>
      <c r="B383" s="3">
        <v>43708</v>
      </c>
      <c r="C383" s="3"/>
      <c r="D383" s="3"/>
      <c r="E383" s="3"/>
      <c r="F383" s="3"/>
      <c r="G383" s="3"/>
      <c r="H383" s="3"/>
      <c r="M383" s="5">
        <v>14.62</v>
      </c>
      <c r="N383" t="s">
        <v>89</v>
      </c>
      <c r="Q383" s="7">
        <v>4.7999999999999996E-3</v>
      </c>
      <c r="R383" t="s">
        <v>89</v>
      </c>
      <c r="AH383" t="str">
        <f>IFERROR(VLOOKUP($A383,fund_metadata!$A:$P,2,FALSE),"")</f>
        <v>AMG Pantheon</v>
      </c>
      <c r="AI383" t="str">
        <f>IFERROR(VLOOKUP($A383,fund_metadata!$A:$P,16,FALSE),"")</f>
        <v>secondaries</v>
      </c>
    </row>
    <row r="384" spans="1:35" x14ac:dyDescent="0.25">
      <c r="A384">
        <v>8</v>
      </c>
      <c r="B384" s="3">
        <v>43738</v>
      </c>
      <c r="C384" s="3"/>
      <c r="D384" s="3"/>
      <c r="E384" s="3"/>
      <c r="F384" s="3"/>
      <c r="G384" s="3"/>
      <c r="H384" s="3"/>
      <c r="M384" s="5">
        <v>14.66</v>
      </c>
      <c r="N384" t="s">
        <v>89</v>
      </c>
      <c r="Q384" s="7">
        <v>2.7000000000000001E-3</v>
      </c>
      <c r="R384" t="s">
        <v>89</v>
      </c>
      <c r="T384">
        <v>62740000</v>
      </c>
      <c r="U384" t="s">
        <v>89</v>
      </c>
      <c r="AH384" t="str">
        <f>IFERROR(VLOOKUP($A384,fund_metadata!$A:$P,2,FALSE),"")</f>
        <v>AMG Pantheon</v>
      </c>
      <c r="AI384" t="str">
        <f>IFERROR(VLOOKUP($A384,fund_metadata!$A:$P,16,FALSE),"")</f>
        <v>secondaries</v>
      </c>
    </row>
    <row r="385" spans="1:35" x14ac:dyDescent="0.25">
      <c r="A385">
        <v>8</v>
      </c>
      <c r="B385" s="3">
        <v>43769</v>
      </c>
      <c r="C385" s="3"/>
      <c r="D385" s="3"/>
      <c r="E385" s="3"/>
      <c r="F385" s="3"/>
      <c r="G385" s="3"/>
      <c r="H385" s="3"/>
      <c r="M385" s="5">
        <v>14.87</v>
      </c>
      <c r="N385" t="s">
        <v>89</v>
      </c>
      <c r="Q385" s="7">
        <v>1.43E-2</v>
      </c>
      <c r="R385" t="s">
        <v>89</v>
      </c>
      <c r="AH385" t="str">
        <f>IFERROR(VLOOKUP($A385,fund_metadata!$A:$P,2,FALSE),"")</f>
        <v>AMG Pantheon</v>
      </c>
      <c r="AI385" t="str">
        <f>IFERROR(VLOOKUP($A385,fund_metadata!$A:$P,16,FALSE),"")</f>
        <v>secondaries</v>
      </c>
    </row>
    <row r="386" spans="1:35" x14ac:dyDescent="0.25">
      <c r="A386">
        <v>8</v>
      </c>
      <c r="B386" s="3">
        <v>43799</v>
      </c>
      <c r="C386" s="3"/>
      <c r="D386" s="3"/>
      <c r="E386" s="3"/>
      <c r="F386" s="3"/>
      <c r="G386" s="3"/>
      <c r="H386" s="3"/>
      <c r="M386" s="5">
        <v>15.11</v>
      </c>
      <c r="N386" t="s">
        <v>89</v>
      </c>
      <c r="Q386" s="7">
        <v>1.61E-2</v>
      </c>
      <c r="R386" t="s">
        <v>89</v>
      </c>
      <c r="AH386" t="str">
        <f>IFERROR(VLOOKUP($A386,fund_metadata!$A:$P,2,FALSE),"")</f>
        <v>AMG Pantheon</v>
      </c>
      <c r="AI386" t="str">
        <f>IFERROR(VLOOKUP($A386,fund_metadata!$A:$P,16,FALSE),"")</f>
        <v>secondaries</v>
      </c>
    </row>
    <row r="387" spans="1:35" x14ac:dyDescent="0.25">
      <c r="A387">
        <v>8</v>
      </c>
      <c r="B387" s="3">
        <v>43830</v>
      </c>
      <c r="C387" s="3"/>
      <c r="D387" s="3"/>
      <c r="E387" s="3"/>
      <c r="F387" s="3"/>
      <c r="G387" s="3"/>
      <c r="H387" s="3"/>
      <c r="M387" s="5">
        <v>14.27</v>
      </c>
      <c r="N387" t="s">
        <v>89</v>
      </c>
      <c r="Q387" s="7">
        <v>8.6999999999999994E-3</v>
      </c>
      <c r="R387" t="s">
        <v>89</v>
      </c>
      <c r="AH387" t="str">
        <f>IFERROR(VLOOKUP($A387,fund_metadata!$A:$P,2,FALSE),"")</f>
        <v>AMG Pantheon</v>
      </c>
      <c r="AI387" t="str">
        <f>IFERROR(VLOOKUP($A387,fund_metadata!$A:$P,16,FALSE),"")</f>
        <v>secondaries</v>
      </c>
    </row>
    <row r="388" spans="1:35" x14ac:dyDescent="0.25">
      <c r="A388">
        <v>8</v>
      </c>
      <c r="B388" s="3">
        <v>43861</v>
      </c>
      <c r="C388" s="3"/>
      <c r="D388" s="3"/>
      <c r="E388" s="3"/>
      <c r="F388" s="3"/>
      <c r="G388" s="3"/>
      <c r="H388" s="3"/>
      <c r="M388" s="5">
        <v>14.23</v>
      </c>
      <c r="N388" t="s">
        <v>89</v>
      </c>
      <c r="Q388" s="7">
        <v>-2.8E-3</v>
      </c>
      <c r="R388" t="s">
        <v>89</v>
      </c>
      <c r="AH388" t="str">
        <f>IFERROR(VLOOKUP($A388,fund_metadata!$A:$P,2,FALSE),"")</f>
        <v>AMG Pantheon</v>
      </c>
      <c r="AI388" t="str">
        <f>IFERROR(VLOOKUP($A388,fund_metadata!$A:$P,16,FALSE),"")</f>
        <v>secondaries</v>
      </c>
    </row>
    <row r="389" spans="1:35" x14ac:dyDescent="0.25">
      <c r="A389">
        <v>8</v>
      </c>
      <c r="B389" s="3">
        <v>43890</v>
      </c>
      <c r="C389" s="3"/>
      <c r="D389" s="3"/>
      <c r="E389" s="3"/>
      <c r="F389" s="3"/>
      <c r="G389" s="3"/>
      <c r="H389" s="3"/>
      <c r="M389" s="5">
        <v>14.23</v>
      </c>
      <c r="N389" t="s">
        <v>89</v>
      </c>
      <c r="Q389" s="7">
        <v>0</v>
      </c>
      <c r="R389" t="s">
        <v>89</v>
      </c>
      <c r="AH389" t="str">
        <f>IFERROR(VLOOKUP($A389,fund_metadata!$A:$P,2,FALSE),"")</f>
        <v>AMG Pantheon</v>
      </c>
      <c r="AI389" t="str">
        <f>IFERROR(VLOOKUP($A389,fund_metadata!$A:$P,16,FALSE),"")</f>
        <v>secondaries</v>
      </c>
    </row>
    <row r="390" spans="1:35" x14ac:dyDescent="0.25">
      <c r="A390">
        <v>8</v>
      </c>
      <c r="B390" s="3">
        <v>43921</v>
      </c>
      <c r="C390" s="3"/>
      <c r="D390" s="3"/>
      <c r="E390" s="3"/>
      <c r="F390" s="3"/>
      <c r="G390" s="3"/>
      <c r="H390" s="3"/>
      <c r="M390" s="5">
        <v>13.96</v>
      </c>
      <c r="N390" t="s">
        <v>89</v>
      </c>
      <c r="Q390" s="7">
        <v>-1.9E-2</v>
      </c>
      <c r="R390" t="s">
        <v>89</v>
      </c>
      <c r="AH390" t="str">
        <f>IFERROR(VLOOKUP($A390,fund_metadata!$A:$P,2,FALSE),"")</f>
        <v>AMG Pantheon</v>
      </c>
      <c r="AI390" t="str">
        <f>IFERROR(VLOOKUP($A390,fund_metadata!$A:$P,16,FALSE),"")</f>
        <v>secondaries</v>
      </c>
    </row>
    <row r="391" spans="1:35" x14ac:dyDescent="0.25">
      <c r="A391">
        <v>8</v>
      </c>
      <c r="B391" s="3">
        <v>43951</v>
      </c>
      <c r="C391" s="3"/>
      <c r="D391" s="3"/>
      <c r="E391" s="3"/>
      <c r="F391" s="3"/>
      <c r="G391" s="3"/>
      <c r="H391" s="3"/>
      <c r="M391" s="5">
        <v>14.05</v>
      </c>
      <c r="N391" t="s">
        <v>89</v>
      </c>
      <c r="Q391" s="7">
        <v>6.4000000000000003E-3</v>
      </c>
      <c r="R391" t="s">
        <v>89</v>
      </c>
      <c r="AH391" t="str">
        <f>IFERROR(VLOOKUP($A391,fund_metadata!$A:$P,2,FALSE),"")</f>
        <v>AMG Pantheon</v>
      </c>
      <c r="AI391" t="str">
        <f>IFERROR(VLOOKUP($A391,fund_metadata!$A:$P,16,FALSE),"")</f>
        <v>secondaries</v>
      </c>
    </row>
    <row r="392" spans="1:35" x14ac:dyDescent="0.25">
      <c r="A392">
        <v>8</v>
      </c>
      <c r="B392" s="3">
        <v>43982</v>
      </c>
      <c r="C392" s="3"/>
      <c r="D392" s="3"/>
      <c r="E392" s="3"/>
      <c r="F392" s="3"/>
      <c r="G392" s="3"/>
      <c r="H392" s="3"/>
      <c r="K392" s="4"/>
      <c r="M392" s="5">
        <v>13.95</v>
      </c>
      <c r="N392" t="s">
        <v>89</v>
      </c>
      <c r="O392" s="5"/>
      <c r="Q392" s="2">
        <v>-7.1000000000000004E-3</v>
      </c>
      <c r="R392" t="s">
        <v>89</v>
      </c>
      <c r="T392" s="4"/>
      <c r="AH392" t="str">
        <f>IFERROR(VLOOKUP($A392,fund_metadata!$A:$P,2,FALSE),"")</f>
        <v>AMG Pantheon</v>
      </c>
      <c r="AI392" t="str">
        <f>IFERROR(VLOOKUP($A392,fund_metadata!$A:$P,16,FALSE),"")</f>
        <v>secondaries</v>
      </c>
    </row>
    <row r="393" spans="1:35" x14ac:dyDescent="0.25">
      <c r="A393">
        <v>8</v>
      </c>
      <c r="B393" s="3">
        <v>44012</v>
      </c>
      <c r="C393" s="3"/>
      <c r="D393" s="3"/>
      <c r="E393" s="3"/>
      <c r="F393" s="3"/>
      <c r="G393" s="3"/>
      <c r="H393" s="3"/>
      <c r="K393" s="4"/>
      <c r="M393" s="5">
        <v>13.92</v>
      </c>
      <c r="N393" t="s">
        <v>89</v>
      </c>
      <c r="O393" s="5"/>
      <c r="Q393" s="2">
        <v>-2.2000000000000001E-3</v>
      </c>
      <c r="R393" t="s">
        <v>89</v>
      </c>
      <c r="S393">
        <v>1</v>
      </c>
      <c r="T393" s="4"/>
      <c r="AH393" t="str">
        <f>IFERROR(VLOOKUP($A393,fund_metadata!$A:$P,2,FALSE),"")</f>
        <v>AMG Pantheon</v>
      </c>
      <c r="AI393" t="str">
        <f>IFERROR(VLOOKUP($A393,fund_metadata!$A:$P,16,FALSE),"")</f>
        <v>secondaries</v>
      </c>
    </row>
    <row r="394" spans="1:35" x14ac:dyDescent="0.25">
      <c r="A394">
        <v>8</v>
      </c>
      <c r="B394" s="3">
        <v>44043</v>
      </c>
      <c r="C394" s="3"/>
      <c r="D394" s="3"/>
      <c r="E394" s="3"/>
      <c r="F394" s="3"/>
      <c r="G394" s="3"/>
      <c r="H394" s="3"/>
      <c r="K394" s="4"/>
      <c r="M394" s="5">
        <v>14.78</v>
      </c>
      <c r="N394" t="s">
        <v>89</v>
      </c>
      <c r="O394" s="5"/>
      <c r="Q394" s="2">
        <v>6.1800000000000001E-2</v>
      </c>
      <c r="R394" t="s">
        <v>89</v>
      </c>
      <c r="T394" s="4"/>
      <c r="AH394" t="str">
        <f>IFERROR(VLOOKUP($A394,fund_metadata!$A:$P,2,FALSE),"")</f>
        <v>AMG Pantheon</v>
      </c>
      <c r="AI394" t="str">
        <f>IFERROR(VLOOKUP($A394,fund_metadata!$A:$P,16,FALSE),"")</f>
        <v>secondaries</v>
      </c>
    </row>
    <row r="395" spans="1:35" x14ac:dyDescent="0.25">
      <c r="A395">
        <v>8</v>
      </c>
      <c r="B395" s="3">
        <v>44074</v>
      </c>
      <c r="C395" s="3"/>
      <c r="D395" s="3"/>
      <c r="E395" s="3"/>
      <c r="F395" s="3"/>
      <c r="G395" s="3"/>
      <c r="H395" s="3"/>
      <c r="K395" s="4"/>
      <c r="M395" s="5">
        <v>15.1</v>
      </c>
      <c r="N395" t="s">
        <v>89</v>
      </c>
      <c r="O395" s="5"/>
      <c r="Q395" s="2">
        <v>2.1700000000000001E-2</v>
      </c>
      <c r="R395" t="s">
        <v>89</v>
      </c>
      <c r="T395" s="4"/>
      <c r="AH395" t="str">
        <f>IFERROR(VLOOKUP($A395,fund_metadata!$A:$P,2,FALSE),"")</f>
        <v>AMG Pantheon</v>
      </c>
      <c r="AI395" t="str">
        <f>IFERROR(VLOOKUP($A395,fund_metadata!$A:$P,16,FALSE),"")</f>
        <v>secondaries</v>
      </c>
    </row>
    <row r="396" spans="1:35" x14ac:dyDescent="0.25">
      <c r="A396">
        <v>8</v>
      </c>
      <c r="B396" s="3">
        <v>44104</v>
      </c>
      <c r="C396" s="3"/>
      <c r="D396" s="3"/>
      <c r="E396" s="3"/>
      <c r="F396" s="3"/>
      <c r="G396" s="3"/>
      <c r="H396" s="3"/>
      <c r="K396" s="4"/>
      <c r="M396" s="5">
        <v>15.01</v>
      </c>
      <c r="N396" t="s">
        <v>89</v>
      </c>
      <c r="O396" s="5"/>
      <c r="Q396" s="2">
        <v>-6.0000000000000001E-3</v>
      </c>
      <c r="R396" t="s">
        <v>89</v>
      </c>
      <c r="S396">
        <v>1</v>
      </c>
      <c r="T396" s="4">
        <v>148050000</v>
      </c>
      <c r="U396" t="s">
        <v>89</v>
      </c>
      <c r="V396">
        <v>5811305</v>
      </c>
      <c r="W396" t="s">
        <v>120</v>
      </c>
      <c r="AH396" t="str">
        <f>IFERROR(VLOOKUP($A396,fund_metadata!$A:$P,2,FALSE),"")</f>
        <v>AMG Pantheon</v>
      </c>
      <c r="AI396" t="str">
        <f>IFERROR(VLOOKUP($A396,fund_metadata!$A:$P,16,FALSE),"")</f>
        <v>secondaries</v>
      </c>
    </row>
    <row r="397" spans="1:35" x14ac:dyDescent="0.25">
      <c r="A397">
        <v>8</v>
      </c>
      <c r="B397" s="3">
        <v>44135</v>
      </c>
      <c r="C397" s="3"/>
      <c r="D397" s="3"/>
      <c r="E397" s="3"/>
      <c r="F397" s="3"/>
      <c r="G397" s="3"/>
      <c r="H397" s="3"/>
      <c r="K397" s="4"/>
      <c r="M397" s="5">
        <v>15.64</v>
      </c>
      <c r="N397" t="s">
        <v>89</v>
      </c>
      <c r="O397" s="5"/>
      <c r="Q397" s="2">
        <v>4.2000000000000003E-2</v>
      </c>
      <c r="R397" t="s">
        <v>89</v>
      </c>
      <c r="T397" s="4"/>
      <c r="AH397" t="str">
        <f>IFERROR(VLOOKUP($A397,fund_metadata!$A:$P,2,FALSE),"")</f>
        <v>AMG Pantheon</v>
      </c>
      <c r="AI397" t="str">
        <f>IFERROR(VLOOKUP($A397,fund_metadata!$A:$P,16,FALSE),"")</f>
        <v>secondaries</v>
      </c>
    </row>
    <row r="398" spans="1:35" x14ac:dyDescent="0.25">
      <c r="A398">
        <v>8</v>
      </c>
      <c r="B398" s="3">
        <v>44165</v>
      </c>
      <c r="C398" s="3"/>
      <c r="D398" s="3"/>
      <c r="E398" s="3"/>
      <c r="F398" s="3"/>
      <c r="G398" s="3"/>
      <c r="H398" s="3"/>
      <c r="K398" s="4"/>
      <c r="M398" s="5">
        <v>15.89</v>
      </c>
      <c r="N398" t="s">
        <v>89</v>
      </c>
      <c r="O398" s="5"/>
      <c r="Q398" s="2">
        <v>1.6E-2</v>
      </c>
      <c r="R398" t="s">
        <v>89</v>
      </c>
      <c r="T398" s="4"/>
      <c r="AH398" t="str">
        <f>IFERROR(VLOOKUP($A398,fund_metadata!$A:$P,2,FALSE),"")</f>
        <v>AMG Pantheon</v>
      </c>
      <c r="AI398" t="str">
        <f>IFERROR(VLOOKUP($A398,fund_metadata!$A:$P,16,FALSE),"")</f>
        <v>secondaries</v>
      </c>
    </row>
    <row r="399" spans="1:35" x14ac:dyDescent="0.25">
      <c r="A399">
        <v>8</v>
      </c>
      <c r="B399" s="3">
        <v>44196</v>
      </c>
      <c r="C399" s="3"/>
      <c r="D399" s="3"/>
      <c r="E399" s="3"/>
      <c r="F399" s="3"/>
      <c r="G399" s="3"/>
      <c r="H399" s="3"/>
      <c r="K399" s="4"/>
      <c r="M399" s="5">
        <v>16.059999999999999</v>
      </c>
      <c r="N399" t="s">
        <v>89</v>
      </c>
      <c r="O399" s="5"/>
      <c r="Q399" s="2">
        <v>2.1700000000000001E-2</v>
      </c>
      <c r="R399" t="s">
        <v>89</v>
      </c>
      <c r="S399">
        <v>1</v>
      </c>
      <c r="T399" s="4"/>
      <c r="AH399" t="str">
        <f>IFERROR(VLOOKUP($A399,fund_metadata!$A:$P,2,FALSE),"")</f>
        <v>AMG Pantheon</v>
      </c>
      <c r="AI399" t="str">
        <f>IFERROR(VLOOKUP($A399,fund_metadata!$A:$P,16,FALSE),"")</f>
        <v>secondaries</v>
      </c>
    </row>
    <row r="400" spans="1:35" x14ac:dyDescent="0.25">
      <c r="A400">
        <v>8</v>
      </c>
      <c r="B400" s="3">
        <v>44227</v>
      </c>
      <c r="C400" s="3"/>
      <c r="D400" s="3"/>
      <c r="E400" s="3"/>
      <c r="F400" s="3"/>
      <c r="G400" s="3"/>
      <c r="H400" s="3"/>
      <c r="K400" s="4"/>
      <c r="M400" s="5">
        <v>16.579999999999998</v>
      </c>
      <c r="N400" t="s">
        <v>89</v>
      </c>
      <c r="O400" s="5"/>
      <c r="Q400" s="2">
        <v>3.2399999999999998E-2</v>
      </c>
      <c r="R400" t="s">
        <v>89</v>
      </c>
      <c r="T400" s="4"/>
      <c r="AH400" t="str">
        <f>IFERROR(VLOOKUP($A400,fund_metadata!$A:$P,2,FALSE),"")</f>
        <v>AMG Pantheon</v>
      </c>
      <c r="AI400" t="str">
        <f>IFERROR(VLOOKUP($A400,fund_metadata!$A:$P,16,FALSE),"")</f>
        <v>secondaries</v>
      </c>
    </row>
    <row r="401" spans="1:35" x14ac:dyDescent="0.25">
      <c r="A401">
        <v>8</v>
      </c>
      <c r="B401" s="3">
        <v>44255</v>
      </c>
      <c r="C401" s="3"/>
      <c r="D401" s="3"/>
      <c r="E401" s="3"/>
      <c r="F401" s="3"/>
      <c r="G401" s="3"/>
      <c r="H401" s="3"/>
      <c r="K401" s="4"/>
      <c r="M401" s="5">
        <v>17.420000000000002</v>
      </c>
      <c r="N401" t="s">
        <v>89</v>
      </c>
      <c r="O401" s="5"/>
      <c r="Q401" s="2">
        <v>5.0700000000000002E-2</v>
      </c>
      <c r="R401" t="s">
        <v>89</v>
      </c>
      <c r="T401" s="4"/>
      <c r="AH401" t="str">
        <f>IFERROR(VLOOKUP($A401,fund_metadata!$A:$P,2,FALSE),"")</f>
        <v>AMG Pantheon</v>
      </c>
      <c r="AI401" t="str">
        <f>IFERROR(VLOOKUP($A401,fund_metadata!$A:$P,16,FALSE),"")</f>
        <v>secondaries</v>
      </c>
    </row>
    <row r="402" spans="1:35" x14ac:dyDescent="0.25">
      <c r="A402">
        <v>8</v>
      </c>
      <c r="B402" s="3">
        <v>44286</v>
      </c>
      <c r="C402" s="3"/>
      <c r="D402" s="3"/>
      <c r="E402" s="3"/>
      <c r="F402" s="3"/>
      <c r="G402" s="3"/>
      <c r="H402" s="3"/>
      <c r="K402" s="4">
        <v>268980000</v>
      </c>
      <c r="L402" t="s">
        <v>89</v>
      </c>
      <c r="M402" s="5">
        <v>17.57</v>
      </c>
      <c r="N402" t="s">
        <v>89</v>
      </c>
      <c r="O402" s="5"/>
      <c r="Q402" s="2">
        <v>8.6E-3</v>
      </c>
      <c r="R402" t="s">
        <v>89</v>
      </c>
      <c r="S402">
        <v>1</v>
      </c>
      <c r="T402" s="4">
        <v>306390000</v>
      </c>
      <c r="U402" t="s">
        <v>89</v>
      </c>
      <c r="V402">
        <v>8241191</v>
      </c>
      <c r="W402" t="s">
        <v>121</v>
      </c>
      <c r="AH402" t="str">
        <f>IFERROR(VLOOKUP($A402,fund_metadata!$A:$P,2,FALSE),"")</f>
        <v>AMG Pantheon</v>
      </c>
      <c r="AI402" t="str">
        <f>IFERROR(VLOOKUP($A402,fund_metadata!$A:$P,16,FALSE),"")</f>
        <v>secondaries</v>
      </c>
    </row>
    <row r="403" spans="1:35" x14ac:dyDescent="0.25">
      <c r="A403">
        <v>8</v>
      </c>
      <c r="B403" s="3">
        <v>44316</v>
      </c>
      <c r="C403" s="3"/>
      <c r="D403" s="3"/>
      <c r="E403" s="3"/>
      <c r="F403" s="3"/>
      <c r="G403" s="3"/>
      <c r="H403" s="3"/>
      <c r="K403" s="4"/>
      <c r="M403" s="5">
        <v>18.16</v>
      </c>
      <c r="N403" t="s">
        <v>89</v>
      </c>
      <c r="O403" s="5"/>
      <c r="Q403" s="2">
        <v>3.3599999999999998E-2</v>
      </c>
      <c r="R403" t="s">
        <v>89</v>
      </c>
      <c r="T403" s="4"/>
      <c r="AH403" t="str">
        <f>IFERROR(VLOOKUP($A403,fund_metadata!$A:$P,2,FALSE),"")</f>
        <v>AMG Pantheon</v>
      </c>
      <c r="AI403" t="str">
        <f>IFERROR(VLOOKUP($A403,fund_metadata!$A:$P,16,FALSE),"")</f>
        <v>secondaries</v>
      </c>
    </row>
    <row r="404" spans="1:35" x14ac:dyDescent="0.25">
      <c r="A404">
        <v>8</v>
      </c>
      <c r="B404" s="3">
        <v>44347</v>
      </c>
      <c r="C404" s="3"/>
      <c r="D404" s="3"/>
      <c r="E404" s="3"/>
      <c r="F404" s="3"/>
      <c r="G404" s="3"/>
      <c r="H404" s="3"/>
      <c r="K404" s="4"/>
      <c r="M404" s="5">
        <v>18.649999999999999</v>
      </c>
      <c r="N404" t="s">
        <v>89</v>
      </c>
      <c r="O404" s="5"/>
      <c r="Q404" s="2">
        <v>2.7E-2</v>
      </c>
      <c r="R404" t="s">
        <v>89</v>
      </c>
      <c r="T404" s="4"/>
      <c r="AH404" t="str">
        <f>IFERROR(VLOOKUP($A404,fund_metadata!$A:$P,2,FALSE),"")</f>
        <v>AMG Pantheon</v>
      </c>
      <c r="AI404" t="str">
        <f>IFERROR(VLOOKUP($A404,fund_metadata!$A:$P,16,FALSE),"")</f>
        <v>secondaries</v>
      </c>
    </row>
    <row r="405" spans="1:35" x14ac:dyDescent="0.25">
      <c r="A405">
        <v>8</v>
      </c>
      <c r="B405" s="3">
        <v>44377</v>
      </c>
      <c r="C405" s="3"/>
      <c r="D405" s="3"/>
      <c r="E405" s="3"/>
      <c r="F405" s="3"/>
      <c r="G405" s="3"/>
      <c r="H405" s="3"/>
      <c r="K405" s="4"/>
      <c r="M405" s="5">
        <v>18.53</v>
      </c>
      <c r="N405" t="s">
        <v>89</v>
      </c>
      <c r="O405" s="5"/>
      <c r="Q405" s="2">
        <v>-6.4000000000000003E-3</v>
      </c>
      <c r="R405" t="s">
        <v>89</v>
      </c>
      <c r="S405">
        <v>1</v>
      </c>
      <c r="T405" s="4"/>
      <c r="AH405" t="str">
        <f>IFERROR(VLOOKUP($A405,fund_metadata!$A:$P,2,FALSE),"")</f>
        <v>AMG Pantheon</v>
      </c>
      <c r="AI405" t="str">
        <f>IFERROR(VLOOKUP($A405,fund_metadata!$A:$P,16,FALSE),"")</f>
        <v>secondaries</v>
      </c>
    </row>
    <row r="406" spans="1:35" x14ac:dyDescent="0.25">
      <c r="A406">
        <v>8</v>
      </c>
      <c r="B406" s="3">
        <v>44408</v>
      </c>
      <c r="C406" s="3"/>
      <c r="D406" s="3"/>
      <c r="E406" s="3"/>
      <c r="F406" s="3"/>
      <c r="G406" s="3"/>
      <c r="H406" s="3"/>
      <c r="K406" s="4"/>
      <c r="M406" s="5">
        <v>19.100000000000001</v>
      </c>
      <c r="N406" t="s">
        <v>89</v>
      </c>
      <c r="O406" s="5"/>
      <c r="Q406" s="2">
        <v>3.0800000000000001E-2</v>
      </c>
      <c r="R406" t="s">
        <v>89</v>
      </c>
      <c r="T406" s="4"/>
      <c r="AH406" t="str">
        <f>IFERROR(VLOOKUP($A406,fund_metadata!$A:$P,2,FALSE),"")</f>
        <v>AMG Pantheon</v>
      </c>
      <c r="AI406" t="str">
        <f>IFERROR(VLOOKUP($A406,fund_metadata!$A:$P,16,FALSE),"")</f>
        <v>secondaries</v>
      </c>
    </row>
    <row r="407" spans="1:35" x14ac:dyDescent="0.25">
      <c r="A407">
        <v>8</v>
      </c>
      <c r="B407" s="3">
        <v>44439</v>
      </c>
      <c r="C407" s="3"/>
      <c r="D407" s="3"/>
      <c r="E407" s="3"/>
      <c r="F407" s="3"/>
      <c r="G407" s="3"/>
      <c r="H407" s="3"/>
      <c r="K407" s="4"/>
      <c r="M407" s="5">
        <v>19.71</v>
      </c>
      <c r="N407" t="s">
        <v>89</v>
      </c>
      <c r="O407" s="5"/>
      <c r="Q407" s="2">
        <v>3.1899999999999998E-2</v>
      </c>
      <c r="R407" t="s">
        <v>89</v>
      </c>
      <c r="T407" s="4"/>
      <c r="AH407" t="str">
        <f>IFERROR(VLOOKUP($A407,fund_metadata!$A:$P,2,FALSE),"")</f>
        <v>AMG Pantheon</v>
      </c>
      <c r="AI407" t="str">
        <f>IFERROR(VLOOKUP($A407,fund_metadata!$A:$P,16,FALSE),"")</f>
        <v>secondaries</v>
      </c>
    </row>
    <row r="408" spans="1:35" x14ac:dyDescent="0.25">
      <c r="A408">
        <v>8</v>
      </c>
      <c r="B408" s="3">
        <v>44469</v>
      </c>
      <c r="C408" s="3"/>
      <c r="D408" s="3"/>
      <c r="E408" s="3"/>
      <c r="F408" s="3"/>
      <c r="G408" s="3"/>
      <c r="H408" s="3"/>
      <c r="K408" s="4">
        <v>491230000</v>
      </c>
      <c r="L408" t="s">
        <v>89</v>
      </c>
      <c r="M408" s="5">
        <v>19.57</v>
      </c>
      <c r="N408" t="s">
        <v>89</v>
      </c>
      <c r="O408" s="5"/>
      <c r="Q408" s="2">
        <v>-7.1000000000000004E-3</v>
      </c>
      <c r="R408" t="s">
        <v>89</v>
      </c>
      <c r="S408">
        <v>1</v>
      </c>
      <c r="T408" s="4">
        <v>528300000</v>
      </c>
      <c r="U408" t="s">
        <v>89</v>
      </c>
      <c r="V408">
        <v>11673031</v>
      </c>
      <c r="W408" t="s">
        <v>120</v>
      </c>
      <c r="AH408" t="str">
        <f>IFERROR(VLOOKUP($A408,fund_metadata!$A:$P,2,FALSE),"")</f>
        <v>AMG Pantheon</v>
      </c>
      <c r="AI408" t="str">
        <f>IFERROR(VLOOKUP($A408,fund_metadata!$A:$P,16,FALSE),"")</f>
        <v>secondaries</v>
      </c>
    </row>
    <row r="409" spans="1:35" x14ac:dyDescent="0.25">
      <c r="A409">
        <v>8</v>
      </c>
      <c r="B409" s="3">
        <v>44500</v>
      </c>
      <c r="C409" s="3"/>
      <c r="D409" s="3"/>
      <c r="E409" s="3"/>
      <c r="F409" s="3"/>
      <c r="G409" s="3"/>
      <c r="H409" s="3"/>
      <c r="K409" s="4"/>
      <c r="M409" s="5">
        <v>20.04</v>
      </c>
      <c r="N409" t="s">
        <v>89</v>
      </c>
      <c r="O409" s="5"/>
      <c r="Q409" s="2">
        <v>2.4E-2</v>
      </c>
      <c r="R409" t="s">
        <v>89</v>
      </c>
      <c r="T409" s="4"/>
      <c r="AH409" t="str">
        <f>IFERROR(VLOOKUP($A409,fund_metadata!$A:$P,2,FALSE),"")</f>
        <v>AMG Pantheon</v>
      </c>
      <c r="AI409" t="str">
        <f>IFERROR(VLOOKUP($A409,fund_metadata!$A:$P,16,FALSE),"")</f>
        <v>secondaries</v>
      </c>
    </row>
    <row r="410" spans="1:35" x14ac:dyDescent="0.25">
      <c r="A410">
        <v>8</v>
      </c>
      <c r="B410" s="3">
        <v>44530</v>
      </c>
      <c r="C410" s="3"/>
      <c r="D410" s="3"/>
      <c r="E410" s="3"/>
      <c r="F410" s="3"/>
      <c r="G410" s="3"/>
      <c r="H410" s="3"/>
      <c r="K410" s="4"/>
      <c r="M410" s="5">
        <v>20.37</v>
      </c>
      <c r="N410" t="s">
        <v>89</v>
      </c>
      <c r="O410" s="5"/>
      <c r="Q410" s="2">
        <v>1.6500000000000001E-2</v>
      </c>
      <c r="R410" t="s">
        <v>89</v>
      </c>
      <c r="T410" s="4"/>
      <c r="AH410" t="str">
        <f>IFERROR(VLOOKUP($A410,fund_metadata!$A:$P,2,FALSE),"")</f>
        <v>AMG Pantheon</v>
      </c>
      <c r="AI410" t="str">
        <f>IFERROR(VLOOKUP($A410,fund_metadata!$A:$P,16,FALSE),"")</f>
        <v>secondaries</v>
      </c>
    </row>
    <row r="411" spans="1:35" x14ac:dyDescent="0.25">
      <c r="A411">
        <v>8</v>
      </c>
      <c r="B411" s="3">
        <v>44561</v>
      </c>
      <c r="C411" s="3"/>
      <c r="D411" s="3"/>
      <c r="E411" s="3"/>
      <c r="F411" s="3"/>
      <c r="G411" s="3"/>
      <c r="H411" s="3"/>
      <c r="K411" s="4"/>
      <c r="M411" s="5">
        <v>19.670000000000002</v>
      </c>
      <c r="N411" t="s">
        <v>89</v>
      </c>
      <c r="O411" s="5"/>
      <c r="Q411" s="2">
        <v>1E-3</v>
      </c>
      <c r="R411" t="s">
        <v>89</v>
      </c>
      <c r="S411">
        <v>1</v>
      </c>
      <c r="T411" s="4"/>
      <c r="AH411" t="str">
        <f>IFERROR(VLOOKUP($A411,fund_metadata!$A:$P,2,FALSE),"")</f>
        <v>AMG Pantheon</v>
      </c>
      <c r="AI411" t="str">
        <f>IFERROR(VLOOKUP($A411,fund_metadata!$A:$P,16,FALSE),"")</f>
        <v>secondaries</v>
      </c>
    </row>
    <row r="412" spans="1:35" x14ac:dyDescent="0.25">
      <c r="A412">
        <v>8</v>
      </c>
      <c r="B412" s="3">
        <v>44592</v>
      </c>
      <c r="C412" s="3"/>
      <c r="D412" s="3"/>
      <c r="E412" s="3"/>
      <c r="F412" s="3"/>
      <c r="G412" s="3"/>
      <c r="H412" s="3"/>
      <c r="K412" s="4"/>
      <c r="M412" s="5">
        <v>19.670000000000002</v>
      </c>
      <c r="N412" t="s">
        <v>89</v>
      </c>
      <c r="O412" s="5"/>
      <c r="Q412" s="2">
        <v>0</v>
      </c>
      <c r="R412" t="s">
        <v>89</v>
      </c>
      <c r="T412" s="4"/>
      <c r="AH412" t="str">
        <f>IFERROR(VLOOKUP($A412,fund_metadata!$A:$P,2,FALSE),"")</f>
        <v>AMG Pantheon</v>
      </c>
      <c r="AI412" t="str">
        <f>IFERROR(VLOOKUP($A412,fund_metadata!$A:$P,16,FALSE),"")</f>
        <v>secondaries</v>
      </c>
    </row>
    <row r="413" spans="1:35" x14ac:dyDescent="0.25">
      <c r="A413">
        <v>8</v>
      </c>
      <c r="B413" s="3">
        <v>44620</v>
      </c>
      <c r="C413" s="3"/>
      <c r="D413" s="3"/>
      <c r="E413" s="3"/>
      <c r="F413" s="3"/>
      <c r="G413" s="3"/>
      <c r="H413" s="3"/>
      <c r="K413" s="4"/>
      <c r="M413" s="5">
        <v>19.87</v>
      </c>
      <c r="N413" t="s">
        <v>89</v>
      </c>
      <c r="O413" s="5"/>
      <c r="Q413" s="2">
        <v>1.0200000000000001E-2</v>
      </c>
      <c r="R413" t="s">
        <v>89</v>
      </c>
      <c r="T413" s="4"/>
      <c r="AH413" t="str">
        <f>IFERROR(VLOOKUP($A413,fund_metadata!$A:$P,2,FALSE),"")</f>
        <v>AMG Pantheon</v>
      </c>
      <c r="AI413" t="str">
        <f>IFERROR(VLOOKUP($A413,fund_metadata!$A:$P,16,FALSE),"")</f>
        <v>secondaries</v>
      </c>
    </row>
    <row r="414" spans="1:35" x14ac:dyDescent="0.25">
      <c r="A414">
        <v>8</v>
      </c>
      <c r="B414" s="3">
        <v>44651</v>
      </c>
      <c r="C414" s="3"/>
      <c r="D414" s="3"/>
      <c r="E414" s="3"/>
      <c r="F414" s="3"/>
      <c r="G414" s="3"/>
      <c r="H414" s="3"/>
      <c r="K414" s="4">
        <v>910710000</v>
      </c>
      <c r="L414" t="s">
        <v>89</v>
      </c>
      <c r="M414" s="5">
        <v>20.46</v>
      </c>
      <c r="N414" t="s">
        <v>89</v>
      </c>
      <c r="O414" s="5"/>
      <c r="Q414" s="2">
        <v>2.9700000000000001E-2</v>
      </c>
      <c r="R414" t="s">
        <v>89</v>
      </c>
      <c r="S414">
        <v>1</v>
      </c>
      <c r="T414" s="4">
        <v>981250000</v>
      </c>
      <c r="U414" t="s">
        <v>89</v>
      </c>
      <c r="V414">
        <v>16220264</v>
      </c>
      <c r="W414" t="s">
        <v>121</v>
      </c>
      <c r="AH414" t="str">
        <f>IFERROR(VLOOKUP($A414,fund_metadata!$A:$P,2,FALSE),"")</f>
        <v>AMG Pantheon</v>
      </c>
      <c r="AI414" t="str">
        <f>IFERROR(VLOOKUP($A414,fund_metadata!$A:$P,16,FALSE),"")</f>
        <v>secondaries</v>
      </c>
    </row>
    <row r="415" spans="1:35" x14ac:dyDescent="0.25">
      <c r="A415">
        <v>8</v>
      </c>
      <c r="B415" s="3">
        <v>44681</v>
      </c>
      <c r="C415" s="3"/>
      <c r="D415" s="3"/>
      <c r="E415" s="3"/>
      <c r="F415" s="3"/>
      <c r="G415" s="3"/>
      <c r="H415" s="3"/>
      <c r="K415" s="4"/>
      <c r="M415" s="5">
        <v>20.53</v>
      </c>
      <c r="N415" t="s">
        <v>89</v>
      </c>
      <c r="O415" s="5"/>
      <c r="Q415" s="2">
        <v>3.3999999999999998E-3</v>
      </c>
      <c r="R415" t="s">
        <v>89</v>
      </c>
      <c r="T415" s="4"/>
      <c r="AH415" t="str">
        <f>IFERROR(VLOOKUP($A415,fund_metadata!$A:$P,2,FALSE),"")</f>
        <v>AMG Pantheon</v>
      </c>
      <c r="AI415" t="str">
        <f>IFERROR(VLOOKUP($A415,fund_metadata!$A:$P,16,FALSE),"")</f>
        <v>secondaries</v>
      </c>
    </row>
    <row r="416" spans="1:35" x14ac:dyDescent="0.25">
      <c r="A416">
        <v>8</v>
      </c>
      <c r="B416" s="3">
        <v>44712</v>
      </c>
      <c r="C416" s="3"/>
      <c r="D416" s="3"/>
      <c r="E416" s="3"/>
      <c r="F416" s="3"/>
      <c r="G416" s="3"/>
      <c r="H416" s="3"/>
      <c r="K416" s="4"/>
      <c r="M416" s="5">
        <v>20.83</v>
      </c>
      <c r="N416" t="s">
        <v>89</v>
      </c>
      <c r="O416" s="5"/>
      <c r="Q416" s="2">
        <v>1.46E-2</v>
      </c>
      <c r="R416" t="s">
        <v>89</v>
      </c>
      <c r="T416" s="4"/>
      <c r="AH416" t="str">
        <f>IFERROR(VLOOKUP($A416,fund_metadata!$A:$P,2,FALSE),"")</f>
        <v>AMG Pantheon</v>
      </c>
      <c r="AI416" t="str">
        <f>IFERROR(VLOOKUP($A416,fund_metadata!$A:$P,16,FALSE),"")</f>
        <v>secondaries</v>
      </c>
    </row>
    <row r="417" spans="1:35" x14ac:dyDescent="0.25">
      <c r="A417">
        <v>8</v>
      </c>
      <c r="B417" s="3">
        <v>44742</v>
      </c>
      <c r="C417" s="3"/>
      <c r="D417" s="3"/>
      <c r="E417" s="3"/>
      <c r="F417" s="3"/>
      <c r="G417" s="3"/>
      <c r="H417" s="3"/>
      <c r="K417" s="4"/>
      <c r="M417" s="5">
        <v>20.51</v>
      </c>
      <c r="N417" t="s">
        <v>89</v>
      </c>
      <c r="O417" s="5"/>
      <c r="Q417" s="2">
        <v>-1.54E-2</v>
      </c>
      <c r="R417" t="s">
        <v>89</v>
      </c>
      <c r="S417">
        <v>1</v>
      </c>
      <c r="T417" s="4"/>
      <c r="AH417" t="str">
        <f>IFERROR(VLOOKUP($A417,fund_metadata!$A:$P,2,FALSE),"")</f>
        <v>AMG Pantheon</v>
      </c>
      <c r="AI417" t="str">
        <f>IFERROR(VLOOKUP($A417,fund_metadata!$A:$P,16,FALSE),"")</f>
        <v>secondaries</v>
      </c>
    </row>
    <row r="418" spans="1:35" x14ac:dyDescent="0.25">
      <c r="A418">
        <v>8</v>
      </c>
      <c r="B418" s="3">
        <v>44773</v>
      </c>
      <c r="C418" s="3"/>
      <c r="D418" s="3"/>
      <c r="E418" s="3"/>
      <c r="F418" s="3"/>
      <c r="G418" s="3"/>
      <c r="H418" s="3"/>
      <c r="K418" s="4"/>
      <c r="M418" s="5">
        <v>20.68</v>
      </c>
      <c r="N418" t="s">
        <v>89</v>
      </c>
      <c r="O418" s="5"/>
      <c r="Q418" s="2">
        <v>8.3000000000000001E-3</v>
      </c>
      <c r="R418" t="s">
        <v>89</v>
      </c>
      <c r="T418" s="4"/>
      <c r="AH418" t="str">
        <f>IFERROR(VLOOKUP($A418,fund_metadata!$A:$P,2,FALSE),"")</f>
        <v>AMG Pantheon</v>
      </c>
      <c r="AI418" t="str">
        <f>IFERROR(VLOOKUP($A418,fund_metadata!$A:$P,16,FALSE),"")</f>
        <v>secondaries</v>
      </c>
    </row>
    <row r="419" spans="1:35" x14ac:dyDescent="0.25">
      <c r="A419">
        <v>8</v>
      </c>
      <c r="B419" s="3">
        <v>44804</v>
      </c>
      <c r="C419" s="3"/>
      <c r="D419" s="3"/>
      <c r="E419" s="3"/>
      <c r="F419" s="3"/>
      <c r="G419" s="3"/>
      <c r="H419" s="3"/>
      <c r="K419" s="4"/>
      <c r="M419" s="5">
        <v>20.95</v>
      </c>
      <c r="N419" t="s">
        <v>89</v>
      </c>
      <c r="O419" s="5"/>
      <c r="Q419" s="2">
        <v>1.3100000000000001E-2</v>
      </c>
      <c r="R419" t="s">
        <v>89</v>
      </c>
      <c r="T419" s="4"/>
      <c r="AH419" t="str">
        <f>IFERROR(VLOOKUP($A419,fund_metadata!$A:$P,2,FALSE),"")</f>
        <v>AMG Pantheon</v>
      </c>
      <c r="AI419" t="str">
        <f>IFERROR(VLOOKUP($A419,fund_metadata!$A:$P,16,FALSE),"")</f>
        <v>secondaries</v>
      </c>
    </row>
    <row r="420" spans="1:35" x14ac:dyDescent="0.25">
      <c r="A420">
        <v>8</v>
      </c>
      <c r="B420" s="3">
        <v>44834</v>
      </c>
      <c r="C420" s="3"/>
      <c r="D420" s="3"/>
      <c r="E420" s="3"/>
      <c r="F420" s="3"/>
      <c r="G420" s="3"/>
      <c r="H420" s="3"/>
      <c r="K420" s="4">
        <v>1200000000</v>
      </c>
      <c r="L420" t="s">
        <v>89</v>
      </c>
      <c r="M420" s="5">
        <v>20.79</v>
      </c>
      <c r="N420" t="s">
        <v>89</v>
      </c>
      <c r="O420" s="5"/>
      <c r="Q420" s="2">
        <v>-7.6E-3</v>
      </c>
      <c r="R420" t="s">
        <v>89</v>
      </c>
      <c r="S420">
        <v>1</v>
      </c>
      <c r="T420" s="4">
        <v>1240000000</v>
      </c>
      <c r="U420" t="s">
        <v>89</v>
      </c>
      <c r="V420">
        <v>18376168</v>
      </c>
      <c r="W420" t="s">
        <v>120</v>
      </c>
      <c r="AH420" t="str">
        <f>IFERROR(VLOOKUP($A420,fund_metadata!$A:$P,2,FALSE),"")</f>
        <v>AMG Pantheon</v>
      </c>
      <c r="AI420" t="str">
        <f>IFERROR(VLOOKUP($A420,fund_metadata!$A:$P,16,FALSE),"")</f>
        <v>secondaries</v>
      </c>
    </row>
    <row r="421" spans="1:35" x14ac:dyDescent="0.25">
      <c r="A421">
        <v>8</v>
      </c>
      <c r="B421" s="3">
        <v>44865</v>
      </c>
      <c r="C421" s="3"/>
      <c r="D421" s="3"/>
      <c r="E421" s="3"/>
      <c r="F421" s="3"/>
      <c r="G421" s="3"/>
      <c r="H421" s="3"/>
      <c r="K421" s="4"/>
      <c r="M421" s="5">
        <v>20.64</v>
      </c>
      <c r="N421" t="s">
        <v>89</v>
      </c>
      <c r="O421" s="5"/>
      <c r="Q421" s="2">
        <v>-7.1999999999999998E-3</v>
      </c>
      <c r="R421" t="s">
        <v>89</v>
      </c>
      <c r="T421" s="4"/>
      <c r="AH421" t="str">
        <f>IFERROR(VLOOKUP($A421,fund_metadata!$A:$P,2,FALSE),"")</f>
        <v>AMG Pantheon</v>
      </c>
      <c r="AI421" t="str">
        <f>IFERROR(VLOOKUP($A421,fund_metadata!$A:$P,16,FALSE),"")</f>
        <v>secondaries</v>
      </c>
    </row>
    <row r="422" spans="1:35" x14ac:dyDescent="0.25">
      <c r="A422">
        <v>8</v>
      </c>
      <c r="B422" s="3">
        <v>44895</v>
      </c>
      <c r="C422" s="3"/>
      <c r="D422" s="3"/>
      <c r="E422" s="3"/>
      <c r="F422" s="3"/>
      <c r="G422" s="3"/>
      <c r="H422" s="3"/>
      <c r="K422" s="4"/>
      <c r="M422" s="5">
        <v>21.14</v>
      </c>
      <c r="N422" t="s">
        <v>89</v>
      </c>
      <c r="O422" s="5"/>
      <c r="Q422" s="2">
        <v>2.4199999999999999E-2</v>
      </c>
      <c r="R422" t="s">
        <v>89</v>
      </c>
      <c r="T422" s="4"/>
      <c r="AH422" t="str">
        <f>IFERROR(VLOOKUP($A422,fund_metadata!$A:$P,2,FALSE),"")</f>
        <v>AMG Pantheon</v>
      </c>
      <c r="AI422" t="str">
        <f>IFERROR(VLOOKUP($A422,fund_metadata!$A:$P,16,FALSE),"")</f>
        <v>secondaries</v>
      </c>
    </row>
    <row r="423" spans="1:35" x14ac:dyDescent="0.25">
      <c r="A423">
        <v>8</v>
      </c>
      <c r="B423" s="3">
        <v>44926</v>
      </c>
      <c r="C423" s="3"/>
      <c r="D423" s="3"/>
      <c r="E423" s="3"/>
      <c r="F423" s="3"/>
      <c r="G423" s="3"/>
      <c r="H423" s="3"/>
      <c r="K423" s="4"/>
      <c r="M423" s="5">
        <v>20.91</v>
      </c>
      <c r="N423" t="s">
        <v>89</v>
      </c>
      <c r="O423" s="5"/>
      <c r="Q423" s="2">
        <v>8.3000000000000001E-3</v>
      </c>
      <c r="R423" t="s">
        <v>89</v>
      </c>
      <c r="S423">
        <v>1</v>
      </c>
      <c r="T423" s="4"/>
      <c r="AH423" t="str">
        <f>IFERROR(VLOOKUP($A423,fund_metadata!$A:$P,2,FALSE),"")</f>
        <v>AMG Pantheon</v>
      </c>
      <c r="AI423" t="str">
        <f>IFERROR(VLOOKUP($A423,fund_metadata!$A:$P,16,FALSE),"")</f>
        <v>secondaries</v>
      </c>
    </row>
    <row r="424" spans="1:35" x14ac:dyDescent="0.25">
      <c r="A424">
        <v>8</v>
      </c>
      <c r="B424" s="3">
        <v>44957</v>
      </c>
      <c r="C424" s="3"/>
      <c r="D424" s="3"/>
      <c r="E424" s="3"/>
      <c r="F424" s="3"/>
      <c r="G424" s="3"/>
      <c r="H424" s="3"/>
      <c r="K424" s="4"/>
      <c r="M424" s="5">
        <v>21.43</v>
      </c>
      <c r="N424" t="s">
        <v>89</v>
      </c>
      <c r="O424" s="5"/>
      <c r="Q424" s="2">
        <v>2.4899999999999999E-2</v>
      </c>
      <c r="R424" t="s">
        <v>89</v>
      </c>
      <c r="T424" s="4"/>
      <c r="AH424" t="str">
        <f>IFERROR(VLOOKUP($A424,fund_metadata!$A:$P,2,FALSE),"")</f>
        <v>AMG Pantheon</v>
      </c>
      <c r="AI424" t="str">
        <f>IFERROR(VLOOKUP($A424,fund_metadata!$A:$P,16,FALSE),"")</f>
        <v>secondaries</v>
      </c>
    </row>
    <row r="425" spans="1:35" x14ac:dyDescent="0.25">
      <c r="A425">
        <v>8</v>
      </c>
      <c r="B425" s="3">
        <v>44985</v>
      </c>
      <c r="C425" s="3"/>
      <c r="D425" s="3"/>
      <c r="E425" s="3"/>
      <c r="F425" s="3"/>
      <c r="G425" s="3"/>
      <c r="H425" s="3"/>
      <c r="K425" s="4"/>
      <c r="M425" s="5">
        <v>21.2</v>
      </c>
      <c r="N425" t="s">
        <v>89</v>
      </c>
      <c r="O425" s="5"/>
      <c r="Q425" s="2">
        <v>-1.0699999999999999E-2</v>
      </c>
      <c r="R425" t="s">
        <v>89</v>
      </c>
      <c r="T425" s="4"/>
      <c r="AH425" t="str">
        <f>IFERROR(VLOOKUP($A425,fund_metadata!$A:$P,2,FALSE),"")</f>
        <v>AMG Pantheon</v>
      </c>
      <c r="AI425" t="str">
        <f>IFERROR(VLOOKUP($A425,fund_metadata!$A:$P,16,FALSE),"")</f>
        <v>secondaries</v>
      </c>
    </row>
    <row r="426" spans="1:35" x14ac:dyDescent="0.25">
      <c r="A426">
        <v>8</v>
      </c>
      <c r="B426" s="3">
        <v>45016</v>
      </c>
      <c r="C426" s="3"/>
      <c r="D426" s="3"/>
      <c r="E426" s="3"/>
      <c r="F426" s="3"/>
      <c r="G426" s="3"/>
      <c r="H426" s="3"/>
      <c r="K426" s="4">
        <v>1710000000</v>
      </c>
      <c r="L426" t="s">
        <v>89</v>
      </c>
      <c r="M426" s="5">
        <v>21.72</v>
      </c>
      <c r="N426" t="s">
        <v>89</v>
      </c>
      <c r="O426" s="5"/>
      <c r="Q426" s="2">
        <v>2.4500000000000001E-2</v>
      </c>
      <c r="R426" t="s">
        <v>89</v>
      </c>
      <c r="S426">
        <v>1</v>
      </c>
      <c r="T426" s="4">
        <v>1820000000</v>
      </c>
      <c r="U426" t="s">
        <v>89</v>
      </c>
      <c r="V426">
        <v>20017479</v>
      </c>
      <c r="W426" t="s">
        <v>121</v>
      </c>
      <c r="AH426" t="str">
        <f>IFERROR(VLOOKUP($A426,fund_metadata!$A:$P,2,FALSE),"")</f>
        <v>AMG Pantheon</v>
      </c>
      <c r="AI426" t="str">
        <f>IFERROR(VLOOKUP($A426,fund_metadata!$A:$P,16,FALSE),"")</f>
        <v>secondaries</v>
      </c>
    </row>
    <row r="427" spans="1:35" x14ac:dyDescent="0.25">
      <c r="A427">
        <v>8</v>
      </c>
      <c r="B427" s="3">
        <v>45046</v>
      </c>
      <c r="C427" s="3"/>
      <c r="D427" s="3"/>
      <c r="E427" s="3"/>
      <c r="F427" s="3"/>
      <c r="G427" s="3"/>
      <c r="H427" s="3"/>
      <c r="K427" s="4"/>
      <c r="M427" s="5">
        <v>21.6</v>
      </c>
      <c r="N427" t="s">
        <v>89</v>
      </c>
      <c r="O427" s="5"/>
      <c r="Q427" s="2">
        <v>-5.4999999999999997E-3</v>
      </c>
      <c r="R427" t="s">
        <v>89</v>
      </c>
      <c r="T427" s="4"/>
      <c r="AH427" t="str">
        <f>IFERROR(VLOOKUP($A427,fund_metadata!$A:$P,2,FALSE),"")</f>
        <v>AMG Pantheon</v>
      </c>
      <c r="AI427" t="str">
        <f>IFERROR(VLOOKUP($A427,fund_metadata!$A:$P,16,FALSE),"")</f>
        <v>secondaries</v>
      </c>
    </row>
    <row r="428" spans="1:35" x14ac:dyDescent="0.25">
      <c r="A428">
        <v>8</v>
      </c>
      <c r="B428" s="3">
        <v>45077</v>
      </c>
      <c r="C428" s="3"/>
      <c r="D428" s="3"/>
      <c r="E428" s="3"/>
      <c r="F428" s="3"/>
      <c r="G428" s="3"/>
      <c r="H428" s="3"/>
      <c r="K428" s="4"/>
      <c r="M428" s="5">
        <v>22.24</v>
      </c>
      <c r="N428" t="s">
        <v>89</v>
      </c>
      <c r="O428" s="5"/>
      <c r="Q428" s="2">
        <v>2.9600000000000001E-2</v>
      </c>
      <c r="R428" t="s">
        <v>89</v>
      </c>
      <c r="T428" s="4"/>
      <c r="AH428" t="str">
        <f>IFERROR(VLOOKUP($A428,fund_metadata!$A:$P,2,FALSE),"")</f>
        <v>AMG Pantheon</v>
      </c>
      <c r="AI428" t="str">
        <f>IFERROR(VLOOKUP($A428,fund_metadata!$A:$P,16,FALSE),"")</f>
        <v>secondaries</v>
      </c>
    </row>
    <row r="429" spans="1:35" x14ac:dyDescent="0.25">
      <c r="A429">
        <v>8</v>
      </c>
      <c r="B429" s="3">
        <v>45107</v>
      </c>
      <c r="C429" s="3"/>
      <c r="D429" s="3"/>
      <c r="E429" s="3"/>
      <c r="F429" s="3"/>
      <c r="G429" s="3"/>
      <c r="H429" s="3"/>
      <c r="K429" s="4"/>
      <c r="M429" s="5">
        <v>22.48</v>
      </c>
      <c r="N429" t="s">
        <v>89</v>
      </c>
      <c r="O429" s="5"/>
      <c r="Q429" s="2">
        <v>1.0800000000000001E-2</v>
      </c>
      <c r="R429" t="s">
        <v>89</v>
      </c>
      <c r="S429">
        <v>1</v>
      </c>
      <c r="T429" s="4"/>
      <c r="AH429" t="str">
        <f>IFERROR(VLOOKUP($A429,fund_metadata!$A:$P,2,FALSE),"")</f>
        <v>AMG Pantheon</v>
      </c>
      <c r="AI429" t="str">
        <f>IFERROR(VLOOKUP($A429,fund_metadata!$A:$P,16,FALSE),"")</f>
        <v>secondaries</v>
      </c>
    </row>
    <row r="430" spans="1:35" x14ac:dyDescent="0.25">
      <c r="A430">
        <v>8</v>
      </c>
      <c r="B430" s="3">
        <v>45138</v>
      </c>
      <c r="C430" s="3"/>
      <c r="D430" s="3"/>
      <c r="E430" s="3"/>
      <c r="F430" s="3"/>
      <c r="G430" s="3"/>
      <c r="H430" s="3"/>
      <c r="K430" s="4"/>
      <c r="M430" s="5">
        <v>22.79</v>
      </c>
      <c r="N430" t="s">
        <v>89</v>
      </c>
      <c r="O430" s="5"/>
      <c r="Q430" s="2">
        <v>1.38E-2</v>
      </c>
      <c r="R430" t="s">
        <v>89</v>
      </c>
      <c r="T430" s="4"/>
      <c r="AH430" t="str">
        <f>IFERROR(VLOOKUP($A430,fund_metadata!$A:$P,2,FALSE),"")</f>
        <v>AMG Pantheon</v>
      </c>
      <c r="AI430" t="str">
        <f>IFERROR(VLOOKUP($A430,fund_metadata!$A:$P,16,FALSE),"")</f>
        <v>secondaries</v>
      </c>
    </row>
    <row r="431" spans="1:35" x14ac:dyDescent="0.25">
      <c r="A431">
        <v>8</v>
      </c>
      <c r="B431" s="3">
        <v>45169</v>
      </c>
      <c r="C431" s="3"/>
      <c r="D431" s="3"/>
      <c r="E431" s="3"/>
      <c r="F431" s="3"/>
      <c r="G431" s="3"/>
      <c r="H431" s="3"/>
      <c r="K431" s="4"/>
      <c r="M431" s="5">
        <v>22.93</v>
      </c>
      <c r="N431" t="s">
        <v>89</v>
      </c>
      <c r="O431" s="5"/>
      <c r="Q431" s="2">
        <v>6.1000000000000004E-3</v>
      </c>
      <c r="R431" t="s">
        <v>89</v>
      </c>
      <c r="T431" s="4"/>
      <c r="AH431" t="str">
        <f>IFERROR(VLOOKUP($A431,fund_metadata!$A:$P,2,FALSE),"")</f>
        <v>AMG Pantheon</v>
      </c>
      <c r="AI431" t="str">
        <f>IFERROR(VLOOKUP($A431,fund_metadata!$A:$P,16,FALSE),"")</f>
        <v>secondaries</v>
      </c>
    </row>
    <row r="432" spans="1:35" x14ac:dyDescent="0.25">
      <c r="A432">
        <v>8</v>
      </c>
      <c r="B432" s="3">
        <v>45199</v>
      </c>
      <c r="C432" s="3"/>
      <c r="D432" s="3"/>
      <c r="E432" s="3"/>
      <c r="F432" s="3"/>
      <c r="G432" s="3"/>
      <c r="H432" s="3"/>
      <c r="K432" s="4">
        <v>2280000000</v>
      </c>
      <c r="L432" t="s">
        <v>89</v>
      </c>
      <c r="M432" s="5">
        <v>23.12</v>
      </c>
      <c r="N432" t="s">
        <v>89</v>
      </c>
      <c r="O432" s="5"/>
      <c r="Q432" s="2">
        <v>8.3000000000000001E-3</v>
      </c>
      <c r="R432" t="s">
        <v>89</v>
      </c>
      <c r="S432">
        <v>1</v>
      </c>
      <c r="T432" s="4">
        <v>2420000000</v>
      </c>
      <c r="U432" t="s">
        <v>89</v>
      </c>
      <c r="V432">
        <v>23441677</v>
      </c>
      <c r="W432" t="s">
        <v>120</v>
      </c>
      <c r="AH432" t="str">
        <f>IFERROR(VLOOKUP($A432,fund_metadata!$A:$P,2,FALSE),"")</f>
        <v>AMG Pantheon</v>
      </c>
      <c r="AI432" t="str">
        <f>IFERROR(VLOOKUP($A432,fund_metadata!$A:$P,16,FALSE),"")</f>
        <v>secondaries</v>
      </c>
    </row>
    <row r="433" spans="1:35" x14ac:dyDescent="0.25">
      <c r="A433">
        <v>8</v>
      </c>
      <c r="B433" s="3">
        <v>45230</v>
      </c>
      <c r="C433" s="3"/>
      <c r="D433" s="3"/>
      <c r="E433" s="3"/>
      <c r="F433" s="3"/>
      <c r="G433" s="3"/>
      <c r="H433" s="3"/>
      <c r="K433" s="4"/>
      <c r="M433" s="5">
        <v>22.83</v>
      </c>
      <c r="N433" t="s">
        <v>89</v>
      </c>
      <c r="O433" s="5"/>
      <c r="Q433" s="2">
        <v>-1.2500000000000001E-2</v>
      </c>
      <c r="R433" t="s">
        <v>89</v>
      </c>
      <c r="T433" s="4"/>
      <c r="AH433" t="str">
        <f>IFERROR(VLOOKUP($A433,fund_metadata!$A:$P,2,FALSE),"")</f>
        <v>AMG Pantheon</v>
      </c>
      <c r="AI433" t="str">
        <f>IFERROR(VLOOKUP($A433,fund_metadata!$A:$P,16,FALSE),"")</f>
        <v>secondaries</v>
      </c>
    </row>
    <row r="434" spans="1:35" x14ac:dyDescent="0.25">
      <c r="A434">
        <v>8</v>
      </c>
      <c r="B434" s="3">
        <v>45260</v>
      </c>
      <c r="C434" s="3"/>
      <c r="D434" s="3"/>
      <c r="E434" s="3"/>
      <c r="F434" s="3"/>
      <c r="G434" s="3"/>
      <c r="H434" s="3"/>
      <c r="K434" s="4"/>
      <c r="M434" s="5">
        <v>23.59</v>
      </c>
      <c r="N434" t="s">
        <v>89</v>
      </c>
      <c r="O434" s="5"/>
      <c r="Q434" s="2">
        <v>3.3300000000000003E-2</v>
      </c>
      <c r="R434" t="s">
        <v>89</v>
      </c>
      <c r="T434" s="4"/>
      <c r="AH434" t="str">
        <f>IFERROR(VLOOKUP($A434,fund_metadata!$A:$P,2,FALSE),"")</f>
        <v>AMG Pantheon</v>
      </c>
      <c r="AI434" t="str">
        <f>IFERROR(VLOOKUP($A434,fund_metadata!$A:$P,16,FALSE),"")</f>
        <v>secondaries</v>
      </c>
    </row>
    <row r="435" spans="1:35" x14ac:dyDescent="0.25">
      <c r="A435">
        <v>8</v>
      </c>
      <c r="B435" s="3">
        <v>45291</v>
      </c>
      <c r="C435" s="3"/>
      <c r="D435" s="3"/>
      <c r="E435" s="3"/>
      <c r="F435" s="3"/>
      <c r="G435" s="3"/>
      <c r="H435" s="3"/>
      <c r="K435" s="4"/>
      <c r="M435" s="5">
        <v>23.82</v>
      </c>
      <c r="N435" t="s">
        <v>89</v>
      </c>
      <c r="O435" s="5"/>
      <c r="Q435" s="2">
        <v>1.6799999999999999E-2</v>
      </c>
      <c r="R435" t="s">
        <v>89</v>
      </c>
      <c r="S435">
        <v>1</v>
      </c>
      <c r="T435" s="4"/>
      <c r="AH435" t="str">
        <f>IFERROR(VLOOKUP($A435,fund_metadata!$A:$P,2,FALSE),"")</f>
        <v>AMG Pantheon</v>
      </c>
      <c r="AI435" t="str">
        <f>IFERROR(VLOOKUP($A435,fund_metadata!$A:$P,16,FALSE),"")</f>
        <v>secondaries</v>
      </c>
    </row>
    <row r="436" spans="1:35" x14ac:dyDescent="0.25">
      <c r="A436">
        <v>8</v>
      </c>
      <c r="B436" s="3">
        <v>45322</v>
      </c>
      <c r="C436" s="3"/>
      <c r="D436" s="3"/>
      <c r="E436" s="3"/>
      <c r="F436" s="3"/>
      <c r="G436" s="3"/>
      <c r="H436" s="3"/>
      <c r="K436" s="4"/>
      <c r="M436" s="5">
        <v>23.76</v>
      </c>
      <c r="N436" t="s">
        <v>89</v>
      </c>
      <c r="O436" s="5"/>
      <c r="Q436" s="2">
        <v>-2.5000000000000001E-3</v>
      </c>
      <c r="R436" t="s">
        <v>89</v>
      </c>
      <c r="T436" s="4"/>
      <c r="AH436" t="str">
        <f>IFERROR(VLOOKUP($A436,fund_metadata!$A:$P,2,FALSE),"")</f>
        <v>AMG Pantheon</v>
      </c>
      <c r="AI436" t="str">
        <f>IFERROR(VLOOKUP($A436,fund_metadata!$A:$P,16,FALSE),"")</f>
        <v>secondaries</v>
      </c>
    </row>
    <row r="437" spans="1:35" x14ac:dyDescent="0.25">
      <c r="A437">
        <v>8</v>
      </c>
      <c r="B437" s="3">
        <v>45351</v>
      </c>
      <c r="C437" s="3"/>
      <c r="D437" s="3"/>
      <c r="E437" s="3"/>
      <c r="F437" s="3"/>
      <c r="G437" s="3"/>
      <c r="H437" s="3"/>
      <c r="K437" s="4"/>
      <c r="M437" s="5">
        <v>24.13</v>
      </c>
      <c r="N437" t="s">
        <v>89</v>
      </c>
      <c r="O437" s="5"/>
      <c r="Q437" s="2">
        <v>1.5599999999999999E-2</v>
      </c>
      <c r="R437" t="s">
        <v>89</v>
      </c>
      <c r="T437" s="4"/>
      <c r="AH437" t="str">
        <f>IFERROR(VLOOKUP($A437,fund_metadata!$A:$P,2,FALSE),"")</f>
        <v>AMG Pantheon</v>
      </c>
      <c r="AI437" t="str">
        <f>IFERROR(VLOOKUP($A437,fund_metadata!$A:$P,16,FALSE),"")</f>
        <v>secondaries</v>
      </c>
    </row>
    <row r="438" spans="1:35" x14ac:dyDescent="0.25">
      <c r="A438">
        <v>8</v>
      </c>
      <c r="B438" s="3">
        <v>45382</v>
      </c>
      <c r="C438" s="3"/>
      <c r="D438" s="3"/>
      <c r="E438" s="3"/>
      <c r="F438" s="3"/>
      <c r="G438" s="3"/>
      <c r="H438" s="3"/>
      <c r="K438" s="4">
        <v>3050000000</v>
      </c>
      <c r="L438" t="s">
        <v>89</v>
      </c>
      <c r="M438" s="5">
        <v>24.11</v>
      </c>
      <c r="N438" t="s">
        <v>89</v>
      </c>
      <c r="O438" s="5"/>
      <c r="Q438" s="2">
        <v>-8.0000000000000004E-4</v>
      </c>
      <c r="R438" t="s">
        <v>89</v>
      </c>
      <c r="S438">
        <v>1</v>
      </c>
      <c r="T438" s="4">
        <v>3280000000</v>
      </c>
      <c r="U438" t="s">
        <v>89</v>
      </c>
      <c r="V438">
        <v>27632376</v>
      </c>
      <c r="W438" t="s">
        <v>121</v>
      </c>
      <c r="AH438" t="str">
        <f>IFERROR(VLOOKUP($A438,fund_metadata!$A:$P,2,FALSE),"")</f>
        <v>AMG Pantheon</v>
      </c>
      <c r="AI438" t="str">
        <f>IFERROR(VLOOKUP($A438,fund_metadata!$A:$P,16,FALSE),"")</f>
        <v>secondaries</v>
      </c>
    </row>
    <row r="439" spans="1:35" x14ac:dyDescent="0.25">
      <c r="A439">
        <v>8</v>
      </c>
      <c r="B439" s="3">
        <v>45412</v>
      </c>
      <c r="C439" s="3"/>
      <c r="D439" s="3"/>
      <c r="E439" s="3"/>
      <c r="F439" s="3"/>
      <c r="G439" s="3"/>
      <c r="H439" s="3"/>
      <c r="K439" s="4"/>
      <c r="M439" s="5">
        <v>23.95</v>
      </c>
      <c r="N439" t="s">
        <v>89</v>
      </c>
      <c r="O439" s="5"/>
      <c r="Q439" s="2">
        <v>-6.6E-3</v>
      </c>
      <c r="R439" t="s">
        <v>89</v>
      </c>
      <c r="T439" s="4"/>
      <c r="AH439" t="str">
        <f>IFERROR(VLOOKUP($A439,fund_metadata!$A:$P,2,FALSE),"")</f>
        <v>AMG Pantheon</v>
      </c>
      <c r="AI439" t="str">
        <f>IFERROR(VLOOKUP($A439,fund_metadata!$A:$P,16,FALSE),"")</f>
        <v>secondaries</v>
      </c>
    </row>
    <row r="440" spans="1:35" x14ac:dyDescent="0.25">
      <c r="A440">
        <v>8</v>
      </c>
      <c r="B440" s="3">
        <v>45443</v>
      </c>
      <c r="C440" s="3"/>
      <c r="D440" s="3"/>
      <c r="E440" s="3"/>
      <c r="F440" s="3"/>
      <c r="G440" s="3"/>
      <c r="H440" s="3"/>
      <c r="K440" s="4"/>
      <c r="M440" s="5">
        <v>24.48</v>
      </c>
      <c r="N440" t="s">
        <v>89</v>
      </c>
      <c r="O440" s="5"/>
      <c r="Q440" s="2">
        <v>2.2100000000000002E-2</v>
      </c>
      <c r="R440" t="s">
        <v>89</v>
      </c>
      <c r="T440" s="4"/>
      <c r="AH440" t="str">
        <f>IFERROR(VLOOKUP($A440,fund_metadata!$A:$P,2,FALSE),"")</f>
        <v>AMG Pantheon</v>
      </c>
      <c r="AI440" t="str">
        <f>IFERROR(VLOOKUP($A440,fund_metadata!$A:$P,16,FALSE),"")</f>
        <v>secondaries</v>
      </c>
    </row>
    <row r="441" spans="1:35" x14ac:dyDescent="0.25">
      <c r="A441">
        <v>8</v>
      </c>
      <c r="B441" s="3">
        <v>45473</v>
      </c>
      <c r="C441" s="3"/>
      <c r="D441" s="3"/>
      <c r="E441" s="3"/>
      <c r="F441" s="3"/>
      <c r="G441" s="3"/>
      <c r="H441" s="3"/>
      <c r="K441" s="4"/>
      <c r="M441" s="5">
        <v>24.9</v>
      </c>
      <c r="N441" t="s">
        <v>89</v>
      </c>
      <c r="O441" s="5"/>
      <c r="Q441" s="2">
        <v>1.72E-2</v>
      </c>
      <c r="R441" t="s">
        <v>89</v>
      </c>
      <c r="S441">
        <v>1</v>
      </c>
      <c r="T441" s="4"/>
      <c r="AH441" t="str">
        <f>IFERROR(VLOOKUP($A441,fund_metadata!$A:$P,2,FALSE),"")</f>
        <v>AMG Pantheon</v>
      </c>
      <c r="AI441" t="str">
        <f>IFERROR(VLOOKUP($A441,fund_metadata!$A:$P,16,FALSE),"")</f>
        <v>secondaries</v>
      </c>
    </row>
    <row r="442" spans="1:35" x14ac:dyDescent="0.25">
      <c r="A442">
        <v>8</v>
      </c>
      <c r="B442" s="3">
        <v>45504</v>
      </c>
      <c r="C442" s="3"/>
      <c r="D442" s="3"/>
      <c r="E442" s="3"/>
      <c r="F442" s="3"/>
      <c r="G442" s="3"/>
      <c r="H442" s="3"/>
      <c r="K442" s="4"/>
      <c r="M442" s="5">
        <v>25.67</v>
      </c>
      <c r="N442" t="s">
        <v>89</v>
      </c>
      <c r="O442" s="5"/>
      <c r="Q442" s="2">
        <v>3.09E-2</v>
      </c>
      <c r="R442" t="s">
        <v>89</v>
      </c>
      <c r="T442" s="4"/>
      <c r="AH442" t="str">
        <f>IFERROR(VLOOKUP($A442,fund_metadata!$A:$P,2,FALSE),"")</f>
        <v>AMG Pantheon</v>
      </c>
      <c r="AI442" t="str">
        <f>IFERROR(VLOOKUP($A442,fund_metadata!$A:$P,16,FALSE),"")</f>
        <v>secondaries</v>
      </c>
    </row>
    <row r="443" spans="1:35" x14ac:dyDescent="0.25">
      <c r="A443">
        <v>8</v>
      </c>
      <c r="B443" s="3">
        <v>45535</v>
      </c>
      <c r="C443" s="3"/>
      <c r="D443" s="3"/>
      <c r="E443" s="3"/>
      <c r="F443" s="3"/>
      <c r="G443" s="3"/>
      <c r="H443" s="3"/>
      <c r="K443" s="4"/>
      <c r="M443" s="5">
        <v>25.75</v>
      </c>
      <c r="N443" t="s">
        <v>89</v>
      </c>
      <c r="O443" s="5"/>
      <c r="Q443" s="2">
        <v>3.0999999999999999E-3</v>
      </c>
      <c r="R443" t="s">
        <v>89</v>
      </c>
      <c r="T443" s="4"/>
      <c r="AH443" t="str">
        <f>IFERROR(VLOOKUP($A443,fund_metadata!$A:$P,2,FALSE),"")</f>
        <v>AMG Pantheon</v>
      </c>
      <c r="AI443" t="str">
        <f>IFERROR(VLOOKUP($A443,fund_metadata!$A:$P,16,FALSE),"")</f>
        <v>secondaries</v>
      </c>
    </row>
    <row r="444" spans="1:35" x14ac:dyDescent="0.25">
      <c r="A444">
        <v>8</v>
      </c>
      <c r="B444" s="3">
        <v>45565</v>
      </c>
      <c r="C444" s="3"/>
      <c r="D444" s="3"/>
      <c r="E444" s="3"/>
      <c r="F444" s="3"/>
      <c r="G444" s="3"/>
      <c r="H444" s="3"/>
      <c r="K444" s="4">
        <v>4140000000</v>
      </c>
      <c r="L444" t="s">
        <v>89</v>
      </c>
      <c r="M444" s="5">
        <v>26.97</v>
      </c>
      <c r="N444" t="s">
        <v>89</v>
      </c>
      <c r="O444" s="5"/>
      <c r="Q444" s="2">
        <v>4.7399999999999998E-2</v>
      </c>
      <c r="R444" t="s">
        <v>89</v>
      </c>
      <c r="S444">
        <v>1</v>
      </c>
      <c r="T444" s="4">
        <v>4340000000</v>
      </c>
      <c r="U444" t="s">
        <v>89</v>
      </c>
      <c r="V444">
        <v>33303668</v>
      </c>
      <c r="W444" t="s">
        <v>120</v>
      </c>
      <c r="AH444" t="str">
        <f>IFERROR(VLOOKUP($A444,fund_metadata!$A:$P,2,FALSE),"")</f>
        <v>AMG Pantheon</v>
      </c>
      <c r="AI444" t="str">
        <f>IFERROR(VLOOKUP($A444,fund_metadata!$A:$P,16,FALSE),"")</f>
        <v>secondaries</v>
      </c>
    </row>
    <row r="445" spans="1:35" x14ac:dyDescent="0.25">
      <c r="A445">
        <v>8</v>
      </c>
      <c r="B445" s="3">
        <v>45596</v>
      </c>
      <c r="C445" s="3"/>
      <c r="D445" s="3"/>
      <c r="E445" s="3"/>
      <c r="F445" s="3"/>
      <c r="G445" s="3"/>
      <c r="H445" s="3"/>
      <c r="K445" s="4"/>
      <c r="M445" s="5">
        <v>26.89</v>
      </c>
      <c r="N445" t="s">
        <v>89</v>
      </c>
      <c r="O445" s="5"/>
      <c r="Q445" s="2">
        <v>-3.0000000000000001E-3</v>
      </c>
      <c r="R445" t="s">
        <v>89</v>
      </c>
      <c r="T445" s="4"/>
      <c r="AH445" t="str">
        <f>IFERROR(VLOOKUP($A445,fund_metadata!$A:$P,2,FALSE),"")</f>
        <v>AMG Pantheon</v>
      </c>
      <c r="AI445" t="str">
        <f>IFERROR(VLOOKUP($A445,fund_metadata!$A:$P,16,FALSE),"")</f>
        <v>secondaries</v>
      </c>
    </row>
    <row r="446" spans="1:35" x14ac:dyDescent="0.25">
      <c r="A446">
        <v>8</v>
      </c>
      <c r="B446" s="3">
        <v>45626</v>
      </c>
      <c r="C446" s="3"/>
      <c r="D446" s="3"/>
      <c r="E446" s="3"/>
      <c r="F446" s="3"/>
      <c r="G446" s="3"/>
      <c r="H446" s="3"/>
      <c r="K446" s="4"/>
      <c r="M446" s="5">
        <v>27.01</v>
      </c>
      <c r="N446" t="s">
        <v>89</v>
      </c>
      <c r="O446" s="5"/>
      <c r="Q446" s="2">
        <v>4.4999999999999997E-3</v>
      </c>
      <c r="R446" t="s">
        <v>89</v>
      </c>
      <c r="T446" s="4"/>
      <c r="AH446" t="str">
        <f>IFERROR(VLOOKUP($A446,fund_metadata!$A:$P,2,FALSE),"")</f>
        <v>AMG Pantheon</v>
      </c>
      <c r="AI446" t="str">
        <f>IFERROR(VLOOKUP($A446,fund_metadata!$A:$P,16,FALSE),"")</f>
        <v>secondaries</v>
      </c>
    </row>
    <row r="447" spans="1:35" x14ac:dyDescent="0.25">
      <c r="A447">
        <v>8</v>
      </c>
      <c r="B447" s="3">
        <v>45657</v>
      </c>
      <c r="C447" s="3"/>
      <c r="D447" s="3"/>
      <c r="E447" s="3"/>
      <c r="F447" s="3"/>
      <c r="G447" s="3"/>
      <c r="H447" s="3"/>
      <c r="K447" s="4"/>
      <c r="M447" s="5">
        <v>27.01</v>
      </c>
      <c r="N447" t="s">
        <v>89</v>
      </c>
      <c r="O447" s="5"/>
      <c r="Q447" s="2">
        <v>9.1000000000000004E-3</v>
      </c>
      <c r="R447" t="s">
        <v>89</v>
      </c>
      <c r="S447">
        <v>1</v>
      </c>
      <c r="T447" s="4"/>
      <c r="AH447" t="str">
        <f>IFERROR(VLOOKUP($A447,fund_metadata!$A:$P,2,FALSE),"")</f>
        <v>AMG Pantheon</v>
      </c>
      <c r="AI447" t="str">
        <f>IFERROR(VLOOKUP($A447,fund_metadata!$A:$P,16,FALSE),"")</f>
        <v>secondaries</v>
      </c>
    </row>
    <row r="448" spans="1:35" x14ac:dyDescent="0.25">
      <c r="A448">
        <v>8</v>
      </c>
      <c r="B448" s="3">
        <v>45688</v>
      </c>
      <c r="C448" s="3"/>
      <c r="D448" s="3"/>
      <c r="E448" s="3"/>
      <c r="F448" s="3"/>
      <c r="G448" s="3"/>
      <c r="H448" s="3"/>
      <c r="K448" s="4"/>
      <c r="M448" s="5">
        <v>27.51</v>
      </c>
      <c r="N448" t="s">
        <v>89</v>
      </c>
      <c r="O448" s="5"/>
      <c r="Q448" s="2">
        <v>1.8499999999999999E-2</v>
      </c>
      <c r="R448" t="s">
        <v>89</v>
      </c>
      <c r="T448" s="4"/>
      <c r="AH448" t="str">
        <f>IFERROR(VLOOKUP($A448,fund_metadata!$A:$P,2,FALSE),"")</f>
        <v>AMG Pantheon</v>
      </c>
      <c r="AI448" t="str">
        <f>IFERROR(VLOOKUP($A448,fund_metadata!$A:$P,16,FALSE),"")</f>
        <v>secondaries</v>
      </c>
    </row>
    <row r="449" spans="1:35" x14ac:dyDescent="0.25">
      <c r="A449">
        <v>8</v>
      </c>
      <c r="B449" s="3">
        <v>45716</v>
      </c>
      <c r="C449" s="3"/>
      <c r="D449" s="3"/>
      <c r="E449" s="3"/>
      <c r="F449" s="3"/>
      <c r="G449" s="3"/>
      <c r="H449" s="3"/>
      <c r="K449" s="4"/>
      <c r="M449" s="5">
        <v>26.64</v>
      </c>
      <c r="N449" t="s">
        <v>89</v>
      </c>
      <c r="O449" s="5"/>
      <c r="Q449" s="2">
        <v>-3.1600000000000003E-2</v>
      </c>
      <c r="R449" t="s">
        <v>89</v>
      </c>
      <c r="T449" s="4"/>
      <c r="AH449" t="str">
        <f>IFERROR(VLOOKUP($A449,fund_metadata!$A:$P,2,FALSE),"")</f>
        <v>AMG Pantheon</v>
      </c>
      <c r="AI449" t="str">
        <f>IFERROR(VLOOKUP($A449,fund_metadata!$A:$P,16,FALSE),"")</f>
        <v>secondaries</v>
      </c>
    </row>
    <row r="450" spans="1:35" x14ac:dyDescent="0.25">
      <c r="A450">
        <v>8</v>
      </c>
      <c r="B450" s="3">
        <v>45747</v>
      </c>
      <c r="C450" s="3"/>
      <c r="D450" s="3"/>
      <c r="E450" s="3"/>
      <c r="F450" s="3"/>
      <c r="G450" s="3"/>
      <c r="H450" s="3"/>
      <c r="K450" s="4">
        <v>4840000000</v>
      </c>
      <c r="L450" t="s">
        <v>89</v>
      </c>
      <c r="M450" s="5">
        <v>26.2</v>
      </c>
      <c r="N450" t="s">
        <v>89</v>
      </c>
      <c r="O450" s="5"/>
      <c r="Q450" s="2">
        <v>-1.6500000000000001E-2</v>
      </c>
      <c r="R450" t="s">
        <v>89</v>
      </c>
      <c r="S450">
        <v>1</v>
      </c>
      <c r="T450" s="4">
        <v>5160000000</v>
      </c>
      <c r="U450" t="s">
        <v>89</v>
      </c>
      <c r="V450">
        <v>41331380</v>
      </c>
      <c r="W450" t="s">
        <v>121</v>
      </c>
      <c r="AH450" t="str">
        <f>IFERROR(VLOOKUP($A450,fund_metadata!$A:$P,2,FALSE),"")</f>
        <v>AMG Pantheon</v>
      </c>
      <c r="AI450" t="str">
        <f>IFERROR(VLOOKUP($A450,fund_metadata!$A:$P,16,FALSE),"")</f>
        <v>secondaries</v>
      </c>
    </row>
    <row r="451" spans="1:35" x14ac:dyDescent="0.25">
      <c r="A451">
        <v>8</v>
      </c>
      <c r="B451" s="3">
        <v>45777</v>
      </c>
      <c r="C451" s="3"/>
      <c r="D451" s="3"/>
      <c r="E451" s="3"/>
      <c r="F451" s="3"/>
      <c r="G451" s="3"/>
      <c r="H451" s="3"/>
      <c r="K451" s="4"/>
      <c r="M451" s="5">
        <v>26.67</v>
      </c>
      <c r="N451" t="s">
        <v>89</v>
      </c>
      <c r="O451" s="5"/>
      <c r="Q451" s="2">
        <v>1.7899999999999999E-2</v>
      </c>
      <c r="R451" t="s">
        <v>89</v>
      </c>
      <c r="T451" s="4"/>
      <c r="AH451" t="str">
        <f>IFERROR(VLOOKUP($A451,fund_metadata!$A:$P,2,FALSE),"")</f>
        <v>AMG Pantheon</v>
      </c>
      <c r="AI451" t="str">
        <f>IFERROR(VLOOKUP($A451,fund_metadata!$A:$P,16,FALSE),"")</f>
        <v>secondaries</v>
      </c>
    </row>
    <row r="452" spans="1:35" x14ac:dyDescent="0.25">
      <c r="A452">
        <v>8</v>
      </c>
      <c r="B452" s="3">
        <v>45808</v>
      </c>
      <c r="C452" s="3"/>
      <c r="D452" s="3"/>
      <c r="E452" s="3"/>
      <c r="F452" s="3"/>
      <c r="G452" s="3"/>
      <c r="H452" s="3"/>
      <c r="K452" s="4"/>
      <c r="M452" s="5">
        <v>27.44</v>
      </c>
      <c r="N452" t="s">
        <v>89</v>
      </c>
      <c r="O452" s="5"/>
      <c r="Q452" s="2">
        <v>2.8899999999999999E-2</v>
      </c>
      <c r="R452" t="s">
        <v>89</v>
      </c>
      <c r="T452" s="4"/>
      <c r="AH452" t="str">
        <f>IFERROR(VLOOKUP($A452,fund_metadata!$A:$P,2,FALSE),"")</f>
        <v>AMG Pantheon</v>
      </c>
      <c r="AI452" t="str">
        <f>IFERROR(VLOOKUP($A452,fund_metadata!$A:$P,16,FALSE),"")</f>
        <v>secondaries</v>
      </c>
    </row>
    <row r="453" spans="1:35" x14ac:dyDescent="0.25">
      <c r="A453">
        <v>8</v>
      </c>
      <c r="B453" s="3">
        <v>45838</v>
      </c>
      <c r="C453" s="3"/>
      <c r="D453" s="3"/>
      <c r="E453" s="3"/>
      <c r="F453" s="3"/>
      <c r="G453" s="3"/>
      <c r="H453" s="3"/>
      <c r="K453" s="4"/>
      <c r="M453" s="5">
        <v>28.45</v>
      </c>
      <c r="N453" t="s">
        <v>89</v>
      </c>
      <c r="O453" s="5"/>
      <c r="Q453" s="2">
        <v>3.6799999999999999E-2</v>
      </c>
      <c r="R453" t="s">
        <v>89</v>
      </c>
      <c r="S453">
        <v>1</v>
      </c>
      <c r="T453" s="4"/>
      <c r="AH453" t="str">
        <f>IFERROR(VLOOKUP($A453,fund_metadata!$A:$P,2,FALSE),"")</f>
        <v>AMG Pantheon</v>
      </c>
      <c r="AI453" t="str">
        <f>IFERROR(VLOOKUP($A453,fund_metadata!$A:$P,16,FALSE),"")</f>
        <v>secondaries</v>
      </c>
    </row>
    <row r="454" spans="1:35" x14ac:dyDescent="0.25">
      <c r="A454">
        <v>8</v>
      </c>
      <c r="B454" s="3">
        <v>45869</v>
      </c>
      <c r="C454" s="3"/>
      <c r="D454" s="3"/>
      <c r="E454" s="3"/>
      <c r="F454" s="3"/>
      <c r="G454" s="3"/>
      <c r="H454" s="3"/>
      <c r="K454" s="4"/>
      <c r="M454" s="5">
        <v>28.45</v>
      </c>
      <c r="N454" t="s">
        <v>89</v>
      </c>
      <c r="O454" s="5"/>
      <c r="Q454" s="2">
        <v>0</v>
      </c>
      <c r="R454" t="s">
        <v>89</v>
      </c>
      <c r="T454" s="4"/>
      <c r="AH454" t="str">
        <f>IFERROR(VLOOKUP($A454,fund_metadata!$A:$P,2,FALSE),"")</f>
        <v>AMG Pantheon</v>
      </c>
      <c r="AI454" t="str">
        <f>IFERROR(VLOOKUP($A454,fund_metadata!$A:$P,16,FALSE),"")</f>
        <v>secondaries</v>
      </c>
    </row>
    <row r="455" spans="1:35" x14ac:dyDescent="0.25">
      <c r="A455">
        <v>8</v>
      </c>
      <c r="B455" s="3">
        <v>45900</v>
      </c>
      <c r="C455" s="3"/>
      <c r="D455" s="3"/>
      <c r="E455" s="3"/>
      <c r="F455" s="3"/>
      <c r="G455" s="3"/>
      <c r="H455" s="3"/>
      <c r="K455" s="4"/>
      <c r="M455" s="5">
        <v>28.53</v>
      </c>
      <c r="N455" t="s">
        <v>89</v>
      </c>
      <c r="O455" s="5"/>
      <c r="Q455" s="2">
        <v>2.8E-3</v>
      </c>
      <c r="R455" t="s">
        <v>89</v>
      </c>
      <c r="T455" s="4"/>
      <c r="AH455" t="str">
        <f>IFERROR(VLOOKUP($A455,fund_metadata!$A:$P,2,FALSE),"")</f>
        <v>AMG Pantheon</v>
      </c>
      <c r="AI455" t="str">
        <f>IFERROR(VLOOKUP($A455,fund_metadata!$A:$P,16,FALSE),"")</f>
        <v>secondaries</v>
      </c>
    </row>
    <row r="456" spans="1:35" x14ac:dyDescent="0.25">
      <c r="A456">
        <v>8</v>
      </c>
      <c r="B456" s="3">
        <v>45930</v>
      </c>
      <c r="C456" s="3"/>
      <c r="D456" s="3"/>
      <c r="E456" s="3"/>
      <c r="F456" s="3"/>
      <c r="G456" s="3"/>
      <c r="H456" s="3"/>
      <c r="K456" s="4">
        <v>5980000000</v>
      </c>
      <c r="L456" t="s">
        <v>89</v>
      </c>
      <c r="M456" s="5">
        <v>28.65</v>
      </c>
      <c r="N456" t="s">
        <v>89</v>
      </c>
      <c r="O456" s="5"/>
      <c r="Q456" s="2">
        <v>4.1999999999999997E-3</v>
      </c>
      <c r="R456" t="s">
        <v>89</v>
      </c>
      <c r="S456">
        <v>1</v>
      </c>
      <c r="T456" s="4">
        <v>6160000000</v>
      </c>
      <c r="U456" t="s">
        <v>89</v>
      </c>
      <c r="V456">
        <v>47539435</v>
      </c>
      <c r="W456" t="s">
        <v>120</v>
      </c>
      <c r="AH456" t="str">
        <f>IFERROR(VLOOKUP($A456,fund_metadata!$A:$P,2,FALSE),"")</f>
        <v>AMG Pantheon</v>
      </c>
      <c r="AI456" t="str">
        <f>IFERROR(VLOOKUP($A456,fund_metadata!$A:$P,16,FALSE),"")</f>
        <v>secondaries</v>
      </c>
    </row>
    <row r="457" spans="1:35" x14ac:dyDescent="0.25">
      <c r="A457">
        <v>8</v>
      </c>
      <c r="B457" s="3">
        <v>45961</v>
      </c>
      <c r="C457" s="3"/>
      <c r="D457" s="3"/>
      <c r="E457" s="3"/>
      <c r="F457" s="3"/>
      <c r="G457" s="3"/>
      <c r="H457" s="3"/>
      <c r="K457" s="4"/>
      <c r="M457" s="5">
        <v>28.41</v>
      </c>
      <c r="N457" t="s">
        <v>89</v>
      </c>
      <c r="O457" s="5"/>
      <c r="Q457" s="2">
        <v>-8.3999999999999995E-3</v>
      </c>
      <c r="R457" t="s">
        <v>89</v>
      </c>
      <c r="T457" s="4"/>
      <c r="AH457" t="str">
        <f>IFERROR(VLOOKUP($A457,fund_metadata!$A:$P,2,FALSE),"")</f>
        <v>AMG Pantheon</v>
      </c>
      <c r="AI457" t="str">
        <f>IFERROR(VLOOKUP($A457,fund_metadata!$A:$P,16,FALSE),"")</f>
        <v>secondaries</v>
      </c>
    </row>
    <row r="458" spans="1:35" x14ac:dyDescent="0.25">
      <c r="A458">
        <v>8</v>
      </c>
      <c r="B458" s="3">
        <v>45991</v>
      </c>
      <c r="C458" s="3"/>
      <c r="D458" s="3"/>
      <c r="E458" s="3"/>
      <c r="F458" s="3"/>
      <c r="G458" s="3"/>
      <c r="H458" s="3"/>
      <c r="K458" s="4"/>
      <c r="M458" s="5">
        <v>28.53</v>
      </c>
      <c r="N458" t="s">
        <v>89</v>
      </c>
      <c r="O458" s="5"/>
      <c r="Q458" s="2">
        <v>4.1999999999999997E-3</v>
      </c>
      <c r="R458" t="s">
        <v>89</v>
      </c>
      <c r="T458" s="4"/>
      <c r="AH458" t="str">
        <f>IFERROR(VLOOKUP($A458,fund_metadata!$A:$P,2,FALSE),"")</f>
        <v>AMG Pantheon</v>
      </c>
      <c r="AI458" t="str">
        <f>IFERROR(VLOOKUP($A458,fund_metadata!$A:$P,16,FALSE),"")</f>
        <v>secondaries</v>
      </c>
    </row>
    <row r="459" spans="1:35" x14ac:dyDescent="0.25">
      <c r="A459">
        <v>8</v>
      </c>
      <c r="B459" s="3">
        <v>46022</v>
      </c>
      <c r="C459" s="3"/>
      <c r="D459" s="3"/>
      <c r="E459" s="3"/>
      <c r="F459" s="3"/>
      <c r="G459" s="3"/>
      <c r="H459" s="3"/>
      <c r="I459">
        <v>10000000</v>
      </c>
      <c r="J459" t="s">
        <v>104</v>
      </c>
      <c r="K459" s="4"/>
      <c r="M459" s="5">
        <v>28.24</v>
      </c>
      <c r="N459" t="s">
        <v>89</v>
      </c>
      <c r="O459" s="5"/>
      <c r="Q459" s="2">
        <v>1.2E-2</v>
      </c>
      <c r="R459" t="s">
        <v>89</v>
      </c>
      <c r="S459">
        <v>1</v>
      </c>
      <c r="T459" s="4"/>
      <c r="AH459" t="str">
        <f>IFERROR(VLOOKUP($A459,fund_metadata!$A:$P,2,FALSE),"")</f>
        <v>AMG Pantheon</v>
      </c>
      <c r="AI459" t="str">
        <f>IFERROR(VLOOKUP($A459,fund_metadata!$A:$P,16,FALSE),"")</f>
        <v>secondaries</v>
      </c>
    </row>
    <row r="460" spans="1:35" x14ac:dyDescent="0.25">
      <c r="A460">
        <v>8</v>
      </c>
      <c r="B460" s="3">
        <v>46053</v>
      </c>
      <c r="C460" s="3"/>
      <c r="D460" s="3"/>
      <c r="E460" s="3"/>
      <c r="F460" s="3"/>
      <c r="G460" s="3"/>
      <c r="H460" s="3"/>
      <c r="I460">
        <v>9961048.1699999999</v>
      </c>
      <c r="J460" t="s">
        <v>106</v>
      </c>
      <c r="K460" s="4"/>
      <c r="M460" s="5">
        <v>28.13</v>
      </c>
      <c r="N460" t="s">
        <v>89</v>
      </c>
      <c r="O460" s="5"/>
      <c r="Q460" s="2">
        <v>-3.8999999999999998E-3</v>
      </c>
      <c r="R460" t="s">
        <v>89</v>
      </c>
      <c r="T460" s="4"/>
      <c r="X460">
        <v>354107.64899999998</v>
      </c>
      <c r="Y460" t="s">
        <v>106</v>
      </c>
      <c r="Z460">
        <v>10000000</v>
      </c>
      <c r="AA460" t="s">
        <v>107</v>
      </c>
      <c r="AB460">
        <v>0</v>
      </c>
      <c r="AC460" t="s">
        <v>107</v>
      </c>
      <c r="AD460">
        <v>0</v>
      </c>
      <c r="AE460" t="s">
        <v>107</v>
      </c>
      <c r="AH460" t="str">
        <f>IFERROR(VLOOKUP($A460,fund_metadata!$A:$P,2,FALSE),"")</f>
        <v>AMG Pantheon</v>
      </c>
      <c r="AI460" t="str">
        <f>IFERROR(VLOOKUP($A460,fund_metadata!$A:$P,16,FALSE),"")</f>
        <v>secondaries</v>
      </c>
    </row>
    <row r="461" spans="1:35" x14ac:dyDescent="0.25">
      <c r="A461">
        <v>8</v>
      </c>
      <c r="B461" s="3">
        <v>46081</v>
      </c>
      <c r="C461" s="3"/>
      <c r="D461" s="3"/>
      <c r="E461" s="3"/>
      <c r="F461" s="3"/>
      <c r="G461" s="3"/>
      <c r="H461" s="3"/>
      <c r="I461">
        <v>10028328.619999999</v>
      </c>
      <c r="J461" t="s">
        <v>106</v>
      </c>
      <c r="K461" s="4"/>
      <c r="M461" s="5">
        <v>28.32</v>
      </c>
      <c r="N461" t="s">
        <v>89</v>
      </c>
      <c r="O461" s="5"/>
      <c r="Q461" s="2">
        <v>6.7999999999999996E-3</v>
      </c>
      <c r="R461" t="s">
        <v>89</v>
      </c>
      <c r="T461" s="4"/>
      <c r="X461">
        <v>354107.64899999998</v>
      </c>
      <c r="Y461" t="s">
        <v>106</v>
      </c>
      <c r="Z461">
        <v>0</v>
      </c>
      <c r="AA461" t="s">
        <v>107</v>
      </c>
      <c r="AB461">
        <v>0</v>
      </c>
      <c r="AC461" t="s">
        <v>107</v>
      </c>
      <c r="AD461">
        <v>0</v>
      </c>
      <c r="AE461" t="s">
        <v>107</v>
      </c>
      <c r="AH461" t="str">
        <f>IFERROR(VLOOKUP($A461,fund_metadata!$A:$P,2,FALSE),"")</f>
        <v>AMG Pantheon</v>
      </c>
      <c r="AI461" t="str">
        <f>IFERROR(VLOOKUP($A461,fund_metadata!$A:$P,16,FALSE),"")</f>
        <v>secondaries</v>
      </c>
    </row>
    <row r="462" spans="1:35" x14ac:dyDescent="0.25">
      <c r="A462">
        <v>8</v>
      </c>
      <c r="B462" s="3">
        <v>46112</v>
      </c>
      <c r="C462" s="3"/>
      <c r="D462" s="3"/>
      <c r="E462" s="3"/>
      <c r="F462" s="3"/>
      <c r="G462" s="3"/>
      <c r="H462" s="3"/>
      <c r="I462">
        <v>9989376.7799999993</v>
      </c>
      <c r="J462" t="s">
        <v>106</v>
      </c>
      <c r="K462" s="4"/>
      <c r="M462" s="5">
        <v>28.21</v>
      </c>
      <c r="N462" t="s">
        <v>89</v>
      </c>
      <c r="O462" s="5"/>
      <c r="Q462" s="2">
        <v>-3.8999999999999998E-3</v>
      </c>
      <c r="R462" t="s">
        <v>89</v>
      </c>
      <c r="S462">
        <v>1</v>
      </c>
      <c r="T462" s="4"/>
      <c r="X462">
        <v>354107.64899999998</v>
      </c>
      <c r="Y462" t="s">
        <v>106</v>
      </c>
      <c r="Z462">
        <v>0</v>
      </c>
      <c r="AA462" t="s">
        <v>107</v>
      </c>
      <c r="AB462">
        <v>0</v>
      </c>
      <c r="AC462" t="s">
        <v>107</v>
      </c>
      <c r="AD462">
        <v>0</v>
      </c>
      <c r="AE462" t="s">
        <v>107</v>
      </c>
      <c r="AH462" t="str">
        <f>IFERROR(VLOOKUP($A462,fund_metadata!$A:$P,2,FALSE),"")</f>
        <v>AMG Pantheon</v>
      </c>
      <c r="AI462" t="str">
        <f>IFERROR(VLOOKUP($A462,fund_metadata!$A:$P,16,FALSE),"")</f>
        <v>secondaries</v>
      </c>
    </row>
    <row r="463" spans="1:35" x14ac:dyDescent="0.25">
      <c r="A463">
        <v>8</v>
      </c>
      <c r="B463" s="3">
        <v>46142</v>
      </c>
      <c r="C463" s="3"/>
      <c r="D463" s="3"/>
      <c r="E463" s="3"/>
      <c r="F463" s="3"/>
      <c r="G463" s="3"/>
      <c r="H463" s="3"/>
      <c r="K463" s="4"/>
      <c r="M463" s="5">
        <v>28.53</v>
      </c>
      <c r="N463" t="s">
        <v>89</v>
      </c>
      <c r="O463" s="5"/>
      <c r="Q463" s="2">
        <v>1.1299999999999999E-2</v>
      </c>
      <c r="R463" t="s">
        <v>89</v>
      </c>
      <c r="T463" s="4"/>
      <c r="AH463" t="str">
        <f>IFERROR(VLOOKUP($A463,fund_metadata!$A:$P,2,FALSE),"")</f>
        <v>AMG Pantheon</v>
      </c>
      <c r="AI463" t="str">
        <f>IFERROR(VLOOKUP($A463,fund_metadata!$A:$P,16,FALSE),"")</f>
        <v>secondaries</v>
      </c>
    </row>
    <row r="464" spans="1:35" x14ac:dyDescent="0.25">
      <c r="A464">
        <v>8</v>
      </c>
      <c r="B464" s="3">
        <v>46173</v>
      </c>
      <c r="C464" s="3"/>
      <c r="D464" s="3"/>
      <c r="E464" s="3"/>
      <c r="F464" s="3"/>
      <c r="G464" s="3"/>
      <c r="H464" s="3"/>
      <c r="K464" s="4"/>
      <c r="M464" s="5"/>
      <c r="O464" s="5"/>
      <c r="Q464" s="2"/>
      <c r="T464" s="4"/>
      <c r="AH464" t="str">
        <f>IFERROR(VLOOKUP($A464,fund_metadata!$A:$P,2,FALSE),"")</f>
        <v>AMG Pantheon</v>
      </c>
      <c r="AI464" t="str">
        <f>IFERROR(VLOOKUP($A464,fund_metadata!$A:$P,16,FALSE),"")</f>
        <v>secondaries</v>
      </c>
    </row>
    <row r="465" spans="1:35" x14ac:dyDescent="0.25">
      <c r="A465">
        <v>9</v>
      </c>
      <c r="B465" s="3">
        <v>45657</v>
      </c>
      <c r="C465" s="3"/>
      <c r="D465" s="3"/>
      <c r="E465" s="3"/>
      <c r="F465" s="3"/>
      <c r="G465" s="3"/>
      <c r="H465" s="3"/>
      <c r="Q465" s="7">
        <v>5.28E-2</v>
      </c>
      <c r="R465" t="s">
        <v>122</v>
      </c>
      <c r="AH465" t="str">
        <f>IFERROR(VLOOKUP($A465,fund_metadata!$A:$P,2,FALSE),"")</f>
        <v>FLEX</v>
      </c>
      <c r="AI465" t="str">
        <f>IFERROR(VLOOKUP($A465,fund_metadata!$A:$P,16,FALSE),"")</f>
        <v>secondaries</v>
      </c>
    </row>
    <row r="466" spans="1:35" x14ac:dyDescent="0.25">
      <c r="A466">
        <v>9</v>
      </c>
      <c r="B466" s="3">
        <v>45688</v>
      </c>
      <c r="C466" s="3"/>
      <c r="D466" s="3"/>
      <c r="E466" s="3"/>
      <c r="F466" s="3"/>
      <c r="G466" s="3"/>
      <c r="H466" s="3"/>
      <c r="Q466" s="7">
        <v>1.7100000000000001E-2</v>
      </c>
      <c r="R466" t="s">
        <v>122</v>
      </c>
      <c r="AH466" t="str">
        <f>IFERROR(VLOOKUP($A466,fund_metadata!$A:$P,2,FALSE),"")</f>
        <v>FLEX</v>
      </c>
      <c r="AI466" t="str">
        <f>IFERROR(VLOOKUP($A466,fund_metadata!$A:$P,16,FALSE),"")</f>
        <v>secondaries</v>
      </c>
    </row>
    <row r="467" spans="1:35" x14ac:dyDescent="0.25">
      <c r="A467">
        <v>9</v>
      </c>
      <c r="B467" s="3">
        <v>45716</v>
      </c>
      <c r="C467" s="3"/>
      <c r="D467" s="3"/>
      <c r="E467" s="3"/>
      <c r="F467" s="3"/>
      <c r="G467" s="3"/>
      <c r="H467" s="3"/>
      <c r="Q467" s="7">
        <v>4.0000000000000002E-4</v>
      </c>
      <c r="R467" t="s">
        <v>122</v>
      </c>
      <c r="AH467" t="str">
        <f>IFERROR(VLOOKUP($A467,fund_metadata!$A:$P,2,FALSE),"")</f>
        <v>FLEX</v>
      </c>
      <c r="AI467" t="str">
        <f>IFERROR(VLOOKUP($A467,fund_metadata!$A:$P,16,FALSE),"")</f>
        <v>secondaries</v>
      </c>
    </row>
    <row r="468" spans="1:35" x14ac:dyDescent="0.25">
      <c r="A468">
        <v>9</v>
      </c>
      <c r="B468" s="3">
        <v>45747</v>
      </c>
      <c r="C468" s="3"/>
      <c r="D468" s="3"/>
      <c r="E468" s="3"/>
      <c r="F468" s="3"/>
      <c r="G468" s="3"/>
      <c r="H468" s="3"/>
      <c r="Q468" s="7">
        <v>1.3100000000000001E-2</v>
      </c>
      <c r="R468" t="s">
        <v>122</v>
      </c>
      <c r="AH468" t="str">
        <f>IFERROR(VLOOKUP($A468,fund_metadata!$A:$P,2,FALSE),"")</f>
        <v>FLEX</v>
      </c>
      <c r="AI468" t="str">
        <f>IFERROR(VLOOKUP($A468,fund_metadata!$A:$P,16,FALSE),"")</f>
        <v>secondaries</v>
      </c>
    </row>
    <row r="469" spans="1:35" x14ac:dyDescent="0.25">
      <c r="A469">
        <v>9</v>
      </c>
      <c r="B469" s="3">
        <v>45777</v>
      </c>
      <c r="C469" s="3"/>
      <c r="D469" s="3"/>
      <c r="E469" s="3"/>
      <c r="F469" s="3"/>
      <c r="G469" s="3"/>
      <c r="H469" s="3"/>
      <c r="Q469" s="7">
        <v>8.0999999999999996E-3</v>
      </c>
      <c r="R469" t="s">
        <v>122</v>
      </c>
      <c r="AH469" t="str">
        <f>IFERROR(VLOOKUP($A469,fund_metadata!$A:$P,2,FALSE),"")</f>
        <v>FLEX</v>
      </c>
      <c r="AI469" t="str">
        <f>IFERROR(VLOOKUP($A469,fund_metadata!$A:$P,16,FALSE),"")</f>
        <v>secondaries</v>
      </c>
    </row>
    <row r="470" spans="1:35" x14ac:dyDescent="0.25">
      <c r="A470">
        <v>9</v>
      </c>
      <c r="B470" s="3">
        <v>45808</v>
      </c>
      <c r="C470" s="3"/>
      <c r="D470" s="3"/>
      <c r="E470" s="3"/>
      <c r="F470" s="3"/>
      <c r="G470" s="3"/>
      <c r="H470" s="3"/>
      <c r="Q470" s="7">
        <v>9.9000000000000008E-3</v>
      </c>
      <c r="R470" t="s">
        <v>122</v>
      </c>
      <c r="AH470" t="str">
        <f>IFERROR(VLOOKUP($A470,fund_metadata!$A:$P,2,FALSE),"")</f>
        <v>FLEX</v>
      </c>
      <c r="AI470" t="str">
        <f>IFERROR(VLOOKUP($A470,fund_metadata!$A:$P,16,FALSE),"")</f>
        <v>secondaries</v>
      </c>
    </row>
    <row r="471" spans="1:35" x14ac:dyDescent="0.25">
      <c r="A471">
        <v>9</v>
      </c>
      <c r="B471" s="3">
        <v>45838</v>
      </c>
      <c r="C471" s="3"/>
      <c r="D471" s="3"/>
      <c r="E471" s="3"/>
      <c r="F471" s="3"/>
      <c r="G471" s="3"/>
      <c r="H471" s="3"/>
      <c r="Q471" s="7">
        <v>2.7199999999999998E-2</v>
      </c>
      <c r="R471" t="s">
        <v>122</v>
      </c>
      <c r="AH471" t="str">
        <f>IFERROR(VLOOKUP($A471,fund_metadata!$A:$P,2,FALSE),"")</f>
        <v>FLEX</v>
      </c>
      <c r="AI471" t="str">
        <f>IFERROR(VLOOKUP($A471,fund_metadata!$A:$P,16,FALSE),"")</f>
        <v>secondaries</v>
      </c>
    </row>
    <row r="472" spans="1:35" x14ac:dyDescent="0.25">
      <c r="A472">
        <v>9</v>
      </c>
      <c r="B472" s="3">
        <v>45869</v>
      </c>
      <c r="C472" s="3"/>
      <c r="D472" s="3"/>
      <c r="E472" s="3"/>
      <c r="F472" s="3"/>
      <c r="G472" s="3"/>
      <c r="H472" s="3"/>
      <c r="Q472" s="7">
        <v>3.2000000000000002E-3</v>
      </c>
      <c r="R472" t="s">
        <v>122</v>
      </c>
      <c r="AH472" t="str">
        <f>IFERROR(VLOOKUP($A472,fund_metadata!$A:$P,2,FALSE),"")</f>
        <v>FLEX</v>
      </c>
      <c r="AI472" t="str">
        <f>IFERROR(VLOOKUP($A472,fund_metadata!$A:$P,16,FALSE),"")</f>
        <v>secondaries</v>
      </c>
    </row>
    <row r="473" spans="1:35" x14ac:dyDescent="0.25">
      <c r="A473">
        <v>9</v>
      </c>
      <c r="B473" s="3">
        <v>45900</v>
      </c>
      <c r="C473" s="3"/>
      <c r="D473" s="3"/>
      <c r="E473" s="3"/>
      <c r="F473" s="3"/>
      <c r="G473" s="3"/>
      <c r="H473" s="3"/>
      <c r="Q473" s="7">
        <v>3.1300000000000001E-2</v>
      </c>
      <c r="R473" t="s">
        <v>122</v>
      </c>
      <c r="AH473" t="str">
        <f>IFERROR(VLOOKUP($A473,fund_metadata!$A:$P,2,FALSE),"")</f>
        <v>FLEX</v>
      </c>
      <c r="AI473" t="str">
        <f>IFERROR(VLOOKUP($A473,fund_metadata!$A:$P,16,FALSE),"")</f>
        <v>secondaries</v>
      </c>
    </row>
    <row r="474" spans="1:35" x14ac:dyDescent="0.25">
      <c r="A474">
        <v>9</v>
      </c>
      <c r="B474" s="3">
        <v>45930</v>
      </c>
      <c r="C474" s="3"/>
      <c r="D474" s="3"/>
      <c r="E474" s="3"/>
      <c r="F474" s="3"/>
      <c r="G474" s="3"/>
      <c r="H474" s="3"/>
      <c r="Q474" s="7">
        <v>6.4999999999999997E-3</v>
      </c>
      <c r="R474" t="s">
        <v>122</v>
      </c>
      <c r="AH474" t="str">
        <f>IFERROR(VLOOKUP($A474,fund_metadata!$A:$P,2,FALSE),"")</f>
        <v>FLEX</v>
      </c>
      <c r="AI474" t="str">
        <f>IFERROR(VLOOKUP($A474,fund_metadata!$A:$P,16,FALSE),"")</f>
        <v>secondaries</v>
      </c>
    </row>
    <row r="475" spans="1:35" x14ac:dyDescent="0.25">
      <c r="A475">
        <v>9</v>
      </c>
      <c r="B475" s="3">
        <v>45961</v>
      </c>
      <c r="C475" s="3"/>
      <c r="D475" s="3"/>
      <c r="E475" s="3"/>
      <c r="F475" s="3"/>
      <c r="G475" s="3"/>
      <c r="H475" s="3"/>
      <c r="Q475" s="7">
        <v>8.5000000000000006E-3</v>
      </c>
      <c r="R475" t="s">
        <v>122</v>
      </c>
      <c r="AH475" t="str">
        <f>IFERROR(VLOOKUP($A475,fund_metadata!$A:$P,2,FALSE),"")</f>
        <v>FLEX</v>
      </c>
      <c r="AI475" t="str">
        <f>IFERROR(VLOOKUP($A475,fund_metadata!$A:$P,16,FALSE),"")</f>
        <v>secondaries</v>
      </c>
    </row>
    <row r="476" spans="1:35" x14ac:dyDescent="0.25">
      <c r="A476">
        <v>9</v>
      </c>
      <c r="B476" s="3">
        <v>45991</v>
      </c>
      <c r="C476" s="3"/>
      <c r="D476" s="3"/>
      <c r="E476" s="3"/>
      <c r="F476" s="3"/>
      <c r="G476" s="3"/>
      <c r="H476" s="3"/>
      <c r="Q476" s="7">
        <v>2.6200000000000001E-2</v>
      </c>
      <c r="R476" t="s">
        <v>122</v>
      </c>
      <c r="AH476" t="str">
        <f>IFERROR(VLOOKUP($A476,fund_metadata!$A:$P,2,FALSE),"")</f>
        <v>FLEX</v>
      </c>
      <c r="AI476" t="str">
        <f>IFERROR(VLOOKUP($A476,fund_metadata!$A:$P,16,FALSE),"")</f>
        <v>secondaries</v>
      </c>
    </row>
    <row r="477" spans="1:35" x14ac:dyDescent="0.25">
      <c r="A477">
        <v>9</v>
      </c>
      <c r="B477" s="3">
        <v>46022</v>
      </c>
      <c r="C477" s="3"/>
      <c r="D477" s="3"/>
      <c r="E477" s="3"/>
      <c r="F477" s="3"/>
      <c r="G477" s="3"/>
      <c r="H477" s="3"/>
      <c r="I477" s="4">
        <v>10000000</v>
      </c>
      <c r="J477" t="s">
        <v>104</v>
      </c>
      <c r="Q477" s="2">
        <v>1.3100000000000001E-2</v>
      </c>
      <c r="R477" t="s">
        <v>122</v>
      </c>
      <c r="S477">
        <v>234</v>
      </c>
      <c r="X477" s="4"/>
      <c r="Z477" s="4"/>
      <c r="AB477" s="4"/>
      <c r="AD477" s="4"/>
      <c r="AH477" t="str">
        <f>IFERROR(VLOOKUP($A477,fund_metadata!$A:$P,2,FALSE),"")</f>
        <v>FLEX</v>
      </c>
      <c r="AI477" t="str">
        <f>IFERROR(VLOOKUP($A477,fund_metadata!$A:$P,16,FALSE),"")</f>
        <v>secondaries</v>
      </c>
    </row>
    <row r="478" spans="1:35" x14ac:dyDescent="0.25">
      <c r="A478">
        <v>9</v>
      </c>
      <c r="B478" s="3">
        <v>46053</v>
      </c>
      <c r="C478" s="3"/>
      <c r="D478" s="3"/>
      <c r="E478" s="3"/>
      <c r="F478" s="3"/>
      <c r="G478" s="3"/>
      <c r="H478" s="3"/>
      <c r="I478" s="4">
        <v>10074457.75</v>
      </c>
      <c r="J478" t="s">
        <v>107</v>
      </c>
      <c r="Q478" s="2">
        <v>7.4999999999999997E-3</v>
      </c>
      <c r="R478" t="s">
        <v>122</v>
      </c>
      <c r="X478" s="4">
        <v>323729.36200000002</v>
      </c>
      <c r="Y478" t="s">
        <v>107</v>
      </c>
      <c r="Z478" s="4">
        <v>10000000</v>
      </c>
      <c r="AA478" t="s">
        <v>107</v>
      </c>
      <c r="AB478" s="4">
        <v>0</v>
      </c>
      <c r="AC478" t="s">
        <v>107</v>
      </c>
      <c r="AD478" s="4">
        <v>0</v>
      </c>
      <c r="AE478" t="s">
        <v>107</v>
      </c>
      <c r="AH478" t="str">
        <f>IFERROR(VLOOKUP($A478,fund_metadata!$A:$P,2,FALSE),"")</f>
        <v>FLEX</v>
      </c>
      <c r="AI478" t="str">
        <f>IFERROR(VLOOKUP($A478,fund_metadata!$A:$P,16,FALSE),"")</f>
        <v>secondaries</v>
      </c>
    </row>
    <row r="479" spans="1:35" x14ac:dyDescent="0.25">
      <c r="A479">
        <v>9</v>
      </c>
      <c r="B479" s="3">
        <v>46081</v>
      </c>
      <c r="C479" s="3"/>
      <c r="D479" s="3"/>
      <c r="E479" s="3"/>
      <c r="F479" s="3"/>
      <c r="G479" s="3"/>
      <c r="H479" s="3"/>
      <c r="I479" s="4">
        <v>10129491.74</v>
      </c>
      <c r="J479" t="s">
        <v>107</v>
      </c>
      <c r="Q479" s="2">
        <v>5.4999999999999997E-3</v>
      </c>
      <c r="R479" t="s">
        <v>122</v>
      </c>
      <c r="X479" s="4">
        <v>323729.36200000002</v>
      </c>
      <c r="Y479" t="s">
        <v>107</v>
      </c>
      <c r="Z479" s="4">
        <v>0</v>
      </c>
      <c r="AA479" t="s">
        <v>107</v>
      </c>
      <c r="AB479" s="4">
        <v>0</v>
      </c>
      <c r="AC479" t="s">
        <v>107</v>
      </c>
      <c r="AD479" s="4">
        <v>0</v>
      </c>
      <c r="AE479" t="s">
        <v>107</v>
      </c>
      <c r="AH479" t="str">
        <f>IFERROR(VLOOKUP($A479,fund_metadata!$A:$P,2,FALSE),"")</f>
        <v>FLEX</v>
      </c>
      <c r="AI479" t="str">
        <f>IFERROR(VLOOKUP($A479,fund_metadata!$A:$P,16,FALSE),"")</f>
        <v>secondaries</v>
      </c>
    </row>
    <row r="480" spans="1:35" x14ac:dyDescent="0.25">
      <c r="A480">
        <v>9</v>
      </c>
      <c r="B480" s="3">
        <v>46112</v>
      </c>
      <c r="C480" s="3"/>
      <c r="D480" s="3"/>
      <c r="E480" s="3"/>
      <c r="F480" s="3"/>
      <c r="G480" s="3"/>
      <c r="H480" s="3"/>
      <c r="I480" s="4">
        <v>10242797.01</v>
      </c>
      <c r="J480" t="s">
        <v>107</v>
      </c>
      <c r="Q480" s="2">
        <v>1.12E-2</v>
      </c>
      <c r="R480" t="s">
        <v>122</v>
      </c>
      <c r="S480">
        <v>257</v>
      </c>
      <c r="X480" s="4">
        <v>323729.36200000002</v>
      </c>
      <c r="Y480" t="s">
        <v>107</v>
      </c>
      <c r="Z480" s="4">
        <v>0</v>
      </c>
      <c r="AA480" t="s">
        <v>107</v>
      </c>
      <c r="AB480" s="4">
        <v>0</v>
      </c>
      <c r="AC480" t="s">
        <v>107</v>
      </c>
      <c r="AD480" s="4">
        <v>0</v>
      </c>
      <c r="AE480" t="s">
        <v>107</v>
      </c>
      <c r="AH480" t="str">
        <f>IFERROR(VLOOKUP($A480,fund_metadata!$A:$P,2,FALSE),"")</f>
        <v>FLEX</v>
      </c>
      <c r="AI480" t="str">
        <f>IFERROR(VLOOKUP($A480,fund_metadata!$A:$P,16,FALSE),"")</f>
        <v>secondaries</v>
      </c>
    </row>
    <row r="481" spans="1:35" x14ac:dyDescent="0.25">
      <c r="A481">
        <v>9</v>
      </c>
      <c r="B481" s="3">
        <v>46142</v>
      </c>
      <c r="C481" s="3"/>
      <c r="D481" s="3"/>
      <c r="E481" s="3"/>
      <c r="F481" s="3"/>
      <c r="G481" s="3"/>
      <c r="H481" s="3"/>
      <c r="Q481" s="7">
        <v>-2.9999999999999997E-4</v>
      </c>
      <c r="R481" t="s">
        <v>122</v>
      </c>
      <c r="AH481" t="str">
        <f>IFERROR(VLOOKUP($A481,fund_metadata!$A:$P,2,FALSE),"")</f>
        <v>FLEX</v>
      </c>
      <c r="AI481" t="str">
        <f>IFERROR(VLOOKUP($A481,fund_metadata!$A:$P,16,FALSE),"")</f>
        <v>secondaries</v>
      </c>
    </row>
    <row r="482" spans="1:35" x14ac:dyDescent="0.25">
      <c r="A482">
        <v>10</v>
      </c>
      <c r="B482" s="3">
        <v>44227</v>
      </c>
      <c r="C482" s="3"/>
      <c r="D482" s="3"/>
      <c r="E482" s="3"/>
      <c r="F482" s="3"/>
      <c r="G482" s="3"/>
      <c r="H482" s="3"/>
      <c r="K482" s="4"/>
      <c r="M482" s="5">
        <v>10</v>
      </c>
      <c r="N482" t="s">
        <v>89</v>
      </c>
      <c r="O482" s="5"/>
      <c r="Q482" s="2"/>
      <c r="T482" s="4"/>
      <c r="AH482" t="str">
        <f>IFERROR(VLOOKUP($A482,fund_metadata!$A:$P,2,FALSE),"")</f>
        <v>Hamilton Lane</v>
      </c>
      <c r="AI482" t="str">
        <f>IFERROR(VLOOKUP($A482,fund_metadata!$A:$P,16,FALSE),"")</f>
        <v>private_equity</v>
      </c>
    </row>
    <row r="483" spans="1:35" x14ac:dyDescent="0.25">
      <c r="A483">
        <v>10</v>
      </c>
      <c r="B483" s="3">
        <v>44255</v>
      </c>
      <c r="C483" s="3"/>
      <c r="D483" s="3"/>
      <c r="E483" s="3"/>
      <c r="F483" s="3"/>
      <c r="G483" s="3"/>
      <c r="H483" s="3"/>
      <c r="K483" s="4"/>
      <c r="M483" s="5">
        <v>10.029999999999999</v>
      </c>
      <c r="N483" t="s">
        <v>89</v>
      </c>
      <c r="O483" s="5"/>
      <c r="Q483" s="2">
        <v>3.0000000000000001E-3</v>
      </c>
      <c r="R483" t="s">
        <v>89</v>
      </c>
      <c r="T483" s="4"/>
      <c r="AH483" t="str">
        <f>IFERROR(VLOOKUP($A483,fund_metadata!$A:$P,2,FALSE),"")</f>
        <v>Hamilton Lane</v>
      </c>
      <c r="AI483" t="str">
        <f>IFERROR(VLOOKUP($A483,fund_metadata!$A:$P,16,FALSE),"")</f>
        <v>private_equity</v>
      </c>
    </row>
    <row r="484" spans="1:35" x14ac:dyDescent="0.25">
      <c r="A484">
        <v>10</v>
      </c>
      <c r="B484" s="3">
        <v>44286</v>
      </c>
      <c r="C484" s="3"/>
      <c r="D484" s="3"/>
      <c r="E484" s="3"/>
      <c r="F484" s="3"/>
      <c r="G484" s="3"/>
      <c r="H484" s="3"/>
      <c r="K484" s="4">
        <v>158870000</v>
      </c>
      <c r="L484" t="s">
        <v>89</v>
      </c>
      <c r="M484" s="5">
        <v>10.38</v>
      </c>
      <c r="N484" t="s">
        <v>89</v>
      </c>
      <c r="O484" s="5"/>
      <c r="Q484" s="2">
        <v>3.49E-2</v>
      </c>
      <c r="R484" t="s">
        <v>89</v>
      </c>
      <c r="S484">
        <v>38</v>
      </c>
      <c r="T484" s="4">
        <v>165420000</v>
      </c>
      <c r="U484" t="s">
        <v>89</v>
      </c>
      <c r="V484">
        <v>15484525</v>
      </c>
      <c r="W484" t="s">
        <v>121</v>
      </c>
      <c r="AH484" t="str">
        <f>IFERROR(VLOOKUP($A484,fund_metadata!$A:$P,2,FALSE),"")</f>
        <v>Hamilton Lane</v>
      </c>
      <c r="AI484" t="str">
        <f>IFERROR(VLOOKUP($A484,fund_metadata!$A:$P,16,FALSE),"")</f>
        <v>private_equity</v>
      </c>
    </row>
    <row r="485" spans="1:35" x14ac:dyDescent="0.25">
      <c r="A485">
        <v>10</v>
      </c>
      <c r="B485" s="3">
        <v>44316</v>
      </c>
      <c r="C485" s="3"/>
      <c r="D485" s="3"/>
      <c r="E485" s="3"/>
      <c r="F485" s="3"/>
      <c r="G485" s="3"/>
      <c r="H485" s="3"/>
      <c r="K485" s="4">
        <v>166170000</v>
      </c>
      <c r="L485" t="s">
        <v>89</v>
      </c>
      <c r="M485" s="5">
        <v>10.38</v>
      </c>
      <c r="N485" t="s">
        <v>89</v>
      </c>
      <c r="O485" s="5"/>
      <c r="Q485" s="2">
        <v>0</v>
      </c>
      <c r="R485" t="s">
        <v>89</v>
      </c>
      <c r="T485" s="4"/>
      <c r="AH485" t="str">
        <f>IFERROR(VLOOKUP($A485,fund_metadata!$A:$P,2,FALSE),"")</f>
        <v>Hamilton Lane</v>
      </c>
      <c r="AI485" t="str">
        <f>IFERROR(VLOOKUP($A485,fund_metadata!$A:$P,16,FALSE),"")</f>
        <v>private_equity</v>
      </c>
    </row>
    <row r="486" spans="1:35" x14ac:dyDescent="0.25">
      <c r="A486">
        <v>10</v>
      </c>
      <c r="B486" s="3">
        <v>44347</v>
      </c>
      <c r="C486" s="3"/>
      <c r="D486" s="3"/>
      <c r="E486" s="3"/>
      <c r="F486" s="3"/>
      <c r="G486" s="3"/>
      <c r="H486" s="3"/>
      <c r="K486" s="4">
        <v>181560000</v>
      </c>
      <c r="L486" t="s">
        <v>89</v>
      </c>
      <c r="M486" s="5">
        <v>10.56</v>
      </c>
      <c r="N486" t="s">
        <v>89</v>
      </c>
      <c r="O486" s="5"/>
      <c r="Q486" s="2">
        <v>1.7299999999999999E-2</v>
      </c>
      <c r="R486" t="s">
        <v>89</v>
      </c>
      <c r="T486" s="4"/>
      <c r="AH486" t="str">
        <f>IFERROR(VLOOKUP($A486,fund_metadata!$A:$P,2,FALSE),"")</f>
        <v>Hamilton Lane</v>
      </c>
      <c r="AI486" t="str">
        <f>IFERROR(VLOOKUP($A486,fund_metadata!$A:$P,16,FALSE),"")</f>
        <v>private_equity</v>
      </c>
    </row>
    <row r="487" spans="1:35" x14ac:dyDescent="0.25">
      <c r="A487">
        <v>10</v>
      </c>
      <c r="B487" s="3">
        <v>44377</v>
      </c>
      <c r="C487" s="3"/>
      <c r="D487" s="3"/>
      <c r="E487" s="3"/>
      <c r="F487" s="3"/>
      <c r="G487" s="3"/>
      <c r="H487" s="3"/>
      <c r="K487" s="4">
        <v>196960000</v>
      </c>
      <c r="L487" t="s">
        <v>89</v>
      </c>
      <c r="M487" s="5">
        <v>11.08</v>
      </c>
      <c r="N487" t="s">
        <v>89</v>
      </c>
      <c r="O487" s="5"/>
      <c r="Q487" s="2">
        <v>4.9200000000000001E-2</v>
      </c>
      <c r="R487" t="s">
        <v>89</v>
      </c>
      <c r="S487">
        <v>51</v>
      </c>
      <c r="T487" s="4"/>
      <c r="AH487" t="str">
        <f>IFERROR(VLOOKUP($A487,fund_metadata!$A:$P,2,FALSE),"")</f>
        <v>Hamilton Lane</v>
      </c>
      <c r="AI487" t="str">
        <f>IFERROR(VLOOKUP($A487,fund_metadata!$A:$P,16,FALSE),"")</f>
        <v>private_equity</v>
      </c>
    </row>
    <row r="488" spans="1:35" x14ac:dyDescent="0.25">
      <c r="A488">
        <v>10</v>
      </c>
      <c r="B488" s="3">
        <v>44408</v>
      </c>
      <c r="C488" s="3"/>
      <c r="D488" s="3"/>
      <c r="E488" s="3"/>
      <c r="F488" s="3"/>
      <c r="G488" s="3"/>
      <c r="H488" s="3"/>
      <c r="K488" s="4"/>
      <c r="M488" s="5">
        <v>11.1</v>
      </c>
      <c r="N488" t="s">
        <v>89</v>
      </c>
      <c r="O488" s="5"/>
      <c r="Q488" s="2">
        <v>1.8E-3</v>
      </c>
      <c r="R488" t="s">
        <v>89</v>
      </c>
      <c r="T488" s="4"/>
      <c r="AH488" t="str">
        <f>IFERROR(VLOOKUP($A488,fund_metadata!$A:$P,2,FALSE),"")</f>
        <v>Hamilton Lane</v>
      </c>
      <c r="AI488" t="str">
        <f>IFERROR(VLOOKUP($A488,fund_metadata!$A:$P,16,FALSE),"")</f>
        <v>private_equity</v>
      </c>
    </row>
    <row r="489" spans="1:35" x14ac:dyDescent="0.25">
      <c r="A489">
        <v>10</v>
      </c>
      <c r="B489" s="3">
        <v>44439</v>
      </c>
      <c r="C489" s="3"/>
      <c r="D489" s="3"/>
      <c r="E489" s="3"/>
      <c r="F489" s="3"/>
      <c r="G489" s="3"/>
      <c r="H489" s="3"/>
      <c r="K489" s="4">
        <v>214240000</v>
      </c>
      <c r="L489" t="s">
        <v>89</v>
      </c>
      <c r="M489" s="5">
        <v>11.4</v>
      </c>
      <c r="N489" t="s">
        <v>89</v>
      </c>
      <c r="O489" s="5"/>
      <c r="Q489" s="2">
        <v>2.7E-2</v>
      </c>
      <c r="R489" t="s">
        <v>89</v>
      </c>
      <c r="T489" s="4"/>
      <c r="AH489" t="str">
        <f>IFERROR(VLOOKUP($A489,fund_metadata!$A:$P,2,FALSE),"")</f>
        <v>Hamilton Lane</v>
      </c>
      <c r="AI489" t="str">
        <f>IFERROR(VLOOKUP($A489,fund_metadata!$A:$P,16,FALSE),"")</f>
        <v>private_equity</v>
      </c>
    </row>
    <row r="490" spans="1:35" x14ac:dyDescent="0.25">
      <c r="A490">
        <v>10</v>
      </c>
      <c r="B490" s="3">
        <v>44469</v>
      </c>
      <c r="C490" s="3"/>
      <c r="D490" s="3"/>
      <c r="E490" s="3"/>
      <c r="F490" s="3"/>
      <c r="G490" s="3"/>
      <c r="H490" s="3"/>
      <c r="K490" s="4">
        <v>225580000</v>
      </c>
      <c r="L490" t="s">
        <v>89</v>
      </c>
      <c r="M490" s="5">
        <v>11.84</v>
      </c>
      <c r="N490" t="s">
        <v>89</v>
      </c>
      <c r="O490" s="5"/>
      <c r="Q490" s="2">
        <v>3.8600000000000002E-2</v>
      </c>
      <c r="R490" t="s">
        <v>89</v>
      </c>
      <c r="S490">
        <v>57</v>
      </c>
      <c r="T490" s="4">
        <v>249430000</v>
      </c>
      <c r="U490" t="s">
        <v>89</v>
      </c>
      <c r="V490">
        <v>19651138</v>
      </c>
      <c r="W490" t="s">
        <v>120</v>
      </c>
      <c r="AH490" t="str">
        <f>IFERROR(VLOOKUP($A490,fund_metadata!$A:$P,2,FALSE),"")</f>
        <v>Hamilton Lane</v>
      </c>
      <c r="AI490" t="str">
        <f>IFERROR(VLOOKUP($A490,fund_metadata!$A:$P,16,FALSE),"")</f>
        <v>private_equity</v>
      </c>
    </row>
    <row r="491" spans="1:35" x14ac:dyDescent="0.25">
      <c r="A491">
        <v>10</v>
      </c>
      <c r="B491" s="3">
        <v>44500</v>
      </c>
      <c r="C491" s="3"/>
      <c r="D491" s="3"/>
      <c r="E491" s="3"/>
      <c r="F491" s="3"/>
      <c r="G491" s="3"/>
      <c r="H491" s="3"/>
      <c r="K491" s="4">
        <v>251050000</v>
      </c>
      <c r="L491" t="s">
        <v>89</v>
      </c>
      <c r="M491" s="5">
        <v>12.01</v>
      </c>
      <c r="N491" t="s">
        <v>89</v>
      </c>
      <c r="O491" s="5"/>
      <c r="Q491" s="2">
        <v>1.44E-2</v>
      </c>
      <c r="R491" t="s">
        <v>89</v>
      </c>
      <c r="T491" s="4"/>
      <c r="AH491" t="str">
        <f>IFERROR(VLOOKUP($A491,fund_metadata!$A:$P,2,FALSE),"")</f>
        <v>Hamilton Lane</v>
      </c>
      <c r="AI491" t="str">
        <f>IFERROR(VLOOKUP($A491,fund_metadata!$A:$P,16,FALSE),"")</f>
        <v>private_equity</v>
      </c>
    </row>
    <row r="492" spans="1:35" x14ac:dyDescent="0.25">
      <c r="A492">
        <v>10</v>
      </c>
      <c r="B492" s="3">
        <v>44530</v>
      </c>
      <c r="C492" s="3"/>
      <c r="D492" s="3"/>
      <c r="E492" s="3"/>
      <c r="F492" s="3"/>
      <c r="G492" s="3"/>
      <c r="H492" s="3"/>
      <c r="K492" s="4">
        <v>267890000</v>
      </c>
      <c r="L492" t="s">
        <v>89</v>
      </c>
      <c r="M492" s="5">
        <v>12.02</v>
      </c>
      <c r="N492" t="s">
        <v>89</v>
      </c>
      <c r="O492" s="5"/>
      <c r="Q492" s="2">
        <v>8.0000000000000004E-4</v>
      </c>
      <c r="R492" t="s">
        <v>89</v>
      </c>
      <c r="T492" s="4"/>
      <c r="AH492" t="str">
        <f>IFERROR(VLOOKUP($A492,fund_metadata!$A:$P,2,FALSE),"")</f>
        <v>Hamilton Lane</v>
      </c>
      <c r="AI492" t="str">
        <f>IFERROR(VLOOKUP($A492,fund_metadata!$A:$P,16,FALSE),"")</f>
        <v>private_equity</v>
      </c>
    </row>
    <row r="493" spans="1:35" x14ac:dyDescent="0.25">
      <c r="A493">
        <v>10</v>
      </c>
      <c r="B493" s="3">
        <v>44561</v>
      </c>
      <c r="C493" s="3"/>
      <c r="D493" s="3"/>
      <c r="E493" s="3"/>
      <c r="F493" s="3"/>
      <c r="G493" s="3"/>
      <c r="H493" s="3"/>
      <c r="K493" s="4">
        <v>292500000</v>
      </c>
      <c r="L493" t="s">
        <v>89</v>
      </c>
      <c r="M493" s="5">
        <v>12.1</v>
      </c>
      <c r="N493" t="s">
        <v>89</v>
      </c>
      <c r="O493" s="5"/>
      <c r="Q493" s="2">
        <v>2.18E-2</v>
      </c>
      <c r="R493" t="s">
        <v>89</v>
      </c>
      <c r="S493">
        <v>73</v>
      </c>
      <c r="T493" s="4"/>
      <c r="AH493" t="str">
        <f>IFERROR(VLOOKUP($A493,fund_metadata!$A:$P,2,FALSE),"")</f>
        <v>Hamilton Lane</v>
      </c>
      <c r="AI493" t="str">
        <f>IFERROR(VLOOKUP($A493,fund_metadata!$A:$P,16,FALSE),"")</f>
        <v>private_equity</v>
      </c>
    </row>
    <row r="494" spans="1:35" x14ac:dyDescent="0.25">
      <c r="A494">
        <v>10</v>
      </c>
      <c r="B494" s="3">
        <v>44592</v>
      </c>
      <c r="C494" s="3"/>
      <c r="D494" s="3"/>
      <c r="E494" s="3"/>
      <c r="F494" s="3"/>
      <c r="G494" s="3"/>
      <c r="H494" s="3"/>
      <c r="K494" s="4">
        <v>303490000</v>
      </c>
      <c r="L494" t="s">
        <v>89</v>
      </c>
      <c r="M494" s="5">
        <v>11.91</v>
      </c>
      <c r="N494" t="s">
        <v>89</v>
      </c>
      <c r="O494" s="5"/>
      <c r="Q494" s="2">
        <v>-1.5699999999999999E-2</v>
      </c>
      <c r="R494" t="s">
        <v>89</v>
      </c>
      <c r="T494" s="4"/>
      <c r="AH494" t="str">
        <f>IFERROR(VLOOKUP($A494,fund_metadata!$A:$P,2,FALSE),"")</f>
        <v>Hamilton Lane</v>
      </c>
      <c r="AI494" t="str">
        <f>IFERROR(VLOOKUP($A494,fund_metadata!$A:$P,16,FALSE),"")</f>
        <v>private_equity</v>
      </c>
    </row>
    <row r="495" spans="1:35" x14ac:dyDescent="0.25">
      <c r="A495">
        <v>10</v>
      </c>
      <c r="B495" s="3">
        <v>44620</v>
      </c>
      <c r="C495" s="3"/>
      <c r="D495" s="3"/>
      <c r="E495" s="3"/>
      <c r="F495" s="3"/>
      <c r="G495" s="3"/>
      <c r="H495" s="3"/>
      <c r="K495" s="4">
        <v>321840000</v>
      </c>
      <c r="L495" t="s">
        <v>89</v>
      </c>
      <c r="M495" s="5">
        <v>11.97</v>
      </c>
      <c r="N495" t="s">
        <v>89</v>
      </c>
      <c r="O495" s="5"/>
      <c r="Q495" s="2">
        <v>5.0000000000000001E-3</v>
      </c>
      <c r="R495" t="s">
        <v>89</v>
      </c>
      <c r="T495" s="4"/>
      <c r="AH495" t="str">
        <f>IFERROR(VLOOKUP($A495,fund_metadata!$A:$P,2,FALSE),"")</f>
        <v>Hamilton Lane</v>
      </c>
      <c r="AI495" t="str">
        <f>IFERROR(VLOOKUP($A495,fund_metadata!$A:$P,16,FALSE),"")</f>
        <v>private_equity</v>
      </c>
    </row>
    <row r="496" spans="1:35" x14ac:dyDescent="0.25">
      <c r="A496">
        <v>10</v>
      </c>
      <c r="B496" s="3">
        <v>44651</v>
      </c>
      <c r="C496" s="3"/>
      <c r="D496" s="3"/>
      <c r="E496" s="3"/>
      <c r="F496" s="3"/>
      <c r="G496" s="3"/>
      <c r="H496" s="3"/>
      <c r="K496" s="4">
        <v>338480000</v>
      </c>
      <c r="L496" t="s">
        <v>89</v>
      </c>
      <c r="M496" s="5">
        <v>12.35</v>
      </c>
      <c r="N496" t="s">
        <v>89</v>
      </c>
      <c r="O496" s="5"/>
      <c r="Q496" s="2">
        <v>3.1699999999999999E-2</v>
      </c>
      <c r="R496" t="s">
        <v>89</v>
      </c>
      <c r="S496">
        <v>79</v>
      </c>
      <c r="T496" s="4">
        <v>365370000</v>
      </c>
      <c r="U496" t="s">
        <v>89</v>
      </c>
      <c r="V496">
        <v>26710202</v>
      </c>
      <c r="W496" t="s">
        <v>121</v>
      </c>
      <c r="AH496" t="str">
        <f>IFERROR(VLOOKUP($A496,fund_metadata!$A:$P,2,FALSE),"")</f>
        <v>Hamilton Lane</v>
      </c>
      <c r="AI496" t="str">
        <f>IFERROR(VLOOKUP($A496,fund_metadata!$A:$P,16,FALSE),"")</f>
        <v>private_equity</v>
      </c>
    </row>
    <row r="497" spans="1:35" x14ac:dyDescent="0.25">
      <c r="A497">
        <v>10</v>
      </c>
      <c r="B497" s="3">
        <v>44681</v>
      </c>
      <c r="C497" s="3"/>
      <c r="D497" s="3"/>
      <c r="E497" s="3"/>
      <c r="F497" s="3"/>
      <c r="G497" s="3"/>
      <c r="H497" s="3"/>
      <c r="K497" s="4">
        <v>344500000</v>
      </c>
      <c r="L497" t="s">
        <v>89</v>
      </c>
      <c r="M497" s="5">
        <v>12.01</v>
      </c>
      <c r="N497" t="s">
        <v>89</v>
      </c>
      <c r="O497" s="5"/>
      <c r="Q497" s="2">
        <v>-2.75E-2</v>
      </c>
      <c r="R497" t="s">
        <v>89</v>
      </c>
      <c r="T497" s="4"/>
      <c r="AH497" t="str">
        <f>IFERROR(VLOOKUP($A497,fund_metadata!$A:$P,2,FALSE),"")</f>
        <v>Hamilton Lane</v>
      </c>
      <c r="AI497" t="str">
        <f>IFERROR(VLOOKUP($A497,fund_metadata!$A:$P,16,FALSE),"")</f>
        <v>private_equity</v>
      </c>
    </row>
    <row r="498" spans="1:35" x14ac:dyDescent="0.25">
      <c r="A498">
        <v>10</v>
      </c>
      <c r="B498" s="3">
        <v>44712</v>
      </c>
      <c r="C498" s="3"/>
      <c r="D498" s="3"/>
      <c r="E498" s="3"/>
      <c r="F498" s="3"/>
      <c r="G498" s="3"/>
      <c r="H498" s="3"/>
      <c r="K498" s="4">
        <v>367980000</v>
      </c>
      <c r="L498" t="s">
        <v>89</v>
      </c>
      <c r="M498" s="5">
        <v>12.29</v>
      </c>
      <c r="N498" t="s">
        <v>89</v>
      </c>
      <c r="O498" s="5"/>
      <c r="Q498" s="2">
        <v>2.3300000000000001E-2</v>
      </c>
      <c r="R498" t="s">
        <v>89</v>
      </c>
      <c r="T498" s="4"/>
      <c r="AH498" t="str">
        <f>IFERROR(VLOOKUP($A498,fund_metadata!$A:$P,2,FALSE),"")</f>
        <v>Hamilton Lane</v>
      </c>
      <c r="AI498" t="str">
        <f>IFERROR(VLOOKUP($A498,fund_metadata!$A:$P,16,FALSE),"")</f>
        <v>private_equity</v>
      </c>
    </row>
    <row r="499" spans="1:35" x14ac:dyDescent="0.25">
      <c r="A499">
        <v>10</v>
      </c>
      <c r="B499" s="3">
        <v>44742</v>
      </c>
      <c r="C499" s="3"/>
      <c r="D499" s="3"/>
      <c r="E499" s="3"/>
      <c r="F499" s="3"/>
      <c r="G499" s="3"/>
      <c r="H499" s="3"/>
      <c r="K499" s="4">
        <v>383670000</v>
      </c>
      <c r="L499" t="s">
        <v>89</v>
      </c>
      <c r="M499" s="5">
        <v>12.2</v>
      </c>
      <c r="N499" t="s">
        <v>89</v>
      </c>
      <c r="O499" s="5"/>
      <c r="Q499" s="2">
        <v>-7.3000000000000001E-3</v>
      </c>
      <c r="R499" t="s">
        <v>89</v>
      </c>
      <c r="S499">
        <v>84</v>
      </c>
      <c r="T499" s="4"/>
      <c r="AH499" t="str">
        <f>IFERROR(VLOOKUP($A499,fund_metadata!$A:$P,2,FALSE),"")</f>
        <v>Hamilton Lane</v>
      </c>
      <c r="AI499" t="str">
        <f>IFERROR(VLOOKUP($A499,fund_metadata!$A:$P,16,FALSE),"")</f>
        <v>private_equity</v>
      </c>
    </row>
    <row r="500" spans="1:35" x14ac:dyDescent="0.25">
      <c r="A500">
        <v>10</v>
      </c>
      <c r="B500" s="3">
        <v>44773</v>
      </c>
      <c r="C500" s="3"/>
      <c r="D500" s="3"/>
      <c r="E500" s="3"/>
      <c r="F500" s="3"/>
      <c r="G500" s="3"/>
      <c r="H500" s="3"/>
      <c r="K500" s="4">
        <v>411080000</v>
      </c>
      <c r="L500" t="s">
        <v>89</v>
      </c>
      <c r="M500" s="5">
        <v>12.79</v>
      </c>
      <c r="N500" t="s">
        <v>89</v>
      </c>
      <c r="O500" s="5"/>
      <c r="Q500" s="2">
        <v>4.8399999999999999E-2</v>
      </c>
      <c r="R500" t="s">
        <v>89</v>
      </c>
      <c r="T500" s="4"/>
      <c r="AH500" t="str">
        <f>IFERROR(VLOOKUP($A500,fund_metadata!$A:$P,2,FALSE),"")</f>
        <v>Hamilton Lane</v>
      </c>
      <c r="AI500" t="str">
        <f>IFERROR(VLOOKUP($A500,fund_metadata!$A:$P,16,FALSE),"")</f>
        <v>private_equity</v>
      </c>
    </row>
    <row r="501" spans="1:35" x14ac:dyDescent="0.25">
      <c r="A501">
        <v>10</v>
      </c>
      <c r="B501" s="3">
        <v>44804</v>
      </c>
      <c r="C501" s="3"/>
      <c r="D501" s="3"/>
      <c r="E501" s="3"/>
      <c r="F501" s="3"/>
      <c r="G501" s="3"/>
      <c r="H501" s="3"/>
      <c r="K501" s="4">
        <v>428430000</v>
      </c>
      <c r="L501" t="s">
        <v>89</v>
      </c>
      <c r="M501" s="5">
        <v>13</v>
      </c>
      <c r="N501" t="s">
        <v>89</v>
      </c>
      <c r="O501" s="5"/>
      <c r="Q501" s="2">
        <v>1.6400000000000001E-2</v>
      </c>
      <c r="R501" t="s">
        <v>89</v>
      </c>
      <c r="T501" s="4"/>
      <c r="AH501" t="str">
        <f>IFERROR(VLOOKUP($A501,fund_metadata!$A:$P,2,FALSE),"")</f>
        <v>Hamilton Lane</v>
      </c>
      <c r="AI501" t="str">
        <f>IFERROR(VLOOKUP($A501,fund_metadata!$A:$P,16,FALSE),"")</f>
        <v>private_equity</v>
      </c>
    </row>
    <row r="502" spans="1:35" x14ac:dyDescent="0.25">
      <c r="A502">
        <v>10</v>
      </c>
      <c r="B502" s="3">
        <v>44834</v>
      </c>
      <c r="C502" s="3"/>
      <c r="D502" s="3"/>
      <c r="E502" s="3"/>
      <c r="F502" s="3"/>
      <c r="G502" s="3"/>
      <c r="H502" s="3"/>
      <c r="K502" s="4">
        <v>436710000</v>
      </c>
      <c r="L502" t="s">
        <v>89</v>
      </c>
      <c r="M502" s="5">
        <v>12.99</v>
      </c>
      <c r="N502" t="s">
        <v>89</v>
      </c>
      <c r="O502" s="5"/>
      <c r="Q502" s="2">
        <v>-8.0000000000000004E-4</v>
      </c>
      <c r="R502" t="s">
        <v>89</v>
      </c>
      <c r="S502">
        <v>90</v>
      </c>
      <c r="T502" s="4">
        <v>463950000</v>
      </c>
      <c r="U502" t="s">
        <v>89</v>
      </c>
      <c r="V502">
        <v>31669215</v>
      </c>
      <c r="W502" t="s">
        <v>120</v>
      </c>
      <c r="AH502" t="str">
        <f>IFERROR(VLOOKUP($A502,fund_metadata!$A:$P,2,FALSE),"")</f>
        <v>Hamilton Lane</v>
      </c>
      <c r="AI502" t="str">
        <f>IFERROR(VLOOKUP($A502,fund_metadata!$A:$P,16,FALSE),"")</f>
        <v>private_equity</v>
      </c>
    </row>
    <row r="503" spans="1:35" x14ac:dyDescent="0.25">
      <c r="A503">
        <v>10</v>
      </c>
      <c r="B503" s="3">
        <v>44865</v>
      </c>
      <c r="C503" s="3"/>
      <c r="D503" s="3"/>
      <c r="E503" s="3"/>
      <c r="F503" s="3"/>
      <c r="G503" s="3"/>
      <c r="H503" s="3"/>
      <c r="K503" s="4">
        <v>461990000</v>
      </c>
      <c r="L503" t="s">
        <v>89</v>
      </c>
      <c r="M503" s="5">
        <v>13.42</v>
      </c>
      <c r="N503" t="s">
        <v>89</v>
      </c>
      <c r="O503" s="5"/>
      <c r="Q503" s="2">
        <v>3.3099999999999997E-2</v>
      </c>
      <c r="R503" t="s">
        <v>89</v>
      </c>
      <c r="T503" s="4"/>
      <c r="AH503" t="str">
        <f>IFERROR(VLOOKUP($A503,fund_metadata!$A:$P,2,FALSE),"")</f>
        <v>Hamilton Lane</v>
      </c>
      <c r="AI503" t="str">
        <f>IFERROR(VLOOKUP($A503,fund_metadata!$A:$P,16,FALSE),"")</f>
        <v>private_equity</v>
      </c>
    </row>
    <row r="504" spans="1:35" x14ac:dyDescent="0.25">
      <c r="A504">
        <v>10</v>
      </c>
      <c r="B504" s="3">
        <v>44895</v>
      </c>
      <c r="C504" s="3"/>
      <c r="D504" s="3"/>
      <c r="E504" s="3"/>
      <c r="F504" s="3"/>
      <c r="G504" s="3"/>
      <c r="H504" s="3"/>
      <c r="K504" s="4">
        <v>482750000</v>
      </c>
      <c r="L504" t="s">
        <v>89</v>
      </c>
      <c r="M504" s="5">
        <v>13.9</v>
      </c>
      <c r="N504" t="s">
        <v>89</v>
      </c>
      <c r="O504" s="5"/>
      <c r="Q504" s="2">
        <v>3.5799999999999998E-2</v>
      </c>
      <c r="R504" t="s">
        <v>89</v>
      </c>
      <c r="T504" s="4"/>
      <c r="AH504" t="str">
        <f>IFERROR(VLOOKUP($A504,fund_metadata!$A:$P,2,FALSE),"")</f>
        <v>Hamilton Lane</v>
      </c>
      <c r="AI504" t="str">
        <f>IFERROR(VLOOKUP($A504,fund_metadata!$A:$P,16,FALSE),"")</f>
        <v>private_equity</v>
      </c>
    </row>
    <row r="505" spans="1:35" x14ac:dyDescent="0.25">
      <c r="A505">
        <v>10</v>
      </c>
      <c r="B505" s="3">
        <v>44926</v>
      </c>
      <c r="C505" s="3"/>
      <c r="D505" s="3"/>
      <c r="E505" s="3"/>
      <c r="F505" s="3"/>
      <c r="G505" s="3"/>
      <c r="H505" s="3"/>
      <c r="K505" s="4">
        <v>502120000</v>
      </c>
      <c r="L505" t="s">
        <v>89</v>
      </c>
      <c r="M505" s="5">
        <v>13.87</v>
      </c>
      <c r="N505" t="s">
        <v>89</v>
      </c>
      <c r="O505" s="5"/>
      <c r="Q505" s="2">
        <v>1.1900000000000001E-2</v>
      </c>
      <c r="R505" t="s">
        <v>89</v>
      </c>
      <c r="S505">
        <v>89</v>
      </c>
      <c r="T505" s="4"/>
      <c r="AH505" t="str">
        <f>IFERROR(VLOOKUP($A505,fund_metadata!$A:$P,2,FALSE),"")</f>
        <v>Hamilton Lane</v>
      </c>
      <c r="AI505" t="str">
        <f>IFERROR(VLOOKUP($A505,fund_metadata!$A:$P,16,FALSE),"")</f>
        <v>private_equity</v>
      </c>
    </row>
    <row r="506" spans="1:35" x14ac:dyDescent="0.25">
      <c r="A506">
        <v>10</v>
      </c>
      <c r="B506" s="3">
        <v>44957</v>
      </c>
      <c r="C506" s="3"/>
      <c r="D506" s="3"/>
      <c r="E506" s="3"/>
      <c r="F506" s="3"/>
      <c r="G506" s="3"/>
      <c r="H506" s="3"/>
      <c r="K506" s="4">
        <v>540760000</v>
      </c>
      <c r="L506" t="s">
        <v>89</v>
      </c>
      <c r="M506" s="5">
        <v>14.22</v>
      </c>
      <c r="N506" t="s">
        <v>89</v>
      </c>
      <c r="O506" s="5"/>
      <c r="Q506" s="2">
        <v>2.52E-2</v>
      </c>
      <c r="R506" t="s">
        <v>89</v>
      </c>
      <c r="T506" s="4"/>
      <c r="AH506" t="str">
        <f>IFERROR(VLOOKUP($A506,fund_metadata!$A:$P,2,FALSE),"")</f>
        <v>Hamilton Lane</v>
      </c>
      <c r="AI506" t="str">
        <f>IFERROR(VLOOKUP($A506,fund_metadata!$A:$P,16,FALSE),"")</f>
        <v>private_equity</v>
      </c>
    </row>
    <row r="507" spans="1:35" x14ac:dyDescent="0.25">
      <c r="A507">
        <v>10</v>
      </c>
      <c r="B507" s="3">
        <v>44985</v>
      </c>
      <c r="C507" s="3"/>
      <c r="D507" s="3"/>
      <c r="E507" s="3"/>
      <c r="F507" s="3"/>
      <c r="G507" s="3"/>
      <c r="H507" s="3"/>
      <c r="K507" s="4">
        <v>555100000</v>
      </c>
      <c r="L507" t="s">
        <v>89</v>
      </c>
      <c r="M507" s="5">
        <v>14.24</v>
      </c>
      <c r="N507" t="s">
        <v>89</v>
      </c>
      <c r="O507" s="5"/>
      <c r="Q507" s="2">
        <v>1.4E-3</v>
      </c>
      <c r="R507" t="s">
        <v>89</v>
      </c>
      <c r="T507" s="4"/>
      <c r="AH507" t="str">
        <f>IFERROR(VLOOKUP($A507,fund_metadata!$A:$P,2,FALSE),"")</f>
        <v>Hamilton Lane</v>
      </c>
      <c r="AI507" t="str">
        <f>IFERROR(VLOOKUP($A507,fund_metadata!$A:$P,16,FALSE),"")</f>
        <v>private_equity</v>
      </c>
    </row>
    <row r="508" spans="1:35" x14ac:dyDescent="0.25">
      <c r="A508">
        <v>10</v>
      </c>
      <c r="B508" s="3">
        <v>45016</v>
      </c>
      <c r="C508" s="3"/>
      <c r="D508" s="3"/>
      <c r="E508" s="3"/>
      <c r="F508" s="3"/>
      <c r="G508" s="3"/>
      <c r="H508" s="3"/>
      <c r="K508" s="4">
        <v>581630000</v>
      </c>
      <c r="L508" t="s">
        <v>89</v>
      </c>
      <c r="M508" s="5">
        <v>14.14</v>
      </c>
      <c r="N508" t="s">
        <v>89</v>
      </c>
      <c r="O508" s="5"/>
      <c r="Q508" s="2">
        <v>-7.0000000000000001E-3</v>
      </c>
      <c r="R508" t="s">
        <v>89</v>
      </c>
      <c r="S508">
        <v>109</v>
      </c>
      <c r="T508" s="4">
        <v>644780000</v>
      </c>
      <c r="U508" t="s">
        <v>89</v>
      </c>
      <c r="V508">
        <v>37766460</v>
      </c>
      <c r="W508" t="s">
        <v>121</v>
      </c>
      <c r="AH508" t="str">
        <f>IFERROR(VLOOKUP($A508,fund_metadata!$A:$P,2,FALSE),"")</f>
        <v>Hamilton Lane</v>
      </c>
      <c r="AI508" t="str">
        <f>IFERROR(VLOOKUP($A508,fund_metadata!$A:$P,16,FALSE),"")</f>
        <v>private_equity</v>
      </c>
    </row>
    <row r="509" spans="1:35" x14ac:dyDescent="0.25">
      <c r="A509">
        <v>10</v>
      </c>
      <c r="B509" s="3">
        <v>45046</v>
      </c>
      <c r="C509" s="3"/>
      <c r="D509" s="3"/>
      <c r="E509" s="3"/>
      <c r="F509" s="3"/>
      <c r="G509" s="3"/>
      <c r="H509" s="3"/>
      <c r="K509" s="4">
        <v>621540000</v>
      </c>
      <c r="L509" t="s">
        <v>89</v>
      </c>
      <c r="M509" s="5">
        <v>14.2</v>
      </c>
      <c r="N509" t="s">
        <v>89</v>
      </c>
      <c r="O509" s="5"/>
      <c r="Q509" s="2">
        <v>4.1999999999999997E-3</v>
      </c>
      <c r="R509" t="s">
        <v>89</v>
      </c>
      <c r="T509" s="4"/>
      <c r="AH509" t="str">
        <f>IFERROR(VLOOKUP($A509,fund_metadata!$A:$P,2,FALSE),"")</f>
        <v>Hamilton Lane</v>
      </c>
      <c r="AI509" t="str">
        <f>IFERROR(VLOOKUP($A509,fund_metadata!$A:$P,16,FALSE),"")</f>
        <v>private_equity</v>
      </c>
    </row>
    <row r="510" spans="1:35" x14ac:dyDescent="0.25">
      <c r="A510">
        <v>10</v>
      </c>
      <c r="B510" s="3">
        <v>45077</v>
      </c>
      <c r="C510" s="3"/>
      <c r="D510" s="3"/>
      <c r="E510" s="3"/>
      <c r="F510" s="3"/>
      <c r="G510" s="3"/>
      <c r="H510" s="3"/>
      <c r="K510" s="4">
        <v>646400000</v>
      </c>
      <c r="L510" t="s">
        <v>89</v>
      </c>
      <c r="M510" s="5">
        <v>14.23</v>
      </c>
      <c r="N510" t="s">
        <v>89</v>
      </c>
      <c r="O510" s="5"/>
      <c r="Q510" s="2">
        <v>2.0999999999999999E-3</v>
      </c>
      <c r="R510" t="s">
        <v>89</v>
      </c>
      <c r="T510" s="4"/>
      <c r="AH510" t="str">
        <f>IFERROR(VLOOKUP($A510,fund_metadata!$A:$P,2,FALSE),"")</f>
        <v>Hamilton Lane</v>
      </c>
      <c r="AI510" t="str">
        <f>IFERROR(VLOOKUP($A510,fund_metadata!$A:$P,16,FALSE),"")</f>
        <v>private_equity</v>
      </c>
    </row>
    <row r="511" spans="1:35" x14ac:dyDescent="0.25">
      <c r="A511">
        <v>10</v>
      </c>
      <c r="B511" s="3">
        <v>45107</v>
      </c>
      <c r="C511" s="3"/>
      <c r="D511" s="3"/>
      <c r="E511" s="3"/>
      <c r="F511" s="3"/>
      <c r="G511" s="3"/>
      <c r="H511" s="3"/>
      <c r="K511" s="4">
        <v>734520000</v>
      </c>
      <c r="L511" t="s">
        <v>89</v>
      </c>
      <c r="M511" s="5">
        <v>14.65</v>
      </c>
      <c r="N511" t="s">
        <v>89</v>
      </c>
      <c r="O511" s="5"/>
      <c r="Q511" s="2">
        <v>2.9499999999999998E-2</v>
      </c>
      <c r="R511" t="s">
        <v>89</v>
      </c>
      <c r="S511">
        <v>114</v>
      </c>
      <c r="T511" s="4"/>
      <c r="AH511" t="str">
        <f>IFERROR(VLOOKUP($A511,fund_metadata!$A:$P,2,FALSE),"")</f>
        <v>Hamilton Lane</v>
      </c>
      <c r="AI511" t="str">
        <f>IFERROR(VLOOKUP($A511,fund_metadata!$A:$P,16,FALSE),"")</f>
        <v>private_equity</v>
      </c>
    </row>
    <row r="512" spans="1:35" x14ac:dyDescent="0.25">
      <c r="A512">
        <v>10</v>
      </c>
      <c r="B512" s="3">
        <v>45138</v>
      </c>
      <c r="C512" s="3"/>
      <c r="D512" s="3"/>
      <c r="E512" s="3"/>
      <c r="F512" s="3"/>
      <c r="G512" s="3"/>
      <c r="H512" s="3"/>
      <c r="K512" s="4">
        <v>903380000</v>
      </c>
      <c r="L512" t="s">
        <v>89</v>
      </c>
      <c r="M512" s="5">
        <v>14.74</v>
      </c>
      <c r="N512" t="s">
        <v>89</v>
      </c>
      <c r="O512" s="5"/>
      <c r="Q512" s="2">
        <v>6.0000000000000001E-3</v>
      </c>
      <c r="R512" t="s">
        <v>89</v>
      </c>
      <c r="T512" s="4"/>
      <c r="AH512" t="str">
        <f>IFERROR(VLOOKUP($A512,fund_metadata!$A:$P,2,FALSE),"")</f>
        <v>Hamilton Lane</v>
      </c>
      <c r="AI512" t="str">
        <f>IFERROR(VLOOKUP($A512,fund_metadata!$A:$P,16,FALSE),"")</f>
        <v>private_equity</v>
      </c>
    </row>
    <row r="513" spans="1:35" x14ac:dyDescent="0.25">
      <c r="A513">
        <v>10</v>
      </c>
      <c r="B513" s="3">
        <v>45169</v>
      </c>
      <c r="C513" s="3"/>
      <c r="D513" s="3"/>
      <c r="E513" s="3"/>
      <c r="F513" s="3"/>
      <c r="G513" s="3"/>
      <c r="H513" s="3"/>
      <c r="K513" s="4">
        <v>962580000</v>
      </c>
      <c r="L513" t="s">
        <v>89</v>
      </c>
      <c r="M513" s="5">
        <v>14.62</v>
      </c>
      <c r="N513" t="s">
        <v>89</v>
      </c>
      <c r="O513" s="5"/>
      <c r="Q513" s="2">
        <v>-7.9000000000000008E-3</v>
      </c>
      <c r="R513" t="s">
        <v>89</v>
      </c>
      <c r="T513" s="4"/>
      <c r="AH513" t="str">
        <f>IFERROR(VLOOKUP($A513,fund_metadata!$A:$P,2,FALSE),"")</f>
        <v>Hamilton Lane</v>
      </c>
      <c r="AI513" t="str">
        <f>IFERROR(VLOOKUP($A513,fund_metadata!$A:$P,16,FALSE),"")</f>
        <v>private_equity</v>
      </c>
    </row>
    <row r="514" spans="1:35" x14ac:dyDescent="0.25">
      <c r="A514">
        <v>10</v>
      </c>
      <c r="B514" s="3">
        <v>45199</v>
      </c>
      <c r="C514" s="3"/>
      <c r="D514" s="3"/>
      <c r="E514" s="3"/>
      <c r="F514" s="3"/>
      <c r="G514" s="3"/>
      <c r="H514" s="3"/>
      <c r="K514" s="4">
        <v>1050000000</v>
      </c>
      <c r="L514" t="s">
        <v>89</v>
      </c>
      <c r="M514" s="5">
        <v>14.79</v>
      </c>
      <c r="N514" t="s">
        <v>89</v>
      </c>
      <c r="O514" s="5"/>
      <c r="Q514" s="2">
        <v>1.1299999999999999E-2</v>
      </c>
      <c r="R514" t="s">
        <v>89</v>
      </c>
      <c r="S514">
        <v>163</v>
      </c>
      <c r="T514" s="4">
        <v>1340000000</v>
      </c>
      <c r="U514" t="s">
        <v>89</v>
      </c>
      <c r="V514">
        <v>53023949</v>
      </c>
      <c r="W514" t="s">
        <v>120</v>
      </c>
      <c r="AH514" t="str">
        <f>IFERROR(VLOOKUP($A514,fund_metadata!$A:$P,2,FALSE),"")</f>
        <v>Hamilton Lane</v>
      </c>
      <c r="AI514" t="str">
        <f>IFERROR(VLOOKUP($A514,fund_metadata!$A:$P,16,FALSE),"")</f>
        <v>private_equity</v>
      </c>
    </row>
    <row r="515" spans="1:35" x14ac:dyDescent="0.25">
      <c r="A515">
        <v>10</v>
      </c>
      <c r="B515" s="3">
        <v>45230</v>
      </c>
      <c r="C515" s="3"/>
      <c r="D515" s="3"/>
      <c r="E515" s="3"/>
      <c r="F515" s="3"/>
      <c r="G515" s="3"/>
      <c r="H515" s="3"/>
      <c r="K515" s="4">
        <v>1200000000</v>
      </c>
      <c r="L515" t="s">
        <v>89</v>
      </c>
      <c r="M515" s="5">
        <v>14.8</v>
      </c>
      <c r="N515" t="s">
        <v>89</v>
      </c>
      <c r="O515" s="5"/>
      <c r="Q515" s="2">
        <v>5.9999999999999995E-4</v>
      </c>
      <c r="R515" t="s">
        <v>89</v>
      </c>
      <c r="T515" s="4"/>
      <c r="AH515" t="str">
        <f>IFERROR(VLOOKUP($A515,fund_metadata!$A:$P,2,FALSE),"")</f>
        <v>Hamilton Lane</v>
      </c>
      <c r="AI515" t="str">
        <f>IFERROR(VLOOKUP($A515,fund_metadata!$A:$P,16,FALSE),"")</f>
        <v>private_equity</v>
      </c>
    </row>
    <row r="516" spans="1:35" x14ac:dyDescent="0.25">
      <c r="A516">
        <v>10</v>
      </c>
      <c r="B516" s="3">
        <v>45260</v>
      </c>
      <c r="C516" s="3"/>
      <c r="D516" s="3"/>
      <c r="E516" s="3"/>
      <c r="F516" s="3"/>
      <c r="G516" s="3"/>
      <c r="H516" s="3"/>
      <c r="K516" s="4">
        <v>1290000000</v>
      </c>
      <c r="L516" t="s">
        <v>89</v>
      </c>
      <c r="M516" s="5">
        <v>15.13</v>
      </c>
      <c r="N516" t="s">
        <v>89</v>
      </c>
      <c r="O516" s="5"/>
      <c r="Q516" s="2">
        <v>2.2499999999999999E-2</v>
      </c>
      <c r="R516" t="s">
        <v>89</v>
      </c>
      <c r="T516" s="4"/>
      <c r="AH516" t="str">
        <f>IFERROR(VLOOKUP($A516,fund_metadata!$A:$P,2,FALSE),"")</f>
        <v>Hamilton Lane</v>
      </c>
      <c r="AI516" t="str">
        <f>IFERROR(VLOOKUP($A516,fund_metadata!$A:$P,16,FALSE),"")</f>
        <v>private_equity</v>
      </c>
    </row>
    <row r="517" spans="1:35" x14ac:dyDescent="0.25">
      <c r="A517">
        <v>10</v>
      </c>
      <c r="B517" s="3">
        <v>45291</v>
      </c>
      <c r="C517" s="3"/>
      <c r="D517" s="3"/>
      <c r="E517" s="3"/>
      <c r="F517" s="3"/>
      <c r="G517" s="3"/>
      <c r="H517" s="3"/>
      <c r="K517" s="4">
        <v>1380000000</v>
      </c>
      <c r="L517" t="s">
        <v>89</v>
      </c>
      <c r="M517" s="5">
        <v>15.47</v>
      </c>
      <c r="N517" t="s">
        <v>89</v>
      </c>
      <c r="O517" s="5"/>
      <c r="Q517" s="2">
        <v>3.04E-2</v>
      </c>
      <c r="R517" t="s">
        <v>89</v>
      </c>
      <c r="S517">
        <v>188</v>
      </c>
      <c r="T517" s="4"/>
      <c r="AH517" t="str">
        <f>IFERROR(VLOOKUP($A517,fund_metadata!$A:$P,2,FALSE),"")</f>
        <v>Hamilton Lane</v>
      </c>
      <c r="AI517" t="str">
        <f>IFERROR(VLOOKUP($A517,fund_metadata!$A:$P,16,FALSE),"")</f>
        <v>private_equity</v>
      </c>
    </row>
    <row r="518" spans="1:35" x14ac:dyDescent="0.25">
      <c r="A518">
        <v>10</v>
      </c>
      <c r="B518" s="3">
        <v>45322</v>
      </c>
      <c r="C518" s="3"/>
      <c r="D518" s="3"/>
      <c r="E518" s="3"/>
      <c r="F518" s="3"/>
      <c r="G518" s="3"/>
      <c r="H518" s="3"/>
      <c r="K518" s="4">
        <v>1520000000</v>
      </c>
      <c r="L518" t="s">
        <v>89</v>
      </c>
      <c r="M518" s="5">
        <v>15.57</v>
      </c>
      <c r="N518" t="s">
        <v>89</v>
      </c>
      <c r="O518" s="5"/>
      <c r="Q518" s="2">
        <v>6.6E-3</v>
      </c>
      <c r="R518" t="s">
        <v>89</v>
      </c>
      <c r="T518" s="4"/>
      <c r="AH518" t="str">
        <f>IFERROR(VLOOKUP($A518,fund_metadata!$A:$P,2,FALSE),"")</f>
        <v>Hamilton Lane</v>
      </c>
      <c r="AI518" t="str">
        <f>IFERROR(VLOOKUP($A518,fund_metadata!$A:$P,16,FALSE),"")</f>
        <v>private_equity</v>
      </c>
    </row>
    <row r="519" spans="1:35" x14ac:dyDescent="0.25">
      <c r="A519">
        <v>10</v>
      </c>
      <c r="B519" s="3">
        <v>45351</v>
      </c>
      <c r="C519" s="3"/>
      <c r="D519" s="3"/>
      <c r="E519" s="3"/>
      <c r="F519" s="3"/>
      <c r="G519" s="3"/>
      <c r="H519" s="3"/>
      <c r="K519" s="4">
        <v>1630000000</v>
      </c>
      <c r="L519" t="s">
        <v>89</v>
      </c>
      <c r="M519" s="5">
        <v>15.72</v>
      </c>
      <c r="N519" t="s">
        <v>89</v>
      </c>
      <c r="O519" s="5"/>
      <c r="Q519" s="2">
        <v>9.5999999999999992E-3</v>
      </c>
      <c r="R519" t="s">
        <v>89</v>
      </c>
      <c r="T519" s="4"/>
      <c r="AH519" t="str">
        <f>IFERROR(VLOOKUP($A519,fund_metadata!$A:$P,2,FALSE),"")</f>
        <v>Hamilton Lane</v>
      </c>
      <c r="AI519" t="str">
        <f>IFERROR(VLOOKUP($A519,fund_metadata!$A:$P,16,FALSE),"")</f>
        <v>private_equity</v>
      </c>
    </row>
    <row r="520" spans="1:35" x14ac:dyDescent="0.25">
      <c r="A520">
        <v>10</v>
      </c>
      <c r="B520" s="3">
        <v>45382</v>
      </c>
      <c r="C520" s="3"/>
      <c r="D520" s="3"/>
      <c r="E520" s="3"/>
      <c r="F520" s="3"/>
      <c r="G520" s="3"/>
      <c r="H520" s="3"/>
      <c r="K520" s="4">
        <v>1780000000</v>
      </c>
      <c r="L520" t="s">
        <v>89</v>
      </c>
      <c r="M520" s="5">
        <v>15.81</v>
      </c>
      <c r="N520" t="s">
        <v>89</v>
      </c>
      <c r="O520" s="5"/>
      <c r="Q520" s="2">
        <v>5.7000000000000002E-3</v>
      </c>
      <c r="R520" t="s">
        <v>89</v>
      </c>
      <c r="S520">
        <v>213</v>
      </c>
      <c r="T520" s="4">
        <v>2050000000</v>
      </c>
      <c r="U520" t="s">
        <v>89</v>
      </c>
      <c r="V520">
        <v>72728591</v>
      </c>
      <c r="W520" t="s">
        <v>121</v>
      </c>
      <c r="AH520" t="str">
        <f>IFERROR(VLOOKUP($A520,fund_metadata!$A:$P,2,FALSE),"")</f>
        <v>Hamilton Lane</v>
      </c>
      <c r="AI520" t="str">
        <f>IFERROR(VLOOKUP($A520,fund_metadata!$A:$P,16,FALSE),"")</f>
        <v>private_equity</v>
      </c>
    </row>
    <row r="521" spans="1:35" x14ac:dyDescent="0.25">
      <c r="A521">
        <v>10</v>
      </c>
      <c r="B521" s="3">
        <v>45412</v>
      </c>
      <c r="C521" s="3"/>
      <c r="D521" s="3"/>
      <c r="E521" s="3"/>
      <c r="F521" s="3"/>
      <c r="G521" s="3"/>
      <c r="H521" s="3"/>
      <c r="K521" s="4">
        <v>1890000000</v>
      </c>
      <c r="L521" t="s">
        <v>89</v>
      </c>
      <c r="M521" s="5">
        <v>15.67</v>
      </c>
      <c r="N521" t="s">
        <v>89</v>
      </c>
      <c r="O521" s="5"/>
      <c r="Q521" s="2">
        <v>-8.9999999999999993E-3</v>
      </c>
      <c r="R521" t="s">
        <v>89</v>
      </c>
      <c r="T521" s="4"/>
      <c r="AH521" t="str">
        <f>IFERROR(VLOOKUP($A521,fund_metadata!$A:$P,2,FALSE),"")</f>
        <v>Hamilton Lane</v>
      </c>
      <c r="AI521" t="str">
        <f>IFERROR(VLOOKUP($A521,fund_metadata!$A:$P,16,FALSE),"")</f>
        <v>private_equity</v>
      </c>
    </row>
    <row r="522" spans="1:35" x14ac:dyDescent="0.25">
      <c r="A522">
        <v>10</v>
      </c>
      <c r="B522" s="3">
        <v>45443</v>
      </c>
      <c r="C522" s="3"/>
      <c r="D522" s="3"/>
      <c r="E522" s="3"/>
      <c r="F522" s="3"/>
      <c r="G522" s="3"/>
      <c r="H522" s="3"/>
      <c r="K522" s="4">
        <v>2060000000</v>
      </c>
      <c r="L522" t="s">
        <v>89</v>
      </c>
      <c r="M522" s="5">
        <v>15.81</v>
      </c>
      <c r="N522" t="s">
        <v>89</v>
      </c>
      <c r="O522" s="5"/>
      <c r="Q522" s="2">
        <v>9.4000000000000004E-3</v>
      </c>
      <c r="R522" t="s">
        <v>89</v>
      </c>
      <c r="T522" s="4"/>
      <c r="AH522" t="str">
        <f>IFERROR(VLOOKUP($A522,fund_metadata!$A:$P,2,FALSE),"")</f>
        <v>Hamilton Lane</v>
      </c>
      <c r="AI522" t="str">
        <f>IFERROR(VLOOKUP($A522,fund_metadata!$A:$P,16,FALSE),"")</f>
        <v>private_equity</v>
      </c>
    </row>
    <row r="523" spans="1:35" x14ac:dyDescent="0.25">
      <c r="A523">
        <v>10</v>
      </c>
      <c r="B523" s="3">
        <v>45473</v>
      </c>
      <c r="C523" s="3"/>
      <c r="D523" s="3"/>
      <c r="E523" s="3"/>
      <c r="F523" s="3"/>
      <c r="G523" s="3"/>
      <c r="H523" s="3"/>
      <c r="K523" s="4">
        <v>2260000000</v>
      </c>
      <c r="L523" t="s">
        <v>89</v>
      </c>
      <c r="M523" s="5">
        <v>16.170000000000002</v>
      </c>
      <c r="N523" t="s">
        <v>89</v>
      </c>
      <c r="O523" s="5">
        <v>0</v>
      </c>
      <c r="P523" t="s">
        <v>108</v>
      </c>
      <c r="Q523" s="2">
        <v>2.24E-2</v>
      </c>
      <c r="R523" t="s">
        <v>89</v>
      </c>
      <c r="S523">
        <v>232</v>
      </c>
      <c r="T523" s="4"/>
      <c r="AH523" t="str">
        <f>IFERROR(VLOOKUP($A523,fund_metadata!$A:$P,2,FALSE),"")</f>
        <v>Hamilton Lane</v>
      </c>
      <c r="AI523" t="str">
        <f>IFERROR(VLOOKUP($A523,fund_metadata!$A:$P,16,FALSE),"")</f>
        <v>private_equity</v>
      </c>
    </row>
    <row r="524" spans="1:35" x14ac:dyDescent="0.25">
      <c r="A524">
        <v>10</v>
      </c>
      <c r="B524" s="3">
        <v>45504</v>
      </c>
      <c r="C524" s="3"/>
      <c r="D524" s="3"/>
      <c r="E524" s="3"/>
      <c r="F524" s="3"/>
      <c r="G524" s="3"/>
      <c r="H524" s="3"/>
      <c r="K524" s="4">
        <v>2370000000</v>
      </c>
      <c r="L524" t="s">
        <v>89</v>
      </c>
      <c r="M524" s="5">
        <v>16.22</v>
      </c>
      <c r="N524" t="s">
        <v>89</v>
      </c>
      <c r="O524" s="5">
        <v>0</v>
      </c>
      <c r="P524" t="s">
        <v>108</v>
      </c>
      <c r="Q524" s="2">
        <v>3.3E-3</v>
      </c>
      <c r="R524" t="s">
        <v>89</v>
      </c>
      <c r="T524" s="4"/>
      <c r="AH524" t="str">
        <f>IFERROR(VLOOKUP($A524,fund_metadata!$A:$P,2,FALSE),"")</f>
        <v>Hamilton Lane</v>
      </c>
      <c r="AI524" t="str">
        <f>IFERROR(VLOOKUP($A524,fund_metadata!$A:$P,16,FALSE),"")</f>
        <v>private_equity</v>
      </c>
    </row>
    <row r="525" spans="1:35" x14ac:dyDescent="0.25">
      <c r="A525">
        <v>10</v>
      </c>
      <c r="B525" s="3">
        <v>45535</v>
      </c>
      <c r="C525" s="3"/>
      <c r="D525" s="3"/>
      <c r="E525" s="3"/>
      <c r="F525" s="3"/>
      <c r="G525" s="3"/>
      <c r="H525" s="3"/>
      <c r="K525" s="4">
        <v>2520000000</v>
      </c>
      <c r="L525" t="s">
        <v>89</v>
      </c>
      <c r="M525" s="5">
        <v>16.46</v>
      </c>
      <c r="N525" t="s">
        <v>89</v>
      </c>
      <c r="O525" s="5">
        <v>0</v>
      </c>
      <c r="P525" t="s">
        <v>108</v>
      </c>
      <c r="Q525" s="2">
        <v>1.44E-2</v>
      </c>
      <c r="R525" t="s">
        <v>89</v>
      </c>
      <c r="T525" s="4"/>
      <c r="AH525" t="str">
        <f>IFERROR(VLOOKUP($A525,fund_metadata!$A:$P,2,FALSE),"")</f>
        <v>Hamilton Lane</v>
      </c>
      <c r="AI525" t="str">
        <f>IFERROR(VLOOKUP($A525,fund_metadata!$A:$P,16,FALSE),"")</f>
        <v>private_equity</v>
      </c>
    </row>
    <row r="526" spans="1:35" x14ac:dyDescent="0.25">
      <c r="A526">
        <v>10</v>
      </c>
      <c r="B526" s="3">
        <v>45565</v>
      </c>
      <c r="C526" s="3"/>
      <c r="D526" s="3"/>
      <c r="E526" s="3"/>
      <c r="F526" s="3"/>
      <c r="G526" s="3"/>
      <c r="H526" s="3"/>
      <c r="K526" s="4">
        <v>2690000000</v>
      </c>
      <c r="L526" t="s">
        <v>89</v>
      </c>
      <c r="M526" s="5">
        <v>16.760000000000002</v>
      </c>
      <c r="N526" t="s">
        <v>89</v>
      </c>
      <c r="O526" s="5">
        <v>0</v>
      </c>
      <c r="P526" t="s">
        <v>108</v>
      </c>
      <c r="Q526" s="2">
        <v>1.8200000000000001E-2</v>
      </c>
      <c r="R526" t="s">
        <v>89</v>
      </c>
      <c r="S526">
        <v>253</v>
      </c>
      <c r="T526" s="4">
        <v>3030000000</v>
      </c>
      <c r="U526" t="s">
        <v>89</v>
      </c>
      <c r="AH526" t="str">
        <f>IFERROR(VLOOKUP($A526,fund_metadata!$A:$P,2,FALSE),"")</f>
        <v>Hamilton Lane</v>
      </c>
      <c r="AI526" t="str">
        <f>IFERROR(VLOOKUP($A526,fund_metadata!$A:$P,16,FALSE),"")</f>
        <v>private_equity</v>
      </c>
    </row>
    <row r="527" spans="1:35" x14ac:dyDescent="0.25">
      <c r="A527">
        <v>10</v>
      </c>
      <c r="B527" s="3">
        <v>45596</v>
      </c>
      <c r="C527" s="3"/>
      <c r="D527" s="3"/>
      <c r="E527" s="3"/>
      <c r="F527" s="3"/>
      <c r="G527" s="3"/>
      <c r="H527" s="3"/>
      <c r="K527" s="4">
        <v>2800000000</v>
      </c>
      <c r="L527" t="s">
        <v>89</v>
      </c>
      <c r="M527" s="5">
        <v>16.670000000000002</v>
      </c>
      <c r="N527" t="s">
        <v>89</v>
      </c>
      <c r="O527" s="5">
        <v>0</v>
      </c>
      <c r="P527" t="s">
        <v>108</v>
      </c>
      <c r="Q527" s="2">
        <v>-5.3E-3</v>
      </c>
      <c r="R527" t="s">
        <v>89</v>
      </c>
      <c r="T527" s="4"/>
      <c r="AH527" t="str">
        <f>IFERROR(VLOOKUP($A527,fund_metadata!$A:$P,2,FALSE),"")</f>
        <v>Hamilton Lane</v>
      </c>
      <c r="AI527" t="str">
        <f>IFERROR(VLOOKUP($A527,fund_metadata!$A:$P,16,FALSE),"")</f>
        <v>private_equity</v>
      </c>
    </row>
    <row r="528" spans="1:35" x14ac:dyDescent="0.25">
      <c r="A528">
        <v>10</v>
      </c>
      <c r="B528" s="3">
        <v>45626</v>
      </c>
      <c r="C528" s="3"/>
      <c r="D528" s="3"/>
      <c r="E528" s="3"/>
      <c r="F528" s="3"/>
      <c r="G528" s="3"/>
      <c r="H528" s="3"/>
      <c r="K528" s="4">
        <v>2990000000</v>
      </c>
      <c r="L528" t="s">
        <v>89</v>
      </c>
      <c r="M528" s="5">
        <v>17.059999999999999</v>
      </c>
      <c r="N528" t="s">
        <v>89</v>
      </c>
      <c r="O528" s="5">
        <v>0</v>
      </c>
      <c r="P528" t="s">
        <v>108</v>
      </c>
      <c r="Q528" s="2">
        <v>2.3699999999999999E-2</v>
      </c>
      <c r="R528" t="s">
        <v>89</v>
      </c>
      <c r="T528" s="4"/>
      <c r="AH528" t="str">
        <f>IFERROR(VLOOKUP($A528,fund_metadata!$A:$P,2,FALSE),"")</f>
        <v>Hamilton Lane</v>
      </c>
      <c r="AI528" t="str">
        <f>IFERROR(VLOOKUP($A528,fund_metadata!$A:$P,16,FALSE),"")</f>
        <v>private_equity</v>
      </c>
    </row>
    <row r="529" spans="1:35" x14ac:dyDescent="0.25">
      <c r="A529">
        <v>10</v>
      </c>
      <c r="B529" s="3">
        <v>45657</v>
      </c>
      <c r="C529" s="3"/>
      <c r="D529" s="3"/>
      <c r="E529" s="3"/>
      <c r="F529" s="3"/>
      <c r="G529" s="3"/>
      <c r="H529" s="3"/>
      <c r="K529" s="4">
        <v>3110000000</v>
      </c>
      <c r="L529" t="s">
        <v>89</v>
      </c>
      <c r="M529" s="5">
        <v>16.77</v>
      </c>
      <c r="N529" t="s">
        <v>89</v>
      </c>
      <c r="O529" s="5">
        <v>0</v>
      </c>
      <c r="P529" t="s">
        <v>108</v>
      </c>
      <c r="Q529" s="2">
        <v>-3.3999999999999998E-3</v>
      </c>
      <c r="R529" t="s">
        <v>89</v>
      </c>
      <c r="S529">
        <v>260</v>
      </c>
      <c r="T529" s="4"/>
      <c r="AH529" t="str">
        <f>IFERROR(VLOOKUP($A529,fund_metadata!$A:$P,2,FALSE),"")</f>
        <v>Hamilton Lane</v>
      </c>
      <c r="AI529" t="str">
        <f>IFERROR(VLOOKUP($A529,fund_metadata!$A:$P,16,FALSE),"")</f>
        <v>private_equity</v>
      </c>
    </row>
    <row r="530" spans="1:35" x14ac:dyDescent="0.25">
      <c r="A530">
        <v>10</v>
      </c>
      <c r="B530" s="3">
        <v>45688</v>
      </c>
      <c r="C530" s="3"/>
      <c r="D530" s="3"/>
      <c r="E530" s="3"/>
      <c r="F530" s="3"/>
      <c r="G530" s="3"/>
      <c r="H530" s="3"/>
      <c r="K530" s="4">
        <v>3280000000</v>
      </c>
      <c r="L530" t="s">
        <v>89</v>
      </c>
      <c r="M530" s="5">
        <v>17.04</v>
      </c>
      <c r="N530" t="s">
        <v>89</v>
      </c>
      <c r="O530" s="5">
        <v>0</v>
      </c>
      <c r="P530" t="s">
        <v>108</v>
      </c>
      <c r="Q530" s="2">
        <v>1.6400000000000001E-2</v>
      </c>
      <c r="R530" t="s">
        <v>89</v>
      </c>
      <c r="T530" s="4"/>
      <c r="AH530" t="str">
        <f>IFERROR(VLOOKUP($A530,fund_metadata!$A:$P,2,FALSE),"")</f>
        <v>Hamilton Lane</v>
      </c>
      <c r="AI530" t="str">
        <f>IFERROR(VLOOKUP($A530,fund_metadata!$A:$P,16,FALSE),"")</f>
        <v>private_equity</v>
      </c>
    </row>
    <row r="531" spans="1:35" x14ac:dyDescent="0.25">
      <c r="A531">
        <v>10</v>
      </c>
      <c r="B531" s="3">
        <v>45716</v>
      </c>
      <c r="C531" s="3"/>
      <c r="D531" s="3"/>
      <c r="E531" s="3"/>
      <c r="F531" s="3"/>
      <c r="G531" s="3"/>
      <c r="H531" s="3"/>
      <c r="K531" s="4">
        <v>3440000000</v>
      </c>
      <c r="L531" t="s">
        <v>89</v>
      </c>
      <c r="M531" s="5">
        <v>17.18</v>
      </c>
      <c r="N531" t="s">
        <v>89</v>
      </c>
      <c r="O531" s="5">
        <v>0</v>
      </c>
      <c r="P531" t="s">
        <v>108</v>
      </c>
      <c r="Q531" s="2">
        <v>8.2000000000000007E-3</v>
      </c>
      <c r="R531" t="s">
        <v>89</v>
      </c>
      <c r="T531" s="4"/>
      <c r="AH531" t="str">
        <f>IFERROR(VLOOKUP($A531,fund_metadata!$A:$P,2,FALSE),"")</f>
        <v>Hamilton Lane</v>
      </c>
      <c r="AI531" t="str">
        <f>IFERROR(VLOOKUP($A531,fund_metadata!$A:$P,16,FALSE),"")</f>
        <v>private_equity</v>
      </c>
    </row>
    <row r="532" spans="1:35" x14ac:dyDescent="0.25">
      <c r="A532">
        <v>10</v>
      </c>
      <c r="B532" s="3">
        <v>45747</v>
      </c>
      <c r="C532" s="3"/>
      <c r="D532" s="3"/>
      <c r="E532" s="3"/>
      <c r="F532" s="3"/>
      <c r="G532" s="3"/>
      <c r="H532" s="3"/>
      <c r="K532" s="4">
        <v>3630000000</v>
      </c>
      <c r="L532" t="s">
        <v>89</v>
      </c>
      <c r="M532" s="5">
        <v>17.399999999999999</v>
      </c>
      <c r="N532" t="s">
        <v>89</v>
      </c>
      <c r="O532" s="5">
        <v>0</v>
      </c>
      <c r="P532" t="s">
        <v>108</v>
      </c>
      <c r="Q532" s="2">
        <v>1.29E-2</v>
      </c>
      <c r="R532" t="s">
        <v>89</v>
      </c>
      <c r="S532">
        <v>271</v>
      </c>
      <c r="T532" s="4">
        <v>3940000000</v>
      </c>
      <c r="U532" t="s">
        <v>89</v>
      </c>
      <c r="V532">
        <v>123601931</v>
      </c>
      <c r="W532" t="s">
        <v>121</v>
      </c>
      <c r="AH532" t="str">
        <f>IFERROR(VLOOKUP($A532,fund_metadata!$A:$P,2,FALSE),"")</f>
        <v>Hamilton Lane</v>
      </c>
      <c r="AI532" t="str">
        <f>IFERROR(VLOOKUP($A532,fund_metadata!$A:$P,16,FALSE),"")</f>
        <v>private_equity</v>
      </c>
    </row>
    <row r="533" spans="1:35" x14ac:dyDescent="0.25">
      <c r="A533">
        <v>10</v>
      </c>
      <c r="B533" s="3">
        <v>45777</v>
      </c>
      <c r="C533" s="3"/>
      <c r="D533" s="3"/>
      <c r="E533" s="3"/>
      <c r="F533" s="3"/>
      <c r="G533" s="3"/>
      <c r="H533" s="3"/>
      <c r="K533" s="4">
        <v>3800000000</v>
      </c>
      <c r="L533" t="s">
        <v>89</v>
      </c>
      <c r="M533" s="5">
        <v>17.64</v>
      </c>
      <c r="N533" t="s">
        <v>89</v>
      </c>
      <c r="O533" s="5">
        <v>0</v>
      </c>
      <c r="P533" t="s">
        <v>108</v>
      </c>
      <c r="Q533" s="2">
        <v>1.35E-2</v>
      </c>
      <c r="R533" t="s">
        <v>89</v>
      </c>
      <c r="T533" s="4"/>
      <c r="AH533" t="str">
        <f>IFERROR(VLOOKUP($A533,fund_metadata!$A:$P,2,FALSE),"")</f>
        <v>Hamilton Lane</v>
      </c>
      <c r="AI533" t="str">
        <f>IFERROR(VLOOKUP($A533,fund_metadata!$A:$P,16,FALSE),"")</f>
        <v>private_equity</v>
      </c>
    </row>
    <row r="534" spans="1:35" x14ac:dyDescent="0.25">
      <c r="A534">
        <v>10</v>
      </c>
      <c r="B534" s="3">
        <v>45808</v>
      </c>
      <c r="C534" s="3"/>
      <c r="D534" s="3"/>
      <c r="E534" s="3"/>
      <c r="F534" s="3"/>
      <c r="G534" s="3"/>
      <c r="H534" s="3"/>
      <c r="K534" s="4">
        <v>4000000000</v>
      </c>
      <c r="L534" t="s">
        <v>89</v>
      </c>
      <c r="M534" s="5">
        <v>18.100000000000001</v>
      </c>
      <c r="N534" t="s">
        <v>89</v>
      </c>
      <c r="O534" s="5">
        <v>0</v>
      </c>
      <c r="P534" t="s">
        <v>108</v>
      </c>
      <c r="Q534" s="2">
        <v>2.63E-2</v>
      </c>
      <c r="R534" t="s">
        <v>89</v>
      </c>
      <c r="T534" s="4"/>
      <c r="AH534" t="str">
        <f>IFERROR(VLOOKUP($A534,fund_metadata!$A:$P,2,FALSE),"")</f>
        <v>Hamilton Lane</v>
      </c>
      <c r="AI534" t="str">
        <f>IFERROR(VLOOKUP($A534,fund_metadata!$A:$P,16,FALSE),"")</f>
        <v>private_equity</v>
      </c>
    </row>
    <row r="535" spans="1:35" x14ac:dyDescent="0.25">
      <c r="A535">
        <v>10</v>
      </c>
      <c r="B535" s="3">
        <v>45838</v>
      </c>
      <c r="C535" s="3"/>
      <c r="D535" s="3"/>
      <c r="E535" s="3"/>
      <c r="F535" s="3"/>
      <c r="G535" s="3"/>
      <c r="H535" s="3"/>
      <c r="K535" s="4">
        <v>4230000000</v>
      </c>
      <c r="L535" t="s">
        <v>89</v>
      </c>
      <c r="M535" s="5">
        <v>18.57</v>
      </c>
      <c r="N535" t="s">
        <v>89</v>
      </c>
      <c r="O535" s="5">
        <v>0</v>
      </c>
      <c r="P535" t="s">
        <v>108</v>
      </c>
      <c r="Q535" s="2">
        <v>2.5899999999999999E-2</v>
      </c>
      <c r="R535" t="s">
        <v>89</v>
      </c>
      <c r="S535">
        <v>289</v>
      </c>
      <c r="T535" s="4"/>
      <c r="AH535" t="str">
        <f>IFERROR(VLOOKUP($A535,fund_metadata!$A:$P,2,FALSE),"")</f>
        <v>Hamilton Lane</v>
      </c>
      <c r="AI535" t="str">
        <f>IFERROR(VLOOKUP($A535,fund_metadata!$A:$P,16,FALSE),"")</f>
        <v>private_equity</v>
      </c>
    </row>
    <row r="536" spans="1:35" x14ac:dyDescent="0.25">
      <c r="A536">
        <v>10</v>
      </c>
      <c r="B536" s="3">
        <v>45869</v>
      </c>
      <c r="C536" s="3"/>
      <c r="D536" s="3"/>
      <c r="E536" s="3"/>
      <c r="F536" s="3"/>
      <c r="G536" s="3"/>
      <c r="H536" s="3"/>
      <c r="K536" s="4">
        <v>4360000000</v>
      </c>
      <c r="L536" t="s">
        <v>89</v>
      </c>
      <c r="M536" s="5">
        <v>18.64</v>
      </c>
      <c r="N536" t="s">
        <v>89</v>
      </c>
      <c r="O536" s="5"/>
      <c r="Q536" s="2">
        <v>3.7000000000000002E-3</v>
      </c>
      <c r="R536" t="s">
        <v>89</v>
      </c>
      <c r="T536" s="4"/>
      <c r="AH536" t="str">
        <f>IFERROR(VLOOKUP($A536,fund_metadata!$A:$P,2,FALSE),"")</f>
        <v>Hamilton Lane</v>
      </c>
      <c r="AI536" t="str">
        <f>IFERROR(VLOOKUP($A536,fund_metadata!$A:$P,16,FALSE),"")</f>
        <v>private_equity</v>
      </c>
    </row>
    <row r="537" spans="1:35" x14ac:dyDescent="0.25">
      <c r="A537">
        <v>10</v>
      </c>
      <c r="B537" s="3">
        <v>45900</v>
      </c>
      <c r="C537" s="3"/>
      <c r="D537" s="3"/>
      <c r="E537" s="3"/>
      <c r="F537" s="3"/>
      <c r="G537" s="3"/>
      <c r="H537" s="3"/>
      <c r="K537" s="4">
        <v>4490000000</v>
      </c>
      <c r="L537" t="s">
        <v>89</v>
      </c>
      <c r="M537" s="5">
        <v>18.510000000000002</v>
      </c>
      <c r="N537" t="s">
        <v>89</v>
      </c>
      <c r="O537" s="5"/>
      <c r="Q537" s="2">
        <v>-6.7000000000000002E-3</v>
      </c>
      <c r="R537" t="s">
        <v>89</v>
      </c>
      <c r="T537" s="4"/>
      <c r="AH537" t="str">
        <f>IFERROR(VLOOKUP($A537,fund_metadata!$A:$P,2,FALSE),"")</f>
        <v>Hamilton Lane</v>
      </c>
      <c r="AI537" t="str">
        <f>IFERROR(VLOOKUP($A537,fund_metadata!$A:$P,16,FALSE),"")</f>
        <v>private_equity</v>
      </c>
    </row>
    <row r="538" spans="1:35" x14ac:dyDescent="0.25">
      <c r="A538">
        <v>10</v>
      </c>
      <c r="B538" s="3">
        <v>45930</v>
      </c>
      <c r="C538" s="3"/>
      <c r="D538" s="3"/>
      <c r="E538" s="3"/>
      <c r="F538" s="3"/>
      <c r="G538" s="3"/>
      <c r="H538" s="3"/>
      <c r="K538" s="4">
        <v>4760000000</v>
      </c>
      <c r="L538" t="s">
        <v>89</v>
      </c>
      <c r="M538" s="5">
        <v>18.88</v>
      </c>
      <c r="N538" t="s">
        <v>89</v>
      </c>
      <c r="O538" s="5"/>
      <c r="Q538" s="2">
        <v>1.9900000000000001E-2</v>
      </c>
      <c r="R538" t="s">
        <v>89</v>
      </c>
      <c r="S538">
        <v>298</v>
      </c>
      <c r="T538" s="4">
        <v>5030000000</v>
      </c>
      <c r="U538" t="s">
        <v>89</v>
      </c>
      <c r="V538">
        <v>150025625</v>
      </c>
      <c r="W538" t="s">
        <v>120</v>
      </c>
      <c r="AH538" t="str">
        <f>IFERROR(VLOOKUP($A538,fund_metadata!$A:$P,2,FALSE),"")</f>
        <v>Hamilton Lane</v>
      </c>
      <c r="AI538" t="str">
        <f>IFERROR(VLOOKUP($A538,fund_metadata!$A:$P,16,FALSE),"")</f>
        <v>private_equity</v>
      </c>
    </row>
    <row r="539" spans="1:35" x14ac:dyDescent="0.25">
      <c r="A539">
        <v>10</v>
      </c>
      <c r="B539" s="3">
        <v>45961</v>
      </c>
      <c r="C539" s="3"/>
      <c r="D539" s="3"/>
      <c r="E539" s="3"/>
      <c r="F539" s="3"/>
      <c r="G539" s="3"/>
      <c r="H539" s="3"/>
      <c r="K539" s="4">
        <v>4970000000</v>
      </c>
      <c r="L539" t="s">
        <v>89</v>
      </c>
      <c r="M539" s="5">
        <v>19.23</v>
      </c>
      <c r="N539" t="s">
        <v>89</v>
      </c>
      <c r="O539" s="5"/>
      <c r="Q539" s="2">
        <v>1.8499999999999999E-2</v>
      </c>
      <c r="R539" t="s">
        <v>89</v>
      </c>
      <c r="T539" s="4"/>
      <c r="AH539" t="str">
        <f>IFERROR(VLOOKUP($A539,fund_metadata!$A:$P,2,FALSE),"")</f>
        <v>Hamilton Lane</v>
      </c>
      <c r="AI539" t="str">
        <f>IFERROR(VLOOKUP($A539,fund_metadata!$A:$P,16,FALSE),"")</f>
        <v>private_equity</v>
      </c>
    </row>
    <row r="540" spans="1:35" x14ac:dyDescent="0.25">
      <c r="A540">
        <v>10</v>
      </c>
      <c r="B540" s="3">
        <v>45991</v>
      </c>
      <c r="C540" s="3"/>
      <c r="D540" s="3"/>
      <c r="E540" s="3"/>
      <c r="F540" s="3"/>
      <c r="G540" s="3"/>
      <c r="H540" s="3"/>
      <c r="K540" s="4">
        <v>5120000000</v>
      </c>
      <c r="L540" t="s">
        <v>89</v>
      </c>
      <c r="M540" s="5">
        <v>19.23</v>
      </c>
      <c r="N540" t="s">
        <v>89</v>
      </c>
      <c r="O540" s="5"/>
      <c r="Q540" s="2">
        <v>-1E-4</v>
      </c>
      <c r="R540" t="s">
        <v>89</v>
      </c>
      <c r="T540" s="4"/>
      <c r="AH540" t="str">
        <f>IFERROR(VLOOKUP($A540,fund_metadata!$A:$P,2,FALSE),"")</f>
        <v>Hamilton Lane</v>
      </c>
      <c r="AI540" t="str">
        <f>IFERROR(VLOOKUP($A540,fund_metadata!$A:$P,16,FALSE),"")</f>
        <v>private_equity</v>
      </c>
    </row>
    <row r="541" spans="1:35" x14ac:dyDescent="0.25">
      <c r="A541">
        <v>10</v>
      </c>
      <c r="B541" s="3">
        <v>46022</v>
      </c>
      <c r="C541" s="3"/>
      <c r="D541" s="3"/>
      <c r="E541" s="3"/>
      <c r="F541" s="3"/>
      <c r="G541" s="3"/>
      <c r="H541" s="3"/>
      <c r="I541">
        <v>10000000</v>
      </c>
      <c r="J541" t="s">
        <v>104</v>
      </c>
      <c r="K541" s="4">
        <v>5310000000</v>
      </c>
      <c r="L541" t="s">
        <v>89</v>
      </c>
      <c r="M541" s="5">
        <v>19.12</v>
      </c>
      <c r="N541" t="s">
        <v>89</v>
      </c>
      <c r="O541" s="5"/>
      <c r="Q541" s="2">
        <v>1.1599999999999999E-2</v>
      </c>
      <c r="R541" t="s">
        <v>89</v>
      </c>
      <c r="S541">
        <v>309</v>
      </c>
      <c r="T541" s="4"/>
      <c r="AH541" t="str">
        <f>IFERROR(VLOOKUP($A541,fund_metadata!$A:$P,2,FALSE),"")</f>
        <v>Hamilton Lane</v>
      </c>
      <c r="AI541" t="str">
        <f>IFERROR(VLOOKUP($A541,fund_metadata!$A:$P,16,FALSE),"")</f>
        <v>private_equity</v>
      </c>
    </row>
    <row r="542" spans="1:35" x14ac:dyDescent="0.25">
      <c r="A542">
        <v>10</v>
      </c>
      <c r="B542" s="3">
        <v>46053</v>
      </c>
      <c r="C542" s="3"/>
      <c r="D542" s="3"/>
      <c r="E542" s="3"/>
      <c r="F542" s="3"/>
      <c r="G542" s="3"/>
      <c r="H542" s="3"/>
      <c r="I542">
        <v>10159296.289999999</v>
      </c>
      <c r="J542" t="s">
        <v>106</v>
      </c>
      <c r="K542" s="4">
        <v>5490000000</v>
      </c>
      <c r="L542" t="s">
        <v>89</v>
      </c>
      <c r="M542" s="5">
        <v>19.43</v>
      </c>
      <c r="N542" t="s">
        <v>89</v>
      </c>
      <c r="O542" s="5"/>
      <c r="Q542" s="2">
        <v>1.5900000000000001E-2</v>
      </c>
      <c r="R542" t="s">
        <v>89</v>
      </c>
      <c r="T542" s="4"/>
      <c r="X542">
        <v>522968.78899999999</v>
      </c>
      <c r="Y542" t="s">
        <v>106</v>
      </c>
      <c r="Z542">
        <v>10000000</v>
      </c>
      <c r="AA542" t="s">
        <v>106</v>
      </c>
      <c r="AB542">
        <v>0</v>
      </c>
      <c r="AC542" t="s">
        <v>107</v>
      </c>
      <c r="AD542">
        <v>0</v>
      </c>
      <c r="AE542" t="s">
        <v>107</v>
      </c>
      <c r="AH542" t="str">
        <f>IFERROR(VLOOKUP($A542,fund_metadata!$A:$P,2,FALSE),"")</f>
        <v>Hamilton Lane</v>
      </c>
      <c r="AI542" t="str">
        <f>IFERROR(VLOOKUP($A542,fund_metadata!$A:$P,16,FALSE),"")</f>
        <v>private_equity</v>
      </c>
    </row>
    <row r="543" spans="1:35" x14ac:dyDescent="0.25">
      <c r="A543">
        <v>10</v>
      </c>
      <c r="B543" s="3">
        <v>46081</v>
      </c>
      <c r="C543" s="3"/>
      <c r="D543" s="3"/>
      <c r="E543" s="3"/>
      <c r="F543" s="3"/>
      <c r="G543" s="3"/>
      <c r="H543" s="3"/>
      <c r="I543">
        <v>10217502.720000001</v>
      </c>
      <c r="J543" t="s">
        <v>106</v>
      </c>
      <c r="K543" s="4">
        <v>5630000000</v>
      </c>
      <c r="L543" t="s">
        <v>89</v>
      </c>
      <c r="M543" s="5">
        <v>19.54</v>
      </c>
      <c r="N543" t="s">
        <v>89</v>
      </c>
      <c r="O543" s="5"/>
      <c r="Q543" s="2">
        <v>5.7000000000000002E-3</v>
      </c>
      <c r="R543" t="s">
        <v>89</v>
      </c>
      <c r="T543" s="4"/>
      <c r="X543">
        <v>522968.78899999999</v>
      </c>
      <c r="Y543" t="s">
        <v>106</v>
      </c>
      <c r="Z543">
        <v>0</v>
      </c>
      <c r="AA543" t="s">
        <v>107</v>
      </c>
      <c r="AB543">
        <v>0</v>
      </c>
      <c r="AC543" t="s">
        <v>107</v>
      </c>
      <c r="AD543">
        <v>0</v>
      </c>
      <c r="AE543" t="s">
        <v>107</v>
      </c>
      <c r="AH543" t="str">
        <f>IFERROR(VLOOKUP($A543,fund_metadata!$A:$P,2,FALSE),"")</f>
        <v>Hamilton Lane</v>
      </c>
      <c r="AI543" t="str">
        <f>IFERROR(VLOOKUP($A543,fund_metadata!$A:$P,16,FALSE),"")</f>
        <v>private_equity</v>
      </c>
    </row>
    <row r="544" spans="1:35" x14ac:dyDescent="0.25">
      <c r="A544">
        <v>10</v>
      </c>
      <c r="B544" s="3">
        <v>46112</v>
      </c>
      <c r="C544" s="3"/>
      <c r="D544" s="3"/>
      <c r="E544" s="3"/>
      <c r="F544" s="3"/>
      <c r="G544" s="3"/>
      <c r="H544" s="3"/>
      <c r="I544">
        <v>10211436.279999999</v>
      </c>
      <c r="J544" t="s">
        <v>106</v>
      </c>
      <c r="K544" s="4">
        <v>5800000000</v>
      </c>
      <c r="L544" t="s">
        <v>89</v>
      </c>
      <c r="M544" s="5">
        <v>19.53</v>
      </c>
      <c r="N544" t="s">
        <v>89</v>
      </c>
      <c r="O544" s="5"/>
      <c r="Q544" s="2">
        <v>-5.9999999999999995E-4</v>
      </c>
      <c r="R544" t="s">
        <v>89</v>
      </c>
      <c r="S544">
        <v>328</v>
      </c>
      <c r="T544" s="4"/>
      <c r="X544">
        <v>522968.78899999999</v>
      </c>
      <c r="Y544" t="s">
        <v>106</v>
      </c>
      <c r="Z544">
        <v>0</v>
      </c>
      <c r="AA544" t="s">
        <v>106</v>
      </c>
      <c r="AB544">
        <v>0</v>
      </c>
      <c r="AC544" t="s">
        <v>106</v>
      </c>
      <c r="AD544">
        <v>0</v>
      </c>
      <c r="AE544" t="s">
        <v>106</v>
      </c>
      <c r="AH544" t="str">
        <f>IFERROR(VLOOKUP($A544,fund_metadata!$A:$P,2,FALSE),"")</f>
        <v>Hamilton Lane</v>
      </c>
      <c r="AI544" t="str">
        <f>IFERROR(VLOOKUP($A544,fund_metadata!$A:$P,16,FALSE),"")</f>
        <v>private_equity</v>
      </c>
    </row>
    <row r="545" spans="1:35" x14ac:dyDescent="0.25">
      <c r="A545">
        <v>10</v>
      </c>
      <c r="B545" s="3">
        <v>46142</v>
      </c>
      <c r="C545" s="3"/>
      <c r="D545" s="3"/>
      <c r="E545" s="3"/>
      <c r="F545" s="3"/>
      <c r="G545" s="3"/>
      <c r="H545" s="3"/>
      <c r="K545" s="4">
        <v>6070000000</v>
      </c>
      <c r="L545" t="s">
        <v>89</v>
      </c>
      <c r="M545" s="5">
        <v>20.28</v>
      </c>
      <c r="N545" t="s">
        <v>89</v>
      </c>
      <c r="O545" s="5"/>
      <c r="Q545" s="2">
        <v>3.8800000000000001E-2</v>
      </c>
      <c r="R545" t="s">
        <v>89</v>
      </c>
      <c r="T545" s="4"/>
      <c r="AH545" t="str">
        <f>IFERROR(VLOOKUP($A545,fund_metadata!$A:$P,2,FALSE),"")</f>
        <v>Hamilton Lane</v>
      </c>
      <c r="AI545" t="str">
        <f>IFERROR(VLOOKUP($A545,fund_metadata!$A:$P,16,FALSE),"")</f>
        <v>private_equity</v>
      </c>
    </row>
    <row r="546" spans="1:35" x14ac:dyDescent="0.25">
      <c r="A546">
        <v>10</v>
      </c>
      <c r="B546" s="3">
        <v>46173</v>
      </c>
      <c r="C546" s="3"/>
      <c r="D546" s="3"/>
      <c r="E546" s="3"/>
      <c r="F546" s="3"/>
      <c r="G546" s="3"/>
      <c r="H546" s="3"/>
      <c r="K546" s="4"/>
      <c r="M546" s="5"/>
      <c r="O546" s="5"/>
      <c r="Q546" s="2"/>
      <c r="T546" s="4"/>
      <c r="AH546" t="str">
        <f>IFERROR(VLOOKUP($A546,fund_metadata!$A:$P,2,FALSE),"")</f>
        <v>Hamilton Lane</v>
      </c>
      <c r="AI546" t="str">
        <f>IFERROR(VLOOKUP($A546,fund_metadata!$A:$P,16,FALSE),"")</f>
        <v>private_equity</v>
      </c>
    </row>
    <row r="547" spans="1:35" x14ac:dyDescent="0.25">
      <c r="A547">
        <v>11</v>
      </c>
      <c r="B547" s="3">
        <v>45138</v>
      </c>
      <c r="C547" s="3"/>
      <c r="D547" s="3"/>
      <c r="E547" s="3"/>
      <c r="F547" s="3"/>
      <c r="G547" s="3"/>
      <c r="H547" s="3"/>
      <c r="K547" s="4"/>
      <c r="M547" s="5">
        <v>12.29</v>
      </c>
      <c r="N547" t="s">
        <v>89</v>
      </c>
      <c r="O547" s="5"/>
      <c r="Q547" s="2"/>
      <c r="T547" s="4"/>
      <c r="AH547" t="str">
        <f>IFERROR(VLOOKUP($A547,fund_metadata!$A:$P,2,FALSE),"")</f>
        <v>JPMF</v>
      </c>
      <c r="AI547" t="str">
        <f>IFERROR(VLOOKUP($A547,fund_metadata!$A:$P,16,FALSE),"")</f>
        <v>private_equity</v>
      </c>
    </row>
    <row r="548" spans="1:35" x14ac:dyDescent="0.25">
      <c r="A548">
        <v>11</v>
      </c>
      <c r="B548" s="3">
        <v>45169</v>
      </c>
      <c r="C548" s="3"/>
      <c r="D548" s="3"/>
      <c r="E548" s="3"/>
      <c r="F548" s="3"/>
      <c r="G548" s="3"/>
      <c r="H548" s="3"/>
      <c r="K548" s="4"/>
      <c r="M548" s="5">
        <v>12.31</v>
      </c>
      <c r="N548" t="s">
        <v>89</v>
      </c>
      <c r="O548" s="5"/>
      <c r="Q548" s="2">
        <v>1.6000000000000001E-3</v>
      </c>
      <c r="R548" t="s">
        <v>89</v>
      </c>
      <c r="T548" s="4"/>
      <c r="AH548" t="str">
        <f>IFERROR(VLOOKUP($A548,fund_metadata!$A:$P,2,FALSE),"")</f>
        <v>JPMF</v>
      </c>
      <c r="AI548" t="str">
        <f>IFERROR(VLOOKUP($A548,fund_metadata!$A:$P,16,FALSE),"")</f>
        <v>private_equity</v>
      </c>
    </row>
    <row r="549" spans="1:35" x14ac:dyDescent="0.25">
      <c r="A549">
        <v>11</v>
      </c>
      <c r="B549" s="3">
        <v>45199</v>
      </c>
      <c r="C549" s="3"/>
      <c r="D549" s="3"/>
      <c r="E549" s="3"/>
      <c r="F549" s="3"/>
      <c r="G549" s="3"/>
      <c r="H549" s="3"/>
      <c r="K549" s="4"/>
      <c r="M549" s="5">
        <v>12.78</v>
      </c>
      <c r="N549" t="s">
        <v>89</v>
      </c>
      <c r="O549" s="5"/>
      <c r="Q549" s="2">
        <v>3.8199999999999998E-2</v>
      </c>
      <c r="R549" t="s">
        <v>89</v>
      </c>
      <c r="S549">
        <v>10</v>
      </c>
      <c r="T549" s="4"/>
      <c r="V549">
        <v>8398982</v>
      </c>
      <c r="W549" t="s">
        <v>120</v>
      </c>
      <c r="AH549" t="str">
        <f>IFERROR(VLOOKUP($A549,fund_metadata!$A:$P,2,FALSE),"")</f>
        <v>JPMF</v>
      </c>
      <c r="AI549" t="str">
        <f>IFERROR(VLOOKUP($A549,fund_metadata!$A:$P,16,FALSE),"")</f>
        <v>private_equity</v>
      </c>
    </row>
    <row r="550" spans="1:35" x14ac:dyDescent="0.25">
      <c r="A550">
        <v>11</v>
      </c>
      <c r="B550" s="3">
        <v>45230</v>
      </c>
      <c r="C550" s="3"/>
      <c r="D550" s="3"/>
      <c r="E550" s="3"/>
      <c r="F550" s="3"/>
      <c r="G550" s="3"/>
      <c r="H550" s="3"/>
      <c r="K550" s="4"/>
      <c r="M550" s="5">
        <v>12.71</v>
      </c>
      <c r="N550" t="s">
        <v>89</v>
      </c>
      <c r="O550" s="5"/>
      <c r="Q550" s="2">
        <v>-5.4999999999999997E-3</v>
      </c>
      <c r="R550" t="s">
        <v>89</v>
      </c>
      <c r="T550" s="4"/>
      <c r="AH550" t="str">
        <f>IFERROR(VLOOKUP($A550,fund_metadata!$A:$P,2,FALSE),"")</f>
        <v>JPMF</v>
      </c>
      <c r="AI550" t="str">
        <f>IFERROR(VLOOKUP($A550,fund_metadata!$A:$P,16,FALSE),"")</f>
        <v>private_equity</v>
      </c>
    </row>
    <row r="551" spans="1:35" x14ac:dyDescent="0.25">
      <c r="A551">
        <v>11</v>
      </c>
      <c r="B551" s="3">
        <v>45260</v>
      </c>
      <c r="C551" s="3"/>
      <c r="D551" s="3"/>
      <c r="E551" s="3"/>
      <c r="F551" s="3"/>
      <c r="G551" s="3"/>
      <c r="H551" s="3"/>
      <c r="K551" s="4"/>
      <c r="M551" s="5">
        <v>12.9</v>
      </c>
      <c r="N551" t="s">
        <v>89</v>
      </c>
      <c r="O551" s="5"/>
      <c r="Q551" s="2">
        <v>1.49E-2</v>
      </c>
      <c r="R551" t="s">
        <v>89</v>
      </c>
      <c r="T551" s="4"/>
      <c r="AH551" t="str">
        <f>IFERROR(VLOOKUP($A551,fund_metadata!$A:$P,2,FALSE),"")</f>
        <v>JPMF</v>
      </c>
      <c r="AI551" t="str">
        <f>IFERROR(VLOOKUP($A551,fund_metadata!$A:$P,16,FALSE),"")</f>
        <v>private_equity</v>
      </c>
    </row>
    <row r="552" spans="1:35" x14ac:dyDescent="0.25">
      <c r="A552">
        <v>11</v>
      </c>
      <c r="B552" s="3">
        <v>45291</v>
      </c>
      <c r="C552" s="3"/>
      <c r="D552" s="3"/>
      <c r="E552" s="3"/>
      <c r="F552" s="3"/>
      <c r="G552" s="3"/>
      <c r="H552" s="3"/>
      <c r="K552" s="4"/>
      <c r="M552" s="5">
        <v>13.4</v>
      </c>
      <c r="N552" t="s">
        <v>89</v>
      </c>
      <c r="O552" s="5"/>
      <c r="Q552" s="2">
        <v>3.8800000000000001E-2</v>
      </c>
      <c r="R552" t="s">
        <v>89</v>
      </c>
      <c r="S552">
        <v>17</v>
      </c>
      <c r="T552" s="4"/>
      <c r="AH552" t="str">
        <f>IFERROR(VLOOKUP($A552,fund_metadata!$A:$P,2,FALSE),"")</f>
        <v>JPMF</v>
      </c>
      <c r="AI552" t="str">
        <f>IFERROR(VLOOKUP($A552,fund_metadata!$A:$P,16,FALSE),"")</f>
        <v>private_equity</v>
      </c>
    </row>
    <row r="553" spans="1:35" x14ac:dyDescent="0.25">
      <c r="A553">
        <v>11</v>
      </c>
      <c r="B553" s="3">
        <v>45322</v>
      </c>
      <c r="C553" s="3"/>
      <c r="D553" s="3"/>
      <c r="E553" s="3"/>
      <c r="F553" s="3"/>
      <c r="G553" s="3"/>
      <c r="H553" s="3"/>
      <c r="K553" s="4"/>
      <c r="M553" s="5">
        <v>13.43</v>
      </c>
      <c r="N553" t="s">
        <v>89</v>
      </c>
      <c r="O553" s="5"/>
      <c r="Q553" s="2">
        <v>2.2000000000000001E-3</v>
      </c>
      <c r="R553" t="s">
        <v>89</v>
      </c>
      <c r="T553" s="4"/>
      <c r="AH553" t="str">
        <f>IFERROR(VLOOKUP($A553,fund_metadata!$A:$P,2,FALSE),"")</f>
        <v>JPMF</v>
      </c>
      <c r="AI553" t="str">
        <f>IFERROR(VLOOKUP($A553,fund_metadata!$A:$P,16,FALSE),"")</f>
        <v>private_equity</v>
      </c>
    </row>
    <row r="554" spans="1:35" x14ac:dyDescent="0.25">
      <c r="A554">
        <v>11</v>
      </c>
      <c r="B554" s="3">
        <v>45351</v>
      </c>
      <c r="C554" s="3"/>
      <c r="D554" s="3"/>
      <c r="E554" s="3"/>
      <c r="F554" s="3"/>
      <c r="G554" s="3"/>
      <c r="H554" s="3"/>
      <c r="K554" s="4"/>
      <c r="M554" s="5">
        <v>13.53</v>
      </c>
      <c r="N554" t="s">
        <v>89</v>
      </c>
      <c r="O554" s="5"/>
      <c r="Q554" s="2">
        <v>7.4000000000000003E-3</v>
      </c>
      <c r="R554" t="s">
        <v>89</v>
      </c>
      <c r="T554" s="4"/>
      <c r="AH554" t="str">
        <f>IFERROR(VLOOKUP($A554,fund_metadata!$A:$P,2,FALSE),"")</f>
        <v>JPMF</v>
      </c>
      <c r="AI554" t="str">
        <f>IFERROR(VLOOKUP($A554,fund_metadata!$A:$P,16,FALSE),"")</f>
        <v>private_equity</v>
      </c>
    </row>
    <row r="555" spans="1:35" x14ac:dyDescent="0.25">
      <c r="A555">
        <v>11</v>
      </c>
      <c r="B555" s="3">
        <v>45382</v>
      </c>
      <c r="C555" s="3"/>
      <c r="D555" s="3"/>
      <c r="E555" s="3"/>
      <c r="F555" s="3"/>
      <c r="G555" s="3"/>
      <c r="H555" s="3"/>
      <c r="K555" s="4"/>
      <c r="M555" s="5">
        <v>14.29</v>
      </c>
      <c r="N555" t="s">
        <v>89</v>
      </c>
      <c r="O555" s="5"/>
      <c r="Q555" s="2">
        <v>5.62E-2</v>
      </c>
      <c r="R555" t="s">
        <v>89</v>
      </c>
      <c r="S555">
        <v>26</v>
      </c>
      <c r="T555" s="4"/>
      <c r="V555">
        <v>13090812</v>
      </c>
      <c r="W555" t="s">
        <v>121</v>
      </c>
      <c r="AH555" t="str">
        <f>IFERROR(VLOOKUP($A555,fund_metadata!$A:$P,2,FALSE),"")</f>
        <v>JPMF</v>
      </c>
      <c r="AI555" t="str">
        <f>IFERROR(VLOOKUP($A555,fund_metadata!$A:$P,16,FALSE),"")</f>
        <v>private_equity</v>
      </c>
    </row>
    <row r="556" spans="1:35" x14ac:dyDescent="0.25">
      <c r="A556">
        <v>11</v>
      </c>
      <c r="B556" s="3">
        <v>45412</v>
      </c>
      <c r="C556" s="3"/>
      <c r="D556" s="3"/>
      <c r="E556" s="3"/>
      <c r="F556" s="3"/>
      <c r="G556" s="3"/>
      <c r="H556" s="3"/>
      <c r="K556" s="4"/>
      <c r="M556" s="5">
        <v>14.61</v>
      </c>
      <c r="N556" t="s">
        <v>89</v>
      </c>
      <c r="O556" s="5"/>
      <c r="Q556" s="2">
        <v>2.24E-2</v>
      </c>
      <c r="R556" t="s">
        <v>89</v>
      </c>
      <c r="T556" s="4"/>
      <c r="AH556" t="str">
        <f>IFERROR(VLOOKUP($A556,fund_metadata!$A:$P,2,FALSE),"")</f>
        <v>JPMF</v>
      </c>
      <c r="AI556" t="str">
        <f>IFERROR(VLOOKUP($A556,fund_metadata!$A:$P,16,FALSE),"")</f>
        <v>private_equity</v>
      </c>
    </row>
    <row r="557" spans="1:35" x14ac:dyDescent="0.25">
      <c r="A557">
        <v>11</v>
      </c>
      <c r="B557" s="3">
        <v>45443</v>
      </c>
      <c r="C557" s="3"/>
      <c r="D557" s="3"/>
      <c r="E557" s="3"/>
      <c r="F557" s="3"/>
      <c r="G557" s="3"/>
      <c r="H557" s="3"/>
      <c r="K557" s="4"/>
      <c r="M557" s="5">
        <v>15.06</v>
      </c>
      <c r="N557" t="s">
        <v>89</v>
      </c>
      <c r="O557" s="5"/>
      <c r="Q557" s="2">
        <v>3.0800000000000001E-2</v>
      </c>
      <c r="R557" t="s">
        <v>89</v>
      </c>
      <c r="T557" s="4"/>
      <c r="AH557" t="str">
        <f>IFERROR(VLOOKUP($A557,fund_metadata!$A:$P,2,FALSE),"")</f>
        <v>JPMF</v>
      </c>
      <c r="AI557" t="str">
        <f>IFERROR(VLOOKUP($A557,fund_metadata!$A:$P,16,FALSE),"")</f>
        <v>private_equity</v>
      </c>
    </row>
    <row r="558" spans="1:35" x14ac:dyDescent="0.25">
      <c r="A558">
        <v>11</v>
      </c>
      <c r="B558" s="3">
        <v>45473</v>
      </c>
      <c r="C558" s="3"/>
      <c r="D558" s="3"/>
      <c r="E558" s="3"/>
      <c r="F558" s="3"/>
      <c r="G558" s="3"/>
      <c r="H558" s="3"/>
      <c r="K558" s="4"/>
      <c r="M558" s="5">
        <v>15.19</v>
      </c>
      <c r="N558" t="s">
        <v>89</v>
      </c>
      <c r="O558" s="5"/>
      <c r="Q558" s="2">
        <v>8.6E-3</v>
      </c>
      <c r="R558" t="s">
        <v>89</v>
      </c>
      <c r="S558">
        <v>36</v>
      </c>
      <c r="T558" s="4"/>
      <c r="AH558" t="str">
        <f>IFERROR(VLOOKUP($A558,fund_metadata!$A:$P,2,FALSE),"")</f>
        <v>JPMF</v>
      </c>
      <c r="AI558" t="str">
        <f>IFERROR(VLOOKUP($A558,fund_metadata!$A:$P,16,FALSE),"")</f>
        <v>private_equity</v>
      </c>
    </row>
    <row r="559" spans="1:35" x14ac:dyDescent="0.25">
      <c r="A559">
        <v>11</v>
      </c>
      <c r="B559" s="3">
        <v>45504</v>
      </c>
      <c r="C559" s="3"/>
      <c r="D559" s="3"/>
      <c r="E559" s="3"/>
      <c r="F559" s="3"/>
      <c r="G559" s="3"/>
      <c r="H559" s="3"/>
      <c r="K559" s="4"/>
      <c r="M559" s="5">
        <v>15.2</v>
      </c>
      <c r="N559" t="s">
        <v>89</v>
      </c>
      <c r="O559" s="5"/>
      <c r="Q559" s="2">
        <v>6.9999999999999999E-4</v>
      </c>
      <c r="R559" t="s">
        <v>89</v>
      </c>
      <c r="T559" s="4"/>
      <c r="AH559" t="str">
        <f>IFERROR(VLOOKUP($A559,fund_metadata!$A:$P,2,FALSE),"")</f>
        <v>JPMF</v>
      </c>
      <c r="AI559" t="str">
        <f>IFERROR(VLOOKUP($A559,fund_metadata!$A:$P,16,FALSE),"")</f>
        <v>private_equity</v>
      </c>
    </row>
    <row r="560" spans="1:35" x14ac:dyDescent="0.25">
      <c r="A560">
        <v>11</v>
      </c>
      <c r="B560" s="3">
        <v>45535</v>
      </c>
      <c r="C560" s="3"/>
      <c r="D560" s="3"/>
      <c r="E560" s="3"/>
      <c r="F560" s="3"/>
      <c r="G560" s="3"/>
      <c r="H560" s="3"/>
      <c r="K560" s="4"/>
      <c r="M560" s="5">
        <v>15.24</v>
      </c>
      <c r="N560" t="s">
        <v>89</v>
      </c>
      <c r="O560" s="5"/>
      <c r="Q560" s="2">
        <v>2.5999999999999999E-3</v>
      </c>
      <c r="R560" t="s">
        <v>89</v>
      </c>
      <c r="T560" s="4"/>
      <c r="AH560" t="str">
        <f>IFERROR(VLOOKUP($A560,fund_metadata!$A:$P,2,FALSE),"")</f>
        <v>JPMF</v>
      </c>
      <c r="AI560" t="str">
        <f>IFERROR(VLOOKUP($A560,fund_metadata!$A:$P,16,FALSE),"")</f>
        <v>private_equity</v>
      </c>
    </row>
    <row r="561" spans="1:35" x14ac:dyDescent="0.25">
      <c r="A561">
        <v>11</v>
      </c>
      <c r="B561" s="3">
        <v>45565</v>
      </c>
      <c r="C561" s="3"/>
      <c r="D561" s="3"/>
      <c r="E561" s="3"/>
      <c r="F561" s="3"/>
      <c r="G561" s="3"/>
      <c r="H561" s="3"/>
      <c r="K561" s="4"/>
      <c r="M561" s="5">
        <v>15.37</v>
      </c>
      <c r="N561" t="s">
        <v>89</v>
      </c>
      <c r="O561" s="5"/>
      <c r="Q561" s="2">
        <v>8.5000000000000006E-3</v>
      </c>
      <c r="R561" t="s">
        <v>89</v>
      </c>
      <c r="S561">
        <v>45</v>
      </c>
      <c r="T561" s="4"/>
      <c r="V561">
        <v>19419769</v>
      </c>
      <c r="W561" t="s">
        <v>120</v>
      </c>
      <c r="AH561" t="str">
        <f>IFERROR(VLOOKUP($A561,fund_metadata!$A:$P,2,FALSE),"")</f>
        <v>JPMF</v>
      </c>
      <c r="AI561" t="str">
        <f>IFERROR(VLOOKUP($A561,fund_metadata!$A:$P,16,FALSE),"")</f>
        <v>private_equity</v>
      </c>
    </row>
    <row r="562" spans="1:35" x14ac:dyDescent="0.25">
      <c r="A562">
        <v>11</v>
      </c>
      <c r="B562" s="3">
        <v>45596</v>
      </c>
      <c r="C562" s="3"/>
      <c r="D562" s="3"/>
      <c r="E562" s="3"/>
      <c r="F562" s="3"/>
      <c r="G562" s="3"/>
      <c r="H562" s="3"/>
      <c r="K562" s="4"/>
      <c r="M562" s="5">
        <v>15.69</v>
      </c>
      <c r="N562" t="s">
        <v>89</v>
      </c>
      <c r="O562" s="5"/>
      <c r="Q562" s="2">
        <v>2.0799999999999999E-2</v>
      </c>
      <c r="R562" t="s">
        <v>89</v>
      </c>
      <c r="T562" s="4"/>
      <c r="AH562" t="str">
        <f>IFERROR(VLOOKUP($A562,fund_metadata!$A:$P,2,FALSE),"")</f>
        <v>JPMF</v>
      </c>
      <c r="AI562" t="str">
        <f>IFERROR(VLOOKUP($A562,fund_metadata!$A:$P,16,FALSE),"")</f>
        <v>private_equity</v>
      </c>
    </row>
    <row r="563" spans="1:35" x14ac:dyDescent="0.25">
      <c r="A563">
        <v>11</v>
      </c>
      <c r="B563" s="3">
        <v>45626</v>
      </c>
      <c r="C563" s="3"/>
      <c r="D563" s="3"/>
      <c r="E563" s="3"/>
      <c r="F563" s="3"/>
      <c r="G563" s="3"/>
      <c r="H563" s="3"/>
      <c r="K563" s="4"/>
      <c r="M563" s="5">
        <v>15.69</v>
      </c>
      <c r="N563" t="s">
        <v>89</v>
      </c>
      <c r="O563" s="5"/>
      <c r="Q563" s="2">
        <v>0</v>
      </c>
      <c r="R563" t="s">
        <v>89</v>
      </c>
      <c r="T563" s="4"/>
      <c r="AH563" t="str">
        <f>IFERROR(VLOOKUP($A563,fund_metadata!$A:$P,2,FALSE),"")</f>
        <v>JPMF</v>
      </c>
      <c r="AI563" t="str">
        <f>IFERROR(VLOOKUP($A563,fund_metadata!$A:$P,16,FALSE),"")</f>
        <v>private_equity</v>
      </c>
    </row>
    <row r="564" spans="1:35" x14ac:dyDescent="0.25">
      <c r="A564">
        <v>11</v>
      </c>
      <c r="B564" s="3">
        <v>45657</v>
      </c>
      <c r="C564" s="3"/>
      <c r="D564" s="3"/>
      <c r="E564" s="3"/>
      <c r="F564" s="3"/>
      <c r="G564" s="3"/>
      <c r="H564" s="3"/>
      <c r="K564" s="4"/>
      <c r="M564" s="5">
        <v>15.83</v>
      </c>
      <c r="N564" t="s">
        <v>89</v>
      </c>
      <c r="O564" s="5"/>
      <c r="Q564" s="2">
        <v>8.8999999999999999E-3</v>
      </c>
      <c r="R564" t="s">
        <v>89</v>
      </c>
      <c r="S564">
        <v>61</v>
      </c>
      <c r="T564" s="4"/>
      <c r="AH564" t="str">
        <f>IFERROR(VLOOKUP($A564,fund_metadata!$A:$P,2,FALSE),"")</f>
        <v>JPMF</v>
      </c>
      <c r="AI564" t="str">
        <f>IFERROR(VLOOKUP($A564,fund_metadata!$A:$P,16,FALSE),"")</f>
        <v>private_equity</v>
      </c>
    </row>
    <row r="565" spans="1:35" x14ac:dyDescent="0.25">
      <c r="A565">
        <v>11</v>
      </c>
      <c r="B565" s="3">
        <v>45688</v>
      </c>
      <c r="C565" s="3"/>
      <c r="D565" s="3"/>
      <c r="E565" s="3"/>
      <c r="F565" s="3"/>
      <c r="G565" s="3"/>
      <c r="H565" s="3"/>
      <c r="K565" s="4"/>
      <c r="M565" s="5">
        <v>15.95</v>
      </c>
      <c r="N565" t="s">
        <v>89</v>
      </c>
      <c r="O565" s="5"/>
      <c r="Q565" s="2">
        <v>7.6E-3</v>
      </c>
      <c r="R565" t="s">
        <v>89</v>
      </c>
      <c r="T565" s="4"/>
      <c r="AH565" t="str">
        <f>IFERROR(VLOOKUP($A565,fund_metadata!$A:$P,2,FALSE),"")</f>
        <v>JPMF</v>
      </c>
      <c r="AI565" t="str">
        <f>IFERROR(VLOOKUP($A565,fund_metadata!$A:$P,16,FALSE),"")</f>
        <v>private_equity</v>
      </c>
    </row>
    <row r="566" spans="1:35" x14ac:dyDescent="0.25">
      <c r="A566">
        <v>11</v>
      </c>
      <c r="B566" s="3">
        <v>45716</v>
      </c>
      <c r="C566" s="3"/>
      <c r="D566" s="3"/>
      <c r="E566" s="3"/>
      <c r="F566" s="3"/>
      <c r="G566" s="3"/>
      <c r="H566" s="3"/>
      <c r="K566" s="4"/>
      <c r="M566" s="5">
        <v>16</v>
      </c>
      <c r="N566" t="s">
        <v>89</v>
      </c>
      <c r="O566" s="5"/>
      <c r="Q566" s="2">
        <v>3.3E-3</v>
      </c>
      <c r="R566" t="s">
        <v>89</v>
      </c>
      <c r="T566" s="4"/>
      <c r="AH566" t="str">
        <f>IFERROR(VLOOKUP($A566,fund_metadata!$A:$P,2,FALSE),"")</f>
        <v>JPMF</v>
      </c>
      <c r="AI566" t="str">
        <f>IFERROR(VLOOKUP($A566,fund_metadata!$A:$P,16,FALSE),"")</f>
        <v>private_equity</v>
      </c>
    </row>
    <row r="567" spans="1:35" x14ac:dyDescent="0.25">
      <c r="A567">
        <v>11</v>
      </c>
      <c r="B567" s="3">
        <v>45747</v>
      </c>
      <c r="C567" s="3"/>
      <c r="D567" s="3"/>
      <c r="E567" s="3"/>
      <c r="F567" s="3"/>
      <c r="G567" s="3"/>
      <c r="H567" s="3"/>
      <c r="K567" s="4">
        <v>999150000</v>
      </c>
      <c r="L567" t="s">
        <v>89</v>
      </c>
      <c r="M567" s="5">
        <v>16.3</v>
      </c>
      <c r="N567" t="s">
        <v>89</v>
      </c>
      <c r="O567" s="5"/>
      <c r="Q567" s="2">
        <v>1.8599999999999998E-2</v>
      </c>
      <c r="R567" t="s">
        <v>89</v>
      </c>
      <c r="S567">
        <v>75</v>
      </c>
      <c r="T567" s="4">
        <v>1020000000</v>
      </c>
      <c r="U567" t="s">
        <v>89</v>
      </c>
      <c r="V567">
        <v>28166468</v>
      </c>
      <c r="W567" t="s">
        <v>121</v>
      </c>
      <c r="AH567" t="str">
        <f>IFERROR(VLOOKUP($A567,fund_metadata!$A:$P,2,FALSE),"")</f>
        <v>JPMF</v>
      </c>
      <c r="AI567" t="str">
        <f>IFERROR(VLOOKUP($A567,fund_metadata!$A:$P,16,FALSE),"")</f>
        <v>private_equity</v>
      </c>
    </row>
    <row r="568" spans="1:35" x14ac:dyDescent="0.25">
      <c r="A568">
        <v>11</v>
      </c>
      <c r="B568" s="3">
        <v>45777</v>
      </c>
      <c r="C568" s="3"/>
      <c r="D568" s="3"/>
      <c r="E568" s="3"/>
      <c r="F568" s="3"/>
      <c r="G568" s="3"/>
      <c r="H568" s="3"/>
      <c r="K568" s="4"/>
      <c r="M568" s="5">
        <v>16.440000000000001</v>
      </c>
      <c r="N568" t="s">
        <v>89</v>
      </c>
      <c r="O568" s="5"/>
      <c r="Q568" s="2">
        <v>8.6E-3</v>
      </c>
      <c r="R568" t="s">
        <v>89</v>
      </c>
      <c r="T568" s="4"/>
      <c r="AH568" t="str">
        <f>IFERROR(VLOOKUP($A568,fund_metadata!$A:$P,2,FALSE),"")</f>
        <v>JPMF</v>
      </c>
      <c r="AI568" t="str">
        <f>IFERROR(VLOOKUP($A568,fund_metadata!$A:$P,16,FALSE),"")</f>
        <v>private_equity</v>
      </c>
    </row>
    <row r="569" spans="1:35" x14ac:dyDescent="0.25">
      <c r="A569">
        <v>11</v>
      </c>
      <c r="B569" s="3">
        <v>45808</v>
      </c>
      <c r="C569" s="3"/>
      <c r="D569" s="3"/>
      <c r="E569" s="3"/>
      <c r="F569" s="3"/>
      <c r="G569" s="3"/>
      <c r="H569" s="3"/>
      <c r="K569" s="4"/>
      <c r="M569" s="5">
        <v>16.559999999999999</v>
      </c>
      <c r="N569" t="s">
        <v>89</v>
      </c>
      <c r="O569" s="5"/>
      <c r="Q569" s="2">
        <v>7.3000000000000001E-3</v>
      </c>
      <c r="R569" t="s">
        <v>89</v>
      </c>
      <c r="T569" s="4"/>
      <c r="AH569" t="str">
        <f>IFERROR(VLOOKUP($A569,fund_metadata!$A:$P,2,FALSE),"")</f>
        <v>JPMF</v>
      </c>
      <c r="AI569" t="str">
        <f>IFERROR(VLOOKUP($A569,fund_metadata!$A:$P,16,FALSE),"")</f>
        <v>private_equity</v>
      </c>
    </row>
    <row r="570" spans="1:35" x14ac:dyDescent="0.25">
      <c r="A570">
        <v>11</v>
      </c>
      <c r="B570" s="3">
        <v>45838</v>
      </c>
      <c r="C570" s="3"/>
      <c r="D570" s="3"/>
      <c r="E570" s="3"/>
      <c r="F570" s="3"/>
      <c r="G570" s="3"/>
      <c r="H570" s="3"/>
      <c r="K570" s="4"/>
      <c r="M570" s="5">
        <v>16.87</v>
      </c>
      <c r="N570" t="s">
        <v>89</v>
      </c>
      <c r="O570" s="5"/>
      <c r="Q570" s="2">
        <v>1.8700000000000001E-2</v>
      </c>
      <c r="R570" t="s">
        <v>89</v>
      </c>
      <c r="S570">
        <v>95</v>
      </c>
      <c r="T570" s="4"/>
      <c r="AH570" t="str">
        <f>IFERROR(VLOOKUP($A570,fund_metadata!$A:$P,2,FALSE),"")</f>
        <v>JPMF</v>
      </c>
      <c r="AI570" t="str">
        <f>IFERROR(VLOOKUP($A570,fund_metadata!$A:$P,16,FALSE),"")</f>
        <v>private_equity</v>
      </c>
    </row>
    <row r="571" spans="1:35" x14ac:dyDescent="0.25">
      <c r="A571">
        <v>11</v>
      </c>
      <c r="B571" s="3">
        <v>45869</v>
      </c>
      <c r="C571" s="3"/>
      <c r="D571" s="3"/>
      <c r="E571" s="3"/>
      <c r="F571" s="3"/>
      <c r="G571" s="3"/>
      <c r="H571" s="3"/>
      <c r="K571" s="4"/>
      <c r="M571" s="5">
        <v>17.010000000000002</v>
      </c>
      <c r="N571" t="s">
        <v>89</v>
      </c>
      <c r="O571" s="5"/>
      <c r="Q571" s="2">
        <v>8.6E-3</v>
      </c>
      <c r="R571" t="s">
        <v>89</v>
      </c>
      <c r="T571" s="4"/>
      <c r="AH571" t="str">
        <f>IFERROR(VLOOKUP($A571,fund_metadata!$A:$P,2,FALSE),"")</f>
        <v>JPMF</v>
      </c>
      <c r="AI571" t="str">
        <f>IFERROR(VLOOKUP($A571,fund_metadata!$A:$P,16,FALSE),"")</f>
        <v>private_equity</v>
      </c>
    </row>
    <row r="572" spans="1:35" x14ac:dyDescent="0.25">
      <c r="A572">
        <v>11</v>
      </c>
      <c r="B572" s="3">
        <v>45900</v>
      </c>
      <c r="C572" s="3"/>
      <c r="D572" s="3"/>
      <c r="E572" s="3"/>
      <c r="F572" s="3"/>
      <c r="G572" s="3"/>
      <c r="H572" s="3"/>
      <c r="K572" s="4"/>
      <c r="M572" s="5">
        <v>17.21</v>
      </c>
      <c r="N572" t="s">
        <v>89</v>
      </c>
      <c r="O572" s="5"/>
      <c r="Q572" s="2">
        <v>1.12E-2</v>
      </c>
      <c r="R572" t="s">
        <v>89</v>
      </c>
      <c r="T572" s="4"/>
      <c r="AH572" t="str">
        <f>IFERROR(VLOOKUP($A572,fund_metadata!$A:$P,2,FALSE),"")</f>
        <v>JPMF</v>
      </c>
      <c r="AI572" t="str">
        <f>IFERROR(VLOOKUP($A572,fund_metadata!$A:$P,16,FALSE),"")</f>
        <v>private_equity</v>
      </c>
    </row>
    <row r="573" spans="1:35" x14ac:dyDescent="0.25">
      <c r="A573">
        <v>11</v>
      </c>
      <c r="B573" s="3">
        <v>45930</v>
      </c>
      <c r="C573" s="3"/>
      <c r="D573" s="3"/>
      <c r="E573" s="3"/>
      <c r="F573" s="3"/>
      <c r="G573" s="3"/>
      <c r="H573" s="3"/>
      <c r="K573" s="4">
        <v>1430000000</v>
      </c>
      <c r="L573" t="s">
        <v>89</v>
      </c>
      <c r="M573" s="5">
        <v>17.350000000000001</v>
      </c>
      <c r="N573" t="s">
        <v>89</v>
      </c>
      <c r="O573" s="5"/>
      <c r="Q573" s="2">
        <v>8.6E-3</v>
      </c>
      <c r="R573" t="s">
        <v>89</v>
      </c>
      <c r="S573">
        <v>100</v>
      </c>
      <c r="T573" s="4">
        <v>1480000000</v>
      </c>
      <c r="U573" t="s">
        <v>89</v>
      </c>
      <c r="V573">
        <v>36369168</v>
      </c>
      <c r="W573" t="s">
        <v>120</v>
      </c>
      <c r="AH573" t="str">
        <f>IFERROR(VLOOKUP($A573,fund_metadata!$A:$P,2,FALSE),"")</f>
        <v>JPMF</v>
      </c>
      <c r="AI573" t="str">
        <f>IFERROR(VLOOKUP($A573,fund_metadata!$A:$P,16,FALSE),"")</f>
        <v>private_equity</v>
      </c>
    </row>
    <row r="574" spans="1:35" x14ac:dyDescent="0.25">
      <c r="A574">
        <v>11</v>
      </c>
      <c r="B574" s="3">
        <v>45961</v>
      </c>
      <c r="C574" s="3"/>
      <c r="D574" s="3"/>
      <c r="E574" s="3"/>
      <c r="F574" s="3"/>
      <c r="G574" s="3"/>
      <c r="H574" s="3"/>
      <c r="K574" s="4">
        <v>1450000000</v>
      </c>
      <c r="L574" t="s">
        <v>89</v>
      </c>
      <c r="M574" s="5">
        <v>17.579999999999998</v>
      </c>
      <c r="N574" t="s">
        <v>89</v>
      </c>
      <c r="O574" s="5"/>
      <c r="Q574" s="2">
        <v>1.2800000000000001E-2</v>
      </c>
      <c r="R574" t="s">
        <v>89</v>
      </c>
      <c r="T574" s="4"/>
      <c r="AH574" t="str">
        <f>IFERROR(VLOOKUP($A574,fund_metadata!$A:$P,2,FALSE),"")</f>
        <v>JPMF</v>
      </c>
      <c r="AI574" t="str">
        <f>IFERROR(VLOOKUP($A574,fund_metadata!$A:$P,16,FALSE),"")</f>
        <v>private_equity</v>
      </c>
    </row>
    <row r="575" spans="1:35" x14ac:dyDescent="0.25">
      <c r="A575">
        <v>11</v>
      </c>
      <c r="B575" s="3">
        <v>45991</v>
      </c>
      <c r="C575" s="3"/>
      <c r="D575" s="3"/>
      <c r="E575" s="3"/>
      <c r="F575" s="3"/>
      <c r="G575" s="3"/>
      <c r="H575" s="3"/>
      <c r="K575" s="4">
        <v>1500000000</v>
      </c>
      <c r="L575" t="s">
        <v>89</v>
      </c>
      <c r="M575" s="5">
        <v>17.489999999999998</v>
      </c>
      <c r="N575" t="s">
        <v>89</v>
      </c>
      <c r="O575" s="5">
        <v>0.15</v>
      </c>
      <c r="P575" t="s">
        <v>89</v>
      </c>
      <c r="Q575" s="2">
        <v>4.0000000000000001E-3</v>
      </c>
      <c r="R575" t="s">
        <v>89</v>
      </c>
      <c r="T575" s="4"/>
      <c r="AH575" t="str">
        <f>IFERROR(VLOOKUP($A575,fund_metadata!$A:$P,2,FALSE),"")</f>
        <v>JPMF</v>
      </c>
      <c r="AI575" t="str">
        <f>IFERROR(VLOOKUP($A575,fund_metadata!$A:$P,16,FALSE),"")</f>
        <v>private_equity</v>
      </c>
    </row>
    <row r="576" spans="1:35" x14ac:dyDescent="0.25">
      <c r="A576">
        <v>11</v>
      </c>
      <c r="B576" s="3">
        <v>46022</v>
      </c>
      <c r="C576" s="3"/>
      <c r="D576" s="3"/>
      <c r="E576" s="3"/>
      <c r="F576" s="3"/>
      <c r="G576" s="3"/>
      <c r="H576" s="3"/>
      <c r="I576">
        <v>10000000</v>
      </c>
      <c r="J576" t="s">
        <v>104</v>
      </c>
      <c r="K576" s="4">
        <v>1570000000</v>
      </c>
      <c r="L576" t="s">
        <v>89</v>
      </c>
      <c r="M576" s="5">
        <v>17.78</v>
      </c>
      <c r="N576" t="s">
        <v>89</v>
      </c>
      <c r="O576" s="5"/>
      <c r="Q576" s="2">
        <v>1.6400000000000001E-2</v>
      </c>
      <c r="R576" t="s">
        <v>89</v>
      </c>
      <c r="S576">
        <v>115</v>
      </c>
      <c r="T576" s="4"/>
      <c r="AH576" t="str">
        <f>IFERROR(VLOOKUP($A576,fund_metadata!$A:$P,2,FALSE),"")</f>
        <v>JPMF</v>
      </c>
      <c r="AI576" t="str">
        <f>IFERROR(VLOOKUP($A576,fund_metadata!$A:$P,16,FALSE),"")</f>
        <v>private_equity</v>
      </c>
    </row>
    <row r="577" spans="1:35" x14ac:dyDescent="0.25">
      <c r="A577">
        <v>11</v>
      </c>
      <c r="B577" s="3">
        <v>46053</v>
      </c>
      <c r="C577" s="3"/>
      <c r="D577" s="3"/>
      <c r="E577" s="3"/>
      <c r="F577" s="3"/>
      <c r="G577" s="3"/>
      <c r="H577" s="3"/>
      <c r="I577">
        <v>10000000</v>
      </c>
      <c r="J577" t="s">
        <v>107</v>
      </c>
      <c r="K577" s="4">
        <v>1590000000</v>
      </c>
      <c r="L577" t="s">
        <v>89</v>
      </c>
      <c r="M577" s="5">
        <v>17.96</v>
      </c>
      <c r="N577" t="s">
        <v>89</v>
      </c>
      <c r="O577" s="5"/>
      <c r="Q577" s="2">
        <v>1.03E-2</v>
      </c>
      <c r="R577" t="s">
        <v>89</v>
      </c>
      <c r="T577" s="4"/>
      <c r="X577">
        <v>562467.65800000005</v>
      </c>
      <c r="Y577" t="s">
        <v>107</v>
      </c>
      <c r="Z577">
        <v>10000000</v>
      </c>
      <c r="AA577" t="s">
        <v>107</v>
      </c>
      <c r="AB577">
        <v>0</v>
      </c>
      <c r="AC577" t="s">
        <v>107</v>
      </c>
      <c r="AD577">
        <v>0</v>
      </c>
      <c r="AE577" t="s">
        <v>107</v>
      </c>
      <c r="AH577" t="str">
        <f>IFERROR(VLOOKUP($A577,fund_metadata!$A:$P,2,FALSE),"")</f>
        <v>JPMF</v>
      </c>
      <c r="AI577" t="str">
        <f>IFERROR(VLOOKUP($A577,fund_metadata!$A:$P,16,FALSE),"")</f>
        <v>private_equity</v>
      </c>
    </row>
    <row r="578" spans="1:35" x14ac:dyDescent="0.25">
      <c r="A578">
        <v>11</v>
      </c>
      <c r="B578" s="3">
        <v>46081</v>
      </c>
      <c r="C578" s="3"/>
      <c r="D578" s="3"/>
      <c r="E578" s="3"/>
      <c r="F578" s="3"/>
      <c r="G578" s="3"/>
      <c r="H578" s="3"/>
      <c r="I578">
        <v>10107431.32</v>
      </c>
      <c r="J578" t="s">
        <v>106</v>
      </c>
      <c r="K578" s="4">
        <v>1640000000</v>
      </c>
      <c r="L578" t="s">
        <v>89</v>
      </c>
      <c r="M578" s="5">
        <v>17.97</v>
      </c>
      <c r="N578" t="s">
        <v>89</v>
      </c>
      <c r="O578" s="5"/>
      <c r="Q578" s="2">
        <v>4.0000000000000002E-4</v>
      </c>
      <c r="R578" t="s">
        <v>89</v>
      </c>
      <c r="T578" s="4"/>
      <c r="X578">
        <v>562467.65800000005</v>
      </c>
      <c r="Y578" t="s">
        <v>106</v>
      </c>
      <c r="Z578">
        <v>0</v>
      </c>
      <c r="AA578" t="s">
        <v>107</v>
      </c>
      <c r="AB578">
        <v>0</v>
      </c>
      <c r="AC578" t="s">
        <v>107</v>
      </c>
      <c r="AD578">
        <v>0</v>
      </c>
      <c r="AE578" t="s">
        <v>107</v>
      </c>
      <c r="AH578" t="str">
        <f>IFERROR(VLOOKUP($A578,fund_metadata!$A:$P,2,FALSE),"")</f>
        <v>JPMF</v>
      </c>
      <c r="AI578" t="str">
        <f>IFERROR(VLOOKUP($A578,fund_metadata!$A:$P,16,FALSE),"")</f>
        <v>private_equity</v>
      </c>
    </row>
    <row r="579" spans="1:35" x14ac:dyDescent="0.25">
      <c r="A579">
        <v>11</v>
      </c>
      <c r="B579" s="3">
        <v>46112</v>
      </c>
      <c r="C579" s="3"/>
      <c r="D579" s="3"/>
      <c r="E579" s="3"/>
      <c r="F579" s="3"/>
      <c r="G579" s="3"/>
      <c r="H579" s="3"/>
      <c r="I579">
        <v>10093875.85</v>
      </c>
      <c r="J579" t="s">
        <v>106</v>
      </c>
      <c r="K579" s="4">
        <v>1680000000</v>
      </c>
      <c r="L579" t="s">
        <v>89</v>
      </c>
      <c r="M579" s="5">
        <v>17.95</v>
      </c>
      <c r="N579" t="s">
        <v>89</v>
      </c>
      <c r="O579" s="5"/>
      <c r="Q579" s="2">
        <v>-1.2999999999999999E-3</v>
      </c>
      <c r="R579" t="s">
        <v>89</v>
      </c>
      <c r="S579">
        <v>124</v>
      </c>
      <c r="T579" s="4"/>
      <c r="X579">
        <v>562467.65800000005</v>
      </c>
      <c r="Y579" t="s">
        <v>106</v>
      </c>
      <c r="Z579">
        <v>0</v>
      </c>
      <c r="AA579" t="s">
        <v>106</v>
      </c>
      <c r="AB579">
        <v>0</v>
      </c>
      <c r="AC579" t="s">
        <v>106</v>
      </c>
      <c r="AD579">
        <v>0</v>
      </c>
      <c r="AE579" t="s">
        <v>106</v>
      </c>
      <c r="AH579" t="str">
        <f>IFERROR(VLOOKUP($A579,fund_metadata!$A:$P,2,FALSE),"")</f>
        <v>JPMF</v>
      </c>
      <c r="AI579" t="str">
        <f>IFERROR(VLOOKUP($A579,fund_metadata!$A:$P,16,FALSE),"")</f>
        <v>private_equity</v>
      </c>
    </row>
    <row r="580" spans="1:35" x14ac:dyDescent="0.25">
      <c r="A580">
        <v>11</v>
      </c>
      <c r="B580" s="3">
        <v>46142</v>
      </c>
      <c r="C580" s="3"/>
      <c r="D580" s="3"/>
      <c r="E580" s="3"/>
      <c r="F580" s="3"/>
      <c r="G580" s="3"/>
      <c r="H580" s="3"/>
      <c r="K580" s="4"/>
      <c r="M580" s="5"/>
      <c r="O580" s="5"/>
      <c r="Q580" s="2"/>
      <c r="T580" s="4"/>
      <c r="AH580" t="str">
        <f>IFERROR(VLOOKUP($A580,fund_metadata!$A:$P,2,FALSE),"")</f>
        <v>JPMF</v>
      </c>
      <c r="AI580" t="str">
        <f>IFERROR(VLOOKUP($A580,fund_metadata!$A:$P,16,FALSE),"")</f>
        <v>private_equity</v>
      </c>
    </row>
    <row r="581" spans="1:35" x14ac:dyDescent="0.25">
      <c r="A581">
        <v>11</v>
      </c>
      <c r="B581" s="3">
        <v>46173</v>
      </c>
      <c r="C581" s="3"/>
      <c r="D581" s="3"/>
      <c r="E581" s="3"/>
      <c r="F581" s="3"/>
      <c r="G581" s="3"/>
      <c r="H581" s="3"/>
      <c r="K581" s="4"/>
      <c r="M581" s="5"/>
      <c r="O581" s="5"/>
      <c r="Q581" s="2"/>
      <c r="T581" s="4"/>
      <c r="AH581" t="str">
        <f>IFERROR(VLOOKUP($A581,fund_metadata!$A:$P,2,FALSE),"")</f>
        <v>JPMF</v>
      </c>
      <c r="AI581" t="str">
        <f>IFERROR(VLOOKUP($A581,fund_metadata!$A:$P,16,FALSE),"")</f>
        <v>private_equity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3A8F-F29D-419A-B1ED-605D4EB01FC2}">
  <dimension ref="B3:F600"/>
  <sheetViews>
    <sheetView workbookViewId="0">
      <selection activeCell="B7" sqref="B7"/>
    </sheetView>
  </sheetViews>
  <sheetFormatPr defaultRowHeight="15" x14ac:dyDescent="0.25"/>
  <cols>
    <col min="2" max="2" width="14.42578125" bestFit="1" customWidth="1"/>
    <col min="3" max="3" width="13.5703125" bestFit="1" customWidth="1"/>
    <col min="4" max="4" width="15.5703125" bestFit="1" customWidth="1"/>
    <col min="5" max="5" width="12.140625" bestFit="1" customWidth="1"/>
    <col min="6" max="6" width="14.5703125" bestFit="1" customWidth="1"/>
  </cols>
  <sheetData>
    <row r="3" spans="2:6" x14ac:dyDescent="0.25">
      <c r="B3" s="11" t="s">
        <v>0</v>
      </c>
      <c r="C3" s="11" t="s">
        <v>3</v>
      </c>
      <c r="D3" t="s">
        <v>128</v>
      </c>
      <c r="E3" t="s">
        <v>129</v>
      </c>
      <c r="F3" t="s">
        <v>130</v>
      </c>
    </row>
    <row r="4" spans="2:6" x14ac:dyDescent="0.25">
      <c r="B4" s="16">
        <v>1</v>
      </c>
      <c r="D4" s="2">
        <v>1.1815492957746476E-2</v>
      </c>
      <c r="E4" s="13">
        <v>20401211.25</v>
      </c>
      <c r="F4" s="14">
        <v>41.856438356164396</v>
      </c>
    </row>
    <row r="5" spans="2:6" x14ac:dyDescent="0.25">
      <c r="B5" s="16">
        <v>2</v>
      </c>
      <c r="D5" s="2">
        <v>1.2669230769230769E-2</v>
      </c>
      <c r="E5" s="13">
        <v>10154379.32</v>
      </c>
      <c r="F5" s="14">
        <v>12.135999999999997</v>
      </c>
    </row>
    <row r="6" spans="2:6" x14ac:dyDescent="0.25">
      <c r="B6" s="16">
        <v>3</v>
      </c>
      <c r="D6" s="2">
        <v>9.6465517241379264E-3</v>
      </c>
      <c r="E6" s="13">
        <v>38468269.859999999</v>
      </c>
      <c r="F6" s="14">
        <v>10.800666666666665</v>
      </c>
    </row>
    <row r="7" spans="2:6" x14ac:dyDescent="0.25">
      <c r="B7" s="16">
        <v>4</v>
      </c>
      <c r="D7" s="2">
        <v>1.3162500000000002E-2</v>
      </c>
      <c r="E7" s="13">
        <v>30569224.130000003</v>
      </c>
      <c r="F7" s="14"/>
    </row>
    <row r="8" spans="2:6" x14ac:dyDescent="0.25">
      <c r="B8" s="16">
        <v>5</v>
      </c>
      <c r="D8" s="2">
        <v>7.0173913043478251E-3</v>
      </c>
      <c r="E8" s="13">
        <v>24655004.850000001</v>
      </c>
      <c r="F8" s="14">
        <v>10.165199999999999</v>
      </c>
    </row>
    <row r="9" spans="2:6" x14ac:dyDescent="0.25">
      <c r="B9" s="16">
        <v>6</v>
      </c>
      <c r="D9" s="2">
        <v>1.4418181818181813E-2</v>
      </c>
      <c r="E9" s="13">
        <v>50253287.829999998</v>
      </c>
      <c r="F9" s="14">
        <v>47.998676470588251</v>
      </c>
    </row>
    <row r="10" spans="2:6" x14ac:dyDescent="0.25">
      <c r="B10" s="16">
        <v>7</v>
      </c>
      <c r="D10" s="2">
        <v>2.1395238095238096E-2</v>
      </c>
      <c r="E10" s="13">
        <v>21528690.719999999</v>
      </c>
      <c r="F10" s="14">
        <v>39.979534883720923</v>
      </c>
    </row>
    <row r="11" spans="2:6" x14ac:dyDescent="0.25">
      <c r="B11" s="16">
        <v>8</v>
      </c>
      <c r="D11" s="2">
        <v>9.8515873015873057E-3</v>
      </c>
      <c r="E11" s="13">
        <v>39978753.57</v>
      </c>
      <c r="F11" s="14">
        <v>18.116614173228356</v>
      </c>
    </row>
    <row r="12" spans="2:6" x14ac:dyDescent="0.25">
      <c r="B12" s="16">
        <v>9</v>
      </c>
      <c r="D12" s="2">
        <v>1.4194117647058824E-2</v>
      </c>
      <c r="E12" s="13">
        <v>40446746.5</v>
      </c>
      <c r="F12" s="14"/>
    </row>
    <row r="13" spans="2:6" x14ac:dyDescent="0.25">
      <c r="B13" s="16">
        <v>10</v>
      </c>
      <c r="D13" s="2">
        <v>1.2490476190476192E-2</v>
      </c>
      <c r="E13" s="13">
        <v>40588235.289999999</v>
      </c>
      <c r="F13" s="14">
        <v>14.903749999999995</v>
      </c>
    </row>
    <row r="14" spans="2:6" x14ac:dyDescent="0.25">
      <c r="B14" s="16">
        <v>11</v>
      </c>
      <c r="D14" s="2">
        <v>1.2256249999999998E-2</v>
      </c>
      <c r="E14" s="13">
        <v>40201307.170000002</v>
      </c>
      <c r="F14" s="14">
        <v>15.513333333333334</v>
      </c>
    </row>
    <row r="15" spans="2:6" x14ac:dyDescent="0.25">
      <c r="B15" s="12" t="s">
        <v>127</v>
      </c>
      <c r="C15" s="12"/>
      <c r="D15" s="2">
        <v>1.2266844919786093E-2</v>
      </c>
      <c r="E15" s="13">
        <v>357245110.49000007</v>
      </c>
      <c r="F15" s="14">
        <v>24.993097514340366</v>
      </c>
    </row>
    <row r="596" spans="2:6" x14ac:dyDescent="0.25">
      <c r="B596" s="15"/>
      <c r="C596" s="12"/>
      <c r="D596" s="2"/>
      <c r="E596" s="13"/>
      <c r="F596" s="14"/>
    </row>
    <row r="597" spans="2:6" x14ac:dyDescent="0.25">
      <c r="B597" s="15"/>
      <c r="C597" s="12"/>
      <c r="D597" s="2"/>
      <c r="E597" s="13"/>
      <c r="F597" s="14"/>
    </row>
    <row r="598" spans="2:6" x14ac:dyDescent="0.25">
      <c r="B598" s="15"/>
      <c r="C598" s="12"/>
      <c r="D598" s="2"/>
      <c r="E598" s="13"/>
      <c r="F598" s="14"/>
    </row>
    <row r="599" spans="2:6" x14ac:dyDescent="0.25">
      <c r="B599" s="15"/>
      <c r="C599" s="12"/>
      <c r="D599" s="2"/>
      <c r="E599" s="13"/>
      <c r="F599" s="14"/>
    </row>
    <row r="600" spans="2:6" x14ac:dyDescent="0.25">
      <c r="B600" s="15"/>
      <c r="C600" s="12"/>
      <c r="D600" s="2"/>
      <c r="E600" s="13"/>
      <c r="F6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E5C3-FD19-4882-B635-D8E9B9C4970F}">
  <dimension ref="A1:T12"/>
  <sheetViews>
    <sheetView zoomScaleNormal="100" workbookViewId="0">
      <pane xSplit="2" topLeftCell="C1" activePane="topRight" state="frozen"/>
      <selection pane="topRight" activeCell="C16" sqref="C16"/>
    </sheetView>
  </sheetViews>
  <sheetFormatPr defaultRowHeight="15" x14ac:dyDescent="0.25"/>
  <cols>
    <col min="2" max="2" width="24.7109375" bestFit="1" customWidth="1"/>
    <col min="3" max="3" width="28.42578125" customWidth="1"/>
    <col min="5" max="5" width="13.5703125" customWidth="1"/>
    <col min="6" max="6" width="17.28515625" bestFit="1" customWidth="1"/>
    <col min="7" max="7" width="49.140625" bestFit="1" customWidth="1"/>
    <col min="8" max="8" width="15.42578125" customWidth="1"/>
    <col min="9" max="9" width="13.7109375" customWidth="1"/>
    <col min="10" max="10" width="11" bestFit="1" customWidth="1"/>
    <col min="11" max="11" width="49.140625" bestFit="1" customWidth="1"/>
    <col min="12" max="12" width="9.5703125" bestFit="1" customWidth="1"/>
    <col min="13" max="13" width="29.28515625" bestFit="1" customWidth="1"/>
    <col min="14" max="14" width="103.140625" bestFit="1" customWidth="1"/>
    <col min="15" max="15" width="13.42578125" customWidth="1"/>
    <col min="16" max="16" width="15" bestFit="1" customWidth="1"/>
    <col min="17" max="17" width="16.85546875" bestFit="1" customWidth="1"/>
    <col min="18" max="18" width="16.42578125" customWidth="1"/>
    <col min="19" max="19" width="12.7109375" bestFit="1" customWidth="1"/>
    <col min="20" max="20" width="24.85546875" bestFit="1" customWidth="1"/>
  </cols>
  <sheetData>
    <row r="1" spans="1:20" x14ac:dyDescent="0.25">
      <c r="A1" t="s">
        <v>0</v>
      </c>
      <c r="B1" t="s">
        <v>1</v>
      </c>
      <c r="C1" t="s">
        <v>114</v>
      </c>
      <c r="D1" t="s">
        <v>2</v>
      </c>
      <c r="E1" t="s">
        <v>7</v>
      </c>
      <c r="F1" t="s">
        <v>111</v>
      </c>
      <c r="G1" t="s">
        <v>12</v>
      </c>
      <c r="H1" t="s">
        <v>8</v>
      </c>
      <c r="I1" t="s">
        <v>9</v>
      </c>
      <c r="J1" t="s">
        <v>10</v>
      </c>
      <c r="K1" t="s">
        <v>13</v>
      </c>
      <c r="L1" t="s">
        <v>14</v>
      </c>
      <c r="M1" t="s">
        <v>15</v>
      </c>
      <c r="N1" t="s">
        <v>16</v>
      </c>
      <c r="O1" t="s">
        <v>96</v>
      </c>
      <c r="P1" t="s">
        <v>91</v>
      </c>
      <c r="Q1" t="s">
        <v>113</v>
      </c>
      <c r="R1" t="s">
        <v>11</v>
      </c>
      <c r="S1" t="s">
        <v>125</v>
      </c>
      <c r="T1" t="s">
        <v>124</v>
      </c>
    </row>
    <row r="2" spans="1:20" x14ac:dyDescent="0.25">
      <c r="A2">
        <v>1</v>
      </c>
      <c r="B2" t="s">
        <v>17</v>
      </c>
      <c r="C2" s="3">
        <v>44196</v>
      </c>
      <c r="D2" t="s">
        <v>43</v>
      </c>
      <c r="E2">
        <v>1810256</v>
      </c>
      <c r="F2">
        <v>2</v>
      </c>
      <c r="G2" t="s">
        <v>51</v>
      </c>
      <c r="H2" s="1" t="s">
        <v>29</v>
      </c>
      <c r="I2" t="s">
        <v>74</v>
      </c>
      <c r="J2" t="s">
        <v>41</v>
      </c>
      <c r="K2" t="s">
        <v>61</v>
      </c>
      <c r="N2" s="6" t="s">
        <v>30</v>
      </c>
      <c r="O2" t="s">
        <v>97</v>
      </c>
      <c r="P2" t="s">
        <v>115</v>
      </c>
      <c r="Q2" s="7">
        <v>1.7500000000000002E-2</v>
      </c>
      <c r="R2" s="2">
        <v>2.9899999999999999E-2</v>
      </c>
      <c r="T2" s="10">
        <v>0.05</v>
      </c>
    </row>
    <row r="3" spans="1:20" x14ac:dyDescent="0.25">
      <c r="A3">
        <v>2</v>
      </c>
      <c r="B3" t="s">
        <v>18</v>
      </c>
      <c r="C3" s="3">
        <v>45294</v>
      </c>
      <c r="D3" t="s">
        <v>44</v>
      </c>
      <c r="E3">
        <v>1899610</v>
      </c>
      <c r="F3">
        <v>4</v>
      </c>
      <c r="G3" t="s">
        <v>52</v>
      </c>
      <c r="H3" s="1" t="s">
        <v>28</v>
      </c>
      <c r="I3" t="s">
        <v>75</v>
      </c>
      <c r="J3" t="s">
        <v>41</v>
      </c>
      <c r="K3" t="s">
        <v>62</v>
      </c>
      <c r="N3" s="6" t="s">
        <v>31</v>
      </c>
      <c r="O3" t="s">
        <v>97</v>
      </c>
      <c r="P3" t="s">
        <v>115</v>
      </c>
      <c r="Q3" s="7">
        <v>1.2500000000000001E-2</v>
      </c>
      <c r="R3" s="2">
        <v>3.2399999999999998E-2</v>
      </c>
      <c r="S3" s="8">
        <v>0.1</v>
      </c>
      <c r="T3" s="10">
        <v>0.05</v>
      </c>
    </row>
    <row r="4" spans="1:20" x14ac:dyDescent="0.25">
      <c r="A4">
        <v>3</v>
      </c>
      <c r="B4" t="s">
        <v>19</v>
      </c>
      <c r="C4" s="3">
        <v>44377</v>
      </c>
      <c r="D4" t="s">
        <v>45</v>
      </c>
      <c r="E4">
        <v>1842754</v>
      </c>
      <c r="F4">
        <v>1</v>
      </c>
      <c r="G4" t="s">
        <v>53</v>
      </c>
      <c r="H4" s="1" t="s">
        <v>29</v>
      </c>
      <c r="I4" s="6" t="s">
        <v>76</v>
      </c>
      <c r="J4" t="s">
        <v>41</v>
      </c>
      <c r="K4" t="s">
        <v>63</v>
      </c>
      <c r="N4" s="6" t="s">
        <v>32</v>
      </c>
      <c r="O4" t="s">
        <v>97</v>
      </c>
      <c r="P4" t="s">
        <v>116</v>
      </c>
      <c r="Q4" s="7">
        <v>9.4999999999999998E-3</v>
      </c>
      <c r="T4" s="10">
        <v>0.05</v>
      </c>
    </row>
    <row r="5" spans="1:20" x14ac:dyDescent="0.25">
      <c r="A5">
        <v>4</v>
      </c>
      <c r="B5" t="s">
        <v>20</v>
      </c>
      <c r="C5" s="3">
        <v>45383</v>
      </c>
      <c r="E5">
        <v>1969180</v>
      </c>
      <c r="F5">
        <v>3</v>
      </c>
      <c r="G5" t="s">
        <v>54</v>
      </c>
      <c r="H5" s="1" t="s">
        <v>28</v>
      </c>
      <c r="J5" t="s">
        <v>41</v>
      </c>
      <c r="K5" t="s">
        <v>54</v>
      </c>
      <c r="N5" s="6" t="s">
        <v>33</v>
      </c>
      <c r="O5" t="s">
        <v>97</v>
      </c>
      <c r="P5" t="s">
        <v>117</v>
      </c>
      <c r="Q5" s="7">
        <v>1.6500000000000001E-2</v>
      </c>
      <c r="T5" s="10">
        <v>0.05</v>
      </c>
    </row>
    <row r="6" spans="1:20" x14ac:dyDescent="0.25">
      <c r="A6">
        <v>5</v>
      </c>
      <c r="B6" t="s">
        <v>21</v>
      </c>
      <c r="C6" s="3">
        <v>45446</v>
      </c>
      <c r="D6" t="s">
        <v>46</v>
      </c>
      <c r="E6">
        <v>2006100</v>
      </c>
      <c r="F6">
        <v>4</v>
      </c>
      <c r="G6" t="s">
        <v>55</v>
      </c>
      <c r="H6" s="1" t="s">
        <v>29</v>
      </c>
      <c r="I6" t="s">
        <v>77</v>
      </c>
      <c r="J6" t="s">
        <v>41</v>
      </c>
      <c r="K6" t="s">
        <v>64</v>
      </c>
      <c r="N6" s="6" t="s">
        <v>34</v>
      </c>
      <c r="O6" t="s">
        <v>97</v>
      </c>
      <c r="P6" t="s">
        <v>116</v>
      </c>
      <c r="Q6" s="7">
        <v>1.15E-2</v>
      </c>
      <c r="T6" s="10">
        <v>0.05</v>
      </c>
    </row>
    <row r="7" spans="1:20" x14ac:dyDescent="0.25">
      <c r="A7">
        <v>6</v>
      </c>
      <c r="B7" t="s">
        <v>22</v>
      </c>
      <c r="C7" s="3">
        <v>44105</v>
      </c>
      <c r="D7" t="s">
        <v>47</v>
      </c>
      <c r="E7">
        <v>1789470</v>
      </c>
      <c r="F7">
        <v>3</v>
      </c>
      <c r="G7" t="s">
        <v>56</v>
      </c>
      <c r="H7" s="1" t="s">
        <v>28</v>
      </c>
      <c r="I7" t="s">
        <v>78</v>
      </c>
      <c r="J7" t="s">
        <v>41</v>
      </c>
      <c r="K7" t="s">
        <v>65</v>
      </c>
      <c r="N7" s="6" t="s">
        <v>35</v>
      </c>
      <c r="O7" t="s">
        <v>97</v>
      </c>
      <c r="P7" t="s">
        <v>117</v>
      </c>
      <c r="Q7" s="7">
        <v>1.4E-2</v>
      </c>
      <c r="T7" s="10">
        <v>0.05</v>
      </c>
    </row>
    <row r="8" spans="1:20" x14ac:dyDescent="0.25">
      <c r="A8">
        <v>7</v>
      </c>
      <c r="B8" t="s">
        <v>23</v>
      </c>
      <c r="C8" s="3">
        <v>44866</v>
      </c>
      <c r="D8" t="s">
        <v>48</v>
      </c>
      <c r="E8">
        <v>1918642</v>
      </c>
      <c r="F8">
        <v>3</v>
      </c>
      <c r="G8" t="s">
        <v>57</v>
      </c>
      <c r="H8" s="1" t="s">
        <v>28</v>
      </c>
      <c r="I8" s="6" t="s">
        <v>79</v>
      </c>
      <c r="J8" t="s">
        <v>41</v>
      </c>
      <c r="K8" t="s">
        <v>66</v>
      </c>
      <c r="N8" s="6" t="s">
        <v>36</v>
      </c>
      <c r="O8" t="s">
        <v>97</v>
      </c>
      <c r="P8" t="s">
        <v>118</v>
      </c>
      <c r="Q8" s="7">
        <v>1.4999999999999999E-2</v>
      </c>
      <c r="T8" s="10">
        <v>2.5000000000000001E-2</v>
      </c>
    </row>
    <row r="9" spans="1:20" x14ac:dyDescent="0.25">
      <c r="A9">
        <v>8</v>
      </c>
      <c r="B9" t="s">
        <v>24</v>
      </c>
      <c r="C9" s="3">
        <v>42304</v>
      </c>
      <c r="D9" t="s">
        <v>49</v>
      </c>
      <c r="E9">
        <v>1609211</v>
      </c>
      <c r="F9">
        <v>1</v>
      </c>
      <c r="G9" t="s">
        <v>119</v>
      </c>
      <c r="H9" s="1" t="s">
        <v>28</v>
      </c>
      <c r="J9" t="s">
        <v>42</v>
      </c>
      <c r="L9" t="s">
        <v>71</v>
      </c>
      <c r="M9" t="s">
        <v>67</v>
      </c>
      <c r="N9" s="6" t="s">
        <v>37</v>
      </c>
      <c r="O9" t="s">
        <v>97</v>
      </c>
      <c r="P9" t="s">
        <v>117</v>
      </c>
      <c r="Q9" s="7">
        <v>1.2500000000000001E-2</v>
      </c>
      <c r="T9" s="10">
        <v>0.05</v>
      </c>
    </row>
    <row r="10" spans="1:20" x14ac:dyDescent="0.25">
      <c r="A10">
        <v>9</v>
      </c>
      <c r="B10" t="s">
        <v>27</v>
      </c>
      <c r="C10" s="3">
        <v>45646</v>
      </c>
      <c r="E10">
        <v>2008602</v>
      </c>
      <c r="F10">
        <v>4</v>
      </c>
      <c r="G10" t="s">
        <v>58</v>
      </c>
      <c r="H10" s="1" t="s">
        <v>28</v>
      </c>
      <c r="J10" t="s">
        <v>41</v>
      </c>
      <c r="M10" t="s">
        <v>68</v>
      </c>
      <c r="N10" s="6" t="s">
        <v>38</v>
      </c>
      <c r="O10" t="s">
        <v>97</v>
      </c>
      <c r="P10" t="s">
        <v>117</v>
      </c>
      <c r="Q10" s="7">
        <v>1.2500000000000001E-2</v>
      </c>
      <c r="T10" s="10">
        <v>0.05</v>
      </c>
    </row>
    <row r="11" spans="1:20" x14ac:dyDescent="0.25">
      <c r="A11">
        <v>10</v>
      </c>
      <c r="B11" t="s">
        <v>25</v>
      </c>
      <c r="C11" s="3">
        <v>44200</v>
      </c>
      <c r="D11" t="s">
        <v>50</v>
      </c>
      <c r="E11">
        <v>1803491</v>
      </c>
      <c r="F11">
        <v>3</v>
      </c>
      <c r="G11" t="s">
        <v>59</v>
      </c>
      <c r="H11" s="1" t="s">
        <v>28</v>
      </c>
      <c r="I11" t="s">
        <v>80</v>
      </c>
      <c r="J11" t="s">
        <v>41</v>
      </c>
      <c r="L11" t="s">
        <v>72</v>
      </c>
      <c r="M11" t="s">
        <v>69</v>
      </c>
      <c r="N11" s="6" t="s">
        <v>39</v>
      </c>
      <c r="O11" t="s">
        <v>97</v>
      </c>
      <c r="P11" t="s">
        <v>115</v>
      </c>
      <c r="Q11" s="7">
        <v>1.4E-2</v>
      </c>
      <c r="R11" s="2">
        <v>3.3799999999999997E-2</v>
      </c>
      <c r="S11" s="8">
        <v>0.1</v>
      </c>
      <c r="T11" s="10">
        <v>0.05</v>
      </c>
    </row>
    <row r="12" spans="1:20" x14ac:dyDescent="0.25">
      <c r="A12">
        <v>11</v>
      </c>
      <c r="B12" t="s">
        <v>26</v>
      </c>
      <c r="C12" s="3">
        <v>45119</v>
      </c>
      <c r="E12">
        <v>1940499</v>
      </c>
      <c r="F12">
        <v>3</v>
      </c>
      <c r="G12" t="s">
        <v>60</v>
      </c>
      <c r="H12" s="1" t="s">
        <v>28</v>
      </c>
      <c r="J12" t="s">
        <v>41</v>
      </c>
      <c r="L12" t="s">
        <v>73</v>
      </c>
      <c r="M12" t="s">
        <v>70</v>
      </c>
      <c r="N12" s="6" t="s">
        <v>40</v>
      </c>
      <c r="O12" t="s">
        <v>97</v>
      </c>
      <c r="P12" t="s">
        <v>115</v>
      </c>
      <c r="Q12" s="7">
        <v>0.01</v>
      </c>
      <c r="T12" s="10">
        <v>0.05</v>
      </c>
    </row>
  </sheetData>
  <hyperlinks>
    <hyperlink ref="I4" r:id="rId1" xr:uid="{CA224E14-E7E4-45E3-893F-A158591A05D9}"/>
    <hyperlink ref="I8" r:id="rId2" xr:uid="{EED59507-78F9-4485-9CA7-E2F0D38BD009}"/>
    <hyperlink ref="N2" r:id="rId3" xr:uid="{1B0BC8EC-1BB0-4E35-BBBB-E124EB9010C4}"/>
    <hyperlink ref="N3" r:id="rId4" xr:uid="{B972CAF4-2FC7-4C15-8490-C35E8A18E54D}"/>
    <hyperlink ref="N4" r:id="rId5" xr:uid="{A51B14B6-1070-4D5A-AAF7-3CCE29AC57A6}"/>
    <hyperlink ref="N5" r:id="rId6" xr:uid="{53916F5D-5F6C-4867-B480-3338B4A18101}"/>
    <hyperlink ref="N6" r:id="rId7" xr:uid="{2F396279-0E50-4FD7-935F-5485D7B11445}"/>
    <hyperlink ref="N7" r:id="rId8" xr:uid="{55BFF612-DB1B-4258-A860-3C316D7311E3}"/>
    <hyperlink ref="N8" r:id="rId9" xr:uid="{77F24161-5C42-4521-9E79-BE88D670A743}"/>
    <hyperlink ref="N9" r:id="rId10" xr:uid="{206E1370-2BFE-4365-8C56-9D1034AB1AA1}"/>
    <hyperlink ref="N10" r:id="rId11" xr:uid="{7ED948B6-DEFF-49A3-889C-A372AEACDF06}"/>
    <hyperlink ref="N11" r:id="rId12" xr:uid="{FCA7A941-AD7D-465B-B1C3-4CF2699789FA}"/>
    <hyperlink ref="N12" r:id="rId13" xr:uid="{A2E425F8-9559-45A3-937F-7039BD357E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3A6-F7E7-46C4-B5F0-716A5D8A2532}">
  <dimension ref="A1:B139"/>
  <sheetViews>
    <sheetView workbookViewId="0">
      <selection activeCell="C2" sqref="C2"/>
    </sheetView>
  </sheetViews>
  <sheetFormatPr defaultRowHeight="15" x14ac:dyDescent="0.25"/>
  <cols>
    <col min="1" max="1" width="10.7109375" bestFit="1" customWidth="1"/>
    <col min="2" max="2" width="15.85546875" bestFit="1" customWidth="1"/>
  </cols>
  <sheetData>
    <row r="1" spans="1:2" x14ac:dyDescent="0.25">
      <c r="A1" t="s">
        <v>3</v>
      </c>
      <c r="B1" t="s">
        <v>123</v>
      </c>
    </row>
    <row r="2" spans="1:2" x14ac:dyDescent="0.25">
      <c r="A2" s="3">
        <v>41820</v>
      </c>
      <c r="B2" s="9">
        <v>100</v>
      </c>
    </row>
    <row r="3" spans="1:2" x14ac:dyDescent="0.25">
      <c r="A3" s="3">
        <v>41851</v>
      </c>
      <c r="B3" s="9">
        <v>99.92261828996412</v>
      </c>
    </row>
    <row r="4" spans="1:2" x14ac:dyDescent="0.25">
      <c r="A4" s="3">
        <v>41882</v>
      </c>
      <c r="B4" s="9">
        <v>100.48178645635798</v>
      </c>
    </row>
    <row r="5" spans="1:2" x14ac:dyDescent="0.25">
      <c r="A5" s="3">
        <v>41912</v>
      </c>
      <c r="B5" s="9">
        <v>100.70547662686238</v>
      </c>
    </row>
    <row r="6" spans="1:2" x14ac:dyDescent="0.25">
      <c r="A6" s="3">
        <v>41943</v>
      </c>
      <c r="B6" s="9">
        <v>101.05813354486315</v>
      </c>
    </row>
    <row r="7" spans="1:2" x14ac:dyDescent="0.25">
      <c r="A7" s="3">
        <v>41973</v>
      </c>
      <c r="B7" s="9">
        <v>101.53131330279186</v>
      </c>
    </row>
    <row r="8" spans="1:2" x14ac:dyDescent="0.25">
      <c r="A8" s="3">
        <v>42004</v>
      </c>
      <c r="B8" s="9">
        <v>100.99359323076483</v>
      </c>
    </row>
    <row r="9" spans="1:2" x14ac:dyDescent="0.25">
      <c r="A9" s="3">
        <v>42035</v>
      </c>
      <c r="B9" s="9">
        <v>101.15964523186716</v>
      </c>
    </row>
    <row r="10" spans="1:2" x14ac:dyDescent="0.25">
      <c r="A10" s="3">
        <v>42063</v>
      </c>
      <c r="B10" s="9">
        <v>102.68617761242655</v>
      </c>
    </row>
    <row r="11" spans="1:2" x14ac:dyDescent="0.25">
      <c r="A11" s="3">
        <v>42094</v>
      </c>
      <c r="B11" s="9">
        <v>103.68793877474678</v>
      </c>
    </row>
    <row r="12" spans="1:2" x14ac:dyDescent="0.25">
      <c r="A12" s="3">
        <v>42124</v>
      </c>
      <c r="B12" s="9">
        <v>104.06626732990763</v>
      </c>
    </row>
    <row r="13" spans="1:2" x14ac:dyDescent="0.25">
      <c r="A13" s="3">
        <v>42155</v>
      </c>
      <c r="B13" s="9">
        <v>104.49654787815763</v>
      </c>
    </row>
    <row r="14" spans="1:2" x14ac:dyDescent="0.25">
      <c r="A14" s="3">
        <v>42185</v>
      </c>
      <c r="B14" s="9">
        <v>104.55701218812079</v>
      </c>
    </row>
    <row r="15" spans="1:2" x14ac:dyDescent="0.25">
      <c r="A15" s="3">
        <v>42216</v>
      </c>
      <c r="B15" s="9">
        <v>105.16658216895819</v>
      </c>
    </row>
    <row r="16" spans="1:2" x14ac:dyDescent="0.25">
      <c r="A16" s="3">
        <v>42247</v>
      </c>
      <c r="B16" s="9">
        <v>104.4406234078661</v>
      </c>
    </row>
    <row r="17" spans="1:2" x14ac:dyDescent="0.25">
      <c r="A17" s="3">
        <v>42277</v>
      </c>
      <c r="B17" s="9">
        <v>104.52822908064107</v>
      </c>
    </row>
    <row r="18" spans="1:2" x14ac:dyDescent="0.25">
      <c r="A18" s="3">
        <v>42308</v>
      </c>
      <c r="B18" s="9">
        <v>105.47361742714519</v>
      </c>
    </row>
    <row r="19" spans="1:2" x14ac:dyDescent="0.25">
      <c r="A19" s="3">
        <v>42338</v>
      </c>
      <c r="B19" s="9">
        <v>104.85664128187562</v>
      </c>
    </row>
    <row r="20" spans="1:2" x14ac:dyDescent="0.25">
      <c r="A20" s="3">
        <v>42369</v>
      </c>
      <c r="B20" s="9">
        <v>104.69187975279769</v>
      </c>
    </row>
    <row r="21" spans="1:2" x14ac:dyDescent="0.25">
      <c r="A21" s="3">
        <v>42400</v>
      </c>
      <c r="B21" s="9">
        <v>103.84018038719717</v>
      </c>
    </row>
    <row r="22" spans="1:2" x14ac:dyDescent="0.25">
      <c r="A22" s="3">
        <v>42429</v>
      </c>
      <c r="B22" s="9">
        <v>103.73276106714535</v>
      </c>
    </row>
    <row r="23" spans="1:2" x14ac:dyDescent="0.25">
      <c r="A23" s="3">
        <v>42460</v>
      </c>
      <c r="B23" s="9">
        <v>106.6235059313203</v>
      </c>
    </row>
    <row r="24" spans="1:2" x14ac:dyDescent="0.25">
      <c r="A24" s="3">
        <v>42490</v>
      </c>
      <c r="B24" s="9">
        <v>108.20094136752532</v>
      </c>
    </row>
    <row r="25" spans="1:2" x14ac:dyDescent="0.25">
      <c r="A25" s="3">
        <v>42521</v>
      </c>
      <c r="B25" s="9">
        <v>109.00348553429879</v>
      </c>
    </row>
    <row r="26" spans="1:2" x14ac:dyDescent="0.25">
      <c r="A26" s="3">
        <v>42551</v>
      </c>
      <c r="B26" s="9">
        <v>110.24522020461858</v>
      </c>
    </row>
    <row r="27" spans="1:2" x14ac:dyDescent="0.25">
      <c r="A27" s="3">
        <v>42582</v>
      </c>
      <c r="B27" s="9">
        <v>111.5748117448077</v>
      </c>
    </row>
    <row r="28" spans="1:2" x14ac:dyDescent="0.25">
      <c r="A28" s="3">
        <v>42613</v>
      </c>
      <c r="B28" s="9">
        <v>112.19708870078992</v>
      </c>
    </row>
    <row r="29" spans="1:2" x14ac:dyDescent="0.25">
      <c r="A29" s="3">
        <v>42643</v>
      </c>
      <c r="B29" s="9">
        <v>112.99194538699859</v>
      </c>
    </row>
    <row r="30" spans="1:2" x14ac:dyDescent="0.25">
      <c r="A30" s="3">
        <v>42674</v>
      </c>
      <c r="B30" s="9">
        <v>113.04296036662136</v>
      </c>
    </row>
    <row r="31" spans="1:2" x14ac:dyDescent="0.25">
      <c r="A31" s="3">
        <v>42704</v>
      </c>
      <c r="B31" s="9">
        <v>113.29066253338833</v>
      </c>
    </row>
    <row r="32" spans="1:2" x14ac:dyDescent="0.25">
      <c r="A32" s="3">
        <v>42735</v>
      </c>
      <c r="B32" s="9">
        <v>115.21040380777832</v>
      </c>
    </row>
    <row r="33" spans="1:2" x14ac:dyDescent="0.25">
      <c r="A33" s="3">
        <v>42766</v>
      </c>
      <c r="B33" s="9">
        <v>115.95390284073957</v>
      </c>
    </row>
    <row r="34" spans="1:2" x14ac:dyDescent="0.25">
      <c r="A34" s="3">
        <v>42794</v>
      </c>
      <c r="B34" s="9">
        <v>116.72163560057953</v>
      </c>
    </row>
    <row r="35" spans="1:2" x14ac:dyDescent="0.25">
      <c r="A35" s="3">
        <v>42825</v>
      </c>
      <c r="B35" s="9">
        <v>117.29356009536795</v>
      </c>
    </row>
    <row r="36" spans="1:2" x14ac:dyDescent="0.25">
      <c r="A36" s="3">
        <v>42855</v>
      </c>
      <c r="B36" s="9">
        <v>117.90088251774978</v>
      </c>
    </row>
    <row r="37" spans="1:2" x14ac:dyDescent="0.25">
      <c r="A37" s="3">
        <v>42886</v>
      </c>
      <c r="B37" s="9">
        <v>118.4545521430629</v>
      </c>
    </row>
    <row r="38" spans="1:2" x14ac:dyDescent="0.25">
      <c r="A38" s="3">
        <v>42916</v>
      </c>
      <c r="B38" s="9">
        <v>119.38512312941276</v>
      </c>
    </row>
    <row r="39" spans="1:2" x14ac:dyDescent="0.25">
      <c r="A39" s="3">
        <v>42947</v>
      </c>
      <c r="B39" s="9">
        <v>120.20165348869236</v>
      </c>
    </row>
    <row r="40" spans="1:2" x14ac:dyDescent="0.25">
      <c r="A40" s="3">
        <v>42978</v>
      </c>
      <c r="B40" s="9">
        <v>120.46509617931738</v>
      </c>
    </row>
    <row r="41" spans="1:2" x14ac:dyDescent="0.25">
      <c r="A41" s="3">
        <v>43008</v>
      </c>
      <c r="B41" s="9">
        <v>120.67906035522375</v>
      </c>
    </row>
    <row r="42" spans="1:2" x14ac:dyDescent="0.25">
      <c r="A42" s="3">
        <v>43039</v>
      </c>
      <c r="B42" s="9">
        <v>120.97059557073618</v>
      </c>
    </row>
    <row r="43" spans="1:2" x14ac:dyDescent="0.25">
      <c r="A43" s="3">
        <v>43069</v>
      </c>
      <c r="B43" s="9">
        <v>121.81576306612092</v>
      </c>
    </row>
    <row r="44" spans="1:2" x14ac:dyDescent="0.25">
      <c r="A44" s="3">
        <v>43100</v>
      </c>
      <c r="B44" s="9">
        <v>122.75910428533366</v>
      </c>
    </row>
    <row r="45" spans="1:2" x14ac:dyDescent="0.25">
      <c r="A45" s="3">
        <v>43131</v>
      </c>
      <c r="B45" s="9">
        <v>123.39610067664667</v>
      </c>
    </row>
    <row r="46" spans="1:2" x14ac:dyDescent="0.25">
      <c r="A46" s="3">
        <v>43159</v>
      </c>
      <c r="B46" s="9">
        <v>123.11728989981665</v>
      </c>
    </row>
    <row r="47" spans="1:2" x14ac:dyDescent="0.25">
      <c r="A47" s="3">
        <v>43190</v>
      </c>
      <c r="B47" s="9">
        <v>124.10133502434252</v>
      </c>
    </row>
    <row r="48" spans="1:2" x14ac:dyDescent="0.25">
      <c r="A48" s="3">
        <v>43220</v>
      </c>
      <c r="B48" s="9">
        <v>124.58887383746519</v>
      </c>
    </row>
    <row r="49" spans="1:2" x14ac:dyDescent="0.25">
      <c r="A49" s="3">
        <v>43251</v>
      </c>
      <c r="B49" s="9">
        <v>125.22252227676299</v>
      </c>
    </row>
    <row r="50" spans="1:2" x14ac:dyDescent="0.25">
      <c r="A50" s="3">
        <v>43281</v>
      </c>
      <c r="B50" s="9">
        <v>126.40525590531674</v>
      </c>
    </row>
    <row r="51" spans="1:2" x14ac:dyDescent="0.25">
      <c r="A51" s="3">
        <v>43312</v>
      </c>
      <c r="B51" s="9">
        <v>127.17051740277483</v>
      </c>
    </row>
    <row r="52" spans="1:2" x14ac:dyDescent="0.25">
      <c r="A52" s="3">
        <v>43343</v>
      </c>
      <c r="B52" s="9">
        <v>127.84419683849234</v>
      </c>
    </row>
    <row r="53" spans="1:2" x14ac:dyDescent="0.25">
      <c r="A53" s="3">
        <v>43373</v>
      </c>
      <c r="B53" s="9">
        <v>128.45369112750214</v>
      </c>
    </row>
    <row r="54" spans="1:2" x14ac:dyDescent="0.25">
      <c r="A54" s="3">
        <v>43404</v>
      </c>
      <c r="B54" s="9">
        <v>128.25431901113478</v>
      </c>
    </row>
    <row r="55" spans="1:2" x14ac:dyDescent="0.25">
      <c r="A55" s="3">
        <v>43434</v>
      </c>
      <c r="B55" s="9">
        <v>128.67497592650338</v>
      </c>
    </row>
    <row r="56" spans="1:2" x14ac:dyDescent="0.25">
      <c r="A56" s="3">
        <v>43465</v>
      </c>
      <c r="B56" s="9">
        <v>127.30840309687048</v>
      </c>
    </row>
    <row r="57" spans="1:2" x14ac:dyDescent="0.25">
      <c r="A57" s="3">
        <v>43496</v>
      </c>
      <c r="B57" s="9">
        <v>129.40671925453816</v>
      </c>
    </row>
    <row r="58" spans="1:2" x14ac:dyDescent="0.25">
      <c r="A58" s="3">
        <v>43524</v>
      </c>
      <c r="B58" s="9">
        <v>130.29827124671218</v>
      </c>
    </row>
    <row r="59" spans="1:2" x14ac:dyDescent="0.25">
      <c r="A59" s="3">
        <v>43555</v>
      </c>
      <c r="B59" s="9">
        <v>131.54607378965869</v>
      </c>
    </row>
    <row r="60" spans="1:2" x14ac:dyDescent="0.25">
      <c r="A60" s="3">
        <v>43585</v>
      </c>
      <c r="B60" s="9">
        <v>132.50591114216382</v>
      </c>
    </row>
    <row r="61" spans="1:2" x14ac:dyDescent="0.25">
      <c r="A61" s="3">
        <v>43616</v>
      </c>
      <c r="B61" s="9">
        <v>132.80016436450396</v>
      </c>
    </row>
    <row r="62" spans="1:2" x14ac:dyDescent="0.25">
      <c r="A62" s="3">
        <v>43646</v>
      </c>
      <c r="B62" s="9">
        <v>133.93442770634988</v>
      </c>
    </row>
    <row r="63" spans="1:2" x14ac:dyDescent="0.25">
      <c r="A63" s="3">
        <v>43677</v>
      </c>
      <c r="B63" s="9">
        <v>134.60958764935791</v>
      </c>
    </row>
    <row r="64" spans="1:2" x14ac:dyDescent="0.25">
      <c r="A64" s="3">
        <v>43708</v>
      </c>
      <c r="B64" s="9">
        <v>135.17975037331163</v>
      </c>
    </row>
    <row r="65" spans="1:2" x14ac:dyDescent="0.25">
      <c r="A65" s="3">
        <v>43738</v>
      </c>
      <c r="B65" s="9">
        <v>136.12157228438988</v>
      </c>
    </row>
    <row r="66" spans="1:2" x14ac:dyDescent="0.25">
      <c r="A66" s="3">
        <v>43769</v>
      </c>
      <c r="B66" s="9">
        <v>136.73924961098481</v>
      </c>
    </row>
    <row r="67" spans="1:2" x14ac:dyDescent="0.25">
      <c r="A67" s="3">
        <v>43799</v>
      </c>
      <c r="B67" s="9">
        <v>137.32247013231532</v>
      </c>
    </row>
    <row r="68" spans="1:2" x14ac:dyDescent="0.25">
      <c r="A68" s="3">
        <v>43830</v>
      </c>
      <c r="B68" s="9">
        <v>139.19306370021576</v>
      </c>
    </row>
    <row r="69" spans="1:2" x14ac:dyDescent="0.25">
      <c r="A69" s="3">
        <v>43861</v>
      </c>
      <c r="B69" s="9">
        <v>140.08645577845826</v>
      </c>
    </row>
    <row r="70" spans="1:2" x14ac:dyDescent="0.25">
      <c r="A70" s="3">
        <v>43890</v>
      </c>
      <c r="B70" s="9">
        <v>138.98599105129819</v>
      </c>
    </row>
    <row r="71" spans="1:2" x14ac:dyDescent="0.25">
      <c r="A71" s="3">
        <v>43921</v>
      </c>
      <c r="B71" s="9">
        <v>126.90161032838165</v>
      </c>
    </row>
    <row r="72" spans="1:2" x14ac:dyDescent="0.25">
      <c r="A72" s="3">
        <v>43951</v>
      </c>
      <c r="B72" s="9">
        <v>129.03241450851061</v>
      </c>
    </row>
    <row r="73" spans="1:2" x14ac:dyDescent="0.25">
      <c r="A73" s="3">
        <v>43982</v>
      </c>
      <c r="B73" s="9">
        <v>131.09159562661745</v>
      </c>
    </row>
    <row r="74" spans="1:2" x14ac:dyDescent="0.25">
      <c r="A74" s="3">
        <v>44012</v>
      </c>
      <c r="B74" s="9">
        <v>132.71293662059762</v>
      </c>
    </row>
    <row r="75" spans="1:2" x14ac:dyDescent="0.25">
      <c r="A75" s="3">
        <v>44043</v>
      </c>
      <c r="B75" s="9">
        <v>135.10781152903937</v>
      </c>
    </row>
    <row r="76" spans="1:2" x14ac:dyDescent="0.25">
      <c r="A76" s="3">
        <v>44074</v>
      </c>
      <c r="B76" s="9">
        <v>136.53955500532726</v>
      </c>
    </row>
    <row r="77" spans="1:2" x14ac:dyDescent="0.25">
      <c r="A77" s="3">
        <v>44104</v>
      </c>
      <c r="B77" s="9">
        <v>138.43317814893737</v>
      </c>
    </row>
    <row r="78" spans="1:2" x14ac:dyDescent="0.25">
      <c r="A78" s="3">
        <v>44135</v>
      </c>
      <c r="B78" s="9">
        <v>139.43714045728132</v>
      </c>
    </row>
    <row r="79" spans="1:2" x14ac:dyDescent="0.25">
      <c r="A79" s="3">
        <v>44165</v>
      </c>
      <c r="B79" s="9">
        <v>142.82028416903154</v>
      </c>
    </row>
    <row r="80" spans="1:2" x14ac:dyDescent="0.25">
      <c r="A80" s="3">
        <v>44196</v>
      </c>
      <c r="B80" s="9">
        <v>145.12385748693828</v>
      </c>
    </row>
    <row r="81" spans="1:2" x14ac:dyDescent="0.25">
      <c r="A81" s="3">
        <v>44227</v>
      </c>
      <c r="B81" s="9">
        <v>146.58329125584237</v>
      </c>
    </row>
    <row r="82" spans="1:2" x14ac:dyDescent="0.25">
      <c r="A82" s="3">
        <v>44255</v>
      </c>
      <c r="B82" s="9">
        <v>148.15746035183091</v>
      </c>
    </row>
    <row r="83" spans="1:2" x14ac:dyDescent="0.25">
      <c r="A83" s="3">
        <v>44286</v>
      </c>
      <c r="B83" s="9">
        <v>150.76837210540072</v>
      </c>
    </row>
    <row r="84" spans="1:2" x14ac:dyDescent="0.25">
      <c r="A84" s="3">
        <v>44316</v>
      </c>
      <c r="B84" s="9">
        <v>153.5094472567242</v>
      </c>
    </row>
    <row r="85" spans="1:2" x14ac:dyDescent="0.25">
      <c r="A85" s="3">
        <v>44347</v>
      </c>
      <c r="B85" s="9">
        <v>156.65417108121861</v>
      </c>
    </row>
    <row r="86" spans="1:2" x14ac:dyDescent="0.25">
      <c r="A86" s="3">
        <v>44377</v>
      </c>
      <c r="B86" s="9">
        <v>159.08566482181848</v>
      </c>
    </row>
    <row r="87" spans="1:2" x14ac:dyDescent="0.25">
      <c r="A87" s="3">
        <v>44408</v>
      </c>
      <c r="B87" s="9">
        <v>161.63793693810268</v>
      </c>
    </row>
    <row r="88" spans="1:2" x14ac:dyDescent="0.25">
      <c r="A88" s="3">
        <v>44439</v>
      </c>
      <c r="B88" s="9">
        <v>165.01258312867475</v>
      </c>
    </row>
    <row r="89" spans="1:2" x14ac:dyDescent="0.25">
      <c r="A89" s="3">
        <v>44469</v>
      </c>
      <c r="B89" s="9">
        <v>167.73918424079869</v>
      </c>
    </row>
    <row r="90" spans="1:2" x14ac:dyDescent="0.25">
      <c r="A90" s="3">
        <v>44500</v>
      </c>
      <c r="B90" s="9">
        <v>171.22311285348539</v>
      </c>
    </row>
    <row r="91" spans="1:2" x14ac:dyDescent="0.25">
      <c r="A91" s="3">
        <v>44530</v>
      </c>
      <c r="B91" s="9">
        <v>173.45036941719039</v>
      </c>
    </row>
    <row r="92" spans="1:2" x14ac:dyDescent="0.25">
      <c r="A92" s="3">
        <v>44561</v>
      </c>
      <c r="B92" s="9">
        <v>176.48554853450798</v>
      </c>
    </row>
    <row r="93" spans="1:2" x14ac:dyDescent="0.25">
      <c r="A93" s="3">
        <v>44592</v>
      </c>
      <c r="B93" s="9">
        <v>178.09967945482458</v>
      </c>
    </row>
    <row r="94" spans="1:2" x14ac:dyDescent="0.25">
      <c r="A94" s="3">
        <v>44620</v>
      </c>
      <c r="B94" s="9">
        <v>179.21993488637207</v>
      </c>
    </row>
    <row r="95" spans="1:2" x14ac:dyDescent="0.25">
      <c r="A95" s="3">
        <v>44651</v>
      </c>
      <c r="B95" s="9">
        <v>181.82293849562063</v>
      </c>
    </row>
    <row r="96" spans="1:2" x14ac:dyDescent="0.25">
      <c r="A96" s="3">
        <v>44681</v>
      </c>
      <c r="B96" s="9">
        <v>182.88311599329413</v>
      </c>
    </row>
    <row r="97" spans="1:2" x14ac:dyDescent="0.25">
      <c r="A97" s="3">
        <v>44712</v>
      </c>
      <c r="B97" s="9">
        <v>182.93779862809981</v>
      </c>
    </row>
    <row r="98" spans="1:2" x14ac:dyDescent="0.25">
      <c r="A98" s="3">
        <v>44742</v>
      </c>
      <c r="B98" s="9">
        <v>181.55042293648438</v>
      </c>
    </row>
    <row r="99" spans="1:2" x14ac:dyDescent="0.25">
      <c r="A99" s="3">
        <v>44773</v>
      </c>
      <c r="B99" s="9">
        <v>183.55264303472291</v>
      </c>
    </row>
    <row r="100" spans="1:2" x14ac:dyDescent="0.25">
      <c r="A100" s="3">
        <v>44804</v>
      </c>
      <c r="B100" s="9">
        <v>184.95462569329356</v>
      </c>
    </row>
    <row r="101" spans="1:2" x14ac:dyDescent="0.25">
      <c r="A101" s="3">
        <v>44834</v>
      </c>
      <c r="B101" s="9">
        <v>183.82010908593057</v>
      </c>
    </row>
    <row r="102" spans="1:2" x14ac:dyDescent="0.25">
      <c r="A102" s="3">
        <v>44865</v>
      </c>
      <c r="B102" s="9">
        <v>184.23631699075418</v>
      </c>
    </row>
    <row r="103" spans="1:2" x14ac:dyDescent="0.25">
      <c r="A103" s="3">
        <v>44895</v>
      </c>
      <c r="B103" s="9">
        <v>184.58927408392262</v>
      </c>
    </row>
    <row r="104" spans="1:2" x14ac:dyDescent="0.25">
      <c r="A104" s="3">
        <v>44926</v>
      </c>
      <c r="B104" s="9">
        <v>184.41952465875852</v>
      </c>
    </row>
    <row r="105" spans="1:2" x14ac:dyDescent="0.25">
      <c r="A105" s="3">
        <v>44957</v>
      </c>
      <c r="B105" s="9">
        <v>185.65827923843773</v>
      </c>
    </row>
    <row r="106" spans="1:2" x14ac:dyDescent="0.25">
      <c r="A106" s="3">
        <v>44985</v>
      </c>
      <c r="B106" s="9">
        <v>186.34216603745296</v>
      </c>
    </row>
    <row r="107" spans="1:2" x14ac:dyDescent="0.25">
      <c r="A107" s="3">
        <v>45016</v>
      </c>
      <c r="B107" s="9">
        <v>185.71641303857498</v>
      </c>
    </row>
    <row r="108" spans="1:2" x14ac:dyDescent="0.25">
      <c r="A108" s="3">
        <v>45046</v>
      </c>
      <c r="B108" s="9">
        <v>186.57537435016451</v>
      </c>
    </row>
    <row r="109" spans="1:2" x14ac:dyDescent="0.25">
      <c r="A109" s="3">
        <v>45077</v>
      </c>
      <c r="B109" s="9">
        <v>187.1807521934372</v>
      </c>
    </row>
    <row r="110" spans="1:2" x14ac:dyDescent="0.25">
      <c r="A110" s="3">
        <v>45107</v>
      </c>
      <c r="B110" s="9">
        <v>188.91721037434851</v>
      </c>
    </row>
    <row r="111" spans="1:2" x14ac:dyDescent="0.25">
      <c r="A111" s="3">
        <v>45138</v>
      </c>
      <c r="B111" s="9">
        <v>190.93758457633626</v>
      </c>
    </row>
    <row r="112" spans="1:2" x14ac:dyDescent="0.25">
      <c r="A112" s="3">
        <v>45169</v>
      </c>
      <c r="B112" s="9">
        <v>192.06365397656936</v>
      </c>
    </row>
    <row r="113" spans="1:2" x14ac:dyDescent="0.25">
      <c r="A113" s="3">
        <v>45199</v>
      </c>
      <c r="B113" s="9">
        <v>192.64030337187026</v>
      </c>
    </row>
    <row r="114" spans="1:2" x14ac:dyDescent="0.25">
      <c r="A114" s="3">
        <v>45230</v>
      </c>
      <c r="B114" s="9">
        <v>192.04588072097189</v>
      </c>
    </row>
    <row r="115" spans="1:2" x14ac:dyDescent="0.25">
      <c r="A115" s="3">
        <v>45260</v>
      </c>
      <c r="B115" s="9">
        <v>192.23834802311819</v>
      </c>
    </row>
    <row r="116" spans="1:2" x14ac:dyDescent="0.25">
      <c r="A116" s="3">
        <v>45291</v>
      </c>
      <c r="B116" s="9">
        <v>192.62788230966876</v>
      </c>
    </row>
    <row r="117" spans="1:2" x14ac:dyDescent="0.25">
      <c r="A117" s="3">
        <v>45322</v>
      </c>
      <c r="B117" s="9">
        <v>193.62700680471312</v>
      </c>
    </row>
    <row r="118" spans="1:2" x14ac:dyDescent="0.25">
      <c r="A118" s="3">
        <v>45351</v>
      </c>
      <c r="B118" s="9">
        <v>194.71933019104347</v>
      </c>
    </row>
    <row r="119" spans="1:2" x14ac:dyDescent="0.25">
      <c r="A119" s="3">
        <v>45382</v>
      </c>
      <c r="B119" s="9">
        <v>196.49935168749766</v>
      </c>
    </row>
    <row r="120" spans="1:2" x14ac:dyDescent="0.25">
      <c r="A120" s="3">
        <v>45412</v>
      </c>
      <c r="B120" s="9">
        <v>197.25602497458658</v>
      </c>
    </row>
    <row r="121" spans="1:2" x14ac:dyDescent="0.25">
      <c r="A121" s="3">
        <v>45443</v>
      </c>
      <c r="B121" s="9">
        <v>198.33976209904247</v>
      </c>
    </row>
    <row r="122" spans="1:2" x14ac:dyDescent="0.25">
      <c r="A122" s="3">
        <v>45473</v>
      </c>
      <c r="B122" s="9">
        <v>199.52886125760358</v>
      </c>
    </row>
    <row r="123" spans="1:2" x14ac:dyDescent="0.25">
      <c r="A123" s="3">
        <v>45504</v>
      </c>
      <c r="B123" s="9">
        <v>200.66016311037077</v>
      </c>
    </row>
    <row r="124" spans="1:2" x14ac:dyDescent="0.25">
      <c r="A124" s="3">
        <v>45535</v>
      </c>
      <c r="B124" s="9">
        <v>201.84928761815419</v>
      </c>
    </row>
    <row r="125" spans="1:2" x14ac:dyDescent="0.25">
      <c r="A125" s="3">
        <v>45565</v>
      </c>
      <c r="B125" s="9">
        <v>203.33050148827385</v>
      </c>
    </row>
    <row r="126" spans="1:2" x14ac:dyDescent="0.25">
      <c r="A126" s="3">
        <v>45596</v>
      </c>
      <c r="B126" s="9">
        <v>204.3196479240988</v>
      </c>
    </row>
    <row r="127" spans="1:2" x14ac:dyDescent="0.25">
      <c r="A127" s="3">
        <v>45626</v>
      </c>
      <c r="B127" s="9">
        <v>205.47602840346494</v>
      </c>
    </row>
    <row r="128" spans="1:2" x14ac:dyDescent="0.25">
      <c r="A128" s="3">
        <v>45657</v>
      </c>
      <c r="B128" s="9">
        <v>205.9842722112372</v>
      </c>
    </row>
    <row r="129" spans="1:2" x14ac:dyDescent="0.25">
      <c r="A129" s="3">
        <v>45688</v>
      </c>
      <c r="B129" s="9">
        <v>207.54527977599975</v>
      </c>
    </row>
    <row r="130" spans="1:2" x14ac:dyDescent="0.25">
      <c r="A130" s="3">
        <v>45716</v>
      </c>
      <c r="B130" s="9">
        <v>208.62829085762647</v>
      </c>
    </row>
    <row r="131" spans="1:2" x14ac:dyDescent="0.25">
      <c r="A131" s="3">
        <v>45747</v>
      </c>
      <c r="B131" s="9">
        <v>209.27380489731419</v>
      </c>
    </row>
    <row r="132" spans="1:2" x14ac:dyDescent="0.25">
      <c r="A132" s="3">
        <v>45777</v>
      </c>
      <c r="B132" s="9">
        <v>209.83356988479085</v>
      </c>
    </row>
    <row r="133" spans="1:2" x14ac:dyDescent="0.25">
      <c r="A133" s="3">
        <v>45808</v>
      </c>
      <c r="B133" s="9">
        <v>211.82398714467973</v>
      </c>
    </row>
    <row r="134" spans="1:2" x14ac:dyDescent="0.25">
      <c r="A134" s="3">
        <v>45838</v>
      </c>
      <c r="B134" s="9">
        <v>213.69796613480759</v>
      </c>
    </row>
    <row r="135" spans="1:2" x14ac:dyDescent="0.25">
      <c r="A135" s="3">
        <v>45869</v>
      </c>
      <c r="B135" s="9">
        <v>214.99838022350576</v>
      </c>
    </row>
    <row r="136" spans="1:2" x14ac:dyDescent="0.25">
      <c r="A136" s="3">
        <v>45900</v>
      </c>
      <c r="B136" s="9">
        <v>216.25123261410727</v>
      </c>
    </row>
    <row r="137" spans="1:2" x14ac:dyDescent="0.25">
      <c r="A137" s="3">
        <v>45930</v>
      </c>
      <c r="B137" s="9">
        <v>218.02347894988594</v>
      </c>
    </row>
    <row r="138" spans="1:2" x14ac:dyDescent="0.25">
      <c r="A138" s="3">
        <v>45961</v>
      </c>
      <c r="B138" s="9">
        <v>219.24039715984085</v>
      </c>
    </row>
    <row r="139" spans="1:2" x14ac:dyDescent="0.25">
      <c r="A139" s="3">
        <v>45991</v>
      </c>
      <c r="B139" s="9">
        <v>219.95068205041181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73E4-397E-4FD2-AF0E-B5601E67FE05}">
  <dimension ref="A1:B5026"/>
  <sheetViews>
    <sheetView workbookViewId="0">
      <selection activeCell="B18" sqref="B18"/>
    </sheetView>
  </sheetViews>
  <sheetFormatPr defaultRowHeight="15" x14ac:dyDescent="0.25"/>
  <cols>
    <col min="1" max="1" width="11.28515625" style="3" bestFit="1" customWidth="1"/>
    <col min="2" max="2" width="19.140625" bestFit="1" customWidth="1"/>
  </cols>
  <sheetData>
    <row r="1" spans="1:2" x14ac:dyDescent="0.25">
      <c r="A1" s="3" t="s">
        <v>3</v>
      </c>
      <c r="B1" t="s">
        <v>137</v>
      </c>
    </row>
    <row r="2" spans="1:2" x14ac:dyDescent="0.25">
      <c r="A2" s="3">
        <v>38807</v>
      </c>
      <c r="B2">
        <v>1000</v>
      </c>
    </row>
    <row r="3" spans="1:2" x14ac:dyDescent="0.25">
      <c r="A3" s="3">
        <v>38810</v>
      </c>
      <c r="B3">
        <v>1000.13</v>
      </c>
    </row>
    <row r="4" spans="1:2" x14ac:dyDescent="0.25">
      <c r="A4" s="3">
        <v>38811</v>
      </c>
      <c r="B4">
        <v>1001.46</v>
      </c>
    </row>
    <row r="5" spans="1:2" x14ac:dyDescent="0.25">
      <c r="A5" s="3">
        <v>38812</v>
      </c>
      <c r="B5">
        <v>1001.53</v>
      </c>
    </row>
    <row r="6" spans="1:2" x14ac:dyDescent="0.25">
      <c r="A6" s="3">
        <v>38813</v>
      </c>
      <c r="B6">
        <v>1001.25</v>
      </c>
    </row>
    <row r="7" spans="1:2" x14ac:dyDescent="0.25">
      <c r="A7" s="3">
        <v>38814</v>
      </c>
      <c r="B7">
        <v>1000.23</v>
      </c>
    </row>
    <row r="8" spans="1:2" x14ac:dyDescent="0.25">
      <c r="A8" s="3">
        <v>38817</v>
      </c>
      <c r="B8">
        <v>1000.16</v>
      </c>
    </row>
    <row r="9" spans="1:2" x14ac:dyDescent="0.25">
      <c r="A9" s="3">
        <v>38818</v>
      </c>
      <c r="B9">
        <v>1000.39</v>
      </c>
    </row>
    <row r="10" spans="1:2" x14ac:dyDescent="0.25">
      <c r="A10" s="3">
        <v>38819</v>
      </c>
      <c r="B10">
        <v>1000.26</v>
      </c>
    </row>
    <row r="11" spans="1:2" x14ac:dyDescent="0.25">
      <c r="A11" s="3">
        <v>38820</v>
      </c>
      <c r="B11">
        <v>1000.05</v>
      </c>
    </row>
    <row r="12" spans="1:2" x14ac:dyDescent="0.25">
      <c r="A12" s="3">
        <v>38824</v>
      </c>
      <c r="B12">
        <v>1001.82</v>
      </c>
    </row>
    <row r="13" spans="1:2" x14ac:dyDescent="0.25">
      <c r="A13" s="3">
        <v>38825</v>
      </c>
      <c r="B13">
        <v>1001.85</v>
      </c>
    </row>
    <row r="14" spans="1:2" x14ac:dyDescent="0.25">
      <c r="A14" s="3">
        <v>38826</v>
      </c>
      <c r="B14">
        <v>1002.37</v>
      </c>
    </row>
    <row r="15" spans="1:2" x14ac:dyDescent="0.25">
      <c r="A15" s="3">
        <v>38827</v>
      </c>
      <c r="B15">
        <v>1002.05</v>
      </c>
    </row>
    <row r="16" spans="1:2" x14ac:dyDescent="0.25">
      <c r="A16" s="3">
        <v>38828</v>
      </c>
      <c r="B16">
        <v>1002.38</v>
      </c>
    </row>
    <row r="17" spans="1:2" x14ac:dyDescent="0.25">
      <c r="A17" s="3">
        <v>38831</v>
      </c>
      <c r="B17">
        <v>1002.63</v>
      </c>
    </row>
    <row r="18" spans="1:2" x14ac:dyDescent="0.25">
      <c r="A18" s="3">
        <v>38832</v>
      </c>
      <c r="B18">
        <v>1003</v>
      </c>
    </row>
    <row r="19" spans="1:2" x14ac:dyDescent="0.25">
      <c r="A19" s="3">
        <v>38833</v>
      </c>
      <c r="B19">
        <v>1003.33</v>
      </c>
    </row>
    <row r="20" spans="1:2" x14ac:dyDescent="0.25">
      <c r="A20" s="3">
        <v>38834</v>
      </c>
      <c r="B20">
        <v>1004.26</v>
      </c>
    </row>
    <row r="21" spans="1:2" x14ac:dyDescent="0.25">
      <c r="A21" s="3">
        <v>38835</v>
      </c>
      <c r="B21">
        <v>1004.81</v>
      </c>
    </row>
    <row r="22" spans="1:2" x14ac:dyDescent="0.25">
      <c r="A22" s="3">
        <v>38838</v>
      </c>
      <c r="B22">
        <v>1005.1</v>
      </c>
    </row>
    <row r="23" spans="1:2" x14ac:dyDescent="0.25">
      <c r="A23" s="3">
        <v>38839</v>
      </c>
      <c r="B23">
        <v>1005.36</v>
      </c>
    </row>
    <row r="24" spans="1:2" x14ac:dyDescent="0.25">
      <c r="A24" s="3">
        <v>38840</v>
      </c>
      <c r="B24">
        <v>1005.11</v>
      </c>
    </row>
    <row r="25" spans="1:2" x14ac:dyDescent="0.25">
      <c r="A25" s="3">
        <v>38841</v>
      </c>
      <c r="B25">
        <v>1005.81</v>
      </c>
    </row>
    <row r="26" spans="1:2" x14ac:dyDescent="0.25">
      <c r="A26" s="3">
        <v>38842</v>
      </c>
      <c r="B26">
        <v>1006.29</v>
      </c>
    </row>
    <row r="27" spans="1:2" x14ac:dyDescent="0.25">
      <c r="A27" s="3">
        <v>38845</v>
      </c>
      <c r="B27">
        <v>1006.11</v>
      </c>
    </row>
    <row r="28" spans="1:2" x14ac:dyDescent="0.25">
      <c r="A28" s="3">
        <v>38846</v>
      </c>
      <c r="B28">
        <v>1006.55</v>
      </c>
    </row>
    <row r="29" spans="1:2" x14ac:dyDescent="0.25">
      <c r="A29" s="3">
        <v>38847</v>
      </c>
      <c r="B29">
        <v>1006.84</v>
      </c>
    </row>
    <row r="30" spans="1:2" x14ac:dyDescent="0.25">
      <c r="A30" s="3">
        <v>38848</v>
      </c>
      <c r="B30">
        <v>1007.13</v>
      </c>
    </row>
    <row r="31" spans="1:2" x14ac:dyDescent="0.25">
      <c r="A31" s="3">
        <v>38849</v>
      </c>
      <c r="B31">
        <v>1007.68</v>
      </c>
    </row>
    <row r="32" spans="1:2" x14ac:dyDescent="0.25">
      <c r="A32" s="3">
        <v>38852</v>
      </c>
      <c r="B32">
        <v>1007.16</v>
      </c>
    </row>
    <row r="33" spans="1:2" x14ac:dyDescent="0.25">
      <c r="A33" s="3">
        <v>38853</v>
      </c>
      <c r="B33">
        <v>1007.35</v>
      </c>
    </row>
    <row r="34" spans="1:2" x14ac:dyDescent="0.25">
      <c r="A34" s="3">
        <v>38854</v>
      </c>
      <c r="B34">
        <v>1006.83</v>
      </c>
    </row>
    <row r="35" spans="1:2" x14ac:dyDescent="0.25">
      <c r="A35" s="3">
        <v>38855</v>
      </c>
      <c r="B35">
        <v>1007.03</v>
      </c>
    </row>
    <row r="36" spans="1:2" x14ac:dyDescent="0.25">
      <c r="A36" s="3">
        <v>38856</v>
      </c>
      <c r="B36">
        <v>1005.98</v>
      </c>
    </row>
    <row r="37" spans="1:2" x14ac:dyDescent="0.25">
      <c r="A37" s="3">
        <v>38859</v>
      </c>
      <c r="B37">
        <v>1006.92</v>
      </c>
    </row>
    <row r="38" spans="1:2" x14ac:dyDescent="0.25">
      <c r="A38" s="3">
        <v>38860</v>
      </c>
      <c r="B38">
        <v>1007.26</v>
      </c>
    </row>
    <row r="39" spans="1:2" x14ac:dyDescent="0.25">
      <c r="A39" s="3">
        <v>38861</v>
      </c>
      <c r="B39">
        <v>1006.41</v>
      </c>
    </row>
    <row r="40" spans="1:2" x14ac:dyDescent="0.25">
      <c r="A40" s="3">
        <v>38862</v>
      </c>
      <c r="B40">
        <v>1006.63</v>
      </c>
    </row>
    <row r="41" spans="1:2" x14ac:dyDescent="0.25">
      <c r="A41" s="3">
        <v>38863</v>
      </c>
      <c r="B41">
        <v>1006.05</v>
      </c>
    </row>
    <row r="42" spans="1:2" x14ac:dyDescent="0.25">
      <c r="A42" s="3">
        <v>38867</v>
      </c>
      <c r="B42">
        <v>1007.65</v>
      </c>
    </row>
    <row r="43" spans="1:2" x14ac:dyDescent="0.25">
      <c r="A43" s="3">
        <v>38868</v>
      </c>
      <c r="B43">
        <v>1007.17</v>
      </c>
    </row>
    <row r="44" spans="1:2" x14ac:dyDescent="0.25">
      <c r="A44" s="3">
        <v>38869</v>
      </c>
      <c r="B44">
        <v>1006.9</v>
      </c>
    </row>
    <row r="45" spans="1:2" x14ac:dyDescent="0.25">
      <c r="A45" s="3">
        <v>38870</v>
      </c>
      <c r="B45">
        <v>1007.95</v>
      </c>
    </row>
    <row r="46" spans="1:2" x14ac:dyDescent="0.25">
      <c r="A46" s="3">
        <v>38873</v>
      </c>
      <c r="B46">
        <v>1007.99</v>
      </c>
    </row>
    <row r="47" spans="1:2" x14ac:dyDescent="0.25">
      <c r="A47" s="3">
        <v>38874</v>
      </c>
      <c r="B47">
        <v>1006.77</v>
      </c>
    </row>
    <row r="48" spans="1:2" x14ac:dyDescent="0.25">
      <c r="A48" s="3">
        <v>38875</v>
      </c>
      <c r="B48">
        <v>1006.42</v>
      </c>
    </row>
    <row r="49" spans="1:2" x14ac:dyDescent="0.25">
      <c r="A49" s="3">
        <v>38876</v>
      </c>
      <c r="B49">
        <v>1005.18</v>
      </c>
    </row>
    <row r="50" spans="1:2" x14ac:dyDescent="0.25">
      <c r="A50" s="3">
        <v>38877</v>
      </c>
      <c r="B50">
        <v>1005.34</v>
      </c>
    </row>
    <row r="51" spans="1:2" x14ac:dyDescent="0.25">
      <c r="A51" s="3">
        <v>38880</v>
      </c>
      <c r="B51">
        <v>1004.82</v>
      </c>
    </row>
    <row r="52" spans="1:2" x14ac:dyDescent="0.25">
      <c r="A52" s="3">
        <v>38881</v>
      </c>
      <c r="B52">
        <v>1004.55</v>
      </c>
    </row>
    <row r="53" spans="1:2" x14ac:dyDescent="0.25">
      <c r="A53" s="3">
        <v>38882</v>
      </c>
      <c r="B53">
        <v>1005.06</v>
      </c>
    </row>
    <row r="54" spans="1:2" x14ac:dyDescent="0.25">
      <c r="A54" s="3">
        <v>38883</v>
      </c>
      <c r="B54">
        <v>1005.1</v>
      </c>
    </row>
    <row r="55" spans="1:2" x14ac:dyDescent="0.25">
      <c r="A55" s="3">
        <v>38884</v>
      </c>
      <c r="B55">
        <v>1005.23</v>
      </c>
    </row>
    <row r="56" spans="1:2" x14ac:dyDescent="0.25">
      <c r="A56" s="3">
        <v>38887</v>
      </c>
      <c r="B56">
        <v>1004.45</v>
      </c>
    </row>
    <row r="57" spans="1:2" x14ac:dyDescent="0.25">
      <c r="A57" s="3">
        <v>38888</v>
      </c>
      <c r="B57">
        <v>1004.66</v>
      </c>
    </row>
    <row r="58" spans="1:2" x14ac:dyDescent="0.25">
      <c r="A58" s="3">
        <v>38889</v>
      </c>
      <c r="B58">
        <v>1005.23</v>
      </c>
    </row>
    <row r="59" spans="1:2" x14ac:dyDescent="0.25">
      <c r="A59" s="3">
        <v>38890</v>
      </c>
      <c r="B59">
        <v>1004.57</v>
      </c>
    </row>
    <row r="60" spans="1:2" x14ac:dyDescent="0.25">
      <c r="A60" s="3">
        <v>38891</v>
      </c>
      <c r="B60">
        <v>1004.02</v>
      </c>
    </row>
    <row r="61" spans="1:2" x14ac:dyDescent="0.25">
      <c r="A61" s="3">
        <v>38894</v>
      </c>
      <c r="B61">
        <v>1004.29</v>
      </c>
    </row>
    <row r="62" spans="1:2" x14ac:dyDescent="0.25">
      <c r="A62" s="3">
        <v>38895</v>
      </c>
      <c r="B62">
        <v>1004.7</v>
      </c>
    </row>
    <row r="63" spans="1:2" x14ac:dyDescent="0.25">
      <c r="A63" s="3">
        <v>38896</v>
      </c>
      <c r="B63">
        <v>1004.07</v>
      </c>
    </row>
    <row r="64" spans="1:2" x14ac:dyDescent="0.25">
      <c r="A64" s="3">
        <v>38897</v>
      </c>
      <c r="B64">
        <v>1004.18</v>
      </c>
    </row>
    <row r="65" spans="1:2" x14ac:dyDescent="0.25">
      <c r="A65" s="3">
        <v>38898</v>
      </c>
      <c r="B65">
        <v>1059.18</v>
      </c>
    </row>
    <row r="66" spans="1:2" x14ac:dyDescent="0.25">
      <c r="A66" s="3">
        <v>38901</v>
      </c>
      <c r="B66">
        <v>1059.29</v>
      </c>
    </row>
    <row r="67" spans="1:2" x14ac:dyDescent="0.25">
      <c r="A67" s="3">
        <v>38903</v>
      </c>
      <c r="B67">
        <v>1058.43</v>
      </c>
    </row>
    <row r="68" spans="1:2" x14ac:dyDescent="0.25">
      <c r="A68" s="3">
        <v>38904</v>
      </c>
      <c r="B68">
        <v>1058.81</v>
      </c>
    </row>
    <row r="69" spans="1:2" x14ac:dyDescent="0.25">
      <c r="A69" s="3">
        <v>38905</v>
      </c>
      <c r="B69">
        <v>1059.57</v>
      </c>
    </row>
    <row r="70" spans="1:2" x14ac:dyDescent="0.25">
      <c r="A70" s="3">
        <v>38908</v>
      </c>
      <c r="B70">
        <v>1058.72</v>
      </c>
    </row>
    <row r="71" spans="1:2" x14ac:dyDescent="0.25">
      <c r="A71" s="3">
        <v>38909</v>
      </c>
      <c r="B71">
        <v>1058.8499999999999</v>
      </c>
    </row>
    <row r="72" spans="1:2" x14ac:dyDescent="0.25">
      <c r="A72" s="3">
        <v>38910</v>
      </c>
      <c r="B72">
        <v>1058.2</v>
      </c>
    </row>
    <row r="73" spans="1:2" x14ac:dyDescent="0.25">
      <c r="A73" s="3">
        <v>38911</v>
      </c>
      <c r="B73">
        <v>1058.3499999999999</v>
      </c>
    </row>
    <row r="74" spans="1:2" x14ac:dyDescent="0.25">
      <c r="A74" s="3">
        <v>38912</v>
      </c>
      <c r="B74">
        <v>1057.76</v>
      </c>
    </row>
    <row r="75" spans="1:2" x14ac:dyDescent="0.25">
      <c r="A75" s="3">
        <v>38915</v>
      </c>
      <c r="B75">
        <v>1056.58</v>
      </c>
    </row>
    <row r="76" spans="1:2" x14ac:dyDescent="0.25">
      <c r="A76" s="3">
        <v>38916</v>
      </c>
      <c r="B76">
        <v>1056.3800000000001</v>
      </c>
    </row>
    <row r="77" spans="1:2" x14ac:dyDescent="0.25">
      <c r="A77" s="3">
        <v>38917</v>
      </c>
      <c r="B77">
        <v>1057.1300000000001</v>
      </c>
    </row>
    <row r="78" spans="1:2" x14ac:dyDescent="0.25">
      <c r="A78" s="3">
        <v>38918</v>
      </c>
      <c r="B78">
        <v>1057.95</v>
      </c>
    </row>
    <row r="79" spans="1:2" x14ac:dyDescent="0.25">
      <c r="A79" s="3">
        <v>38919</v>
      </c>
      <c r="B79">
        <v>1058.3800000000001</v>
      </c>
    </row>
    <row r="80" spans="1:2" x14ac:dyDescent="0.25">
      <c r="A80" s="3">
        <v>38922</v>
      </c>
      <c r="B80">
        <v>1057.76</v>
      </c>
    </row>
    <row r="81" spans="1:2" x14ac:dyDescent="0.25">
      <c r="A81" s="3">
        <v>38923</v>
      </c>
      <c r="B81">
        <v>1057.77</v>
      </c>
    </row>
    <row r="82" spans="1:2" x14ac:dyDescent="0.25">
      <c r="A82" s="3">
        <v>38924</v>
      </c>
      <c r="B82">
        <v>1057.69</v>
      </c>
    </row>
    <row r="83" spans="1:2" x14ac:dyDescent="0.25">
      <c r="A83" s="3">
        <v>38925</v>
      </c>
      <c r="B83">
        <v>1058.92</v>
      </c>
    </row>
    <row r="84" spans="1:2" x14ac:dyDescent="0.25">
      <c r="A84" s="3">
        <v>38926</v>
      </c>
      <c r="B84">
        <v>1059.24</v>
      </c>
    </row>
    <row r="85" spans="1:2" x14ac:dyDescent="0.25">
      <c r="A85" s="3">
        <v>38929</v>
      </c>
      <c r="B85">
        <v>1059.21</v>
      </c>
    </row>
    <row r="86" spans="1:2" x14ac:dyDescent="0.25">
      <c r="A86" s="3">
        <v>38930</v>
      </c>
      <c r="B86">
        <v>1059</v>
      </c>
    </row>
    <row r="87" spans="1:2" x14ac:dyDescent="0.25">
      <c r="A87" s="3">
        <v>38931</v>
      </c>
      <c r="B87">
        <v>1059.72</v>
      </c>
    </row>
    <row r="88" spans="1:2" x14ac:dyDescent="0.25">
      <c r="A88" s="3">
        <v>38932</v>
      </c>
      <c r="B88">
        <v>1059.58</v>
      </c>
    </row>
    <row r="89" spans="1:2" x14ac:dyDescent="0.25">
      <c r="A89" s="3">
        <v>38933</v>
      </c>
      <c r="B89">
        <v>1060.69</v>
      </c>
    </row>
    <row r="90" spans="1:2" x14ac:dyDescent="0.25">
      <c r="A90" s="3">
        <v>38936</v>
      </c>
      <c r="B90">
        <v>1060.3599999999999</v>
      </c>
    </row>
    <row r="91" spans="1:2" x14ac:dyDescent="0.25">
      <c r="A91" s="3">
        <v>38937</v>
      </c>
      <c r="B91">
        <v>1060.1199999999999</v>
      </c>
    </row>
    <row r="92" spans="1:2" x14ac:dyDescent="0.25">
      <c r="A92" s="3">
        <v>38938</v>
      </c>
      <c r="B92">
        <v>1060.58</v>
      </c>
    </row>
    <row r="93" spans="1:2" x14ac:dyDescent="0.25">
      <c r="A93" s="3">
        <v>38939</v>
      </c>
      <c r="B93">
        <v>1059.49</v>
      </c>
    </row>
    <row r="94" spans="1:2" x14ac:dyDescent="0.25">
      <c r="A94" s="3">
        <v>38940</v>
      </c>
      <c r="B94">
        <v>1059.45</v>
      </c>
    </row>
    <row r="95" spans="1:2" x14ac:dyDescent="0.25">
      <c r="A95" s="3">
        <v>38943</v>
      </c>
      <c r="B95">
        <v>1059.17</v>
      </c>
    </row>
    <row r="96" spans="1:2" x14ac:dyDescent="0.25">
      <c r="A96" s="3">
        <v>38944</v>
      </c>
      <c r="B96">
        <v>1059.5999999999999</v>
      </c>
    </row>
    <row r="97" spans="1:2" x14ac:dyDescent="0.25">
      <c r="A97" s="3">
        <v>38945</v>
      </c>
      <c r="B97">
        <v>1060.26</v>
      </c>
    </row>
    <row r="98" spans="1:2" x14ac:dyDescent="0.25">
      <c r="A98" s="3">
        <v>38946</v>
      </c>
      <c r="B98">
        <v>1060.26</v>
      </c>
    </row>
    <row r="99" spans="1:2" x14ac:dyDescent="0.25">
      <c r="A99" s="3">
        <v>38947</v>
      </c>
      <c r="B99">
        <v>1059.76</v>
      </c>
    </row>
    <row r="100" spans="1:2" x14ac:dyDescent="0.25">
      <c r="A100" s="3">
        <v>38950</v>
      </c>
      <c r="B100">
        <v>1060.8</v>
      </c>
    </row>
    <row r="101" spans="1:2" x14ac:dyDescent="0.25">
      <c r="A101" s="3">
        <v>38951</v>
      </c>
      <c r="B101">
        <v>1059.79</v>
      </c>
    </row>
    <row r="102" spans="1:2" x14ac:dyDescent="0.25">
      <c r="A102" s="3">
        <v>38952</v>
      </c>
      <c r="B102">
        <v>1059.68</v>
      </c>
    </row>
    <row r="103" spans="1:2" x14ac:dyDescent="0.25">
      <c r="A103" s="3">
        <v>38953</v>
      </c>
      <c r="B103">
        <v>1059.6600000000001</v>
      </c>
    </row>
    <row r="104" spans="1:2" x14ac:dyDescent="0.25">
      <c r="A104" s="3">
        <v>38954</v>
      </c>
      <c r="B104">
        <v>1059.1300000000001</v>
      </c>
    </row>
    <row r="105" spans="1:2" x14ac:dyDescent="0.25">
      <c r="A105" s="3">
        <v>38957</v>
      </c>
      <c r="B105">
        <v>1059.6099999999999</v>
      </c>
    </row>
    <row r="106" spans="1:2" x14ac:dyDescent="0.25">
      <c r="A106" s="3">
        <v>38958</v>
      </c>
      <c r="B106">
        <v>1059.29</v>
      </c>
    </row>
    <row r="107" spans="1:2" x14ac:dyDescent="0.25">
      <c r="A107" s="3">
        <v>38959</v>
      </c>
      <c r="B107">
        <v>1060.08</v>
      </c>
    </row>
    <row r="108" spans="1:2" x14ac:dyDescent="0.25">
      <c r="A108" s="3">
        <v>38960</v>
      </c>
      <c r="B108">
        <v>1059.77</v>
      </c>
    </row>
    <row r="109" spans="1:2" x14ac:dyDescent="0.25">
      <c r="A109" s="3">
        <v>38961</v>
      </c>
      <c r="B109">
        <v>1059.82</v>
      </c>
    </row>
    <row r="110" spans="1:2" x14ac:dyDescent="0.25">
      <c r="A110" s="3">
        <v>38965</v>
      </c>
      <c r="B110">
        <v>1059.82</v>
      </c>
    </row>
    <row r="111" spans="1:2" x14ac:dyDescent="0.25">
      <c r="A111" s="3">
        <v>38966</v>
      </c>
      <c r="B111">
        <v>1059.55</v>
      </c>
    </row>
    <row r="112" spans="1:2" x14ac:dyDescent="0.25">
      <c r="A112" s="3">
        <v>38967</v>
      </c>
      <c r="B112">
        <v>1058.94</v>
      </c>
    </row>
    <row r="113" spans="1:2" x14ac:dyDescent="0.25">
      <c r="A113" s="3">
        <v>38968</v>
      </c>
      <c r="B113">
        <v>1058.27</v>
      </c>
    </row>
    <row r="114" spans="1:2" x14ac:dyDescent="0.25">
      <c r="A114" s="3">
        <v>38971</v>
      </c>
      <c r="B114">
        <v>1058.44</v>
      </c>
    </row>
    <row r="115" spans="1:2" x14ac:dyDescent="0.25">
      <c r="A115" s="3">
        <v>38972</v>
      </c>
      <c r="B115">
        <v>1058.52</v>
      </c>
    </row>
    <row r="116" spans="1:2" x14ac:dyDescent="0.25">
      <c r="A116" s="3">
        <v>38973</v>
      </c>
      <c r="B116">
        <v>1058.3900000000001</v>
      </c>
    </row>
    <row r="117" spans="1:2" x14ac:dyDescent="0.25">
      <c r="A117" s="3">
        <v>38974</v>
      </c>
      <c r="B117">
        <v>1059.1600000000001</v>
      </c>
    </row>
    <row r="118" spans="1:2" x14ac:dyDescent="0.25">
      <c r="A118" s="3">
        <v>38975</v>
      </c>
      <c r="B118">
        <v>1058.18</v>
      </c>
    </row>
    <row r="119" spans="1:2" x14ac:dyDescent="0.25">
      <c r="A119" s="3">
        <v>38978</v>
      </c>
      <c r="B119">
        <v>1058.48</v>
      </c>
    </row>
    <row r="120" spans="1:2" x14ac:dyDescent="0.25">
      <c r="A120" s="3">
        <v>38979</v>
      </c>
      <c r="B120">
        <v>1058.74</v>
      </c>
    </row>
    <row r="121" spans="1:2" x14ac:dyDescent="0.25">
      <c r="A121" s="3">
        <v>38980</v>
      </c>
      <c r="B121">
        <v>1058.72</v>
      </c>
    </row>
    <row r="122" spans="1:2" x14ac:dyDescent="0.25">
      <c r="A122" s="3">
        <v>38981</v>
      </c>
      <c r="B122">
        <v>1058.96</v>
      </c>
    </row>
    <row r="123" spans="1:2" x14ac:dyDescent="0.25">
      <c r="A123" s="3">
        <v>38982</v>
      </c>
      <c r="B123">
        <v>1059.7</v>
      </c>
    </row>
    <row r="124" spans="1:2" x14ac:dyDescent="0.25">
      <c r="A124" s="3">
        <v>38985</v>
      </c>
      <c r="B124">
        <v>1059.1099999999999</v>
      </c>
    </row>
    <row r="125" spans="1:2" x14ac:dyDescent="0.25">
      <c r="A125" s="3">
        <v>38986</v>
      </c>
      <c r="B125">
        <v>1058.51</v>
      </c>
    </row>
    <row r="126" spans="1:2" x14ac:dyDescent="0.25">
      <c r="A126" s="3">
        <v>38987</v>
      </c>
      <c r="B126">
        <v>1058.76</v>
      </c>
    </row>
    <row r="127" spans="1:2" x14ac:dyDescent="0.25">
      <c r="A127" s="3">
        <v>38988</v>
      </c>
      <c r="B127">
        <v>1058.46</v>
      </c>
    </row>
    <row r="128" spans="1:2" x14ac:dyDescent="0.25">
      <c r="A128" s="3">
        <v>38989</v>
      </c>
      <c r="B128">
        <v>1058.22</v>
      </c>
    </row>
    <row r="129" spans="1:2" x14ac:dyDescent="0.25">
      <c r="A129" s="3">
        <v>38992</v>
      </c>
      <c r="B129">
        <v>1096.1400000000001</v>
      </c>
    </row>
    <row r="130" spans="1:2" x14ac:dyDescent="0.25">
      <c r="A130" s="3">
        <v>38993</v>
      </c>
      <c r="B130">
        <v>1096.0999999999999</v>
      </c>
    </row>
    <row r="131" spans="1:2" x14ac:dyDescent="0.25">
      <c r="A131" s="3">
        <v>38994</v>
      </c>
      <c r="B131">
        <v>1095.5899999999999</v>
      </c>
    </row>
    <row r="132" spans="1:2" x14ac:dyDescent="0.25">
      <c r="A132" s="3">
        <v>38995</v>
      </c>
      <c r="B132">
        <v>1095.57</v>
      </c>
    </row>
    <row r="133" spans="1:2" x14ac:dyDescent="0.25">
      <c r="A133" s="3">
        <v>38996</v>
      </c>
      <c r="B133">
        <v>1094.5999999999999</v>
      </c>
    </row>
    <row r="134" spans="1:2" x14ac:dyDescent="0.25">
      <c r="A134" s="3">
        <v>38999</v>
      </c>
      <c r="B134">
        <v>1094.72</v>
      </c>
    </row>
    <row r="135" spans="1:2" x14ac:dyDescent="0.25">
      <c r="A135" s="3">
        <v>39000</v>
      </c>
      <c r="B135">
        <v>1094.08</v>
      </c>
    </row>
    <row r="136" spans="1:2" x14ac:dyDescent="0.25">
      <c r="A136" s="3">
        <v>39001</v>
      </c>
      <c r="B136">
        <v>1094.17</v>
      </c>
    </row>
    <row r="137" spans="1:2" x14ac:dyDescent="0.25">
      <c r="A137" s="3">
        <v>39002</v>
      </c>
      <c r="B137">
        <v>1094.1099999999999</v>
      </c>
    </row>
    <row r="138" spans="1:2" x14ac:dyDescent="0.25">
      <c r="A138" s="3">
        <v>39003</v>
      </c>
      <c r="B138">
        <v>1093.74</v>
      </c>
    </row>
    <row r="139" spans="1:2" x14ac:dyDescent="0.25">
      <c r="A139" s="3">
        <v>39006</v>
      </c>
      <c r="B139">
        <v>1093.99</v>
      </c>
    </row>
    <row r="140" spans="1:2" x14ac:dyDescent="0.25">
      <c r="A140" s="3">
        <v>39007</v>
      </c>
      <c r="B140">
        <v>1094.25</v>
      </c>
    </row>
    <row r="141" spans="1:2" x14ac:dyDescent="0.25">
      <c r="A141" s="3">
        <v>39008</v>
      </c>
      <c r="B141">
        <v>1094.02</v>
      </c>
    </row>
    <row r="142" spans="1:2" x14ac:dyDescent="0.25">
      <c r="A142" s="3">
        <v>39009</v>
      </c>
      <c r="B142">
        <v>1094.8399999999999</v>
      </c>
    </row>
    <row r="143" spans="1:2" x14ac:dyDescent="0.25">
      <c r="A143" s="3">
        <v>39010</v>
      </c>
      <c r="B143">
        <v>1094.94</v>
      </c>
    </row>
    <row r="144" spans="1:2" x14ac:dyDescent="0.25">
      <c r="A144" s="3">
        <v>39013</v>
      </c>
      <c r="B144">
        <v>1094.4100000000001</v>
      </c>
    </row>
    <row r="145" spans="1:2" x14ac:dyDescent="0.25">
      <c r="A145" s="3">
        <v>39014</v>
      </c>
      <c r="B145">
        <v>1094.3699999999999</v>
      </c>
    </row>
    <row r="146" spans="1:2" x14ac:dyDescent="0.25">
      <c r="A146" s="3">
        <v>39015</v>
      </c>
      <c r="B146">
        <v>1094.8</v>
      </c>
    </row>
    <row r="147" spans="1:2" x14ac:dyDescent="0.25">
      <c r="A147" s="3">
        <v>39016</v>
      </c>
      <c r="B147">
        <v>1095.5999999999999</v>
      </c>
    </row>
    <row r="148" spans="1:2" x14ac:dyDescent="0.25">
      <c r="A148" s="3">
        <v>39017</v>
      </c>
      <c r="B148">
        <v>1096.2</v>
      </c>
    </row>
    <row r="149" spans="1:2" x14ac:dyDescent="0.25">
      <c r="A149" s="3">
        <v>39020</v>
      </c>
      <c r="B149">
        <v>1096.18</v>
      </c>
    </row>
    <row r="150" spans="1:2" x14ac:dyDescent="0.25">
      <c r="A150" s="3">
        <v>39021</v>
      </c>
      <c r="B150">
        <v>1096.6600000000001</v>
      </c>
    </row>
    <row r="151" spans="1:2" x14ac:dyDescent="0.25">
      <c r="A151" s="3">
        <v>39022</v>
      </c>
      <c r="B151">
        <v>1096.74</v>
      </c>
    </row>
    <row r="152" spans="1:2" x14ac:dyDescent="0.25">
      <c r="A152" s="3">
        <v>39023</v>
      </c>
      <c r="B152">
        <v>1096.67</v>
      </c>
    </row>
    <row r="153" spans="1:2" x14ac:dyDescent="0.25">
      <c r="A153" s="3">
        <v>39024</v>
      </c>
      <c r="B153">
        <v>1096.04</v>
      </c>
    </row>
    <row r="154" spans="1:2" x14ac:dyDescent="0.25">
      <c r="A154" s="3">
        <v>39027</v>
      </c>
      <c r="B154">
        <v>1096.0899999999999</v>
      </c>
    </row>
    <row r="155" spans="1:2" x14ac:dyDescent="0.25">
      <c r="A155" s="3">
        <v>39028</v>
      </c>
      <c r="B155">
        <v>1096.99</v>
      </c>
    </row>
    <row r="156" spans="1:2" x14ac:dyDescent="0.25">
      <c r="A156" s="3">
        <v>39029</v>
      </c>
      <c r="B156">
        <v>1096.52</v>
      </c>
    </row>
    <row r="157" spans="1:2" x14ac:dyDescent="0.25">
      <c r="A157" s="3">
        <v>39030</v>
      </c>
      <c r="B157">
        <v>1096.78</v>
      </c>
    </row>
    <row r="158" spans="1:2" x14ac:dyDescent="0.25">
      <c r="A158" s="3">
        <v>39031</v>
      </c>
      <c r="B158">
        <v>1097.46</v>
      </c>
    </row>
    <row r="159" spans="1:2" x14ac:dyDescent="0.25">
      <c r="A159" s="3">
        <v>39034</v>
      </c>
      <c r="B159">
        <v>1096.95</v>
      </c>
    </row>
    <row r="160" spans="1:2" x14ac:dyDescent="0.25">
      <c r="A160" s="3">
        <v>39035</v>
      </c>
      <c r="B160">
        <v>1096.8900000000001</v>
      </c>
    </row>
    <row r="161" spans="1:2" x14ac:dyDescent="0.25">
      <c r="A161" s="3">
        <v>39036</v>
      </c>
      <c r="B161">
        <v>1096.81</v>
      </c>
    </row>
    <row r="162" spans="1:2" x14ac:dyDescent="0.25">
      <c r="A162" s="3">
        <v>39037</v>
      </c>
      <c r="B162">
        <v>1096.83</v>
      </c>
    </row>
    <row r="163" spans="1:2" x14ac:dyDescent="0.25">
      <c r="A163" s="3">
        <v>39038</v>
      </c>
      <c r="B163">
        <v>1097.04</v>
      </c>
    </row>
    <row r="164" spans="1:2" x14ac:dyDescent="0.25">
      <c r="A164" s="3">
        <v>39041</v>
      </c>
      <c r="B164">
        <v>1096.96</v>
      </c>
    </row>
    <row r="165" spans="1:2" x14ac:dyDescent="0.25">
      <c r="A165" s="3">
        <v>39042</v>
      </c>
      <c r="B165">
        <v>1097.07</v>
      </c>
    </row>
    <row r="166" spans="1:2" x14ac:dyDescent="0.25">
      <c r="A166" s="3">
        <v>39043</v>
      </c>
      <c r="B166">
        <v>1098.17</v>
      </c>
    </row>
    <row r="167" spans="1:2" x14ac:dyDescent="0.25">
      <c r="A167" s="3">
        <v>39045</v>
      </c>
      <c r="B167">
        <v>1099.71</v>
      </c>
    </row>
    <row r="168" spans="1:2" x14ac:dyDescent="0.25">
      <c r="A168" s="3">
        <v>39048</v>
      </c>
      <c r="B168">
        <v>1100.03</v>
      </c>
    </row>
    <row r="169" spans="1:2" x14ac:dyDescent="0.25">
      <c r="A169" s="3">
        <v>39049</v>
      </c>
      <c r="B169">
        <v>1100.3499999999999</v>
      </c>
    </row>
    <row r="170" spans="1:2" x14ac:dyDescent="0.25">
      <c r="A170" s="3">
        <v>39050</v>
      </c>
      <c r="B170">
        <v>1100.4000000000001</v>
      </c>
    </row>
    <row r="171" spans="1:2" x14ac:dyDescent="0.25">
      <c r="A171" s="3">
        <v>39051</v>
      </c>
      <c r="B171">
        <v>1101.45</v>
      </c>
    </row>
    <row r="172" spans="1:2" x14ac:dyDescent="0.25">
      <c r="A172" s="3">
        <v>39052</v>
      </c>
      <c r="B172">
        <v>1102.26</v>
      </c>
    </row>
    <row r="173" spans="1:2" x14ac:dyDescent="0.25">
      <c r="A173" s="3">
        <v>39055</v>
      </c>
      <c r="B173">
        <v>1102.1199999999999</v>
      </c>
    </row>
    <row r="174" spans="1:2" x14ac:dyDescent="0.25">
      <c r="A174" s="3">
        <v>39056</v>
      </c>
      <c r="B174">
        <v>1101.9000000000001</v>
      </c>
    </row>
    <row r="175" spans="1:2" x14ac:dyDescent="0.25">
      <c r="A175" s="3">
        <v>39057</v>
      </c>
      <c r="B175">
        <v>1102</v>
      </c>
    </row>
    <row r="176" spans="1:2" x14ac:dyDescent="0.25">
      <c r="A176" s="3">
        <v>39058</v>
      </c>
      <c r="B176">
        <v>1101.8</v>
      </c>
    </row>
    <row r="177" spans="1:2" x14ac:dyDescent="0.25">
      <c r="A177" s="3">
        <v>39059</v>
      </c>
      <c r="B177">
        <v>1101.99</v>
      </c>
    </row>
    <row r="178" spans="1:2" x14ac:dyDescent="0.25">
      <c r="A178" s="3">
        <v>39062</v>
      </c>
      <c r="B178">
        <v>1100.96</v>
      </c>
    </row>
    <row r="179" spans="1:2" x14ac:dyDescent="0.25">
      <c r="A179" s="3">
        <v>39063</v>
      </c>
      <c r="B179">
        <v>1101.26</v>
      </c>
    </row>
    <row r="180" spans="1:2" x14ac:dyDescent="0.25">
      <c r="A180" s="3">
        <v>39064</v>
      </c>
      <c r="B180">
        <v>1101.1099999999999</v>
      </c>
    </row>
    <row r="181" spans="1:2" x14ac:dyDescent="0.25">
      <c r="A181" s="3">
        <v>39065</v>
      </c>
      <c r="B181">
        <v>1100.5999999999999</v>
      </c>
    </row>
    <row r="182" spans="1:2" x14ac:dyDescent="0.25">
      <c r="A182" s="3">
        <v>39066</v>
      </c>
      <c r="B182">
        <v>1099.81</v>
      </c>
    </row>
    <row r="183" spans="1:2" x14ac:dyDescent="0.25">
      <c r="A183" s="3">
        <v>39069</v>
      </c>
      <c r="B183">
        <v>1099.54</v>
      </c>
    </row>
    <row r="184" spans="1:2" x14ac:dyDescent="0.25">
      <c r="A184" s="3">
        <v>39070</v>
      </c>
      <c r="B184">
        <v>1100.5999999999999</v>
      </c>
    </row>
    <row r="185" spans="1:2" x14ac:dyDescent="0.25">
      <c r="A185" s="3">
        <v>39071</v>
      </c>
      <c r="B185">
        <v>1100.78</v>
      </c>
    </row>
    <row r="186" spans="1:2" x14ac:dyDescent="0.25">
      <c r="A186" s="3">
        <v>39072</v>
      </c>
      <c r="B186">
        <v>1100.55</v>
      </c>
    </row>
    <row r="187" spans="1:2" x14ac:dyDescent="0.25">
      <c r="A187" s="3">
        <v>39073</v>
      </c>
      <c r="B187">
        <v>1100.45</v>
      </c>
    </row>
    <row r="188" spans="1:2" x14ac:dyDescent="0.25">
      <c r="A188" s="3">
        <v>39077</v>
      </c>
      <c r="B188">
        <v>1100.23</v>
      </c>
    </row>
    <row r="189" spans="1:2" x14ac:dyDescent="0.25">
      <c r="A189" s="3">
        <v>39078</v>
      </c>
      <c r="B189">
        <v>1100.1500000000001</v>
      </c>
    </row>
    <row r="190" spans="1:2" x14ac:dyDescent="0.25">
      <c r="A190" s="3">
        <v>39079</v>
      </c>
      <c r="B190">
        <v>1100.3599999999999</v>
      </c>
    </row>
    <row r="191" spans="1:2" x14ac:dyDescent="0.25">
      <c r="A191" s="3">
        <v>39080</v>
      </c>
      <c r="B191">
        <v>1100.72</v>
      </c>
    </row>
    <row r="192" spans="1:2" x14ac:dyDescent="0.25">
      <c r="A192" s="3">
        <v>39085</v>
      </c>
      <c r="B192">
        <v>1234.6199999999999</v>
      </c>
    </row>
    <row r="193" spans="1:2" x14ac:dyDescent="0.25">
      <c r="A193" s="3">
        <v>39086</v>
      </c>
      <c r="B193">
        <v>1233.33</v>
      </c>
    </row>
    <row r="194" spans="1:2" x14ac:dyDescent="0.25">
      <c r="A194" s="3">
        <v>39087</v>
      </c>
      <c r="B194">
        <v>1232.0999999999999</v>
      </c>
    </row>
    <row r="195" spans="1:2" x14ac:dyDescent="0.25">
      <c r="A195" s="3">
        <v>39090</v>
      </c>
      <c r="B195">
        <v>1232.33</v>
      </c>
    </row>
    <row r="196" spans="1:2" x14ac:dyDescent="0.25">
      <c r="A196" s="3">
        <v>39091</v>
      </c>
      <c r="B196">
        <v>1232.29</v>
      </c>
    </row>
    <row r="197" spans="1:2" x14ac:dyDescent="0.25">
      <c r="A197" s="3">
        <v>39092</v>
      </c>
      <c r="B197">
        <v>1231.6099999999999</v>
      </c>
    </row>
    <row r="198" spans="1:2" x14ac:dyDescent="0.25">
      <c r="A198" s="3">
        <v>39093</v>
      </c>
      <c r="B198">
        <v>1231.07</v>
      </c>
    </row>
    <row r="199" spans="1:2" x14ac:dyDescent="0.25">
      <c r="A199" s="3">
        <v>39094</v>
      </c>
      <c r="B199">
        <v>1231.7</v>
      </c>
    </row>
    <row r="200" spans="1:2" x14ac:dyDescent="0.25">
      <c r="A200" s="3">
        <v>39098</v>
      </c>
      <c r="B200">
        <v>1231.67</v>
      </c>
    </row>
    <row r="201" spans="1:2" x14ac:dyDescent="0.25">
      <c r="A201" s="3">
        <v>39099</v>
      </c>
      <c r="B201">
        <v>1231.99</v>
      </c>
    </row>
    <row r="202" spans="1:2" x14ac:dyDescent="0.25">
      <c r="A202" s="3">
        <v>39100</v>
      </c>
      <c r="B202">
        <v>1232.02</v>
      </c>
    </row>
    <row r="203" spans="1:2" x14ac:dyDescent="0.25">
      <c r="A203" s="3">
        <v>39101</v>
      </c>
      <c r="B203">
        <v>1231.98</v>
      </c>
    </row>
    <row r="204" spans="1:2" x14ac:dyDescent="0.25">
      <c r="A204" s="3">
        <v>39104</v>
      </c>
      <c r="B204">
        <v>1232.1300000000001</v>
      </c>
    </row>
    <row r="205" spans="1:2" x14ac:dyDescent="0.25">
      <c r="A205" s="3">
        <v>39105</v>
      </c>
      <c r="B205">
        <v>1233.06</v>
      </c>
    </row>
    <row r="206" spans="1:2" x14ac:dyDescent="0.25">
      <c r="A206" s="3">
        <v>39106</v>
      </c>
      <c r="B206">
        <v>1232.06</v>
      </c>
    </row>
    <row r="207" spans="1:2" x14ac:dyDescent="0.25">
      <c r="A207" s="3">
        <v>39107</v>
      </c>
      <c r="B207">
        <v>1232.22</v>
      </c>
    </row>
    <row r="208" spans="1:2" x14ac:dyDescent="0.25">
      <c r="A208" s="3">
        <v>39108</v>
      </c>
      <c r="B208">
        <v>1231.29</v>
      </c>
    </row>
    <row r="209" spans="1:2" x14ac:dyDescent="0.25">
      <c r="A209" s="3">
        <v>39111</v>
      </c>
      <c r="B209">
        <v>1231.5999999999999</v>
      </c>
    </row>
    <row r="210" spans="1:2" x14ac:dyDescent="0.25">
      <c r="A210" s="3">
        <v>39112</v>
      </c>
      <c r="B210">
        <v>1231.8699999999999</v>
      </c>
    </row>
    <row r="211" spans="1:2" x14ac:dyDescent="0.25">
      <c r="A211" s="3">
        <v>39113</v>
      </c>
      <c r="B211">
        <v>1232.27</v>
      </c>
    </row>
    <row r="212" spans="1:2" x14ac:dyDescent="0.25">
      <c r="A212" s="3">
        <v>39114</v>
      </c>
      <c r="B212">
        <v>1232.69</v>
      </c>
    </row>
    <row r="213" spans="1:2" x14ac:dyDescent="0.25">
      <c r="A213" s="3">
        <v>39115</v>
      </c>
      <c r="B213">
        <v>1232.1400000000001</v>
      </c>
    </row>
    <row r="214" spans="1:2" x14ac:dyDescent="0.25">
      <c r="A214" s="3">
        <v>39118</v>
      </c>
      <c r="B214">
        <v>1231.56</v>
      </c>
    </row>
    <row r="215" spans="1:2" x14ac:dyDescent="0.25">
      <c r="A215" s="3">
        <v>39119</v>
      </c>
      <c r="B215">
        <v>1231.9100000000001</v>
      </c>
    </row>
    <row r="216" spans="1:2" x14ac:dyDescent="0.25">
      <c r="A216" s="3">
        <v>39120</v>
      </c>
      <c r="B216">
        <v>1232.6400000000001</v>
      </c>
    </row>
    <row r="217" spans="1:2" x14ac:dyDescent="0.25">
      <c r="A217" s="3">
        <v>39121</v>
      </c>
      <c r="B217">
        <v>1232.8</v>
      </c>
    </row>
    <row r="218" spans="1:2" x14ac:dyDescent="0.25">
      <c r="A218" s="3">
        <v>39122</v>
      </c>
      <c r="B218">
        <v>1232.25</v>
      </c>
    </row>
    <row r="219" spans="1:2" x14ac:dyDescent="0.25">
      <c r="A219" s="3">
        <v>39125</v>
      </c>
      <c r="B219">
        <v>1231.83</v>
      </c>
    </row>
    <row r="220" spans="1:2" x14ac:dyDescent="0.25">
      <c r="A220" s="3">
        <v>39126</v>
      </c>
      <c r="B220">
        <v>1232.3900000000001</v>
      </c>
    </row>
    <row r="221" spans="1:2" x14ac:dyDescent="0.25">
      <c r="A221" s="3">
        <v>39127</v>
      </c>
      <c r="B221">
        <v>1233.83</v>
      </c>
    </row>
    <row r="222" spans="1:2" x14ac:dyDescent="0.25">
      <c r="A222" s="3">
        <v>39128</v>
      </c>
      <c r="B222">
        <v>1233.99</v>
      </c>
    </row>
    <row r="223" spans="1:2" x14ac:dyDescent="0.25">
      <c r="A223" s="3">
        <v>39129</v>
      </c>
      <c r="B223">
        <v>1233.73</v>
      </c>
    </row>
    <row r="224" spans="1:2" x14ac:dyDescent="0.25">
      <c r="A224" s="3">
        <v>39133</v>
      </c>
      <c r="B224">
        <v>1234.1300000000001</v>
      </c>
    </row>
    <row r="225" spans="1:2" x14ac:dyDescent="0.25">
      <c r="A225" s="3">
        <v>39134</v>
      </c>
      <c r="B225">
        <v>1233.8599999999999</v>
      </c>
    </row>
    <row r="226" spans="1:2" x14ac:dyDescent="0.25">
      <c r="A226" s="3">
        <v>39135</v>
      </c>
      <c r="B226">
        <v>1233.6099999999999</v>
      </c>
    </row>
    <row r="227" spans="1:2" x14ac:dyDescent="0.25">
      <c r="A227" s="3">
        <v>39136</v>
      </c>
      <c r="B227">
        <v>1234.3499999999999</v>
      </c>
    </row>
    <row r="228" spans="1:2" x14ac:dyDescent="0.25">
      <c r="A228" s="3">
        <v>39139</v>
      </c>
      <c r="B228">
        <v>1234.42</v>
      </c>
    </row>
    <row r="229" spans="1:2" x14ac:dyDescent="0.25">
      <c r="A229" s="3">
        <v>39140</v>
      </c>
      <c r="B229">
        <v>1235.25</v>
      </c>
    </row>
    <row r="230" spans="1:2" x14ac:dyDescent="0.25">
      <c r="A230" s="3">
        <v>39141</v>
      </c>
      <c r="B230">
        <v>1234.78</v>
      </c>
    </row>
    <row r="231" spans="1:2" x14ac:dyDescent="0.25">
      <c r="A231" s="3">
        <v>39142</v>
      </c>
      <c r="B231">
        <v>1234.26</v>
      </c>
    </row>
    <row r="232" spans="1:2" x14ac:dyDescent="0.25">
      <c r="A232" s="3">
        <v>39143</v>
      </c>
      <c r="B232">
        <v>1234.22</v>
      </c>
    </row>
    <row r="233" spans="1:2" x14ac:dyDescent="0.25">
      <c r="A233" s="3">
        <v>39146</v>
      </c>
      <c r="B233">
        <v>1233.2</v>
      </c>
    </row>
    <row r="234" spans="1:2" x14ac:dyDescent="0.25">
      <c r="A234" s="3">
        <v>39147</v>
      </c>
      <c r="B234">
        <v>1233.3</v>
      </c>
    </row>
    <row r="235" spans="1:2" x14ac:dyDescent="0.25">
      <c r="A235" s="3">
        <v>39148</v>
      </c>
      <c r="B235">
        <v>1233.77</v>
      </c>
    </row>
    <row r="236" spans="1:2" x14ac:dyDescent="0.25">
      <c r="A236" s="3">
        <v>39149</v>
      </c>
      <c r="B236">
        <v>1233.53</v>
      </c>
    </row>
    <row r="237" spans="1:2" x14ac:dyDescent="0.25">
      <c r="A237" s="3">
        <v>39150</v>
      </c>
      <c r="B237">
        <v>1233.45</v>
      </c>
    </row>
    <row r="238" spans="1:2" x14ac:dyDescent="0.25">
      <c r="A238" s="3">
        <v>39153</v>
      </c>
      <c r="B238">
        <v>1234.26</v>
      </c>
    </row>
    <row r="239" spans="1:2" x14ac:dyDescent="0.25">
      <c r="A239" s="3">
        <v>39154</v>
      </c>
      <c r="B239">
        <v>1234.47</v>
      </c>
    </row>
    <row r="240" spans="1:2" x14ac:dyDescent="0.25">
      <c r="A240" s="3">
        <v>39155</v>
      </c>
      <c r="B240">
        <v>1234.76</v>
      </c>
    </row>
    <row r="241" spans="1:2" x14ac:dyDescent="0.25">
      <c r="A241" s="3">
        <v>39156</v>
      </c>
      <c r="B241">
        <v>1235.03</v>
      </c>
    </row>
    <row r="242" spans="1:2" x14ac:dyDescent="0.25">
      <c r="A242" s="3">
        <v>39157</v>
      </c>
      <c r="B242">
        <v>1235.78</v>
      </c>
    </row>
    <row r="243" spans="1:2" x14ac:dyDescent="0.25">
      <c r="A243" s="3">
        <v>39160</v>
      </c>
      <c r="B243">
        <v>1235.75</v>
      </c>
    </row>
    <row r="244" spans="1:2" x14ac:dyDescent="0.25">
      <c r="A244" s="3">
        <v>39161</v>
      </c>
      <c r="B244">
        <v>1235.78</v>
      </c>
    </row>
    <row r="245" spans="1:2" x14ac:dyDescent="0.25">
      <c r="A245" s="3">
        <v>39162</v>
      </c>
      <c r="B245">
        <v>1235.95</v>
      </c>
    </row>
    <row r="246" spans="1:2" x14ac:dyDescent="0.25">
      <c r="A246" s="3">
        <v>39163</v>
      </c>
      <c r="B246">
        <v>1236.6600000000001</v>
      </c>
    </row>
    <row r="247" spans="1:2" x14ac:dyDescent="0.25">
      <c r="A247" s="3">
        <v>39164</v>
      </c>
      <c r="B247">
        <v>1235.99</v>
      </c>
    </row>
    <row r="248" spans="1:2" x14ac:dyDescent="0.25">
      <c r="A248" s="3">
        <v>39167</v>
      </c>
      <c r="B248">
        <v>1236.4000000000001</v>
      </c>
    </row>
    <row r="249" spans="1:2" x14ac:dyDescent="0.25">
      <c r="A249" s="3">
        <v>39168</v>
      </c>
      <c r="B249">
        <v>1236.53</v>
      </c>
    </row>
    <row r="250" spans="1:2" x14ac:dyDescent="0.25">
      <c r="A250" s="3">
        <v>39169</v>
      </c>
      <c r="B250">
        <v>1236.74</v>
      </c>
    </row>
    <row r="251" spans="1:2" x14ac:dyDescent="0.25">
      <c r="A251" s="3">
        <v>39170</v>
      </c>
      <c r="B251">
        <v>1236.3499999999999</v>
      </c>
    </row>
    <row r="252" spans="1:2" x14ac:dyDescent="0.25">
      <c r="A252" s="3">
        <v>39171</v>
      </c>
      <c r="B252">
        <v>1236.0999999999999</v>
      </c>
    </row>
    <row r="253" spans="1:2" x14ac:dyDescent="0.25">
      <c r="A253" s="3">
        <v>39174</v>
      </c>
      <c r="B253">
        <v>1302.1199999999999</v>
      </c>
    </row>
    <row r="254" spans="1:2" x14ac:dyDescent="0.25">
      <c r="A254" s="3">
        <v>39175</v>
      </c>
      <c r="B254">
        <v>1302.06</v>
      </c>
    </row>
    <row r="255" spans="1:2" x14ac:dyDescent="0.25">
      <c r="A255" s="3">
        <v>39176</v>
      </c>
      <c r="B255">
        <v>1302.1099999999999</v>
      </c>
    </row>
    <row r="256" spans="1:2" x14ac:dyDescent="0.25">
      <c r="A256" s="3">
        <v>39177</v>
      </c>
      <c r="B256">
        <v>1302.82</v>
      </c>
    </row>
    <row r="257" spans="1:2" x14ac:dyDescent="0.25">
      <c r="A257" s="3">
        <v>39181</v>
      </c>
      <c r="B257">
        <v>1301.9100000000001</v>
      </c>
    </row>
    <row r="258" spans="1:2" x14ac:dyDescent="0.25">
      <c r="A258" s="3">
        <v>39182</v>
      </c>
      <c r="B258">
        <v>1302.93</v>
      </c>
    </row>
    <row r="259" spans="1:2" x14ac:dyDescent="0.25">
      <c r="A259" s="3">
        <v>39183</v>
      </c>
      <c r="B259">
        <v>1302.94</v>
      </c>
    </row>
    <row r="260" spans="1:2" x14ac:dyDescent="0.25">
      <c r="A260" s="3">
        <v>39184</v>
      </c>
      <c r="B260">
        <v>1303.6400000000001</v>
      </c>
    </row>
    <row r="261" spans="1:2" x14ac:dyDescent="0.25">
      <c r="A261" s="3">
        <v>39185</v>
      </c>
      <c r="B261">
        <v>1303.8900000000001</v>
      </c>
    </row>
    <row r="262" spans="1:2" x14ac:dyDescent="0.25">
      <c r="A262" s="3">
        <v>39188</v>
      </c>
      <c r="B262">
        <v>1304.3499999999999</v>
      </c>
    </row>
    <row r="263" spans="1:2" x14ac:dyDescent="0.25">
      <c r="A263" s="3">
        <v>39189</v>
      </c>
      <c r="B263">
        <v>1304.75</v>
      </c>
    </row>
    <row r="264" spans="1:2" x14ac:dyDescent="0.25">
      <c r="A264" s="3">
        <v>39190</v>
      </c>
      <c r="B264">
        <v>1304.9000000000001</v>
      </c>
    </row>
    <row r="265" spans="1:2" x14ac:dyDescent="0.25">
      <c r="A265" s="3">
        <v>39191</v>
      </c>
      <c r="B265">
        <v>1305.1500000000001</v>
      </c>
    </row>
    <row r="266" spans="1:2" x14ac:dyDescent="0.25">
      <c r="A266" s="3">
        <v>39192</v>
      </c>
      <c r="B266">
        <v>1305</v>
      </c>
    </row>
    <row r="267" spans="1:2" x14ac:dyDescent="0.25">
      <c r="A267" s="3">
        <v>39195</v>
      </c>
      <c r="B267">
        <v>1304.6500000000001</v>
      </c>
    </row>
    <row r="268" spans="1:2" x14ac:dyDescent="0.25">
      <c r="A268" s="3">
        <v>39196</v>
      </c>
      <c r="B268">
        <v>1305.27</v>
      </c>
    </row>
    <row r="269" spans="1:2" x14ac:dyDescent="0.25">
      <c r="A269" s="3">
        <v>39197</v>
      </c>
      <c r="B269">
        <v>1305.79</v>
      </c>
    </row>
    <row r="270" spans="1:2" x14ac:dyDescent="0.25">
      <c r="A270" s="3">
        <v>39198</v>
      </c>
      <c r="B270">
        <v>1304.97</v>
      </c>
    </row>
    <row r="271" spans="1:2" x14ac:dyDescent="0.25">
      <c r="A271" s="3">
        <v>39199</v>
      </c>
      <c r="B271">
        <v>1305.69</v>
      </c>
    </row>
    <row r="272" spans="1:2" x14ac:dyDescent="0.25">
      <c r="A272" s="3">
        <v>39202</v>
      </c>
      <c r="B272">
        <v>1305.5899999999999</v>
      </c>
    </row>
    <row r="273" spans="1:2" x14ac:dyDescent="0.25">
      <c r="A273" s="3">
        <v>39203</v>
      </c>
      <c r="B273">
        <v>1304.94</v>
      </c>
    </row>
    <row r="274" spans="1:2" x14ac:dyDescent="0.25">
      <c r="A274" s="3">
        <v>39204</v>
      </c>
      <c r="B274">
        <v>1304.8399999999999</v>
      </c>
    </row>
    <row r="275" spans="1:2" x14ac:dyDescent="0.25">
      <c r="A275" s="3">
        <v>39205</v>
      </c>
      <c r="B275">
        <v>1304.47</v>
      </c>
    </row>
    <row r="276" spans="1:2" x14ac:dyDescent="0.25">
      <c r="A276" s="3">
        <v>39206</v>
      </c>
      <c r="B276">
        <v>1304.72</v>
      </c>
    </row>
    <row r="277" spans="1:2" x14ac:dyDescent="0.25">
      <c r="A277" s="3">
        <v>39209</v>
      </c>
      <c r="B277">
        <v>1305.2</v>
      </c>
    </row>
    <row r="278" spans="1:2" x14ac:dyDescent="0.25">
      <c r="A278" s="3">
        <v>39210</v>
      </c>
      <c r="B278">
        <v>1304.0899999999999</v>
      </c>
    </row>
    <row r="279" spans="1:2" x14ac:dyDescent="0.25">
      <c r="A279" s="3">
        <v>39211</v>
      </c>
      <c r="B279">
        <v>1304.43</v>
      </c>
    </row>
    <row r="280" spans="1:2" x14ac:dyDescent="0.25">
      <c r="A280" s="3">
        <v>39212</v>
      </c>
      <c r="B280">
        <v>1303.92</v>
      </c>
    </row>
    <row r="281" spans="1:2" x14ac:dyDescent="0.25">
      <c r="A281" s="3">
        <v>39213</v>
      </c>
      <c r="B281">
        <v>1304.01</v>
      </c>
    </row>
    <row r="282" spans="1:2" x14ac:dyDescent="0.25">
      <c r="A282" s="3">
        <v>39216</v>
      </c>
      <c r="B282">
        <v>1304.2</v>
      </c>
    </row>
    <row r="283" spans="1:2" x14ac:dyDescent="0.25">
      <c r="A283" s="3">
        <v>39217</v>
      </c>
      <c r="B283">
        <v>1304.9100000000001</v>
      </c>
    </row>
    <row r="284" spans="1:2" x14ac:dyDescent="0.25">
      <c r="A284" s="3">
        <v>39218</v>
      </c>
      <c r="B284">
        <v>1304.55</v>
      </c>
    </row>
    <row r="285" spans="1:2" x14ac:dyDescent="0.25">
      <c r="A285" s="3">
        <v>39219</v>
      </c>
      <c r="B285">
        <v>1303.52</v>
      </c>
    </row>
    <row r="286" spans="1:2" x14ac:dyDescent="0.25">
      <c r="A286" s="3">
        <v>39220</v>
      </c>
      <c r="B286">
        <v>1303.58</v>
      </c>
    </row>
    <row r="287" spans="1:2" x14ac:dyDescent="0.25">
      <c r="A287" s="3">
        <v>39223</v>
      </c>
      <c r="B287">
        <v>1303.0899999999999</v>
      </c>
    </row>
    <row r="288" spans="1:2" x14ac:dyDescent="0.25">
      <c r="A288" s="3">
        <v>39224</v>
      </c>
      <c r="B288">
        <v>1303.2</v>
      </c>
    </row>
    <row r="289" spans="1:2" x14ac:dyDescent="0.25">
      <c r="A289" s="3">
        <v>39225</v>
      </c>
      <c r="B289">
        <v>1303.6500000000001</v>
      </c>
    </row>
    <row r="290" spans="1:2" x14ac:dyDescent="0.25">
      <c r="A290" s="3">
        <v>39226</v>
      </c>
      <c r="B290">
        <v>1302.96</v>
      </c>
    </row>
    <row r="291" spans="1:2" x14ac:dyDescent="0.25">
      <c r="A291" s="3">
        <v>39227</v>
      </c>
      <c r="B291">
        <v>1303.19</v>
      </c>
    </row>
    <row r="292" spans="1:2" x14ac:dyDescent="0.25">
      <c r="A292" s="3">
        <v>39231</v>
      </c>
      <c r="B292">
        <v>1303.48</v>
      </c>
    </row>
    <row r="293" spans="1:2" x14ac:dyDescent="0.25">
      <c r="A293" s="3">
        <v>39232</v>
      </c>
      <c r="B293">
        <v>1302.8399999999999</v>
      </c>
    </row>
    <row r="294" spans="1:2" x14ac:dyDescent="0.25">
      <c r="A294" s="3">
        <v>39233</v>
      </c>
      <c r="B294">
        <v>1303.22</v>
      </c>
    </row>
    <row r="295" spans="1:2" x14ac:dyDescent="0.25">
      <c r="A295" s="3">
        <v>39234</v>
      </c>
      <c r="B295">
        <v>1302.83</v>
      </c>
    </row>
    <row r="296" spans="1:2" x14ac:dyDescent="0.25">
      <c r="A296" s="3">
        <v>39237</v>
      </c>
      <c r="B296">
        <v>1303.68</v>
      </c>
    </row>
    <row r="297" spans="1:2" x14ac:dyDescent="0.25">
      <c r="A297" s="3">
        <v>39238</v>
      </c>
      <c r="B297">
        <v>1304.18</v>
      </c>
    </row>
    <row r="298" spans="1:2" x14ac:dyDescent="0.25">
      <c r="A298" s="3">
        <v>39239</v>
      </c>
      <c r="B298">
        <v>1303.8800000000001</v>
      </c>
    </row>
    <row r="299" spans="1:2" x14ac:dyDescent="0.25">
      <c r="A299" s="3">
        <v>39240</v>
      </c>
      <c r="B299">
        <v>1303.44</v>
      </c>
    </row>
    <row r="300" spans="1:2" x14ac:dyDescent="0.25">
      <c r="A300" s="3">
        <v>39241</v>
      </c>
      <c r="B300">
        <v>1302.19</v>
      </c>
    </row>
    <row r="301" spans="1:2" x14ac:dyDescent="0.25">
      <c r="A301" s="3">
        <v>39244</v>
      </c>
      <c r="B301">
        <v>1302</v>
      </c>
    </row>
    <row r="302" spans="1:2" x14ac:dyDescent="0.25">
      <c r="A302" s="3">
        <v>39245</v>
      </c>
      <c r="B302">
        <v>1301.72</v>
      </c>
    </row>
    <row r="303" spans="1:2" x14ac:dyDescent="0.25">
      <c r="A303" s="3">
        <v>39246</v>
      </c>
      <c r="B303">
        <v>1301.55</v>
      </c>
    </row>
    <row r="304" spans="1:2" x14ac:dyDescent="0.25">
      <c r="A304" s="3">
        <v>39247</v>
      </c>
      <c r="B304">
        <v>1301.57</v>
      </c>
    </row>
    <row r="305" spans="1:2" x14ac:dyDescent="0.25">
      <c r="A305" s="3">
        <v>39248</v>
      </c>
      <c r="B305">
        <v>1302.26</v>
      </c>
    </row>
    <row r="306" spans="1:2" x14ac:dyDescent="0.25">
      <c r="A306" s="3">
        <v>39251</v>
      </c>
      <c r="B306">
        <v>1302.6500000000001</v>
      </c>
    </row>
    <row r="307" spans="1:2" x14ac:dyDescent="0.25">
      <c r="A307" s="3">
        <v>39252</v>
      </c>
      <c r="B307">
        <v>1302.8800000000001</v>
      </c>
    </row>
    <row r="308" spans="1:2" x14ac:dyDescent="0.25">
      <c r="A308" s="3">
        <v>39253</v>
      </c>
      <c r="B308">
        <v>1303.03</v>
      </c>
    </row>
    <row r="309" spans="1:2" x14ac:dyDescent="0.25">
      <c r="A309" s="3">
        <v>39254</v>
      </c>
      <c r="B309">
        <v>1302.8</v>
      </c>
    </row>
    <row r="310" spans="1:2" x14ac:dyDescent="0.25">
      <c r="A310" s="3">
        <v>39255</v>
      </c>
      <c r="B310">
        <v>1303.19</v>
      </c>
    </row>
    <row r="311" spans="1:2" x14ac:dyDescent="0.25">
      <c r="A311" s="3">
        <v>39258</v>
      </c>
      <c r="B311">
        <v>1303.47</v>
      </c>
    </row>
    <row r="312" spans="1:2" x14ac:dyDescent="0.25">
      <c r="A312" s="3">
        <v>39259</v>
      </c>
      <c r="B312">
        <v>1303.58</v>
      </c>
    </row>
    <row r="313" spans="1:2" x14ac:dyDescent="0.25">
      <c r="A313" s="3">
        <v>39260</v>
      </c>
      <c r="B313">
        <v>1303.1400000000001</v>
      </c>
    </row>
    <row r="314" spans="1:2" x14ac:dyDescent="0.25">
      <c r="A314" s="3">
        <v>39261</v>
      </c>
      <c r="B314">
        <v>1303.6500000000001</v>
      </c>
    </row>
    <row r="315" spans="1:2" x14ac:dyDescent="0.25">
      <c r="A315" s="3">
        <v>39262</v>
      </c>
      <c r="B315">
        <v>1304.1500000000001</v>
      </c>
    </row>
    <row r="316" spans="1:2" x14ac:dyDescent="0.25">
      <c r="A316" s="3">
        <v>39265</v>
      </c>
      <c r="B316">
        <v>1410.48</v>
      </c>
    </row>
    <row r="317" spans="1:2" x14ac:dyDescent="0.25">
      <c r="A317" s="3">
        <v>39266</v>
      </c>
      <c r="B317">
        <v>1410.23</v>
      </c>
    </row>
    <row r="318" spans="1:2" x14ac:dyDescent="0.25">
      <c r="A318" s="3">
        <v>39268</v>
      </c>
      <c r="B318">
        <v>1410.07</v>
      </c>
    </row>
    <row r="319" spans="1:2" x14ac:dyDescent="0.25">
      <c r="A319" s="3">
        <v>39269</v>
      </c>
      <c r="B319">
        <v>1410.51</v>
      </c>
    </row>
    <row r="320" spans="1:2" x14ac:dyDescent="0.25">
      <c r="A320" s="3">
        <v>39272</v>
      </c>
      <c r="B320">
        <v>1410.49</v>
      </c>
    </row>
    <row r="321" spans="1:2" x14ac:dyDescent="0.25">
      <c r="A321" s="3">
        <v>39273</v>
      </c>
      <c r="B321">
        <v>1411.78</v>
      </c>
    </row>
    <row r="322" spans="1:2" x14ac:dyDescent="0.25">
      <c r="A322" s="3">
        <v>39274</v>
      </c>
      <c r="B322">
        <v>1412.59</v>
      </c>
    </row>
    <row r="323" spans="1:2" x14ac:dyDescent="0.25">
      <c r="A323" s="3">
        <v>39275</v>
      </c>
      <c r="B323">
        <v>1412.5</v>
      </c>
    </row>
    <row r="324" spans="1:2" x14ac:dyDescent="0.25">
      <c r="A324" s="3">
        <v>39276</v>
      </c>
      <c r="B324">
        <v>1412.63</v>
      </c>
    </row>
    <row r="325" spans="1:2" x14ac:dyDescent="0.25">
      <c r="A325" s="3">
        <v>39279</v>
      </c>
      <c r="B325">
        <v>1412.69</v>
      </c>
    </row>
    <row r="326" spans="1:2" x14ac:dyDescent="0.25">
      <c r="A326" s="3">
        <v>39280</v>
      </c>
      <c r="B326">
        <v>1412.93</v>
      </c>
    </row>
    <row r="327" spans="1:2" x14ac:dyDescent="0.25">
      <c r="A327" s="3">
        <v>39281</v>
      </c>
      <c r="B327">
        <v>1413.33</v>
      </c>
    </row>
    <row r="328" spans="1:2" x14ac:dyDescent="0.25">
      <c r="A328" s="3">
        <v>39282</v>
      </c>
      <c r="B328">
        <v>1413.51</v>
      </c>
    </row>
    <row r="329" spans="1:2" x14ac:dyDescent="0.25">
      <c r="A329" s="3">
        <v>39283</v>
      </c>
      <c r="B329">
        <v>1413.73</v>
      </c>
    </row>
    <row r="330" spans="1:2" x14ac:dyDescent="0.25">
      <c r="A330" s="3">
        <v>39286</v>
      </c>
      <c r="B330">
        <v>1413.56</v>
      </c>
    </row>
    <row r="331" spans="1:2" x14ac:dyDescent="0.25">
      <c r="A331" s="3">
        <v>39287</v>
      </c>
      <c r="B331">
        <v>1413.69</v>
      </c>
    </row>
    <row r="332" spans="1:2" x14ac:dyDescent="0.25">
      <c r="A332" s="3">
        <v>39288</v>
      </c>
      <c r="B332">
        <v>1412.05</v>
      </c>
    </row>
    <row r="333" spans="1:2" x14ac:dyDescent="0.25">
      <c r="A333" s="3">
        <v>39289</v>
      </c>
      <c r="B333">
        <v>1412.15</v>
      </c>
    </row>
    <row r="334" spans="1:2" x14ac:dyDescent="0.25">
      <c r="A334" s="3">
        <v>39290</v>
      </c>
      <c r="B334">
        <v>1410.97</v>
      </c>
    </row>
    <row r="335" spans="1:2" x14ac:dyDescent="0.25">
      <c r="A335" s="3">
        <v>39293</v>
      </c>
      <c r="B335">
        <v>1411.21</v>
      </c>
    </row>
    <row r="336" spans="1:2" x14ac:dyDescent="0.25">
      <c r="A336" s="3">
        <v>39294</v>
      </c>
      <c r="B336">
        <v>1411.4</v>
      </c>
    </row>
    <row r="337" spans="1:2" x14ac:dyDescent="0.25">
      <c r="A337" s="3">
        <v>39295</v>
      </c>
      <c r="B337">
        <v>1411.17</v>
      </c>
    </row>
    <row r="338" spans="1:2" x14ac:dyDescent="0.25">
      <c r="A338" s="3">
        <v>39296</v>
      </c>
      <c r="B338">
        <v>1411.23</v>
      </c>
    </row>
    <row r="339" spans="1:2" x14ac:dyDescent="0.25">
      <c r="A339" s="3">
        <v>39297</v>
      </c>
      <c r="B339">
        <v>1412.47</v>
      </c>
    </row>
    <row r="340" spans="1:2" x14ac:dyDescent="0.25">
      <c r="A340" s="3">
        <v>39300</v>
      </c>
      <c r="B340">
        <v>1412.8</v>
      </c>
    </row>
    <row r="341" spans="1:2" x14ac:dyDescent="0.25">
      <c r="A341" s="3">
        <v>39301</v>
      </c>
      <c r="B341">
        <v>1412.29</v>
      </c>
    </row>
    <row r="342" spans="1:2" x14ac:dyDescent="0.25">
      <c r="A342" s="3">
        <v>39302</v>
      </c>
      <c r="B342">
        <v>1413.18</v>
      </c>
    </row>
    <row r="343" spans="1:2" x14ac:dyDescent="0.25">
      <c r="A343" s="3">
        <v>39303</v>
      </c>
      <c r="B343">
        <v>1411.58</v>
      </c>
    </row>
    <row r="344" spans="1:2" x14ac:dyDescent="0.25">
      <c r="A344" s="3">
        <v>39304</v>
      </c>
      <c r="B344">
        <v>1411.07</v>
      </c>
    </row>
    <row r="345" spans="1:2" x14ac:dyDescent="0.25">
      <c r="A345" s="3">
        <v>39307</v>
      </c>
      <c r="B345">
        <v>1410.18</v>
      </c>
    </row>
    <row r="346" spans="1:2" x14ac:dyDescent="0.25">
      <c r="A346" s="3">
        <v>39308</v>
      </c>
      <c r="B346">
        <v>1409.46</v>
      </c>
    </row>
    <row r="347" spans="1:2" x14ac:dyDescent="0.25">
      <c r="A347" s="3">
        <v>39309</v>
      </c>
      <c r="B347">
        <v>1407.94</v>
      </c>
    </row>
    <row r="348" spans="1:2" x14ac:dyDescent="0.25">
      <c r="A348" s="3">
        <v>39310</v>
      </c>
      <c r="B348">
        <v>1406.58</v>
      </c>
    </row>
    <row r="349" spans="1:2" x14ac:dyDescent="0.25">
      <c r="A349" s="3">
        <v>39311</v>
      </c>
      <c r="B349">
        <v>1408.16</v>
      </c>
    </row>
    <row r="350" spans="1:2" x14ac:dyDescent="0.25">
      <c r="A350" s="3">
        <v>39314</v>
      </c>
      <c r="B350">
        <v>1407.82</v>
      </c>
    </row>
    <row r="351" spans="1:2" x14ac:dyDescent="0.25">
      <c r="A351" s="3">
        <v>39315</v>
      </c>
      <c r="B351">
        <v>1407.95</v>
      </c>
    </row>
    <row r="352" spans="1:2" x14ac:dyDescent="0.25">
      <c r="A352" s="3">
        <v>39316</v>
      </c>
      <c r="B352">
        <v>1408.35</v>
      </c>
    </row>
    <row r="353" spans="1:2" x14ac:dyDescent="0.25">
      <c r="A353" s="3">
        <v>39317</v>
      </c>
      <c r="B353">
        <v>1409.37</v>
      </c>
    </row>
    <row r="354" spans="1:2" x14ac:dyDescent="0.25">
      <c r="A354" s="3">
        <v>39318</v>
      </c>
      <c r="B354">
        <v>1410.27</v>
      </c>
    </row>
    <row r="355" spans="1:2" x14ac:dyDescent="0.25">
      <c r="A355" s="3">
        <v>39321</v>
      </c>
      <c r="B355">
        <v>1410.42</v>
      </c>
    </row>
    <row r="356" spans="1:2" x14ac:dyDescent="0.25">
      <c r="A356" s="3">
        <v>39322</v>
      </c>
      <c r="B356">
        <v>1410.34</v>
      </c>
    </row>
    <row r="357" spans="1:2" x14ac:dyDescent="0.25">
      <c r="A357" s="3">
        <v>39323</v>
      </c>
      <c r="B357">
        <v>1410.36</v>
      </c>
    </row>
    <row r="358" spans="1:2" x14ac:dyDescent="0.25">
      <c r="A358" s="3">
        <v>39324</v>
      </c>
      <c r="B358">
        <v>1410.24</v>
      </c>
    </row>
    <row r="359" spans="1:2" x14ac:dyDescent="0.25">
      <c r="A359" s="3">
        <v>39325</v>
      </c>
      <c r="B359">
        <v>1410.15</v>
      </c>
    </row>
    <row r="360" spans="1:2" x14ac:dyDescent="0.25">
      <c r="A360" s="3">
        <v>39329</v>
      </c>
      <c r="B360">
        <v>1409.64</v>
      </c>
    </row>
    <row r="361" spans="1:2" x14ac:dyDescent="0.25">
      <c r="A361" s="3">
        <v>39330</v>
      </c>
      <c r="B361">
        <v>1410.52</v>
      </c>
    </row>
    <row r="362" spans="1:2" x14ac:dyDescent="0.25">
      <c r="A362" s="3">
        <v>39331</v>
      </c>
      <c r="B362">
        <v>1411.11</v>
      </c>
    </row>
    <row r="363" spans="1:2" x14ac:dyDescent="0.25">
      <c r="A363" s="3">
        <v>39332</v>
      </c>
      <c r="B363">
        <v>1412.08</v>
      </c>
    </row>
    <row r="364" spans="1:2" x14ac:dyDescent="0.25">
      <c r="A364" s="3">
        <v>39335</v>
      </c>
      <c r="B364">
        <v>1412.43</v>
      </c>
    </row>
    <row r="365" spans="1:2" x14ac:dyDescent="0.25">
      <c r="A365" s="3">
        <v>39336</v>
      </c>
      <c r="B365">
        <v>1413.06</v>
      </c>
    </row>
    <row r="366" spans="1:2" x14ac:dyDescent="0.25">
      <c r="A366" s="3">
        <v>39337</v>
      </c>
      <c r="B366">
        <v>1413.83</v>
      </c>
    </row>
    <row r="367" spans="1:2" x14ac:dyDescent="0.25">
      <c r="A367" s="3">
        <v>39338</v>
      </c>
      <c r="B367">
        <v>1413.74</v>
      </c>
    </row>
    <row r="368" spans="1:2" x14ac:dyDescent="0.25">
      <c r="A368" s="3">
        <v>39339</v>
      </c>
      <c r="B368">
        <v>1413.5</v>
      </c>
    </row>
    <row r="369" spans="1:2" x14ac:dyDescent="0.25">
      <c r="A369" s="3">
        <v>39342</v>
      </c>
      <c r="B369">
        <v>1413.37</v>
      </c>
    </row>
    <row r="370" spans="1:2" x14ac:dyDescent="0.25">
      <c r="A370" s="3">
        <v>39343</v>
      </c>
      <c r="B370">
        <v>1413.35</v>
      </c>
    </row>
    <row r="371" spans="1:2" x14ac:dyDescent="0.25">
      <c r="A371" s="3">
        <v>39344</v>
      </c>
      <c r="B371">
        <v>1414.74</v>
      </c>
    </row>
    <row r="372" spans="1:2" x14ac:dyDescent="0.25">
      <c r="A372" s="3">
        <v>39345</v>
      </c>
      <c r="B372">
        <v>1416.65</v>
      </c>
    </row>
    <row r="373" spans="1:2" x14ac:dyDescent="0.25">
      <c r="A373" s="3">
        <v>39346</v>
      </c>
      <c r="B373">
        <v>1416.77</v>
      </c>
    </row>
    <row r="374" spans="1:2" x14ac:dyDescent="0.25">
      <c r="A374" s="3">
        <v>39349</v>
      </c>
      <c r="B374">
        <v>1416.8</v>
      </c>
    </row>
    <row r="375" spans="1:2" x14ac:dyDescent="0.25">
      <c r="A375" s="3">
        <v>39350</v>
      </c>
      <c r="B375">
        <v>1417.17</v>
      </c>
    </row>
    <row r="376" spans="1:2" x14ac:dyDescent="0.25">
      <c r="A376" s="3">
        <v>39351</v>
      </c>
      <c r="B376">
        <v>1417.2</v>
      </c>
    </row>
    <row r="377" spans="1:2" x14ac:dyDescent="0.25">
      <c r="A377" s="3">
        <v>39352</v>
      </c>
      <c r="B377">
        <v>1417.69</v>
      </c>
    </row>
    <row r="378" spans="1:2" x14ac:dyDescent="0.25">
      <c r="A378" s="3">
        <v>39353</v>
      </c>
      <c r="B378">
        <v>1418.78</v>
      </c>
    </row>
    <row r="379" spans="1:2" x14ac:dyDescent="0.25">
      <c r="A379" s="3">
        <v>39356</v>
      </c>
      <c r="B379">
        <v>1441.39</v>
      </c>
    </row>
    <row r="380" spans="1:2" x14ac:dyDescent="0.25">
      <c r="A380" s="3">
        <v>39357</v>
      </c>
      <c r="B380">
        <v>1440.12</v>
      </c>
    </row>
    <row r="381" spans="1:2" x14ac:dyDescent="0.25">
      <c r="A381" s="3">
        <v>39358</v>
      </c>
      <c r="B381">
        <v>1440.05</v>
      </c>
    </row>
    <row r="382" spans="1:2" x14ac:dyDescent="0.25">
      <c r="A382" s="3">
        <v>39359</v>
      </c>
      <c r="B382">
        <v>1439.95</v>
      </c>
    </row>
    <row r="383" spans="1:2" x14ac:dyDescent="0.25">
      <c r="A383" s="3">
        <v>39360</v>
      </c>
      <c r="B383">
        <v>1440.19</v>
      </c>
    </row>
    <row r="384" spans="1:2" x14ac:dyDescent="0.25">
      <c r="A384" s="3">
        <v>39363</v>
      </c>
      <c r="B384">
        <v>1439.1</v>
      </c>
    </row>
    <row r="385" spans="1:2" x14ac:dyDescent="0.25">
      <c r="A385" s="3">
        <v>39364</v>
      </c>
      <c r="B385">
        <v>1439.41</v>
      </c>
    </row>
    <row r="386" spans="1:2" x14ac:dyDescent="0.25">
      <c r="A386" s="3">
        <v>39365</v>
      </c>
      <c r="B386">
        <v>1440.47</v>
      </c>
    </row>
    <row r="387" spans="1:2" x14ac:dyDescent="0.25">
      <c r="A387" s="3">
        <v>39366</v>
      </c>
      <c r="B387">
        <v>1441.48</v>
      </c>
    </row>
    <row r="388" spans="1:2" x14ac:dyDescent="0.25">
      <c r="A388" s="3">
        <v>39367</v>
      </c>
      <c r="B388">
        <v>1440.58</v>
      </c>
    </row>
    <row r="389" spans="1:2" x14ac:dyDescent="0.25">
      <c r="A389" s="3">
        <v>39370</v>
      </c>
      <c r="B389">
        <v>1441.32</v>
      </c>
    </row>
    <row r="390" spans="1:2" x14ac:dyDescent="0.25">
      <c r="A390" s="3">
        <v>39371</v>
      </c>
      <c r="B390">
        <v>1440.14</v>
      </c>
    </row>
    <row r="391" spans="1:2" x14ac:dyDescent="0.25">
      <c r="A391" s="3">
        <v>39372</v>
      </c>
      <c r="B391">
        <v>1440.8</v>
      </c>
    </row>
    <row r="392" spans="1:2" x14ac:dyDescent="0.25">
      <c r="A392" s="3">
        <v>39373</v>
      </c>
      <c r="B392">
        <v>1441.97</v>
      </c>
    </row>
    <row r="393" spans="1:2" x14ac:dyDescent="0.25">
      <c r="A393" s="3">
        <v>39374</v>
      </c>
      <c r="B393">
        <v>1441.58</v>
      </c>
    </row>
    <row r="394" spans="1:2" x14ac:dyDescent="0.25">
      <c r="A394" s="3">
        <v>39377</v>
      </c>
      <c r="B394">
        <v>1439.92</v>
      </c>
    </row>
    <row r="395" spans="1:2" x14ac:dyDescent="0.25">
      <c r="A395" s="3">
        <v>39378</v>
      </c>
      <c r="B395">
        <v>1441.5</v>
      </c>
    </row>
    <row r="396" spans="1:2" x14ac:dyDescent="0.25">
      <c r="A396" s="3">
        <v>39379</v>
      </c>
      <c r="B396">
        <v>1441.38</v>
      </c>
    </row>
    <row r="397" spans="1:2" x14ac:dyDescent="0.25">
      <c r="A397" s="3">
        <v>39380</v>
      </c>
      <c r="B397">
        <v>1442.51</v>
      </c>
    </row>
    <row r="398" spans="1:2" x14ac:dyDescent="0.25">
      <c r="A398" s="3">
        <v>39381</v>
      </c>
      <c r="B398">
        <v>1443.69</v>
      </c>
    </row>
    <row r="399" spans="1:2" x14ac:dyDescent="0.25">
      <c r="A399" s="3">
        <v>39384</v>
      </c>
      <c r="B399">
        <v>1444.03</v>
      </c>
    </row>
    <row r="400" spans="1:2" x14ac:dyDescent="0.25">
      <c r="A400" s="3">
        <v>39385</v>
      </c>
      <c r="B400">
        <v>1444.31</v>
      </c>
    </row>
    <row r="401" spans="1:2" x14ac:dyDescent="0.25">
      <c r="A401" s="3">
        <v>39386</v>
      </c>
      <c r="B401">
        <v>1445.04</v>
      </c>
    </row>
    <row r="402" spans="1:2" x14ac:dyDescent="0.25">
      <c r="A402" s="3">
        <v>39387</v>
      </c>
      <c r="B402">
        <v>1444.56</v>
      </c>
    </row>
    <row r="403" spans="1:2" x14ac:dyDescent="0.25">
      <c r="A403" s="3">
        <v>39388</v>
      </c>
      <c r="B403">
        <v>1445.18</v>
      </c>
    </row>
    <row r="404" spans="1:2" x14ac:dyDescent="0.25">
      <c r="A404" s="3">
        <v>39391</v>
      </c>
      <c r="B404">
        <v>1445.06</v>
      </c>
    </row>
    <row r="405" spans="1:2" x14ac:dyDescent="0.25">
      <c r="A405" s="3">
        <v>39392</v>
      </c>
      <c r="B405">
        <v>1446.23</v>
      </c>
    </row>
    <row r="406" spans="1:2" x14ac:dyDescent="0.25">
      <c r="A406" s="3">
        <v>39393</v>
      </c>
      <c r="B406">
        <v>1447.98</v>
      </c>
    </row>
    <row r="407" spans="1:2" x14ac:dyDescent="0.25">
      <c r="A407" s="3">
        <v>39394</v>
      </c>
      <c r="B407">
        <v>1448.21</v>
      </c>
    </row>
    <row r="408" spans="1:2" x14ac:dyDescent="0.25">
      <c r="A408" s="3">
        <v>39395</v>
      </c>
      <c r="B408">
        <v>1447.81</v>
      </c>
    </row>
    <row r="409" spans="1:2" x14ac:dyDescent="0.25">
      <c r="A409" s="3">
        <v>39398</v>
      </c>
      <c r="B409">
        <v>1445.3</v>
      </c>
    </row>
    <row r="410" spans="1:2" x14ac:dyDescent="0.25">
      <c r="A410" s="3">
        <v>39399</v>
      </c>
      <c r="B410">
        <v>1446.39</v>
      </c>
    </row>
    <row r="411" spans="1:2" x14ac:dyDescent="0.25">
      <c r="A411" s="3">
        <v>39400</v>
      </c>
      <c r="B411">
        <v>1447.58</v>
      </c>
    </row>
    <row r="412" spans="1:2" x14ac:dyDescent="0.25">
      <c r="A412" s="3">
        <v>39401</v>
      </c>
      <c r="B412">
        <v>1446.49</v>
      </c>
    </row>
    <row r="413" spans="1:2" x14ac:dyDescent="0.25">
      <c r="A413" s="3">
        <v>39402</v>
      </c>
      <c r="B413">
        <v>1446.53</v>
      </c>
    </row>
    <row r="414" spans="1:2" x14ac:dyDescent="0.25">
      <c r="A414" s="3">
        <v>39405</v>
      </c>
      <c r="B414">
        <v>1446.82</v>
      </c>
    </row>
    <row r="415" spans="1:2" x14ac:dyDescent="0.25">
      <c r="A415" s="3">
        <v>39406</v>
      </c>
      <c r="B415">
        <v>1448.58</v>
      </c>
    </row>
    <row r="416" spans="1:2" x14ac:dyDescent="0.25">
      <c r="A416" s="3">
        <v>39407</v>
      </c>
      <c r="B416">
        <v>1448.85</v>
      </c>
    </row>
    <row r="417" spans="1:2" x14ac:dyDescent="0.25">
      <c r="A417" s="3">
        <v>39409</v>
      </c>
      <c r="B417">
        <v>1448.58</v>
      </c>
    </row>
    <row r="418" spans="1:2" x14ac:dyDescent="0.25">
      <c r="A418" s="3">
        <v>39412</v>
      </c>
      <c r="B418">
        <v>1449.24</v>
      </c>
    </row>
    <row r="419" spans="1:2" x14ac:dyDescent="0.25">
      <c r="A419" s="3">
        <v>39413</v>
      </c>
      <c r="B419">
        <v>1449.5</v>
      </c>
    </row>
    <row r="420" spans="1:2" x14ac:dyDescent="0.25">
      <c r="A420" s="3">
        <v>39414</v>
      </c>
      <c r="B420">
        <v>1448.23</v>
      </c>
    </row>
    <row r="421" spans="1:2" x14ac:dyDescent="0.25">
      <c r="A421" s="3">
        <v>39415</v>
      </c>
      <c r="B421">
        <v>1448.34</v>
      </c>
    </row>
    <row r="422" spans="1:2" x14ac:dyDescent="0.25">
      <c r="A422" s="3">
        <v>39416</v>
      </c>
      <c r="B422">
        <v>1447.11</v>
      </c>
    </row>
    <row r="423" spans="1:2" x14ac:dyDescent="0.25">
      <c r="A423" s="3">
        <v>39419</v>
      </c>
      <c r="B423">
        <v>1446.92</v>
      </c>
    </row>
    <row r="424" spans="1:2" x14ac:dyDescent="0.25">
      <c r="A424" s="3">
        <v>39420</v>
      </c>
      <c r="B424">
        <v>1447.98</v>
      </c>
    </row>
    <row r="425" spans="1:2" x14ac:dyDescent="0.25">
      <c r="A425" s="3">
        <v>39421</v>
      </c>
      <c r="B425">
        <v>1446.45</v>
      </c>
    </row>
    <row r="426" spans="1:2" x14ac:dyDescent="0.25">
      <c r="A426" s="3">
        <v>39422</v>
      </c>
      <c r="B426">
        <v>1445.99</v>
      </c>
    </row>
    <row r="427" spans="1:2" x14ac:dyDescent="0.25">
      <c r="A427" s="3">
        <v>39423</v>
      </c>
      <c r="B427">
        <v>1446.53</v>
      </c>
    </row>
    <row r="428" spans="1:2" x14ac:dyDescent="0.25">
      <c r="A428" s="3">
        <v>39426</v>
      </c>
      <c r="B428">
        <v>1447.46</v>
      </c>
    </row>
    <row r="429" spans="1:2" x14ac:dyDescent="0.25">
      <c r="A429" s="3">
        <v>39427</v>
      </c>
      <c r="B429">
        <v>1447.17</v>
      </c>
    </row>
    <row r="430" spans="1:2" x14ac:dyDescent="0.25">
      <c r="A430" s="3">
        <v>39428</v>
      </c>
      <c r="B430">
        <v>1447.02</v>
      </c>
    </row>
    <row r="431" spans="1:2" x14ac:dyDescent="0.25">
      <c r="A431" s="3">
        <v>39429</v>
      </c>
      <c r="B431">
        <v>1445.87</v>
      </c>
    </row>
    <row r="432" spans="1:2" x14ac:dyDescent="0.25">
      <c r="A432" s="3">
        <v>39430</v>
      </c>
      <c r="B432">
        <v>1443.42</v>
      </c>
    </row>
    <row r="433" spans="1:2" x14ac:dyDescent="0.25">
      <c r="A433" s="3">
        <v>39433</v>
      </c>
      <c r="B433">
        <v>1442.59</v>
      </c>
    </row>
    <row r="434" spans="1:2" x14ac:dyDescent="0.25">
      <c r="A434" s="3">
        <v>39434</v>
      </c>
      <c r="B434">
        <v>1442.96</v>
      </c>
    </row>
    <row r="435" spans="1:2" x14ac:dyDescent="0.25">
      <c r="A435" s="3">
        <v>39435</v>
      </c>
      <c r="B435">
        <v>1442.66</v>
      </c>
    </row>
    <row r="436" spans="1:2" x14ac:dyDescent="0.25">
      <c r="A436" s="3">
        <v>39436</v>
      </c>
      <c r="B436">
        <v>1441.95</v>
      </c>
    </row>
    <row r="437" spans="1:2" x14ac:dyDescent="0.25">
      <c r="A437" s="3">
        <v>39437</v>
      </c>
      <c r="B437">
        <v>1442.45</v>
      </c>
    </row>
    <row r="438" spans="1:2" x14ac:dyDescent="0.25">
      <c r="A438" s="3">
        <v>39440</v>
      </c>
      <c r="B438">
        <v>1442.83</v>
      </c>
    </row>
    <row r="439" spans="1:2" x14ac:dyDescent="0.25">
      <c r="A439" s="3">
        <v>39442</v>
      </c>
      <c r="B439">
        <v>1444.2</v>
      </c>
    </row>
    <row r="440" spans="1:2" x14ac:dyDescent="0.25">
      <c r="A440" s="3">
        <v>39443</v>
      </c>
      <c r="B440">
        <v>1445.13</v>
      </c>
    </row>
    <row r="441" spans="1:2" x14ac:dyDescent="0.25">
      <c r="A441" s="3">
        <v>39444</v>
      </c>
      <c r="B441">
        <v>1446.94</v>
      </c>
    </row>
    <row r="442" spans="1:2" x14ac:dyDescent="0.25">
      <c r="A442" s="3">
        <v>39447</v>
      </c>
      <c r="B442">
        <v>1484.35</v>
      </c>
    </row>
    <row r="443" spans="1:2" x14ac:dyDescent="0.25">
      <c r="A443" s="3">
        <v>39449</v>
      </c>
      <c r="B443">
        <v>1485.7</v>
      </c>
    </row>
    <row r="444" spans="1:2" x14ac:dyDescent="0.25">
      <c r="A444" s="3">
        <v>39450</v>
      </c>
      <c r="B444">
        <v>1485.63</v>
      </c>
    </row>
    <row r="445" spans="1:2" x14ac:dyDescent="0.25">
      <c r="A445" s="3">
        <v>39451</v>
      </c>
      <c r="B445">
        <v>1486.26</v>
      </c>
    </row>
    <row r="446" spans="1:2" x14ac:dyDescent="0.25">
      <c r="A446" s="3">
        <v>39454</v>
      </c>
      <c r="B446">
        <v>1485.46</v>
      </c>
    </row>
    <row r="447" spans="1:2" x14ac:dyDescent="0.25">
      <c r="A447" s="3">
        <v>39455</v>
      </c>
      <c r="B447">
        <v>1485.53</v>
      </c>
    </row>
    <row r="448" spans="1:2" x14ac:dyDescent="0.25">
      <c r="A448" s="3">
        <v>39456</v>
      </c>
      <c r="B448">
        <v>1484.79</v>
      </c>
    </row>
    <row r="449" spans="1:2" x14ac:dyDescent="0.25">
      <c r="A449" s="3">
        <v>39457</v>
      </c>
      <c r="B449">
        <v>1485.73</v>
      </c>
    </row>
    <row r="450" spans="1:2" x14ac:dyDescent="0.25">
      <c r="A450" s="3">
        <v>39458</v>
      </c>
      <c r="B450">
        <v>1486.54</v>
      </c>
    </row>
    <row r="451" spans="1:2" x14ac:dyDescent="0.25">
      <c r="A451" s="3">
        <v>39461</v>
      </c>
      <c r="B451">
        <v>1487.81</v>
      </c>
    </row>
    <row r="452" spans="1:2" x14ac:dyDescent="0.25">
      <c r="A452" s="3">
        <v>39462</v>
      </c>
      <c r="B452">
        <v>1487.47</v>
      </c>
    </row>
    <row r="453" spans="1:2" x14ac:dyDescent="0.25">
      <c r="A453" s="3">
        <v>39463</v>
      </c>
      <c r="B453">
        <v>1484.99</v>
      </c>
    </row>
    <row r="454" spans="1:2" x14ac:dyDescent="0.25">
      <c r="A454" s="3">
        <v>39464</v>
      </c>
      <c r="B454">
        <v>1485.21</v>
      </c>
    </row>
    <row r="455" spans="1:2" x14ac:dyDescent="0.25">
      <c r="A455" s="3">
        <v>39465</v>
      </c>
      <c r="B455">
        <v>1484.14</v>
      </c>
    </row>
    <row r="456" spans="1:2" x14ac:dyDescent="0.25">
      <c r="A456" s="3">
        <v>39469</v>
      </c>
      <c r="B456">
        <v>1483.94</v>
      </c>
    </row>
    <row r="457" spans="1:2" x14ac:dyDescent="0.25">
      <c r="A457" s="3">
        <v>39470</v>
      </c>
      <c r="B457">
        <v>1483.06</v>
      </c>
    </row>
    <row r="458" spans="1:2" x14ac:dyDescent="0.25">
      <c r="A458" s="3">
        <v>39471</v>
      </c>
      <c r="B458">
        <v>1485.45</v>
      </c>
    </row>
    <row r="459" spans="1:2" x14ac:dyDescent="0.25">
      <c r="A459" s="3">
        <v>39472</v>
      </c>
      <c r="B459">
        <v>1485.38</v>
      </c>
    </row>
    <row r="460" spans="1:2" x14ac:dyDescent="0.25">
      <c r="A460" s="3">
        <v>39475</v>
      </c>
      <c r="B460">
        <v>1486.74</v>
      </c>
    </row>
    <row r="461" spans="1:2" x14ac:dyDescent="0.25">
      <c r="A461" s="3">
        <v>39476</v>
      </c>
      <c r="B461">
        <v>1486.4</v>
      </c>
    </row>
    <row r="462" spans="1:2" x14ac:dyDescent="0.25">
      <c r="A462" s="3">
        <v>39477</v>
      </c>
      <c r="B462">
        <v>1486.66</v>
      </c>
    </row>
    <row r="463" spans="1:2" x14ac:dyDescent="0.25">
      <c r="A463" s="3">
        <v>39478</v>
      </c>
      <c r="B463">
        <v>1486.97</v>
      </c>
    </row>
    <row r="464" spans="1:2" x14ac:dyDescent="0.25">
      <c r="A464" s="3">
        <v>39479</v>
      </c>
      <c r="B464">
        <v>1487.16</v>
      </c>
    </row>
    <row r="465" spans="1:2" x14ac:dyDescent="0.25">
      <c r="A465" s="3">
        <v>39482</v>
      </c>
      <c r="B465">
        <v>1487.19</v>
      </c>
    </row>
    <row r="466" spans="1:2" x14ac:dyDescent="0.25">
      <c r="A466" s="3">
        <v>39483</v>
      </c>
      <c r="B466">
        <v>1484.67</v>
      </c>
    </row>
    <row r="467" spans="1:2" x14ac:dyDescent="0.25">
      <c r="A467" s="3">
        <v>39484</v>
      </c>
      <c r="B467">
        <v>1484.85</v>
      </c>
    </row>
    <row r="468" spans="1:2" x14ac:dyDescent="0.25">
      <c r="A468" s="3">
        <v>39485</v>
      </c>
      <c r="B468">
        <v>1482.61</v>
      </c>
    </row>
    <row r="469" spans="1:2" x14ac:dyDescent="0.25">
      <c r="A469" s="3">
        <v>39486</v>
      </c>
      <c r="B469">
        <v>1482.59</v>
      </c>
    </row>
    <row r="470" spans="1:2" x14ac:dyDescent="0.25">
      <c r="A470" s="3">
        <v>39489</v>
      </c>
      <c r="B470">
        <v>1482.65</v>
      </c>
    </row>
    <row r="471" spans="1:2" x14ac:dyDescent="0.25">
      <c r="A471" s="3">
        <v>39490</v>
      </c>
      <c r="B471">
        <v>1484.07</v>
      </c>
    </row>
    <row r="472" spans="1:2" x14ac:dyDescent="0.25">
      <c r="A472" s="3">
        <v>39491</v>
      </c>
      <c r="B472">
        <v>1483.59</v>
      </c>
    </row>
    <row r="473" spans="1:2" x14ac:dyDescent="0.25">
      <c r="A473" s="3">
        <v>39492</v>
      </c>
      <c r="B473">
        <v>1484.52</v>
      </c>
    </row>
    <row r="474" spans="1:2" x14ac:dyDescent="0.25">
      <c r="A474" s="3">
        <v>39493</v>
      </c>
      <c r="B474">
        <v>1485.36</v>
      </c>
    </row>
    <row r="475" spans="1:2" x14ac:dyDescent="0.25">
      <c r="A475" s="3">
        <v>39497</v>
      </c>
      <c r="B475">
        <v>1486.16</v>
      </c>
    </row>
    <row r="476" spans="1:2" x14ac:dyDescent="0.25">
      <c r="A476" s="3">
        <v>39498</v>
      </c>
      <c r="B476">
        <v>1484.71</v>
      </c>
    </row>
    <row r="477" spans="1:2" x14ac:dyDescent="0.25">
      <c r="A477" s="3">
        <v>39499</v>
      </c>
      <c r="B477">
        <v>1486.82</v>
      </c>
    </row>
    <row r="478" spans="1:2" x14ac:dyDescent="0.25">
      <c r="A478" s="3">
        <v>39500</v>
      </c>
      <c r="B478">
        <v>1487.21</v>
      </c>
    </row>
    <row r="479" spans="1:2" x14ac:dyDescent="0.25">
      <c r="A479" s="3">
        <v>39503</v>
      </c>
      <c r="B479">
        <v>1487.49</v>
      </c>
    </row>
    <row r="480" spans="1:2" x14ac:dyDescent="0.25">
      <c r="A480" s="3">
        <v>39504</v>
      </c>
      <c r="B480">
        <v>1488.29</v>
      </c>
    </row>
    <row r="481" spans="1:2" x14ac:dyDescent="0.25">
      <c r="A481" s="3">
        <v>39505</v>
      </c>
      <c r="B481">
        <v>1491.42</v>
      </c>
    </row>
    <row r="482" spans="1:2" x14ac:dyDescent="0.25">
      <c r="A482" s="3">
        <v>39506</v>
      </c>
      <c r="B482">
        <v>1492.58</v>
      </c>
    </row>
    <row r="483" spans="1:2" x14ac:dyDescent="0.25">
      <c r="A483" s="3">
        <v>39507</v>
      </c>
      <c r="B483">
        <v>1492.5</v>
      </c>
    </row>
    <row r="484" spans="1:2" x14ac:dyDescent="0.25">
      <c r="A484" s="3">
        <v>39510</v>
      </c>
      <c r="B484">
        <v>1492.75</v>
      </c>
    </row>
    <row r="485" spans="1:2" x14ac:dyDescent="0.25">
      <c r="A485" s="3">
        <v>39511</v>
      </c>
      <c r="B485">
        <v>1493.16</v>
      </c>
    </row>
    <row r="486" spans="1:2" x14ac:dyDescent="0.25">
      <c r="A486" s="3">
        <v>39512</v>
      </c>
      <c r="B486">
        <v>1493.64</v>
      </c>
    </row>
    <row r="487" spans="1:2" x14ac:dyDescent="0.25">
      <c r="A487" s="3">
        <v>39513</v>
      </c>
      <c r="B487">
        <v>1494.97</v>
      </c>
    </row>
    <row r="488" spans="1:2" x14ac:dyDescent="0.25">
      <c r="A488" s="3">
        <v>39514</v>
      </c>
      <c r="B488">
        <v>1494.96</v>
      </c>
    </row>
    <row r="489" spans="1:2" x14ac:dyDescent="0.25">
      <c r="A489" s="3">
        <v>39517</v>
      </c>
      <c r="B489">
        <v>1495.03</v>
      </c>
    </row>
    <row r="490" spans="1:2" x14ac:dyDescent="0.25">
      <c r="A490" s="3">
        <v>39518</v>
      </c>
      <c r="B490">
        <v>1494.44</v>
      </c>
    </row>
    <row r="491" spans="1:2" x14ac:dyDescent="0.25">
      <c r="A491" s="3">
        <v>39519</v>
      </c>
      <c r="B491">
        <v>1496.89</v>
      </c>
    </row>
    <row r="492" spans="1:2" x14ac:dyDescent="0.25">
      <c r="A492" s="3">
        <v>39520</v>
      </c>
      <c r="B492">
        <v>1498.21</v>
      </c>
    </row>
    <row r="493" spans="1:2" x14ac:dyDescent="0.25">
      <c r="A493" s="3">
        <v>39521</v>
      </c>
      <c r="B493">
        <v>1498.49</v>
      </c>
    </row>
    <row r="494" spans="1:2" x14ac:dyDescent="0.25">
      <c r="A494" s="3">
        <v>39524</v>
      </c>
      <c r="B494">
        <v>1500.23</v>
      </c>
    </row>
    <row r="495" spans="1:2" x14ac:dyDescent="0.25">
      <c r="A495" s="3">
        <v>39525</v>
      </c>
      <c r="B495">
        <v>1500.74</v>
      </c>
    </row>
    <row r="496" spans="1:2" x14ac:dyDescent="0.25">
      <c r="A496" s="3">
        <v>39526</v>
      </c>
      <c r="B496">
        <v>1498.51</v>
      </c>
    </row>
    <row r="497" spans="1:2" x14ac:dyDescent="0.25">
      <c r="A497" s="3">
        <v>39527</v>
      </c>
      <c r="B497">
        <v>1495.18</v>
      </c>
    </row>
    <row r="498" spans="1:2" x14ac:dyDescent="0.25">
      <c r="A498" s="3">
        <v>39531</v>
      </c>
      <c r="B498">
        <v>1495</v>
      </c>
    </row>
    <row r="499" spans="1:2" x14ac:dyDescent="0.25">
      <c r="A499" s="3">
        <v>39532</v>
      </c>
      <c r="B499">
        <v>1497.85</v>
      </c>
    </row>
    <row r="500" spans="1:2" x14ac:dyDescent="0.25">
      <c r="A500" s="3">
        <v>39533</v>
      </c>
      <c r="B500">
        <v>1500.13</v>
      </c>
    </row>
    <row r="501" spans="1:2" x14ac:dyDescent="0.25">
      <c r="A501" s="3">
        <v>39534</v>
      </c>
      <c r="B501">
        <v>1500.71</v>
      </c>
    </row>
    <row r="502" spans="1:2" x14ac:dyDescent="0.25">
      <c r="A502" s="3">
        <v>39535</v>
      </c>
      <c r="B502">
        <v>1500.01</v>
      </c>
    </row>
    <row r="503" spans="1:2" x14ac:dyDescent="0.25">
      <c r="A503" s="3">
        <v>39538</v>
      </c>
      <c r="B503">
        <v>1469.08</v>
      </c>
    </row>
    <row r="504" spans="1:2" x14ac:dyDescent="0.25">
      <c r="A504" s="3">
        <v>39539</v>
      </c>
      <c r="B504">
        <v>1465.68</v>
      </c>
    </row>
    <row r="505" spans="1:2" x14ac:dyDescent="0.25">
      <c r="A505" s="3">
        <v>39540</v>
      </c>
      <c r="B505">
        <v>1465.99</v>
      </c>
    </row>
    <row r="506" spans="1:2" x14ac:dyDescent="0.25">
      <c r="A506" s="3">
        <v>39541</v>
      </c>
      <c r="B506">
        <v>1466.45</v>
      </c>
    </row>
    <row r="507" spans="1:2" x14ac:dyDescent="0.25">
      <c r="A507" s="3">
        <v>39542</v>
      </c>
      <c r="B507">
        <v>1467.89</v>
      </c>
    </row>
    <row r="508" spans="1:2" x14ac:dyDescent="0.25">
      <c r="A508" s="3">
        <v>39545</v>
      </c>
      <c r="B508">
        <v>1467.51</v>
      </c>
    </row>
    <row r="509" spans="1:2" x14ac:dyDescent="0.25">
      <c r="A509" s="3">
        <v>39546</v>
      </c>
      <c r="B509">
        <v>1467.3</v>
      </c>
    </row>
    <row r="510" spans="1:2" x14ac:dyDescent="0.25">
      <c r="A510" s="3">
        <v>39547</v>
      </c>
      <c r="B510">
        <v>1468.24</v>
      </c>
    </row>
    <row r="511" spans="1:2" x14ac:dyDescent="0.25">
      <c r="A511" s="3">
        <v>39548</v>
      </c>
      <c r="B511">
        <v>1468.48</v>
      </c>
    </row>
    <row r="512" spans="1:2" x14ac:dyDescent="0.25">
      <c r="A512" s="3">
        <v>39549</v>
      </c>
      <c r="B512">
        <v>1468.81</v>
      </c>
    </row>
    <row r="513" spans="1:2" x14ac:dyDescent="0.25">
      <c r="A513" s="3">
        <v>39552</v>
      </c>
      <c r="B513">
        <v>1469.12</v>
      </c>
    </row>
    <row r="514" spans="1:2" x14ac:dyDescent="0.25">
      <c r="A514" s="3">
        <v>39553</v>
      </c>
      <c r="B514">
        <v>1468.48</v>
      </c>
    </row>
    <row r="515" spans="1:2" x14ac:dyDescent="0.25">
      <c r="A515" s="3">
        <v>39554</v>
      </c>
      <c r="B515">
        <v>1470.61</v>
      </c>
    </row>
    <row r="516" spans="1:2" x14ac:dyDescent="0.25">
      <c r="A516" s="3">
        <v>39555</v>
      </c>
      <c r="B516">
        <v>1470.03</v>
      </c>
    </row>
    <row r="517" spans="1:2" x14ac:dyDescent="0.25">
      <c r="A517" s="3">
        <v>39556</v>
      </c>
      <c r="B517">
        <v>1467.81</v>
      </c>
    </row>
    <row r="518" spans="1:2" x14ac:dyDescent="0.25">
      <c r="A518" s="3">
        <v>39559</v>
      </c>
      <c r="B518">
        <v>1470.22</v>
      </c>
    </row>
    <row r="519" spans="1:2" x14ac:dyDescent="0.25">
      <c r="A519" s="3">
        <v>39560</v>
      </c>
      <c r="B519">
        <v>1471.11</v>
      </c>
    </row>
    <row r="520" spans="1:2" x14ac:dyDescent="0.25">
      <c r="A520" s="3">
        <v>39561</v>
      </c>
      <c r="B520">
        <v>1469.74</v>
      </c>
    </row>
    <row r="521" spans="1:2" x14ac:dyDescent="0.25">
      <c r="A521" s="3">
        <v>39562</v>
      </c>
      <c r="B521">
        <v>1467.35</v>
      </c>
    </row>
    <row r="522" spans="1:2" x14ac:dyDescent="0.25">
      <c r="A522" s="3">
        <v>39563</v>
      </c>
      <c r="B522">
        <v>1466.89</v>
      </c>
    </row>
    <row r="523" spans="1:2" x14ac:dyDescent="0.25">
      <c r="A523" s="3">
        <v>39566</v>
      </c>
      <c r="B523">
        <v>1466.75</v>
      </c>
    </row>
    <row r="524" spans="1:2" x14ac:dyDescent="0.25">
      <c r="A524" s="3">
        <v>39567</v>
      </c>
      <c r="B524">
        <v>1466.09</v>
      </c>
    </row>
    <row r="525" spans="1:2" x14ac:dyDescent="0.25">
      <c r="A525" s="3">
        <v>39568</v>
      </c>
      <c r="B525">
        <v>1465.73</v>
      </c>
    </row>
    <row r="526" spans="1:2" x14ac:dyDescent="0.25">
      <c r="A526" s="3">
        <v>39569</v>
      </c>
      <c r="B526">
        <v>1464.11</v>
      </c>
    </row>
    <row r="527" spans="1:2" x14ac:dyDescent="0.25">
      <c r="A527" s="3">
        <v>39570</v>
      </c>
      <c r="B527">
        <v>1463.55</v>
      </c>
    </row>
    <row r="528" spans="1:2" x14ac:dyDescent="0.25">
      <c r="A528" s="3">
        <v>39573</v>
      </c>
      <c r="B528">
        <v>1464.56</v>
      </c>
    </row>
    <row r="529" spans="1:2" x14ac:dyDescent="0.25">
      <c r="A529" s="3">
        <v>39574</v>
      </c>
      <c r="B529">
        <v>1465.59</v>
      </c>
    </row>
    <row r="530" spans="1:2" x14ac:dyDescent="0.25">
      <c r="A530" s="3">
        <v>39575</v>
      </c>
      <c r="B530">
        <v>1463.36</v>
      </c>
    </row>
    <row r="531" spans="1:2" x14ac:dyDescent="0.25">
      <c r="A531" s="3">
        <v>39576</v>
      </c>
      <c r="B531">
        <v>1463.68</v>
      </c>
    </row>
    <row r="532" spans="1:2" x14ac:dyDescent="0.25">
      <c r="A532" s="3">
        <v>39577</v>
      </c>
      <c r="B532">
        <v>1463.74</v>
      </c>
    </row>
    <row r="533" spans="1:2" x14ac:dyDescent="0.25">
      <c r="A533" s="3">
        <v>39580</v>
      </c>
      <c r="B533">
        <v>1464.78</v>
      </c>
    </row>
    <row r="534" spans="1:2" x14ac:dyDescent="0.25">
      <c r="A534" s="3">
        <v>39581</v>
      </c>
      <c r="B534">
        <v>1464.42</v>
      </c>
    </row>
    <row r="535" spans="1:2" x14ac:dyDescent="0.25">
      <c r="A535" s="3">
        <v>39582</v>
      </c>
      <c r="B535">
        <v>1463.97</v>
      </c>
    </row>
    <row r="536" spans="1:2" x14ac:dyDescent="0.25">
      <c r="A536" s="3">
        <v>39583</v>
      </c>
      <c r="B536">
        <v>1464.3</v>
      </c>
    </row>
    <row r="537" spans="1:2" x14ac:dyDescent="0.25">
      <c r="A537" s="3">
        <v>39584</v>
      </c>
      <c r="B537">
        <v>1465.43</v>
      </c>
    </row>
    <row r="538" spans="1:2" x14ac:dyDescent="0.25">
      <c r="A538" s="3">
        <v>39587</v>
      </c>
      <c r="B538">
        <v>1464.94</v>
      </c>
    </row>
    <row r="539" spans="1:2" x14ac:dyDescent="0.25">
      <c r="A539" s="3">
        <v>39588</v>
      </c>
      <c r="B539">
        <v>1466.71</v>
      </c>
    </row>
    <row r="540" spans="1:2" x14ac:dyDescent="0.25">
      <c r="A540" s="3">
        <v>39589</v>
      </c>
      <c r="B540">
        <v>1468.4</v>
      </c>
    </row>
    <row r="541" spans="1:2" x14ac:dyDescent="0.25">
      <c r="A541" s="3">
        <v>39590</v>
      </c>
      <c r="B541">
        <v>1467.79</v>
      </c>
    </row>
    <row r="542" spans="1:2" x14ac:dyDescent="0.25">
      <c r="A542" s="3">
        <v>39591</v>
      </c>
      <c r="B542">
        <v>1468.51</v>
      </c>
    </row>
    <row r="543" spans="1:2" x14ac:dyDescent="0.25">
      <c r="A543" s="3">
        <v>39595</v>
      </c>
      <c r="B543">
        <v>1467.81</v>
      </c>
    </row>
    <row r="544" spans="1:2" x14ac:dyDescent="0.25">
      <c r="A544" s="3">
        <v>39596</v>
      </c>
      <c r="B544">
        <v>1466.67</v>
      </c>
    </row>
    <row r="545" spans="1:2" x14ac:dyDescent="0.25">
      <c r="A545" s="3">
        <v>39597</v>
      </c>
      <c r="B545">
        <v>1465.4</v>
      </c>
    </row>
    <row r="546" spans="1:2" x14ac:dyDescent="0.25">
      <c r="A546" s="3">
        <v>39598</v>
      </c>
      <c r="B546">
        <v>1465.47</v>
      </c>
    </row>
    <row r="547" spans="1:2" x14ac:dyDescent="0.25">
      <c r="A547" s="3">
        <v>39601</v>
      </c>
      <c r="B547">
        <v>1465.24</v>
      </c>
    </row>
    <row r="548" spans="1:2" x14ac:dyDescent="0.25">
      <c r="A548" s="3">
        <v>39602</v>
      </c>
      <c r="B548">
        <v>1464.38</v>
      </c>
    </row>
    <row r="549" spans="1:2" x14ac:dyDescent="0.25">
      <c r="A549" s="3">
        <v>39603</v>
      </c>
      <c r="B549">
        <v>1464.19</v>
      </c>
    </row>
    <row r="550" spans="1:2" x14ac:dyDescent="0.25">
      <c r="A550" s="3">
        <v>39604</v>
      </c>
      <c r="B550">
        <v>1465.24</v>
      </c>
    </row>
    <row r="551" spans="1:2" x14ac:dyDescent="0.25">
      <c r="A551" s="3">
        <v>39605</v>
      </c>
      <c r="B551">
        <v>1467.94</v>
      </c>
    </row>
    <row r="552" spans="1:2" x14ac:dyDescent="0.25">
      <c r="A552" s="3">
        <v>39608</v>
      </c>
      <c r="B552">
        <v>1467.84</v>
      </c>
    </row>
    <row r="553" spans="1:2" x14ac:dyDescent="0.25">
      <c r="A553" s="3">
        <v>39609</v>
      </c>
      <c r="B553">
        <v>1464.44</v>
      </c>
    </row>
    <row r="554" spans="1:2" x14ac:dyDescent="0.25">
      <c r="A554" s="3">
        <v>39610</v>
      </c>
      <c r="B554">
        <v>1465.2</v>
      </c>
    </row>
    <row r="555" spans="1:2" x14ac:dyDescent="0.25">
      <c r="A555" s="3">
        <v>39611</v>
      </c>
      <c r="B555">
        <v>1463.45</v>
      </c>
    </row>
    <row r="556" spans="1:2" x14ac:dyDescent="0.25">
      <c r="A556" s="3">
        <v>39612</v>
      </c>
      <c r="B556">
        <v>1462.53</v>
      </c>
    </row>
    <row r="557" spans="1:2" x14ac:dyDescent="0.25">
      <c r="A557" s="3">
        <v>39615</v>
      </c>
      <c r="B557">
        <v>1464.18</v>
      </c>
    </row>
    <row r="558" spans="1:2" x14ac:dyDescent="0.25">
      <c r="A558" s="3">
        <v>39616</v>
      </c>
      <c r="B558">
        <v>1464.69</v>
      </c>
    </row>
    <row r="559" spans="1:2" x14ac:dyDescent="0.25">
      <c r="A559" s="3">
        <v>39617</v>
      </c>
      <c r="B559">
        <v>1464.9</v>
      </c>
    </row>
    <row r="560" spans="1:2" x14ac:dyDescent="0.25">
      <c r="A560" s="3">
        <v>39618</v>
      </c>
      <c r="B560">
        <v>1464.7</v>
      </c>
    </row>
    <row r="561" spans="1:2" x14ac:dyDescent="0.25">
      <c r="A561" s="3">
        <v>39619</v>
      </c>
      <c r="B561">
        <v>1466.61</v>
      </c>
    </row>
    <row r="562" spans="1:2" x14ac:dyDescent="0.25">
      <c r="A562" s="3">
        <v>39622</v>
      </c>
      <c r="B562">
        <v>1464.57</v>
      </c>
    </row>
    <row r="563" spans="1:2" x14ac:dyDescent="0.25">
      <c r="A563" s="3">
        <v>39623</v>
      </c>
      <c r="B563">
        <v>1466.09</v>
      </c>
    </row>
    <row r="564" spans="1:2" x14ac:dyDescent="0.25">
      <c r="A564" s="3">
        <v>39624</v>
      </c>
      <c r="B564">
        <v>1465.71</v>
      </c>
    </row>
    <row r="565" spans="1:2" x14ac:dyDescent="0.25">
      <c r="A565" s="3">
        <v>39625</v>
      </c>
      <c r="B565">
        <v>1468.24</v>
      </c>
    </row>
    <row r="566" spans="1:2" x14ac:dyDescent="0.25">
      <c r="A566" s="3">
        <v>39626</v>
      </c>
      <c r="B566">
        <v>1468.32</v>
      </c>
    </row>
    <row r="567" spans="1:2" x14ac:dyDescent="0.25">
      <c r="A567" s="3">
        <v>39629</v>
      </c>
      <c r="B567">
        <v>1453.67</v>
      </c>
    </row>
    <row r="568" spans="1:2" x14ac:dyDescent="0.25">
      <c r="A568" s="3">
        <v>39630</v>
      </c>
      <c r="B568">
        <v>1453.59</v>
      </c>
    </row>
    <row r="569" spans="1:2" x14ac:dyDescent="0.25">
      <c r="A569" s="3">
        <v>39631</v>
      </c>
      <c r="B569">
        <v>1455.07</v>
      </c>
    </row>
    <row r="570" spans="1:2" x14ac:dyDescent="0.25">
      <c r="A570" s="3">
        <v>39632</v>
      </c>
      <c r="B570">
        <v>1453.08</v>
      </c>
    </row>
    <row r="571" spans="1:2" x14ac:dyDescent="0.25">
      <c r="A571" s="3">
        <v>39636</v>
      </c>
      <c r="B571">
        <v>1452.27</v>
      </c>
    </row>
    <row r="572" spans="1:2" x14ac:dyDescent="0.25">
      <c r="A572" s="3">
        <v>39637</v>
      </c>
      <c r="B572">
        <v>1452.48</v>
      </c>
    </row>
    <row r="573" spans="1:2" x14ac:dyDescent="0.25">
      <c r="A573" s="3">
        <v>39638</v>
      </c>
      <c r="B573">
        <v>1453.21</v>
      </c>
    </row>
    <row r="574" spans="1:2" x14ac:dyDescent="0.25">
      <c r="A574" s="3">
        <v>39639</v>
      </c>
      <c r="B574">
        <v>1454.05</v>
      </c>
    </row>
    <row r="575" spans="1:2" x14ac:dyDescent="0.25">
      <c r="A575" s="3">
        <v>39640</v>
      </c>
      <c r="B575">
        <v>1455.64</v>
      </c>
    </row>
    <row r="576" spans="1:2" x14ac:dyDescent="0.25">
      <c r="A576" s="3">
        <v>39643</v>
      </c>
      <c r="B576">
        <v>1455.55</v>
      </c>
    </row>
    <row r="577" spans="1:2" x14ac:dyDescent="0.25">
      <c r="A577" s="3">
        <v>39644</v>
      </c>
      <c r="B577">
        <v>1456.71</v>
      </c>
    </row>
    <row r="578" spans="1:2" x14ac:dyDescent="0.25">
      <c r="A578" s="3">
        <v>39645</v>
      </c>
      <c r="B578">
        <v>1454.69</v>
      </c>
    </row>
    <row r="579" spans="1:2" x14ac:dyDescent="0.25">
      <c r="A579" s="3">
        <v>39646</v>
      </c>
      <c r="B579">
        <v>1455.56</v>
      </c>
    </row>
    <row r="580" spans="1:2" x14ac:dyDescent="0.25">
      <c r="A580" s="3">
        <v>39647</v>
      </c>
      <c r="B580">
        <v>1455.02</v>
      </c>
    </row>
    <row r="581" spans="1:2" x14ac:dyDescent="0.25">
      <c r="A581" s="3">
        <v>39650</v>
      </c>
      <c r="B581">
        <v>1455.16</v>
      </c>
    </row>
    <row r="582" spans="1:2" x14ac:dyDescent="0.25">
      <c r="A582" s="3">
        <v>39651</v>
      </c>
      <c r="B582">
        <v>1454.85</v>
      </c>
    </row>
    <row r="583" spans="1:2" x14ac:dyDescent="0.25">
      <c r="A583" s="3">
        <v>39652</v>
      </c>
      <c r="B583">
        <v>1453</v>
      </c>
    </row>
    <row r="584" spans="1:2" x14ac:dyDescent="0.25">
      <c r="A584" s="3">
        <v>39653</v>
      </c>
      <c r="B584">
        <v>1452.56</v>
      </c>
    </row>
    <row r="585" spans="1:2" x14ac:dyDescent="0.25">
      <c r="A585" s="3">
        <v>39654</v>
      </c>
      <c r="B585">
        <v>1452.54</v>
      </c>
    </row>
    <row r="586" spans="1:2" x14ac:dyDescent="0.25">
      <c r="A586" s="3">
        <v>39657</v>
      </c>
      <c r="B586">
        <v>1453.41</v>
      </c>
    </row>
    <row r="587" spans="1:2" x14ac:dyDescent="0.25">
      <c r="A587" s="3">
        <v>39658</v>
      </c>
      <c r="B587">
        <v>1451.47</v>
      </c>
    </row>
    <row r="588" spans="1:2" x14ac:dyDescent="0.25">
      <c r="A588" s="3">
        <v>39659</v>
      </c>
      <c r="B588">
        <v>1450.96</v>
      </c>
    </row>
    <row r="589" spans="1:2" x14ac:dyDescent="0.25">
      <c r="A589" s="3">
        <v>39660</v>
      </c>
      <c r="B589">
        <v>1451.48</v>
      </c>
    </row>
    <row r="590" spans="1:2" x14ac:dyDescent="0.25">
      <c r="A590" s="3">
        <v>39661</v>
      </c>
      <c r="B590">
        <v>1450.85</v>
      </c>
    </row>
    <row r="591" spans="1:2" x14ac:dyDescent="0.25">
      <c r="A591" s="3">
        <v>39664</v>
      </c>
      <c r="B591">
        <v>1451.38</v>
      </c>
    </row>
    <row r="592" spans="1:2" x14ac:dyDescent="0.25">
      <c r="A592" s="3">
        <v>39665</v>
      </c>
      <c r="B592">
        <v>1449.6</v>
      </c>
    </row>
    <row r="593" spans="1:2" x14ac:dyDescent="0.25">
      <c r="A593" s="3">
        <v>39666</v>
      </c>
      <c r="B593">
        <v>1448.63</v>
      </c>
    </row>
    <row r="594" spans="1:2" x14ac:dyDescent="0.25">
      <c r="A594" s="3">
        <v>39667</v>
      </c>
      <c r="B594">
        <v>1448.02</v>
      </c>
    </row>
    <row r="595" spans="1:2" x14ac:dyDescent="0.25">
      <c r="A595" s="3">
        <v>39668</v>
      </c>
      <c r="B595">
        <v>1443.29</v>
      </c>
    </row>
    <row r="596" spans="1:2" x14ac:dyDescent="0.25">
      <c r="A596" s="3">
        <v>39671</v>
      </c>
      <c r="B596">
        <v>1442.91</v>
      </c>
    </row>
    <row r="597" spans="1:2" x14ac:dyDescent="0.25">
      <c r="A597" s="3">
        <v>39672</v>
      </c>
      <c r="B597">
        <v>1441.54</v>
      </c>
    </row>
    <row r="598" spans="1:2" x14ac:dyDescent="0.25">
      <c r="A598" s="3">
        <v>39673</v>
      </c>
      <c r="B598">
        <v>1440.65</v>
      </c>
    </row>
    <row r="599" spans="1:2" x14ac:dyDescent="0.25">
      <c r="A599" s="3">
        <v>39674</v>
      </c>
      <c r="B599">
        <v>1441.16</v>
      </c>
    </row>
    <row r="600" spans="1:2" x14ac:dyDescent="0.25">
      <c r="A600" s="3">
        <v>39675</v>
      </c>
      <c r="B600">
        <v>1438.36</v>
      </c>
    </row>
    <row r="601" spans="1:2" x14ac:dyDescent="0.25">
      <c r="A601" s="3">
        <v>39678</v>
      </c>
      <c r="B601">
        <v>1438.6</v>
      </c>
    </row>
    <row r="602" spans="1:2" x14ac:dyDescent="0.25">
      <c r="A602" s="3">
        <v>39679</v>
      </c>
      <c r="B602">
        <v>1438.55</v>
      </c>
    </row>
    <row r="603" spans="1:2" x14ac:dyDescent="0.25">
      <c r="A603" s="3">
        <v>39680</v>
      </c>
      <c r="B603">
        <v>1438.88</v>
      </c>
    </row>
    <row r="604" spans="1:2" x14ac:dyDescent="0.25">
      <c r="A604" s="3">
        <v>39681</v>
      </c>
      <c r="B604">
        <v>1441.07</v>
      </c>
    </row>
    <row r="605" spans="1:2" x14ac:dyDescent="0.25">
      <c r="A605" s="3">
        <v>39682</v>
      </c>
      <c r="B605">
        <v>1439.98</v>
      </c>
    </row>
    <row r="606" spans="1:2" x14ac:dyDescent="0.25">
      <c r="A606" s="3">
        <v>39685</v>
      </c>
      <c r="B606">
        <v>1439.43</v>
      </c>
    </row>
    <row r="607" spans="1:2" x14ac:dyDescent="0.25">
      <c r="A607" s="3">
        <v>39686</v>
      </c>
      <c r="B607">
        <v>1437.63</v>
      </c>
    </row>
    <row r="608" spans="1:2" x14ac:dyDescent="0.25">
      <c r="A608" s="3">
        <v>39687</v>
      </c>
      <c r="B608">
        <v>1438.37</v>
      </c>
    </row>
    <row r="609" spans="1:2" x14ac:dyDescent="0.25">
      <c r="A609" s="3">
        <v>39688</v>
      </c>
      <c r="B609">
        <v>1438.55</v>
      </c>
    </row>
    <row r="610" spans="1:2" x14ac:dyDescent="0.25">
      <c r="A610" s="3">
        <v>39689</v>
      </c>
      <c r="B610">
        <v>1438.46</v>
      </c>
    </row>
    <row r="611" spans="1:2" x14ac:dyDescent="0.25">
      <c r="A611" s="3">
        <v>39693</v>
      </c>
      <c r="B611">
        <v>1435.41</v>
      </c>
    </row>
    <row r="612" spans="1:2" x14ac:dyDescent="0.25">
      <c r="A612" s="3">
        <v>39694</v>
      </c>
      <c r="B612">
        <v>1434.51</v>
      </c>
    </row>
    <row r="613" spans="1:2" x14ac:dyDescent="0.25">
      <c r="A613" s="3">
        <v>39695</v>
      </c>
      <c r="B613">
        <v>1433.53</v>
      </c>
    </row>
    <row r="614" spans="1:2" x14ac:dyDescent="0.25">
      <c r="A614" s="3">
        <v>39696</v>
      </c>
      <c r="B614">
        <v>1431.77</v>
      </c>
    </row>
    <row r="615" spans="1:2" x14ac:dyDescent="0.25">
      <c r="A615" s="3">
        <v>39699</v>
      </c>
      <c r="B615">
        <v>1431.11</v>
      </c>
    </row>
    <row r="616" spans="1:2" x14ac:dyDescent="0.25">
      <c r="A616" s="3">
        <v>39700</v>
      </c>
      <c r="B616">
        <v>1430.09</v>
      </c>
    </row>
    <row r="617" spans="1:2" x14ac:dyDescent="0.25">
      <c r="A617" s="3">
        <v>39701</v>
      </c>
      <c r="B617">
        <v>1428.99</v>
      </c>
    </row>
    <row r="618" spans="1:2" x14ac:dyDescent="0.25">
      <c r="A618" s="3">
        <v>39702</v>
      </c>
      <c r="B618">
        <v>1427.18</v>
      </c>
    </row>
    <row r="619" spans="1:2" x14ac:dyDescent="0.25">
      <c r="A619" s="3">
        <v>39703</v>
      </c>
      <c r="B619">
        <v>1430.83</v>
      </c>
    </row>
    <row r="620" spans="1:2" x14ac:dyDescent="0.25">
      <c r="A620" s="3">
        <v>39706</v>
      </c>
      <c r="B620">
        <v>1431.01</v>
      </c>
    </row>
    <row r="621" spans="1:2" x14ac:dyDescent="0.25">
      <c r="A621" s="3">
        <v>39707</v>
      </c>
      <c r="B621">
        <v>1429.82</v>
      </c>
    </row>
    <row r="622" spans="1:2" x14ac:dyDescent="0.25">
      <c r="A622" s="3">
        <v>39708</v>
      </c>
      <c r="B622">
        <v>1430.84</v>
      </c>
    </row>
    <row r="623" spans="1:2" x14ac:dyDescent="0.25">
      <c r="A623" s="3">
        <v>39709</v>
      </c>
      <c r="B623">
        <v>1433.38</v>
      </c>
    </row>
    <row r="624" spans="1:2" x14ac:dyDescent="0.25">
      <c r="A624" s="3">
        <v>39710</v>
      </c>
      <c r="B624">
        <v>1434.14</v>
      </c>
    </row>
    <row r="625" spans="1:2" x14ac:dyDescent="0.25">
      <c r="A625" s="3">
        <v>39713</v>
      </c>
      <c r="B625">
        <v>1437.31</v>
      </c>
    </row>
    <row r="626" spans="1:2" x14ac:dyDescent="0.25">
      <c r="A626" s="3">
        <v>39714</v>
      </c>
      <c r="B626">
        <v>1438.48</v>
      </c>
    </row>
    <row r="627" spans="1:2" x14ac:dyDescent="0.25">
      <c r="A627" s="3">
        <v>39715</v>
      </c>
      <c r="B627">
        <v>1437.64</v>
      </c>
    </row>
    <row r="628" spans="1:2" x14ac:dyDescent="0.25">
      <c r="A628" s="3">
        <v>39716</v>
      </c>
      <c r="B628">
        <v>1437.63</v>
      </c>
    </row>
    <row r="629" spans="1:2" x14ac:dyDescent="0.25">
      <c r="A629" s="3">
        <v>39717</v>
      </c>
      <c r="B629">
        <v>1436.77</v>
      </c>
    </row>
    <row r="630" spans="1:2" x14ac:dyDescent="0.25">
      <c r="A630" s="3">
        <v>39720</v>
      </c>
      <c r="B630">
        <v>1434.19</v>
      </c>
    </row>
    <row r="631" spans="1:2" x14ac:dyDescent="0.25">
      <c r="A631" s="3">
        <v>39721</v>
      </c>
      <c r="B631">
        <v>1319.34</v>
      </c>
    </row>
    <row r="632" spans="1:2" x14ac:dyDescent="0.25">
      <c r="A632" s="3">
        <v>39722</v>
      </c>
      <c r="B632">
        <v>1318.73</v>
      </c>
    </row>
    <row r="633" spans="1:2" x14ac:dyDescent="0.25">
      <c r="A633" s="3">
        <v>39723</v>
      </c>
      <c r="B633">
        <v>1316.05</v>
      </c>
    </row>
    <row r="634" spans="1:2" x14ac:dyDescent="0.25">
      <c r="A634" s="3">
        <v>39724</v>
      </c>
      <c r="B634">
        <v>1316.26</v>
      </c>
    </row>
    <row r="635" spans="1:2" x14ac:dyDescent="0.25">
      <c r="A635" s="3">
        <v>39727</v>
      </c>
      <c r="B635">
        <v>1311.66</v>
      </c>
    </row>
    <row r="636" spans="1:2" x14ac:dyDescent="0.25">
      <c r="A636" s="3">
        <v>39728</v>
      </c>
      <c r="B636">
        <v>1313.51</v>
      </c>
    </row>
    <row r="637" spans="1:2" x14ac:dyDescent="0.25">
      <c r="A637" s="3">
        <v>39729</v>
      </c>
      <c r="B637">
        <v>1312.91</v>
      </c>
    </row>
    <row r="638" spans="1:2" x14ac:dyDescent="0.25">
      <c r="A638" s="3">
        <v>39730</v>
      </c>
      <c r="B638">
        <v>1313.24</v>
      </c>
    </row>
    <row r="639" spans="1:2" x14ac:dyDescent="0.25">
      <c r="A639" s="3">
        <v>39731</v>
      </c>
      <c r="B639">
        <v>1310.9</v>
      </c>
    </row>
    <row r="640" spans="1:2" x14ac:dyDescent="0.25">
      <c r="A640" s="3">
        <v>39734</v>
      </c>
      <c r="B640">
        <v>1312.38</v>
      </c>
    </row>
    <row r="641" spans="1:2" x14ac:dyDescent="0.25">
      <c r="A641" s="3">
        <v>39735</v>
      </c>
      <c r="B641">
        <v>1313.25</v>
      </c>
    </row>
    <row r="642" spans="1:2" x14ac:dyDescent="0.25">
      <c r="A642" s="3">
        <v>39736</v>
      </c>
      <c r="B642">
        <v>1312.41</v>
      </c>
    </row>
    <row r="643" spans="1:2" x14ac:dyDescent="0.25">
      <c r="A643" s="3">
        <v>39737</v>
      </c>
      <c r="B643">
        <v>1309.9100000000001</v>
      </c>
    </row>
    <row r="644" spans="1:2" x14ac:dyDescent="0.25">
      <c r="A644" s="3">
        <v>39738</v>
      </c>
      <c r="B644">
        <v>1310.76</v>
      </c>
    </row>
    <row r="645" spans="1:2" x14ac:dyDescent="0.25">
      <c r="A645" s="3">
        <v>39741</v>
      </c>
      <c r="B645">
        <v>1309</v>
      </c>
    </row>
    <row r="646" spans="1:2" x14ac:dyDescent="0.25">
      <c r="A646" s="3">
        <v>39742</v>
      </c>
      <c r="B646">
        <v>1307.28</v>
      </c>
    </row>
    <row r="647" spans="1:2" x14ac:dyDescent="0.25">
      <c r="A647" s="3">
        <v>39743</v>
      </c>
      <c r="B647">
        <v>1303.27</v>
      </c>
    </row>
    <row r="648" spans="1:2" x14ac:dyDescent="0.25">
      <c r="A648" s="3">
        <v>39744</v>
      </c>
      <c r="B648">
        <v>1302.8499999999999</v>
      </c>
    </row>
    <row r="649" spans="1:2" x14ac:dyDescent="0.25">
      <c r="A649" s="3">
        <v>39745</v>
      </c>
      <c r="B649">
        <v>1300.44</v>
      </c>
    </row>
    <row r="650" spans="1:2" x14ac:dyDescent="0.25">
      <c r="A650" s="3">
        <v>39748</v>
      </c>
      <c r="B650">
        <v>1296.67</v>
      </c>
    </row>
    <row r="651" spans="1:2" x14ac:dyDescent="0.25">
      <c r="A651" s="3">
        <v>39749</v>
      </c>
      <c r="B651">
        <v>1297.21</v>
      </c>
    </row>
    <row r="652" spans="1:2" x14ac:dyDescent="0.25">
      <c r="A652" s="3">
        <v>39750</v>
      </c>
      <c r="B652">
        <v>1302.67</v>
      </c>
    </row>
    <row r="653" spans="1:2" x14ac:dyDescent="0.25">
      <c r="A653" s="3">
        <v>39751</v>
      </c>
      <c r="B653">
        <v>1302.6500000000001</v>
      </c>
    </row>
    <row r="654" spans="1:2" x14ac:dyDescent="0.25">
      <c r="A654" s="3">
        <v>39752</v>
      </c>
      <c r="B654">
        <v>1300.3800000000001</v>
      </c>
    </row>
    <row r="655" spans="1:2" x14ac:dyDescent="0.25">
      <c r="A655" s="3">
        <v>39755</v>
      </c>
      <c r="B655">
        <v>1301.23</v>
      </c>
    </row>
    <row r="656" spans="1:2" x14ac:dyDescent="0.25">
      <c r="A656" s="3">
        <v>39756</v>
      </c>
      <c r="B656">
        <v>1304.1199999999999</v>
      </c>
    </row>
    <row r="657" spans="1:2" x14ac:dyDescent="0.25">
      <c r="A657" s="3">
        <v>39757</v>
      </c>
      <c r="B657">
        <v>1305.29</v>
      </c>
    </row>
    <row r="658" spans="1:2" x14ac:dyDescent="0.25">
      <c r="A658" s="3">
        <v>39758</v>
      </c>
      <c r="B658">
        <v>1301.5899999999999</v>
      </c>
    </row>
    <row r="659" spans="1:2" x14ac:dyDescent="0.25">
      <c r="A659" s="3">
        <v>39759</v>
      </c>
      <c r="B659">
        <v>1301.46</v>
      </c>
    </row>
    <row r="660" spans="1:2" x14ac:dyDescent="0.25">
      <c r="A660" s="3">
        <v>39762</v>
      </c>
      <c r="B660">
        <v>1301.94</v>
      </c>
    </row>
    <row r="661" spans="1:2" x14ac:dyDescent="0.25">
      <c r="A661" s="3">
        <v>39763</v>
      </c>
      <c r="B661">
        <v>1298.1199999999999</v>
      </c>
    </row>
    <row r="662" spans="1:2" x14ac:dyDescent="0.25">
      <c r="A662" s="3">
        <v>39764</v>
      </c>
      <c r="B662">
        <v>1297.47</v>
      </c>
    </row>
    <row r="663" spans="1:2" x14ac:dyDescent="0.25">
      <c r="A663" s="3">
        <v>39765</v>
      </c>
      <c r="B663">
        <v>1297.81</v>
      </c>
    </row>
    <row r="664" spans="1:2" x14ac:dyDescent="0.25">
      <c r="A664" s="3">
        <v>39766</v>
      </c>
      <c r="B664">
        <v>1299.3</v>
      </c>
    </row>
    <row r="665" spans="1:2" x14ac:dyDescent="0.25">
      <c r="A665" s="3">
        <v>39769</v>
      </c>
      <c r="B665">
        <v>1298.8699999999999</v>
      </c>
    </row>
    <row r="666" spans="1:2" x14ac:dyDescent="0.25">
      <c r="A666" s="3">
        <v>39770</v>
      </c>
      <c r="B666">
        <v>1298.97</v>
      </c>
    </row>
    <row r="667" spans="1:2" x14ac:dyDescent="0.25">
      <c r="A667" s="3">
        <v>39771</v>
      </c>
      <c r="B667">
        <v>1299.0999999999999</v>
      </c>
    </row>
    <row r="668" spans="1:2" x14ac:dyDescent="0.25">
      <c r="A668" s="3">
        <v>39772</v>
      </c>
      <c r="B668">
        <v>1296.97</v>
      </c>
    </row>
    <row r="669" spans="1:2" x14ac:dyDescent="0.25">
      <c r="A669" s="3">
        <v>39773</v>
      </c>
      <c r="B669">
        <v>1296.8</v>
      </c>
    </row>
    <row r="670" spans="1:2" x14ac:dyDescent="0.25">
      <c r="A670" s="3">
        <v>39776</v>
      </c>
      <c r="B670">
        <v>1301.19</v>
      </c>
    </row>
    <row r="671" spans="1:2" x14ac:dyDescent="0.25">
      <c r="A671" s="3">
        <v>39777</v>
      </c>
      <c r="B671">
        <v>1303.27</v>
      </c>
    </row>
    <row r="672" spans="1:2" x14ac:dyDescent="0.25">
      <c r="A672" s="3">
        <v>39778</v>
      </c>
      <c r="B672">
        <v>1302.22</v>
      </c>
    </row>
    <row r="673" spans="1:2" x14ac:dyDescent="0.25">
      <c r="A673" s="3">
        <v>39780</v>
      </c>
      <c r="B673">
        <v>1299.75</v>
      </c>
    </row>
    <row r="674" spans="1:2" x14ac:dyDescent="0.25">
      <c r="A674" s="3">
        <v>39783</v>
      </c>
      <c r="B674">
        <v>1298.0899999999999</v>
      </c>
    </row>
    <row r="675" spans="1:2" x14ac:dyDescent="0.25">
      <c r="A675" s="3">
        <v>39784</v>
      </c>
      <c r="B675">
        <v>1299.5899999999999</v>
      </c>
    </row>
    <row r="676" spans="1:2" x14ac:dyDescent="0.25">
      <c r="A676" s="3">
        <v>39785</v>
      </c>
      <c r="B676">
        <v>1299.24</v>
      </c>
    </row>
    <row r="677" spans="1:2" x14ac:dyDescent="0.25">
      <c r="A677" s="3">
        <v>39786</v>
      </c>
      <c r="B677">
        <v>1299.69</v>
      </c>
    </row>
    <row r="678" spans="1:2" x14ac:dyDescent="0.25">
      <c r="A678" s="3">
        <v>39787</v>
      </c>
      <c r="B678">
        <v>1298.71</v>
      </c>
    </row>
    <row r="679" spans="1:2" x14ac:dyDescent="0.25">
      <c r="A679" s="3">
        <v>39790</v>
      </c>
      <c r="B679">
        <v>1302.26</v>
      </c>
    </row>
    <row r="680" spans="1:2" x14ac:dyDescent="0.25">
      <c r="A680" s="3">
        <v>39791</v>
      </c>
      <c r="B680">
        <v>1301.74</v>
      </c>
    </row>
    <row r="681" spans="1:2" x14ac:dyDescent="0.25">
      <c r="A681" s="3">
        <v>39792</v>
      </c>
      <c r="B681">
        <v>1302.92</v>
      </c>
    </row>
    <row r="682" spans="1:2" x14ac:dyDescent="0.25">
      <c r="A682" s="3">
        <v>39793</v>
      </c>
      <c r="B682">
        <v>1306.1099999999999</v>
      </c>
    </row>
    <row r="683" spans="1:2" x14ac:dyDescent="0.25">
      <c r="A683" s="3">
        <v>39794</v>
      </c>
      <c r="B683">
        <v>1307.69</v>
      </c>
    </row>
    <row r="684" spans="1:2" x14ac:dyDescent="0.25">
      <c r="A684" s="3">
        <v>39797</v>
      </c>
      <c r="B684">
        <v>1311.73</v>
      </c>
    </row>
    <row r="685" spans="1:2" x14ac:dyDescent="0.25">
      <c r="A685" s="3">
        <v>39798</v>
      </c>
      <c r="B685">
        <v>1312.78</v>
      </c>
    </row>
    <row r="686" spans="1:2" x14ac:dyDescent="0.25">
      <c r="A686" s="3">
        <v>39799</v>
      </c>
      <c r="B686">
        <v>1319.96</v>
      </c>
    </row>
    <row r="687" spans="1:2" x14ac:dyDescent="0.25">
      <c r="A687" s="3">
        <v>39800</v>
      </c>
      <c r="B687">
        <v>1321.79</v>
      </c>
    </row>
    <row r="688" spans="1:2" x14ac:dyDescent="0.25">
      <c r="A688" s="3">
        <v>39801</v>
      </c>
      <c r="B688">
        <v>1314.7</v>
      </c>
    </row>
    <row r="689" spans="1:2" x14ac:dyDescent="0.25">
      <c r="A689" s="3">
        <v>39804</v>
      </c>
      <c r="B689">
        <v>1314.39</v>
      </c>
    </row>
    <row r="690" spans="1:2" x14ac:dyDescent="0.25">
      <c r="A690" s="3">
        <v>39805</v>
      </c>
      <c r="B690">
        <v>1314.59</v>
      </c>
    </row>
    <row r="691" spans="1:2" x14ac:dyDescent="0.25">
      <c r="A691" s="3">
        <v>39806</v>
      </c>
      <c r="B691">
        <v>1315.16</v>
      </c>
    </row>
    <row r="692" spans="1:2" x14ac:dyDescent="0.25">
      <c r="A692" s="3">
        <v>39808</v>
      </c>
      <c r="B692">
        <v>1315.94</v>
      </c>
    </row>
    <row r="693" spans="1:2" x14ac:dyDescent="0.25">
      <c r="A693" s="3">
        <v>39811</v>
      </c>
      <c r="B693">
        <v>1318.13</v>
      </c>
    </row>
    <row r="694" spans="1:2" x14ac:dyDescent="0.25">
      <c r="A694" s="3">
        <v>39812</v>
      </c>
      <c r="B694">
        <v>1316.94</v>
      </c>
    </row>
    <row r="695" spans="1:2" x14ac:dyDescent="0.25">
      <c r="A695" s="3">
        <v>39813</v>
      </c>
      <c r="B695">
        <v>1086.6099999999999</v>
      </c>
    </row>
    <row r="696" spans="1:2" x14ac:dyDescent="0.25">
      <c r="A696" s="3">
        <v>39815</v>
      </c>
      <c r="B696">
        <v>1087.0899999999999</v>
      </c>
    </row>
    <row r="697" spans="1:2" x14ac:dyDescent="0.25">
      <c r="A697" s="3">
        <v>39818</v>
      </c>
      <c r="B697">
        <v>1084.46</v>
      </c>
    </row>
    <row r="698" spans="1:2" x14ac:dyDescent="0.25">
      <c r="A698" s="3">
        <v>39819</v>
      </c>
      <c r="B698">
        <v>1082.26</v>
      </c>
    </row>
    <row r="699" spans="1:2" x14ac:dyDescent="0.25">
      <c r="A699" s="3">
        <v>39820</v>
      </c>
      <c r="B699">
        <v>1085.01</v>
      </c>
    </row>
    <row r="700" spans="1:2" x14ac:dyDescent="0.25">
      <c r="A700" s="3">
        <v>39821</v>
      </c>
      <c r="B700">
        <v>1085.6400000000001</v>
      </c>
    </row>
    <row r="701" spans="1:2" x14ac:dyDescent="0.25">
      <c r="A701" s="3">
        <v>39822</v>
      </c>
      <c r="B701">
        <v>1083.68</v>
      </c>
    </row>
    <row r="702" spans="1:2" x14ac:dyDescent="0.25">
      <c r="A702" s="3">
        <v>39825</v>
      </c>
      <c r="B702">
        <v>1081.81</v>
      </c>
    </row>
    <row r="703" spans="1:2" x14ac:dyDescent="0.25">
      <c r="A703" s="3">
        <v>39826</v>
      </c>
      <c r="B703">
        <v>1079.8399999999999</v>
      </c>
    </row>
    <row r="704" spans="1:2" x14ac:dyDescent="0.25">
      <c r="A704" s="3">
        <v>39827</v>
      </c>
      <c r="B704">
        <v>1079.6400000000001</v>
      </c>
    </row>
    <row r="705" spans="1:2" x14ac:dyDescent="0.25">
      <c r="A705" s="3">
        <v>39828</v>
      </c>
      <c r="B705">
        <v>1078.67</v>
      </c>
    </row>
    <row r="706" spans="1:2" x14ac:dyDescent="0.25">
      <c r="A706" s="3">
        <v>39829</v>
      </c>
      <c r="B706">
        <v>1080.72</v>
      </c>
    </row>
    <row r="707" spans="1:2" x14ac:dyDescent="0.25">
      <c r="A707" s="3">
        <v>39833</v>
      </c>
      <c r="B707">
        <v>1076.9100000000001</v>
      </c>
    </row>
    <row r="708" spans="1:2" x14ac:dyDescent="0.25">
      <c r="A708" s="3">
        <v>39834</v>
      </c>
      <c r="B708">
        <v>1076.3800000000001</v>
      </c>
    </row>
    <row r="709" spans="1:2" x14ac:dyDescent="0.25">
      <c r="A709" s="3">
        <v>39835</v>
      </c>
      <c r="B709">
        <v>1077.21</v>
      </c>
    </row>
    <row r="710" spans="1:2" x14ac:dyDescent="0.25">
      <c r="A710" s="3">
        <v>39836</v>
      </c>
      <c r="B710">
        <v>1075.57</v>
      </c>
    </row>
    <row r="711" spans="1:2" x14ac:dyDescent="0.25">
      <c r="A711" s="3">
        <v>39839</v>
      </c>
      <c r="B711">
        <v>1078.99</v>
      </c>
    </row>
    <row r="712" spans="1:2" x14ac:dyDescent="0.25">
      <c r="A712" s="3">
        <v>39840</v>
      </c>
      <c r="B712">
        <v>1079.5</v>
      </c>
    </row>
    <row r="713" spans="1:2" x14ac:dyDescent="0.25">
      <c r="A713" s="3">
        <v>39841</v>
      </c>
      <c r="B713">
        <v>1080.1400000000001</v>
      </c>
    </row>
    <row r="714" spans="1:2" x14ac:dyDescent="0.25">
      <c r="A714" s="3">
        <v>39842</v>
      </c>
      <c r="B714">
        <v>1078.74</v>
      </c>
    </row>
    <row r="715" spans="1:2" x14ac:dyDescent="0.25">
      <c r="A715" s="3">
        <v>39843</v>
      </c>
      <c r="B715">
        <v>1076.1400000000001</v>
      </c>
    </row>
    <row r="716" spans="1:2" x14ac:dyDescent="0.25">
      <c r="A716" s="3">
        <v>39846</v>
      </c>
      <c r="B716">
        <v>1075.83</v>
      </c>
    </row>
    <row r="717" spans="1:2" x14ac:dyDescent="0.25">
      <c r="A717" s="3">
        <v>39847</v>
      </c>
      <c r="B717">
        <v>1077.58</v>
      </c>
    </row>
    <row r="718" spans="1:2" x14ac:dyDescent="0.25">
      <c r="A718" s="3">
        <v>39848</v>
      </c>
      <c r="B718">
        <v>1076.98</v>
      </c>
    </row>
    <row r="719" spans="1:2" x14ac:dyDescent="0.25">
      <c r="A719" s="3">
        <v>39849</v>
      </c>
      <c r="B719">
        <v>1076.6300000000001</v>
      </c>
    </row>
    <row r="720" spans="1:2" x14ac:dyDescent="0.25">
      <c r="A720" s="3">
        <v>39850</v>
      </c>
      <c r="B720">
        <v>1076.98</v>
      </c>
    </row>
    <row r="721" spans="1:2" x14ac:dyDescent="0.25">
      <c r="A721" s="3">
        <v>39853</v>
      </c>
      <c r="B721">
        <v>1079.23</v>
      </c>
    </row>
    <row r="722" spans="1:2" x14ac:dyDescent="0.25">
      <c r="A722" s="3">
        <v>39854</v>
      </c>
      <c r="B722">
        <v>1078.68</v>
      </c>
    </row>
    <row r="723" spans="1:2" x14ac:dyDescent="0.25">
      <c r="A723" s="3">
        <v>39855</v>
      </c>
      <c r="B723">
        <v>1077.04</v>
      </c>
    </row>
    <row r="724" spans="1:2" x14ac:dyDescent="0.25">
      <c r="A724" s="3">
        <v>39856</v>
      </c>
      <c r="B724">
        <v>1075.76</v>
      </c>
    </row>
    <row r="725" spans="1:2" x14ac:dyDescent="0.25">
      <c r="A725" s="3">
        <v>39857</v>
      </c>
      <c r="B725">
        <v>1077.23</v>
      </c>
    </row>
    <row r="726" spans="1:2" x14ac:dyDescent="0.25">
      <c r="A726" s="3">
        <v>39861</v>
      </c>
      <c r="B726">
        <v>1073.79</v>
      </c>
    </row>
    <row r="727" spans="1:2" x14ac:dyDescent="0.25">
      <c r="A727" s="3">
        <v>39862</v>
      </c>
      <c r="B727">
        <v>1073.29</v>
      </c>
    </row>
    <row r="728" spans="1:2" x14ac:dyDescent="0.25">
      <c r="A728" s="3">
        <v>39863</v>
      </c>
      <c r="B728">
        <v>1074.93</v>
      </c>
    </row>
    <row r="729" spans="1:2" x14ac:dyDescent="0.25">
      <c r="A729" s="3">
        <v>39864</v>
      </c>
      <c r="B729">
        <v>1074.17</v>
      </c>
    </row>
    <row r="730" spans="1:2" x14ac:dyDescent="0.25">
      <c r="A730" s="3">
        <v>39867</v>
      </c>
      <c r="B730">
        <v>1075.43</v>
      </c>
    </row>
    <row r="731" spans="1:2" x14ac:dyDescent="0.25">
      <c r="A731" s="3">
        <v>39868</v>
      </c>
      <c r="B731">
        <v>1075.47</v>
      </c>
    </row>
    <row r="732" spans="1:2" x14ac:dyDescent="0.25">
      <c r="A732" s="3">
        <v>39869</v>
      </c>
      <c r="B732">
        <v>1074.8499999999999</v>
      </c>
    </row>
    <row r="733" spans="1:2" x14ac:dyDescent="0.25">
      <c r="A733" s="3">
        <v>39870</v>
      </c>
      <c r="B733">
        <v>1075.5</v>
      </c>
    </row>
    <row r="734" spans="1:2" x14ac:dyDescent="0.25">
      <c r="A734" s="3">
        <v>39871</v>
      </c>
      <c r="B734">
        <v>1074.83</v>
      </c>
    </row>
    <row r="735" spans="1:2" x14ac:dyDescent="0.25">
      <c r="A735" s="3">
        <v>39874</v>
      </c>
      <c r="B735">
        <v>1073.53</v>
      </c>
    </row>
    <row r="736" spans="1:2" x14ac:dyDescent="0.25">
      <c r="A736" s="3">
        <v>39875</v>
      </c>
      <c r="B736">
        <v>1073.3599999999999</v>
      </c>
    </row>
    <row r="737" spans="1:2" x14ac:dyDescent="0.25">
      <c r="A737" s="3">
        <v>39876</v>
      </c>
      <c r="B737">
        <v>1073.4100000000001</v>
      </c>
    </row>
    <row r="738" spans="1:2" x14ac:dyDescent="0.25">
      <c r="A738" s="3">
        <v>39877</v>
      </c>
      <c r="B738">
        <v>1073.32</v>
      </c>
    </row>
    <row r="739" spans="1:2" x14ac:dyDescent="0.25">
      <c r="A739" s="3">
        <v>39878</v>
      </c>
      <c r="B739">
        <v>1074.3499999999999</v>
      </c>
    </row>
    <row r="740" spans="1:2" x14ac:dyDescent="0.25">
      <c r="A740" s="3">
        <v>39881</v>
      </c>
      <c r="B740">
        <v>1073.78</v>
      </c>
    </row>
    <row r="741" spans="1:2" x14ac:dyDescent="0.25">
      <c r="A741" s="3">
        <v>39882</v>
      </c>
      <c r="B741">
        <v>1075.07</v>
      </c>
    </row>
    <row r="742" spans="1:2" x14ac:dyDescent="0.25">
      <c r="A742" s="3">
        <v>39883</v>
      </c>
      <c r="B742">
        <v>1075.26</v>
      </c>
    </row>
    <row r="743" spans="1:2" x14ac:dyDescent="0.25">
      <c r="A743" s="3">
        <v>39884</v>
      </c>
      <c r="B743">
        <v>1075.49</v>
      </c>
    </row>
    <row r="744" spans="1:2" x14ac:dyDescent="0.25">
      <c r="A744" s="3">
        <v>39885</v>
      </c>
      <c r="B744">
        <v>1076.57</v>
      </c>
    </row>
    <row r="745" spans="1:2" x14ac:dyDescent="0.25">
      <c r="A745" s="3">
        <v>39888</v>
      </c>
      <c r="B745">
        <v>1077.68</v>
      </c>
    </row>
    <row r="746" spans="1:2" x14ac:dyDescent="0.25">
      <c r="A746" s="3">
        <v>39889</v>
      </c>
      <c r="B746">
        <v>1077.3800000000001</v>
      </c>
    </row>
    <row r="747" spans="1:2" x14ac:dyDescent="0.25">
      <c r="A747" s="3">
        <v>39890</v>
      </c>
      <c r="B747">
        <v>1078.6099999999999</v>
      </c>
    </row>
    <row r="748" spans="1:2" x14ac:dyDescent="0.25">
      <c r="A748" s="3">
        <v>39891</v>
      </c>
      <c r="B748">
        <v>1085.0899999999999</v>
      </c>
    </row>
    <row r="749" spans="1:2" x14ac:dyDescent="0.25">
      <c r="A749" s="3">
        <v>39892</v>
      </c>
      <c r="B749">
        <v>1083.4100000000001</v>
      </c>
    </row>
    <row r="750" spans="1:2" x14ac:dyDescent="0.25">
      <c r="A750" s="3">
        <v>39895</v>
      </c>
      <c r="B750">
        <v>1083.54</v>
      </c>
    </row>
    <row r="751" spans="1:2" x14ac:dyDescent="0.25">
      <c r="A751" s="3">
        <v>39896</v>
      </c>
      <c r="B751">
        <v>1083.3</v>
      </c>
    </row>
    <row r="752" spans="1:2" x14ac:dyDescent="0.25">
      <c r="A752" s="3">
        <v>39897</v>
      </c>
      <c r="B752">
        <v>1083.3599999999999</v>
      </c>
    </row>
    <row r="753" spans="1:2" x14ac:dyDescent="0.25">
      <c r="A753" s="3">
        <v>39898</v>
      </c>
      <c r="B753">
        <v>1083.49</v>
      </c>
    </row>
    <row r="754" spans="1:2" x14ac:dyDescent="0.25">
      <c r="A754" s="3">
        <v>39899</v>
      </c>
      <c r="B754">
        <v>1080.97</v>
      </c>
    </row>
    <row r="755" spans="1:2" x14ac:dyDescent="0.25">
      <c r="A755" s="3">
        <v>39902</v>
      </c>
      <c r="B755">
        <v>1079.45</v>
      </c>
    </row>
    <row r="756" spans="1:2" x14ac:dyDescent="0.25">
      <c r="A756" s="3">
        <v>39903</v>
      </c>
      <c r="B756">
        <v>1026.8</v>
      </c>
    </row>
    <row r="757" spans="1:2" x14ac:dyDescent="0.25">
      <c r="A757" s="3">
        <v>39904</v>
      </c>
      <c r="B757">
        <v>1026.3900000000001</v>
      </c>
    </row>
    <row r="758" spans="1:2" x14ac:dyDescent="0.25">
      <c r="A758" s="3">
        <v>39905</v>
      </c>
      <c r="B758">
        <v>1028.73</v>
      </c>
    </row>
    <row r="759" spans="1:2" x14ac:dyDescent="0.25">
      <c r="A759" s="3">
        <v>39906</v>
      </c>
      <c r="B759">
        <v>1028.57</v>
      </c>
    </row>
    <row r="760" spans="1:2" x14ac:dyDescent="0.25">
      <c r="A760" s="3">
        <v>39909</v>
      </c>
      <c r="B760">
        <v>1028.4000000000001</v>
      </c>
    </row>
    <row r="761" spans="1:2" x14ac:dyDescent="0.25">
      <c r="A761" s="3">
        <v>39910</v>
      </c>
      <c r="B761">
        <v>1027.19</v>
      </c>
    </row>
    <row r="762" spans="1:2" x14ac:dyDescent="0.25">
      <c r="A762" s="3">
        <v>39911</v>
      </c>
      <c r="B762">
        <v>1026.74</v>
      </c>
    </row>
    <row r="763" spans="1:2" x14ac:dyDescent="0.25">
      <c r="A763" s="3">
        <v>39912</v>
      </c>
      <c r="B763">
        <v>1026.6400000000001</v>
      </c>
    </row>
    <row r="764" spans="1:2" x14ac:dyDescent="0.25">
      <c r="A764" s="3">
        <v>39916</v>
      </c>
      <c r="B764">
        <v>1027.81</v>
      </c>
    </row>
    <row r="765" spans="1:2" x14ac:dyDescent="0.25">
      <c r="A765" s="3">
        <v>39917</v>
      </c>
      <c r="B765">
        <v>1027.32</v>
      </c>
    </row>
    <row r="766" spans="1:2" x14ac:dyDescent="0.25">
      <c r="A766" s="3">
        <v>39918</v>
      </c>
      <c r="B766">
        <v>1026.5899999999999</v>
      </c>
    </row>
    <row r="767" spans="1:2" x14ac:dyDescent="0.25">
      <c r="A767" s="3">
        <v>39919</v>
      </c>
      <c r="B767">
        <v>1026.67</v>
      </c>
    </row>
    <row r="768" spans="1:2" x14ac:dyDescent="0.25">
      <c r="A768" s="3">
        <v>39920</v>
      </c>
      <c r="B768">
        <v>1025.28</v>
      </c>
    </row>
    <row r="769" spans="1:2" x14ac:dyDescent="0.25">
      <c r="A769" s="3">
        <v>39923</v>
      </c>
      <c r="B769">
        <v>1023.87</v>
      </c>
    </row>
    <row r="770" spans="1:2" x14ac:dyDescent="0.25">
      <c r="A770" s="3">
        <v>39924</v>
      </c>
      <c r="B770">
        <v>1024.23</v>
      </c>
    </row>
    <row r="771" spans="1:2" x14ac:dyDescent="0.25">
      <c r="A771" s="3">
        <v>39925</v>
      </c>
      <c r="B771">
        <v>1024.76</v>
      </c>
    </row>
    <row r="772" spans="1:2" x14ac:dyDescent="0.25">
      <c r="A772" s="3">
        <v>39926</v>
      </c>
      <c r="B772">
        <v>1025.1300000000001</v>
      </c>
    </row>
    <row r="773" spans="1:2" x14ac:dyDescent="0.25">
      <c r="A773" s="3">
        <v>39927</v>
      </c>
      <c r="B773">
        <v>1027.1300000000001</v>
      </c>
    </row>
    <row r="774" spans="1:2" x14ac:dyDescent="0.25">
      <c r="A774" s="3">
        <v>39930</v>
      </c>
      <c r="B774">
        <v>1025.93</v>
      </c>
    </row>
    <row r="775" spans="1:2" x14ac:dyDescent="0.25">
      <c r="A775" s="3">
        <v>39931</v>
      </c>
      <c r="B775">
        <v>1025.3699999999999</v>
      </c>
    </row>
    <row r="776" spans="1:2" x14ac:dyDescent="0.25">
      <c r="A776" s="3">
        <v>39932</v>
      </c>
      <c r="B776">
        <v>1027.32</v>
      </c>
    </row>
    <row r="777" spans="1:2" x14ac:dyDescent="0.25">
      <c r="A777" s="3">
        <v>39933</v>
      </c>
      <c r="B777">
        <v>1027.28</v>
      </c>
    </row>
    <row r="778" spans="1:2" x14ac:dyDescent="0.25">
      <c r="A778" s="3">
        <v>39934</v>
      </c>
      <c r="B778">
        <v>1027.24</v>
      </c>
    </row>
    <row r="779" spans="1:2" x14ac:dyDescent="0.25">
      <c r="A779" s="3">
        <v>39937</v>
      </c>
      <c r="B779">
        <v>1028.26</v>
      </c>
    </row>
    <row r="780" spans="1:2" x14ac:dyDescent="0.25">
      <c r="A780" s="3">
        <v>39938</v>
      </c>
      <c r="B780">
        <v>1028.4000000000001</v>
      </c>
    </row>
    <row r="781" spans="1:2" x14ac:dyDescent="0.25">
      <c r="A781" s="3">
        <v>39939</v>
      </c>
      <c r="B781">
        <v>1027.98</v>
      </c>
    </row>
    <row r="782" spans="1:2" x14ac:dyDescent="0.25">
      <c r="A782" s="3">
        <v>39940</v>
      </c>
      <c r="B782">
        <v>1029.1400000000001</v>
      </c>
    </row>
    <row r="783" spans="1:2" x14ac:dyDescent="0.25">
      <c r="A783" s="3">
        <v>39941</v>
      </c>
      <c r="B783">
        <v>1029.8</v>
      </c>
    </row>
    <row r="784" spans="1:2" x14ac:dyDescent="0.25">
      <c r="A784" s="3">
        <v>39944</v>
      </c>
      <c r="B784">
        <v>1031.1400000000001</v>
      </c>
    </row>
    <row r="785" spans="1:2" x14ac:dyDescent="0.25">
      <c r="A785" s="3">
        <v>39945</v>
      </c>
      <c r="B785">
        <v>1031.45</v>
      </c>
    </row>
    <row r="786" spans="1:2" x14ac:dyDescent="0.25">
      <c r="A786" s="3">
        <v>39946</v>
      </c>
      <c r="B786">
        <v>1030.94</v>
      </c>
    </row>
    <row r="787" spans="1:2" x14ac:dyDescent="0.25">
      <c r="A787" s="3">
        <v>39947</v>
      </c>
      <c r="B787">
        <v>1030.77</v>
      </c>
    </row>
    <row r="788" spans="1:2" x14ac:dyDescent="0.25">
      <c r="A788" s="3">
        <v>39948</v>
      </c>
      <c r="B788">
        <v>1030.93</v>
      </c>
    </row>
    <row r="789" spans="1:2" x14ac:dyDescent="0.25">
      <c r="A789" s="3">
        <v>39951</v>
      </c>
      <c r="B789">
        <v>1030.05</v>
      </c>
    </row>
    <row r="790" spans="1:2" x14ac:dyDescent="0.25">
      <c r="A790" s="3">
        <v>39952</v>
      </c>
      <c r="B790">
        <v>1031.3800000000001</v>
      </c>
    </row>
    <row r="791" spans="1:2" x14ac:dyDescent="0.25">
      <c r="A791" s="3">
        <v>39953</v>
      </c>
      <c r="B791">
        <v>1033.08</v>
      </c>
    </row>
    <row r="792" spans="1:2" x14ac:dyDescent="0.25">
      <c r="A792" s="3">
        <v>39954</v>
      </c>
      <c r="B792">
        <v>1032.9100000000001</v>
      </c>
    </row>
    <row r="793" spans="1:2" x14ac:dyDescent="0.25">
      <c r="A793" s="3">
        <v>39955</v>
      </c>
      <c r="B793">
        <v>1035.1199999999999</v>
      </c>
    </row>
    <row r="794" spans="1:2" x14ac:dyDescent="0.25">
      <c r="A794" s="3">
        <v>39959</v>
      </c>
      <c r="B794">
        <v>1035.0999999999999</v>
      </c>
    </row>
    <row r="795" spans="1:2" x14ac:dyDescent="0.25">
      <c r="A795" s="3">
        <v>39960</v>
      </c>
      <c r="B795">
        <v>1034.7</v>
      </c>
    </row>
    <row r="796" spans="1:2" x14ac:dyDescent="0.25">
      <c r="A796" s="3">
        <v>39961</v>
      </c>
      <c r="B796">
        <v>1034.72</v>
      </c>
    </row>
    <row r="797" spans="1:2" x14ac:dyDescent="0.25">
      <c r="A797" s="3">
        <v>39962</v>
      </c>
      <c r="B797">
        <v>1036.9100000000001</v>
      </c>
    </row>
    <row r="798" spans="1:2" x14ac:dyDescent="0.25">
      <c r="A798" s="3">
        <v>39965</v>
      </c>
      <c r="B798">
        <v>1037.22</v>
      </c>
    </row>
    <row r="799" spans="1:2" x14ac:dyDescent="0.25">
      <c r="A799" s="3">
        <v>39966</v>
      </c>
      <c r="B799">
        <v>1038.6600000000001</v>
      </c>
    </row>
    <row r="800" spans="1:2" x14ac:dyDescent="0.25">
      <c r="A800" s="3">
        <v>39967</v>
      </c>
      <c r="B800">
        <v>1037.48</v>
      </c>
    </row>
    <row r="801" spans="1:2" x14ac:dyDescent="0.25">
      <c r="A801" s="3">
        <v>39968</v>
      </c>
      <c r="B801">
        <v>1037.29</v>
      </c>
    </row>
    <row r="802" spans="1:2" x14ac:dyDescent="0.25">
      <c r="A802" s="3">
        <v>39969</v>
      </c>
      <c r="B802">
        <v>1035.52</v>
      </c>
    </row>
    <row r="803" spans="1:2" x14ac:dyDescent="0.25">
      <c r="A803" s="3">
        <v>39972</v>
      </c>
      <c r="B803">
        <v>1034</v>
      </c>
    </row>
    <row r="804" spans="1:2" x14ac:dyDescent="0.25">
      <c r="A804" s="3">
        <v>39973</v>
      </c>
      <c r="B804">
        <v>1035.6199999999999</v>
      </c>
    </row>
    <row r="805" spans="1:2" x14ac:dyDescent="0.25">
      <c r="A805" s="3">
        <v>39974</v>
      </c>
      <c r="B805">
        <v>1035.73</v>
      </c>
    </row>
    <row r="806" spans="1:2" x14ac:dyDescent="0.25">
      <c r="A806" s="3">
        <v>39975</v>
      </c>
      <c r="B806">
        <v>1036.52</v>
      </c>
    </row>
    <row r="807" spans="1:2" x14ac:dyDescent="0.25">
      <c r="A807" s="3">
        <v>39976</v>
      </c>
      <c r="B807">
        <v>1035.77</v>
      </c>
    </row>
    <row r="808" spans="1:2" x14ac:dyDescent="0.25">
      <c r="A808" s="3">
        <v>39979</v>
      </c>
      <c r="B808">
        <v>1034.0899999999999</v>
      </c>
    </row>
    <row r="809" spans="1:2" x14ac:dyDescent="0.25">
      <c r="A809" s="3">
        <v>39980</v>
      </c>
      <c r="B809">
        <v>1034.71</v>
      </c>
    </row>
    <row r="810" spans="1:2" x14ac:dyDescent="0.25">
      <c r="A810" s="3">
        <v>39981</v>
      </c>
      <c r="B810">
        <v>1034.26</v>
      </c>
    </row>
    <row r="811" spans="1:2" x14ac:dyDescent="0.25">
      <c r="A811" s="3">
        <v>39982</v>
      </c>
      <c r="B811">
        <v>1035.3</v>
      </c>
    </row>
    <row r="812" spans="1:2" x14ac:dyDescent="0.25">
      <c r="A812" s="3">
        <v>39983</v>
      </c>
      <c r="B812">
        <v>1035.08</v>
      </c>
    </row>
    <row r="813" spans="1:2" x14ac:dyDescent="0.25">
      <c r="A813" s="3">
        <v>39986</v>
      </c>
      <c r="B813">
        <v>1034.49</v>
      </c>
    </row>
    <row r="814" spans="1:2" x14ac:dyDescent="0.25">
      <c r="A814" s="3">
        <v>39987</v>
      </c>
      <c r="B814">
        <v>1035.57</v>
      </c>
    </row>
    <row r="815" spans="1:2" x14ac:dyDescent="0.25">
      <c r="A815" s="3">
        <v>39988</v>
      </c>
      <c r="B815">
        <v>1036.04</v>
      </c>
    </row>
    <row r="816" spans="1:2" x14ac:dyDescent="0.25">
      <c r="A816" s="3">
        <v>39989</v>
      </c>
      <c r="B816">
        <v>1034.71</v>
      </c>
    </row>
    <row r="817" spans="1:2" x14ac:dyDescent="0.25">
      <c r="A817" s="3">
        <v>39990</v>
      </c>
      <c r="B817">
        <v>1036.43</v>
      </c>
    </row>
    <row r="818" spans="1:2" x14ac:dyDescent="0.25">
      <c r="A818" s="3">
        <v>39993</v>
      </c>
      <c r="B818">
        <v>1036.32</v>
      </c>
    </row>
    <row r="819" spans="1:2" x14ac:dyDescent="0.25">
      <c r="A819" s="3">
        <v>39994</v>
      </c>
      <c r="B819">
        <v>1064.4100000000001</v>
      </c>
    </row>
    <row r="820" spans="1:2" x14ac:dyDescent="0.25">
      <c r="A820" s="3">
        <v>39995</v>
      </c>
      <c r="B820">
        <v>1065.42</v>
      </c>
    </row>
    <row r="821" spans="1:2" x14ac:dyDescent="0.25">
      <c r="A821" s="3">
        <v>39996</v>
      </c>
      <c r="B821">
        <v>1064.18</v>
      </c>
    </row>
    <row r="822" spans="1:2" x14ac:dyDescent="0.25">
      <c r="A822" s="3">
        <v>40000</v>
      </c>
      <c r="B822">
        <v>1063.1600000000001</v>
      </c>
    </row>
    <row r="823" spans="1:2" x14ac:dyDescent="0.25">
      <c r="A823" s="3">
        <v>40001</v>
      </c>
      <c r="B823">
        <v>1063.96</v>
      </c>
    </row>
    <row r="824" spans="1:2" x14ac:dyDescent="0.25">
      <c r="A824" s="3">
        <v>40002</v>
      </c>
      <c r="B824">
        <v>1062.83</v>
      </c>
    </row>
    <row r="825" spans="1:2" x14ac:dyDescent="0.25">
      <c r="A825" s="3">
        <v>40003</v>
      </c>
      <c r="B825">
        <v>1063.6400000000001</v>
      </c>
    </row>
    <row r="826" spans="1:2" x14ac:dyDescent="0.25">
      <c r="A826" s="3">
        <v>40004</v>
      </c>
      <c r="B826">
        <v>1063.23</v>
      </c>
    </row>
    <row r="827" spans="1:2" x14ac:dyDescent="0.25">
      <c r="A827" s="3">
        <v>40007</v>
      </c>
      <c r="B827">
        <v>1063.24</v>
      </c>
    </row>
    <row r="828" spans="1:2" x14ac:dyDescent="0.25">
      <c r="A828" s="3">
        <v>40008</v>
      </c>
      <c r="B828">
        <v>1063.4000000000001</v>
      </c>
    </row>
    <row r="829" spans="1:2" x14ac:dyDescent="0.25">
      <c r="A829" s="3">
        <v>40009</v>
      </c>
      <c r="B829">
        <v>1064.92</v>
      </c>
    </row>
    <row r="830" spans="1:2" x14ac:dyDescent="0.25">
      <c r="A830" s="3">
        <v>40010</v>
      </c>
      <c r="B830">
        <v>1065.22</v>
      </c>
    </row>
    <row r="831" spans="1:2" x14ac:dyDescent="0.25">
      <c r="A831" s="3">
        <v>40011</v>
      </c>
      <c r="B831">
        <v>1065.1199999999999</v>
      </c>
    </row>
    <row r="832" spans="1:2" x14ac:dyDescent="0.25">
      <c r="A832" s="3">
        <v>40014</v>
      </c>
      <c r="B832">
        <v>1066.25</v>
      </c>
    </row>
    <row r="833" spans="1:2" x14ac:dyDescent="0.25">
      <c r="A833" s="3">
        <v>40015</v>
      </c>
      <c r="B833">
        <v>1066.43</v>
      </c>
    </row>
    <row r="834" spans="1:2" x14ac:dyDescent="0.25">
      <c r="A834" s="3">
        <v>40016</v>
      </c>
      <c r="B834">
        <v>1066.25</v>
      </c>
    </row>
    <row r="835" spans="1:2" x14ac:dyDescent="0.25">
      <c r="A835" s="3">
        <v>40017</v>
      </c>
      <c r="B835">
        <v>1066.71</v>
      </c>
    </row>
    <row r="836" spans="1:2" x14ac:dyDescent="0.25">
      <c r="A836" s="3">
        <v>40018</v>
      </c>
      <c r="B836">
        <v>1066.1600000000001</v>
      </c>
    </row>
    <row r="837" spans="1:2" x14ac:dyDescent="0.25">
      <c r="A837" s="3">
        <v>40021</v>
      </c>
      <c r="B837">
        <v>1066.44</v>
      </c>
    </row>
    <row r="838" spans="1:2" x14ac:dyDescent="0.25">
      <c r="A838" s="3">
        <v>40022</v>
      </c>
      <c r="B838">
        <v>1066.0999999999999</v>
      </c>
    </row>
    <row r="839" spans="1:2" x14ac:dyDescent="0.25">
      <c r="A839" s="3">
        <v>40023</v>
      </c>
      <c r="B839">
        <v>1064.8900000000001</v>
      </c>
    </row>
    <row r="840" spans="1:2" x14ac:dyDescent="0.25">
      <c r="A840" s="3">
        <v>40024</v>
      </c>
      <c r="B840">
        <v>1065.02</v>
      </c>
    </row>
    <row r="841" spans="1:2" x14ac:dyDescent="0.25">
      <c r="A841" s="3">
        <v>40025</v>
      </c>
      <c r="B841">
        <v>1066.23</v>
      </c>
    </row>
    <row r="842" spans="1:2" x14ac:dyDescent="0.25">
      <c r="A842" s="3">
        <v>40028</v>
      </c>
      <c r="B842">
        <v>1068.78</v>
      </c>
    </row>
    <row r="843" spans="1:2" x14ac:dyDescent="0.25">
      <c r="A843" s="3">
        <v>40029</v>
      </c>
      <c r="B843">
        <v>1068.58</v>
      </c>
    </row>
    <row r="844" spans="1:2" x14ac:dyDescent="0.25">
      <c r="A844" s="3">
        <v>40030</v>
      </c>
      <c r="B844">
        <v>1068.49</v>
      </c>
    </row>
    <row r="845" spans="1:2" x14ac:dyDescent="0.25">
      <c r="A845" s="3">
        <v>40031</v>
      </c>
      <c r="B845">
        <v>1068.23</v>
      </c>
    </row>
    <row r="846" spans="1:2" x14ac:dyDescent="0.25">
      <c r="A846" s="3">
        <v>40032</v>
      </c>
      <c r="B846">
        <v>1066.6400000000001</v>
      </c>
    </row>
    <row r="847" spans="1:2" x14ac:dyDescent="0.25">
      <c r="A847" s="3">
        <v>40035</v>
      </c>
      <c r="B847">
        <v>1066.1300000000001</v>
      </c>
    </row>
    <row r="848" spans="1:2" x14ac:dyDescent="0.25">
      <c r="A848" s="3">
        <v>40036</v>
      </c>
      <c r="B848">
        <v>1065.8399999999999</v>
      </c>
    </row>
    <row r="849" spans="1:2" x14ac:dyDescent="0.25">
      <c r="A849" s="3">
        <v>40037</v>
      </c>
      <c r="B849">
        <v>1066.55</v>
      </c>
    </row>
    <row r="850" spans="1:2" x14ac:dyDescent="0.25">
      <c r="A850" s="3">
        <v>40038</v>
      </c>
      <c r="B850">
        <v>1067.45</v>
      </c>
    </row>
    <row r="851" spans="1:2" x14ac:dyDescent="0.25">
      <c r="A851" s="3">
        <v>40039</v>
      </c>
      <c r="B851">
        <v>1066.81</v>
      </c>
    </row>
    <row r="852" spans="1:2" x14ac:dyDescent="0.25">
      <c r="A852" s="3">
        <v>40042</v>
      </c>
      <c r="B852">
        <v>1065.01</v>
      </c>
    </row>
    <row r="853" spans="1:2" x14ac:dyDescent="0.25">
      <c r="A853" s="3">
        <v>40043</v>
      </c>
      <c r="B853">
        <v>1065.46</v>
      </c>
    </row>
    <row r="854" spans="1:2" x14ac:dyDescent="0.25">
      <c r="A854" s="3">
        <v>40044</v>
      </c>
      <c r="B854">
        <v>1066.55</v>
      </c>
    </row>
    <row r="855" spans="1:2" x14ac:dyDescent="0.25">
      <c r="A855" s="3">
        <v>40045</v>
      </c>
      <c r="B855">
        <v>1066.74</v>
      </c>
    </row>
    <row r="856" spans="1:2" x14ac:dyDescent="0.25">
      <c r="A856" s="3">
        <v>40046</v>
      </c>
      <c r="B856">
        <v>1067.42</v>
      </c>
    </row>
    <row r="857" spans="1:2" x14ac:dyDescent="0.25">
      <c r="A857" s="3">
        <v>40049</v>
      </c>
      <c r="B857">
        <v>1067.5899999999999</v>
      </c>
    </row>
    <row r="858" spans="1:2" x14ac:dyDescent="0.25">
      <c r="A858" s="3">
        <v>40050</v>
      </c>
      <c r="B858">
        <v>1067.6300000000001</v>
      </c>
    </row>
    <row r="859" spans="1:2" x14ac:dyDescent="0.25">
      <c r="A859" s="3">
        <v>40051</v>
      </c>
      <c r="B859">
        <v>1066.52</v>
      </c>
    </row>
    <row r="860" spans="1:2" x14ac:dyDescent="0.25">
      <c r="A860" s="3">
        <v>40052</v>
      </c>
      <c r="B860">
        <v>1066.46</v>
      </c>
    </row>
    <row r="861" spans="1:2" x14ac:dyDescent="0.25">
      <c r="A861" s="3">
        <v>40053</v>
      </c>
      <c r="B861">
        <v>1068.03</v>
      </c>
    </row>
    <row r="862" spans="1:2" x14ac:dyDescent="0.25">
      <c r="A862" s="3">
        <v>40056</v>
      </c>
      <c r="B862">
        <v>1067.83</v>
      </c>
    </row>
    <row r="863" spans="1:2" x14ac:dyDescent="0.25">
      <c r="A863" s="3">
        <v>40057</v>
      </c>
      <c r="B863">
        <v>1067.29</v>
      </c>
    </row>
    <row r="864" spans="1:2" x14ac:dyDescent="0.25">
      <c r="A864" s="3">
        <v>40058</v>
      </c>
      <c r="B864">
        <v>1066.6400000000001</v>
      </c>
    </row>
    <row r="865" spans="1:2" x14ac:dyDescent="0.25">
      <c r="A865" s="3">
        <v>40059</v>
      </c>
      <c r="B865">
        <v>1066.93</v>
      </c>
    </row>
    <row r="866" spans="1:2" x14ac:dyDescent="0.25">
      <c r="A866" s="3">
        <v>40060</v>
      </c>
      <c r="B866">
        <v>1066.79</v>
      </c>
    </row>
    <row r="867" spans="1:2" x14ac:dyDescent="0.25">
      <c r="A867" s="3">
        <v>40064</v>
      </c>
      <c r="B867">
        <v>1069.74</v>
      </c>
    </row>
    <row r="868" spans="1:2" x14ac:dyDescent="0.25">
      <c r="A868" s="3">
        <v>40065</v>
      </c>
      <c r="B868">
        <v>1070.3599999999999</v>
      </c>
    </row>
    <row r="869" spans="1:2" x14ac:dyDescent="0.25">
      <c r="A869" s="3">
        <v>40066</v>
      </c>
      <c r="B869">
        <v>1070.21</v>
      </c>
    </row>
    <row r="870" spans="1:2" x14ac:dyDescent="0.25">
      <c r="A870" s="3">
        <v>40067</v>
      </c>
      <c r="B870">
        <v>1070.76</v>
      </c>
    </row>
    <row r="871" spans="1:2" x14ac:dyDescent="0.25">
      <c r="A871" s="3">
        <v>40070</v>
      </c>
      <c r="B871">
        <v>1070.82</v>
      </c>
    </row>
    <row r="872" spans="1:2" x14ac:dyDescent="0.25">
      <c r="A872" s="3">
        <v>40071</v>
      </c>
      <c r="B872">
        <v>1070.4100000000001</v>
      </c>
    </row>
    <row r="873" spans="1:2" x14ac:dyDescent="0.25">
      <c r="A873" s="3">
        <v>40072</v>
      </c>
      <c r="B873">
        <v>1071.3900000000001</v>
      </c>
    </row>
    <row r="874" spans="1:2" x14ac:dyDescent="0.25">
      <c r="A874" s="3">
        <v>40073</v>
      </c>
      <c r="B874">
        <v>1071.97</v>
      </c>
    </row>
    <row r="875" spans="1:2" x14ac:dyDescent="0.25">
      <c r="A875" s="3">
        <v>40074</v>
      </c>
      <c r="B875">
        <v>1071.56</v>
      </c>
    </row>
    <row r="876" spans="1:2" x14ac:dyDescent="0.25">
      <c r="A876" s="3">
        <v>40077</v>
      </c>
      <c r="B876">
        <v>1070.8</v>
      </c>
    </row>
    <row r="877" spans="1:2" x14ac:dyDescent="0.25">
      <c r="A877" s="3">
        <v>40078</v>
      </c>
      <c r="B877">
        <v>1072.31</v>
      </c>
    </row>
    <row r="878" spans="1:2" x14ac:dyDescent="0.25">
      <c r="A878" s="3">
        <v>40079</v>
      </c>
      <c r="B878">
        <v>1072.21</v>
      </c>
    </row>
    <row r="879" spans="1:2" x14ac:dyDescent="0.25">
      <c r="A879" s="3">
        <v>40080</v>
      </c>
      <c r="B879">
        <v>1071.29</v>
      </c>
    </row>
    <row r="880" spans="1:2" x14ac:dyDescent="0.25">
      <c r="A880" s="3">
        <v>40081</v>
      </c>
      <c r="B880">
        <v>1071.06</v>
      </c>
    </row>
    <row r="881" spans="1:2" x14ac:dyDescent="0.25">
      <c r="A881" s="3">
        <v>40084</v>
      </c>
      <c r="B881">
        <v>1070.48</v>
      </c>
    </row>
    <row r="882" spans="1:2" x14ac:dyDescent="0.25">
      <c r="A882" s="3">
        <v>40085</v>
      </c>
      <c r="B882">
        <v>1069.71</v>
      </c>
    </row>
    <row r="883" spans="1:2" x14ac:dyDescent="0.25">
      <c r="A883" s="3">
        <v>40086</v>
      </c>
      <c r="B883">
        <v>1132.83</v>
      </c>
    </row>
    <row r="884" spans="1:2" x14ac:dyDescent="0.25">
      <c r="A884" s="3">
        <v>40087</v>
      </c>
      <c r="B884">
        <v>1132.23</v>
      </c>
    </row>
    <row r="885" spans="1:2" x14ac:dyDescent="0.25">
      <c r="A885" s="3">
        <v>40088</v>
      </c>
      <c r="B885">
        <v>1132.51</v>
      </c>
    </row>
    <row r="886" spans="1:2" x14ac:dyDescent="0.25">
      <c r="A886" s="3">
        <v>40091</v>
      </c>
      <c r="B886">
        <v>1132.8499999999999</v>
      </c>
    </row>
    <row r="887" spans="1:2" x14ac:dyDescent="0.25">
      <c r="A887" s="3">
        <v>40092</v>
      </c>
      <c r="B887">
        <v>1134.24</v>
      </c>
    </row>
    <row r="888" spans="1:2" x14ac:dyDescent="0.25">
      <c r="A888" s="3">
        <v>40093</v>
      </c>
      <c r="B888">
        <v>1133.52</v>
      </c>
    </row>
    <row r="889" spans="1:2" x14ac:dyDescent="0.25">
      <c r="A889" s="3">
        <v>40094</v>
      </c>
      <c r="B889">
        <v>1134.5999999999999</v>
      </c>
    </row>
    <row r="890" spans="1:2" x14ac:dyDescent="0.25">
      <c r="A890" s="3">
        <v>40095</v>
      </c>
      <c r="B890">
        <v>1134.46</v>
      </c>
    </row>
    <row r="891" spans="1:2" x14ac:dyDescent="0.25">
      <c r="A891" s="3">
        <v>40098</v>
      </c>
      <c r="B891">
        <v>1134.93</v>
      </c>
    </row>
    <row r="892" spans="1:2" x14ac:dyDescent="0.25">
      <c r="A892" s="3">
        <v>40099</v>
      </c>
      <c r="B892">
        <v>1135.1199999999999</v>
      </c>
    </row>
    <row r="893" spans="1:2" x14ac:dyDescent="0.25">
      <c r="A893" s="3">
        <v>40100</v>
      </c>
      <c r="B893">
        <v>1136.04</v>
      </c>
    </row>
    <row r="894" spans="1:2" x14ac:dyDescent="0.25">
      <c r="A894" s="3">
        <v>40101</v>
      </c>
      <c r="B894">
        <v>1136.6199999999999</v>
      </c>
    </row>
    <row r="895" spans="1:2" x14ac:dyDescent="0.25">
      <c r="A895" s="3">
        <v>40102</v>
      </c>
      <c r="B895">
        <v>1135.98</v>
      </c>
    </row>
    <row r="896" spans="1:2" x14ac:dyDescent="0.25">
      <c r="A896" s="3">
        <v>40105</v>
      </c>
      <c r="B896">
        <v>1136.78</v>
      </c>
    </row>
    <row r="897" spans="1:2" x14ac:dyDescent="0.25">
      <c r="A897" s="3">
        <v>40106</v>
      </c>
      <c r="B897">
        <v>1136.75</v>
      </c>
    </row>
    <row r="898" spans="1:2" x14ac:dyDescent="0.25">
      <c r="A898" s="3">
        <v>40107</v>
      </c>
      <c r="B898">
        <v>1137.45</v>
      </c>
    </row>
    <row r="899" spans="1:2" x14ac:dyDescent="0.25">
      <c r="A899" s="3">
        <v>40108</v>
      </c>
      <c r="B899">
        <v>1137.47</v>
      </c>
    </row>
    <row r="900" spans="1:2" x14ac:dyDescent="0.25">
      <c r="A900" s="3">
        <v>40109</v>
      </c>
      <c r="B900">
        <v>1137.46</v>
      </c>
    </row>
    <row r="901" spans="1:2" x14ac:dyDescent="0.25">
      <c r="A901" s="3">
        <v>40112</v>
      </c>
      <c r="B901">
        <v>1136.6400000000001</v>
      </c>
    </row>
    <row r="902" spans="1:2" x14ac:dyDescent="0.25">
      <c r="A902" s="3">
        <v>40113</v>
      </c>
      <c r="B902">
        <v>1135.3699999999999</v>
      </c>
    </row>
    <row r="903" spans="1:2" x14ac:dyDescent="0.25">
      <c r="A903" s="3">
        <v>40114</v>
      </c>
      <c r="B903">
        <v>1134.67</v>
      </c>
    </row>
    <row r="904" spans="1:2" x14ac:dyDescent="0.25">
      <c r="A904" s="3">
        <v>40115</v>
      </c>
      <c r="B904">
        <v>1135.45</v>
      </c>
    </row>
    <row r="905" spans="1:2" x14ac:dyDescent="0.25">
      <c r="A905" s="3">
        <v>40116</v>
      </c>
      <c r="B905">
        <v>1134.68</v>
      </c>
    </row>
    <row r="906" spans="1:2" x14ac:dyDescent="0.25">
      <c r="A906" s="3">
        <v>40119</v>
      </c>
      <c r="B906">
        <v>1135.32</v>
      </c>
    </row>
    <row r="907" spans="1:2" x14ac:dyDescent="0.25">
      <c r="A907" s="3">
        <v>40120</v>
      </c>
      <c r="B907">
        <v>1133.8800000000001</v>
      </c>
    </row>
    <row r="908" spans="1:2" x14ac:dyDescent="0.25">
      <c r="A908" s="3">
        <v>40121</v>
      </c>
      <c r="B908">
        <v>1135.6500000000001</v>
      </c>
    </row>
    <row r="909" spans="1:2" x14ac:dyDescent="0.25">
      <c r="A909" s="3">
        <v>40122</v>
      </c>
      <c r="B909">
        <v>1136.21</v>
      </c>
    </row>
    <row r="910" spans="1:2" x14ac:dyDescent="0.25">
      <c r="A910" s="3">
        <v>40123</v>
      </c>
      <c r="B910">
        <v>1136.1099999999999</v>
      </c>
    </row>
    <row r="911" spans="1:2" x14ac:dyDescent="0.25">
      <c r="A911" s="3">
        <v>40126</v>
      </c>
      <c r="B911">
        <v>1137.67</v>
      </c>
    </row>
    <row r="912" spans="1:2" x14ac:dyDescent="0.25">
      <c r="A912" s="3">
        <v>40127</v>
      </c>
      <c r="B912">
        <v>1137.26</v>
      </c>
    </row>
    <row r="913" spans="1:2" x14ac:dyDescent="0.25">
      <c r="A913" s="3">
        <v>40128</v>
      </c>
      <c r="B913">
        <v>1137.4000000000001</v>
      </c>
    </row>
    <row r="914" spans="1:2" x14ac:dyDescent="0.25">
      <c r="A914" s="3">
        <v>40129</v>
      </c>
      <c r="B914">
        <v>1136.28</v>
      </c>
    </row>
    <row r="915" spans="1:2" x14ac:dyDescent="0.25">
      <c r="A915" s="3">
        <v>40130</v>
      </c>
      <c r="B915">
        <v>1136.44</v>
      </c>
    </row>
    <row r="916" spans="1:2" x14ac:dyDescent="0.25">
      <c r="A916" s="3">
        <v>40133</v>
      </c>
      <c r="B916">
        <v>1137.49</v>
      </c>
    </row>
    <row r="917" spans="1:2" x14ac:dyDescent="0.25">
      <c r="A917" s="3">
        <v>40134</v>
      </c>
      <c r="B917">
        <v>1135.98</v>
      </c>
    </row>
    <row r="918" spans="1:2" x14ac:dyDescent="0.25">
      <c r="A918" s="3">
        <v>40135</v>
      </c>
      <c r="B918">
        <v>1137.32</v>
      </c>
    </row>
    <row r="919" spans="1:2" x14ac:dyDescent="0.25">
      <c r="A919" s="3">
        <v>40136</v>
      </c>
      <c r="B919">
        <v>1135.97</v>
      </c>
    </row>
    <row r="920" spans="1:2" x14ac:dyDescent="0.25">
      <c r="A920" s="3">
        <v>40137</v>
      </c>
      <c r="B920">
        <v>1135.78</v>
      </c>
    </row>
    <row r="921" spans="1:2" x14ac:dyDescent="0.25">
      <c r="A921" s="3">
        <v>40140</v>
      </c>
      <c r="B921">
        <v>1137.31</v>
      </c>
    </row>
    <row r="922" spans="1:2" x14ac:dyDescent="0.25">
      <c r="A922" s="3">
        <v>40141</v>
      </c>
      <c r="B922">
        <v>1136.9000000000001</v>
      </c>
    </row>
    <row r="923" spans="1:2" x14ac:dyDescent="0.25">
      <c r="A923" s="3">
        <v>40142</v>
      </c>
      <c r="B923">
        <v>1138.0999999999999</v>
      </c>
    </row>
    <row r="924" spans="1:2" x14ac:dyDescent="0.25">
      <c r="A924" s="3">
        <v>40144</v>
      </c>
      <c r="B924">
        <v>1137.0999999999999</v>
      </c>
    </row>
    <row r="925" spans="1:2" x14ac:dyDescent="0.25">
      <c r="A925" s="3">
        <v>40147</v>
      </c>
      <c r="B925">
        <v>1137.52</v>
      </c>
    </row>
    <row r="926" spans="1:2" x14ac:dyDescent="0.25">
      <c r="A926" s="3">
        <v>40148</v>
      </c>
      <c r="B926">
        <v>1138.52</v>
      </c>
    </row>
    <row r="927" spans="1:2" x14ac:dyDescent="0.25">
      <c r="A927" s="3">
        <v>40149</v>
      </c>
      <c r="B927">
        <v>1138.4000000000001</v>
      </c>
    </row>
    <row r="928" spans="1:2" x14ac:dyDescent="0.25">
      <c r="A928" s="3">
        <v>40150</v>
      </c>
      <c r="B928">
        <v>1138.46</v>
      </c>
    </row>
    <row r="929" spans="1:2" x14ac:dyDescent="0.25">
      <c r="A929" s="3">
        <v>40151</v>
      </c>
      <c r="B929">
        <v>1136.31</v>
      </c>
    </row>
    <row r="930" spans="1:2" x14ac:dyDescent="0.25">
      <c r="A930" s="3">
        <v>40154</v>
      </c>
      <c r="B930">
        <v>1135.6099999999999</v>
      </c>
    </row>
    <row r="931" spans="1:2" x14ac:dyDescent="0.25">
      <c r="A931" s="3">
        <v>40155</v>
      </c>
      <c r="B931">
        <v>1134.54</v>
      </c>
    </row>
    <row r="932" spans="1:2" x14ac:dyDescent="0.25">
      <c r="A932" s="3">
        <v>40156</v>
      </c>
      <c r="B932">
        <v>1134.6099999999999</v>
      </c>
    </row>
    <row r="933" spans="1:2" x14ac:dyDescent="0.25">
      <c r="A933" s="3">
        <v>40157</v>
      </c>
      <c r="B933">
        <v>1134.43</v>
      </c>
    </row>
    <row r="934" spans="1:2" x14ac:dyDescent="0.25">
      <c r="A934" s="3">
        <v>40158</v>
      </c>
      <c r="B934">
        <v>1133.3800000000001</v>
      </c>
    </row>
    <row r="935" spans="1:2" x14ac:dyDescent="0.25">
      <c r="A935" s="3">
        <v>40161</v>
      </c>
      <c r="B935">
        <v>1133.77</v>
      </c>
    </row>
    <row r="936" spans="1:2" x14ac:dyDescent="0.25">
      <c r="A936" s="3">
        <v>40162</v>
      </c>
      <c r="B936">
        <v>1132.72</v>
      </c>
    </row>
    <row r="937" spans="1:2" x14ac:dyDescent="0.25">
      <c r="A937" s="3">
        <v>40163</v>
      </c>
      <c r="B937">
        <v>1132.96</v>
      </c>
    </row>
    <row r="938" spans="1:2" x14ac:dyDescent="0.25">
      <c r="A938" s="3">
        <v>40164</v>
      </c>
      <c r="B938">
        <v>1130.32</v>
      </c>
    </row>
    <row r="939" spans="1:2" x14ac:dyDescent="0.25">
      <c r="A939" s="3">
        <v>40165</v>
      </c>
      <c r="B939">
        <v>1129.56</v>
      </c>
    </row>
    <row r="940" spans="1:2" x14ac:dyDescent="0.25">
      <c r="A940" s="3">
        <v>40168</v>
      </c>
      <c r="B940">
        <v>1129.93</v>
      </c>
    </row>
    <row r="941" spans="1:2" x14ac:dyDescent="0.25">
      <c r="A941" s="3">
        <v>40169</v>
      </c>
      <c r="B941">
        <v>1128.93</v>
      </c>
    </row>
    <row r="942" spans="1:2" x14ac:dyDescent="0.25">
      <c r="A942" s="3">
        <v>40170</v>
      </c>
      <c r="B942">
        <v>1130.03</v>
      </c>
    </row>
    <row r="943" spans="1:2" x14ac:dyDescent="0.25">
      <c r="A943" s="3">
        <v>40171</v>
      </c>
      <c r="B943">
        <v>1130.27</v>
      </c>
    </row>
    <row r="944" spans="1:2" x14ac:dyDescent="0.25">
      <c r="A944" s="3">
        <v>40175</v>
      </c>
      <c r="B944">
        <v>1130.72</v>
      </c>
    </row>
    <row r="945" spans="1:2" x14ac:dyDescent="0.25">
      <c r="A945" s="3">
        <v>40176</v>
      </c>
      <c r="B945">
        <v>1130.93</v>
      </c>
    </row>
    <row r="946" spans="1:2" x14ac:dyDescent="0.25">
      <c r="A946" s="3">
        <v>40177</v>
      </c>
      <c r="B946">
        <v>1129.8399999999999</v>
      </c>
    </row>
    <row r="947" spans="1:2" x14ac:dyDescent="0.25">
      <c r="A947" s="3">
        <v>40178</v>
      </c>
      <c r="B947">
        <v>1189.6500000000001</v>
      </c>
    </row>
    <row r="948" spans="1:2" x14ac:dyDescent="0.25">
      <c r="A948" s="3">
        <v>40182</v>
      </c>
      <c r="B948">
        <v>1190.8399999999999</v>
      </c>
    </row>
    <row r="949" spans="1:2" x14ac:dyDescent="0.25">
      <c r="A949" s="3">
        <v>40183</v>
      </c>
      <c r="B949">
        <v>1190.56</v>
      </c>
    </row>
    <row r="950" spans="1:2" x14ac:dyDescent="0.25">
      <c r="A950" s="3">
        <v>40184</v>
      </c>
      <c r="B950">
        <v>1190.21</v>
      </c>
    </row>
    <row r="951" spans="1:2" x14ac:dyDescent="0.25">
      <c r="A951" s="3">
        <v>40185</v>
      </c>
      <c r="B951">
        <v>1189.48</v>
      </c>
    </row>
    <row r="952" spans="1:2" x14ac:dyDescent="0.25">
      <c r="A952" s="3">
        <v>40186</v>
      </c>
      <c r="B952">
        <v>1189.5</v>
      </c>
    </row>
    <row r="953" spans="1:2" x14ac:dyDescent="0.25">
      <c r="A953" s="3">
        <v>40189</v>
      </c>
      <c r="B953">
        <v>1192.26</v>
      </c>
    </row>
    <row r="954" spans="1:2" x14ac:dyDescent="0.25">
      <c r="A954" s="3">
        <v>40190</v>
      </c>
      <c r="B954">
        <v>1192.1500000000001</v>
      </c>
    </row>
    <row r="955" spans="1:2" x14ac:dyDescent="0.25">
      <c r="A955" s="3">
        <v>40191</v>
      </c>
      <c r="B955">
        <v>1191.79</v>
      </c>
    </row>
    <row r="956" spans="1:2" x14ac:dyDescent="0.25">
      <c r="A956" s="3">
        <v>40192</v>
      </c>
      <c r="B956">
        <v>1191.49</v>
      </c>
    </row>
    <row r="957" spans="1:2" x14ac:dyDescent="0.25">
      <c r="A957" s="3">
        <v>40193</v>
      </c>
      <c r="B957">
        <v>1190.2</v>
      </c>
    </row>
    <row r="958" spans="1:2" x14ac:dyDescent="0.25">
      <c r="A958" s="3">
        <v>40197</v>
      </c>
      <c r="B958">
        <v>1189.27</v>
      </c>
    </row>
    <row r="959" spans="1:2" x14ac:dyDescent="0.25">
      <c r="A959" s="3">
        <v>40198</v>
      </c>
      <c r="B959">
        <v>1187.19</v>
      </c>
    </row>
    <row r="960" spans="1:2" x14ac:dyDescent="0.25">
      <c r="A960" s="3">
        <v>40199</v>
      </c>
      <c r="B960">
        <v>1186.3900000000001</v>
      </c>
    </row>
    <row r="961" spans="1:2" x14ac:dyDescent="0.25">
      <c r="A961" s="3">
        <v>40200</v>
      </c>
      <c r="B961">
        <v>1187.18</v>
      </c>
    </row>
    <row r="962" spans="1:2" x14ac:dyDescent="0.25">
      <c r="A962" s="3">
        <v>40203</v>
      </c>
      <c r="B962">
        <v>1187.52</v>
      </c>
    </row>
    <row r="963" spans="1:2" x14ac:dyDescent="0.25">
      <c r="A963" s="3">
        <v>40204</v>
      </c>
      <c r="B963">
        <v>1186.31</v>
      </c>
    </row>
    <row r="964" spans="1:2" x14ac:dyDescent="0.25">
      <c r="A964" s="3">
        <v>40205</v>
      </c>
      <c r="B964">
        <v>1186.1099999999999</v>
      </c>
    </row>
    <row r="965" spans="1:2" x14ac:dyDescent="0.25">
      <c r="A965" s="3">
        <v>40206</v>
      </c>
      <c r="B965">
        <v>1185.1600000000001</v>
      </c>
    </row>
    <row r="966" spans="1:2" x14ac:dyDescent="0.25">
      <c r="A966" s="3">
        <v>40207</v>
      </c>
      <c r="B966">
        <v>1184.31</v>
      </c>
    </row>
    <row r="967" spans="1:2" x14ac:dyDescent="0.25">
      <c r="A967" s="3">
        <v>40210</v>
      </c>
      <c r="B967">
        <v>1184.21</v>
      </c>
    </row>
    <row r="968" spans="1:2" x14ac:dyDescent="0.25">
      <c r="A968" s="3">
        <v>40211</v>
      </c>
      <c r="B968">
        <v>1184.9100000000001</v>
      </c>
    </row>
    <row r="969" spans="1:2" x14ac:dyDescent="0.25">
      <c r="A969" s="3">
        <v>40212</v>
      </c>
      <c r="B969">
        <v>1184.43</v>
      </c>
    </row>
    <row r="970" spans="1:2" x14ac:dyDescent="0.25">
      <c r="A970" s="3">
        <v>40213</v>
      </c>
      <c r="B970">
        <v>1182.69</v>
      </c>
    </row>
    <row r="971" spans="1:2" x14ac:dyDescent="0.25">
      <c r="A971" s="3">
        <v>40214</v>
      </c>
      <c r="B971">
        <v>1181.32</v>
      </c>
    </row>
    <row r="972" spans="1:2" x14ac:dyDescent="0.25">
      <c r="A972" s="3">
        <v>40217</v>
      </c>
      <c r="B972">
        <v>1181.72</v>
      </c>
    </row>
    <row r="973" spans="1:2" x14ac:dyDescent="0.25">
      <c r="A973" s="3">
        <v>40218</v>
      </c>
      <c r="B973">
        <v>1182.1199999999999</v>
      </c>
    </row>
    <row r="974" spans="1:2" x14ac:dyDescent="0.25">
      <c r="A974" s="3">
        <v>40219</v>
      </c>
      <c r="B974">
        <v>1181.69</v>
      </c>
    </row>
    <row r="975" spans="1:2" x14ac:dyDescent="0.25">
      <c r="A975" s="3">
        <v>40220</v>
      </c>
      <c r="B975">
        <v>1180.76</v>
      </c>
    </row>
    <row r="976" spans="1:2" x14ac:dyDescent="0.25">
      <c r="A976" s="3">
        <v>40221</v>
      </c>
      <c r="B976">
        <v>1180.8</v>
      </c>
    </row>
    <row r="977" spans="1:2" x14ac:dyDescent="0.25">
      <c r="A977" s="3">
        <v>40225</v>
      </c>
      <c r="B977">
        <v>1182.04</v>
      </c>
    </row>
    <row r="978" spans="1:2" x14ac:dyDescent="0.25">
      <c r="A978" s="3">
        <v>40226</v>
      </c>
      <c r="B978">
        <v>1181.53</v>
      </c>
    </row>
    <row r="979" spans="1:2" x14ac:dyDescent="0.25">
      <c r="A979" s="3">
        <v>40227</v>
      </c>
      <c r="B979">
        <v>1181.18</v>
      </c>
    </row>
    <row r="980" spans="1:2" x14ac:dyDescent="0.25">
      <c r="A980" s="3">
        <v>40228</v>
      </c>
      <c r="B980">
        <v>1179.69</v>
      </c>
    </row>
    <row r="981" spans="1:2" x14ac:dyDescent="0.25">
      <c r="A981" s="3">
        <v>40231</v>
      </c>
      <c r="B981">
        <v>1180.7</v>
      </c>
    </row>
    <row r="982" spans="1:2" x14ac:dyDescent="0.25">
      <c r="A982" s="3">
        <v>40232</v>
      </c>
      <c r="B982">
        <v>1180.4100000000001</v>
      </c>
    </row>
    <row r="983" spans="1:2" x14ac:dyDescent="0.25">
      <c r="A983" s="3">
        <v>40233</v>
      </c>
      <c r="B983">
        <v>1180.81</v>
      </c>
    </row>
    <row r="984" spans="1:2" x14ac:dyDescent="0.25">
      <c r="A984" s="3">
        <v>40234</v>
      </c>
      <c r="B984">
        <v>1179.6400000000001</v>
      </c>
    </row>
    <row r="985" spans="1:2" x14ac:dyDescent="0.25">
      <c r="A985" s="3">
        <v>40235</v>
      </c>
      <c r="B985">
        <v>1181.17</v>
      </c>
    </row>
    <row r="986" spans="1:2" x14ac:dyDescent="0.25">
      <c r="A986" s="3">
        <v>40238</v>
      </c>
      <c r="B986">
        <v>1179.1500000000001</v>
      </c>
    </row>
    <row r="987" spans="1:2" x14ac:dyDescent="0.25">
      <c r="A987" s="3">
        <v>40239</v>
      </c>
      <c r="B987">
        <v>1180.1400000000001</v>
      </c>
    </row>
    <row r="988" spans="1:2" x14ac:dyDescent="0.25">
      <c r="A988" s="3">
        <v>40240</v>
      </c>
      <c r="B988">
        <v>1181.73</v>
      </c>
    </row>
    <row r="989" spans="1:2" x14ac:dyDescent="0.25">
      <c r="A989" s="3">
        <v>40241</v>
      </c>
      <c r="B989">
        <v>1180.72</v>
      </c>
    </row>
    <row r="990" spans="1:2" x14ac:dyDescent="0.25">
      <c r="A990" s="3">
        <v>40242</v>
      </c>
      <c r="B990">
        <v>1180.82</v>
      </c>
    </row>
    <row r="991" spans="1:2" x14ac:dyDescent="0.25">
      <c r="A991" s="3">
        <v>40245</v>
      </c>
      <c r="B991">
        <v>1181.32</v>
      </c>
    </row>
    <row r="992" spans="1:2" x14ac:dyDescent="0.25">
      <c r="A992" s="3">
        <v>40246</v>
      </c>
      <c r="B992">
        <v>1180.49</v>
      </c>
    </row>
    <row r="993" spans="1:2" x14ac:dyDescent="0.25">
      <c r="A993" s="3">
        <v>40247</v>
      </c>
      <c r="B993">
        <v>1181.49</v>
      </c>
    </row>
    <row r="994" spans="1:2" x14ac:dyDescent="0.25">
      <c r="A994" s="3">
        <v>40248</v>
      </c>
      <c r="B994">
        <v>1181.5999999999999</v>
      </c>
    </row>
    <row r="995" spans="1:2" x14ac:dyDescent="0.25">
      <c r="A995" s="3">
        <v>40249</v>
      </c>
      <c r="B995">
        <v>1182.6400000000001</v>
      </c>
    </row>
    <row r="996" spans="1:2" x14ac:dyDescent="0.25">
      <c r="A996" s="3">
        <v>40252</v>
      </c>
      <c r="B996">
        <v>1181.32</v>
      </c>
    </row>
    <row r="997" spans="1:2" x14ac:dyDescent="0.25">
      <c r="A997" s="3">
        <v>40253</v>
      </c>
      <c r="B997">
        <v>1182.6600000000001</v>
      </c>
    </row>
    <row r="998" spans="1:2" x14ac:dyDescent="0.25">
      <c r="A998" s="3">
        <v>40254</v>
      </c>
      <c r="B998">
        <v>1182.58</v>
      </c>
    </row>
    <row r="999" spans="1:2" x14ac:dyDescent="0.25">
      <c r="A999" s="3">
        <v>40255</v>
      </c>
      <c r="B999">
        <v>1180.94</v>
      </c>
    </row>
    <row r="1000" spans="1:2" x14ac:dyDescent="0.25">
      <c r="A1000" s="3">
        <v>40256</v>
      </c>
      <c r="B1000">
        <v>1179.93</v>
      </c>
    </row>
    <row r="1001" spans="1:2" x14ac:dyDescent="0.25">
      <c r="A1001" s="3">
        <v>40259</v>
      </c>
      <c r="B1001">
        <v>1179.97</v>
      </c>
    </row>
    <row r="1002" spans="1:2" x14ac:dyDescent="0.25">
      <c r="A1002" s="3">
        <v>40260</v>
      </c>
      <c r="B1002">
        <v>1180.04</v>
      </c>
    </row>
    <row r="1003" spans="1:2" x14ac:dyDescent="0.25">
      <c r="A1003" s="3">
        <v>40261</v>
      </c>
      <c r="B1003">
        <v>1177.73</v>
      </c>
    </row>
    <row r="1004" spans="1:2" x14ac:dyDescent="0.25">
      <c r="A1004" s="3">
        <v>40262</v>
      </c>
      <c r="B1004">
        <v>1177.67</v>
      </c>
    </row>
    <row r="1005" spans="1:2" x14ac:dyDescent="0.25">
      <c r="A1005" s="3">
        <v>40263</v>
      </c>
      <c r="B1005">
        <v>1178.22</v>
      </c>
    </row>
    <row r="1006" spans="1:2" x14ac:dyDescent="0.25">
      <c r="A1006" s="3">
        <v>40266</v>
      </c>
      <c r="B1006">
        <v>1179.21</v>
      </c>
    </row>
    <row r="1007" spans="1:2" x14ac:dyDescent="0.25">
      <c r="A1007" s="3">
        <v>40267</v>
      </c>
      <c r="B1007">
        <v>1178.76</v>
      </c>
    </row>
    <row r="1008" spans="1:2" x14ac:dyDescent="0.25">
      <c r="A1008" s="3">
        <v>40268</v>
      </c>
      <c r="B1008">
        <v>1222.74</v>
      </c>
    </row>
    <row r="1009" spans="1:2" x14ac:dyDescent="0.25">
      <c r="A1009" s="3">
        <v>40269</v>
      </c>
      <c r="B1009">
        <v>1222.92</v>
      </c>
    </row>
    <row r="1010" spans="1:2" x14ac:dyDescent="0.25">
      <c r="A1010" s="3">
        <v>40273</v>
      </c>
      <c r="B1010">
        <v>1222.56</v>
      </c>
    </row>
    <row r="1011" spans="1:2" x14ac:dyDescent="0.25">
      <c r="A1011" s="3">
        <v>40274</v>
      </c>
      <c r="B1011">
        <v>1221.1099999999999</v>
      </c>
    </row>
    <row r="1012" spans="1:2" x14ac:dyDescent="0.25">
      <c r="A1012" s="3">
        <v>40275</v>
      </c>
      <c r="B1012">
        <v>1220.67</v>
      </c>
    </row>
    <row r="1013" spans="1:2" x14ac:dyDescent="0.25">
      <c r="A1013" s="3">
        <v>40276</v>
      </c>
      <c r="B1013">
        <v>1220.83</v>
      </c>
    </row>
    <row r="1014" spans="1:2" x14ac:dyDescent="0.25">
      <c r="A1014" s="3">
        <v>40277</v>
      </c>
      <c r="B1014">
        <v>1222</v>
      </c>
    </row>
    <row r="1015" spans="1:2" x14ac:dyDescent="0.25">
      <c r="A1015" s="3">
        <v>40280</v>
      </c>
      <c r="B1015">
        <v>1223.93</v>
      </c>
    </row>
    <row r="1016" spans="1:2" x14ac:dyDescent="0.25">
      <c r="A1016" s="3">
        <v>40281</v>
      </c>
      <c r="B1016">
        <v>1223.33</v>
      </c>
    </row>
    <row r="1017" spans="1:2" x14ac:dyDescent="0.25">
      <c r="A1017" s="3">
        <v>40282</v>
      </c>
      <c r="B1017">
        <v>1224.26</v>
      </c>
    </row>
    <row r="1018" spans="1:2" x14ac:dyDescent="0.25">
      <c r="A1018" s="3">
        <v>40283</v>
      </c>
      <c r="B1018">
        <v>1223.57</v>
      </c>
    </row>
    <row r="1019" spans="1:2" x14ac:dyDescent="0.25">
      <c r="A1019" s="3">
        <v>40284</v>
      </c>
      <c r="B1019">
        <v>1222.76</v>
      </c>
    </row>
    <row r="1020" spans="1:2" x14ac:dyDescent="0.25">
      <c r="A1020" s="3">
        <v>40287</v>
      </c>
      <c r="B1020">
        <v>1222.1300000000001</v>
      </c>
    </row>
    <row r="1021" spans="1:2" x14ac:dyDescent="0.25">
      <c r="A1021" s="3">
        <v>40288</v>
      </c>
      <c r="B1021">
        <v>1222.21</v>
      </c>
    </row>
    <row r="1022" spans="1:2" x14ac:dyDescent="0.25">
      <c r="A1022" s="3">
        <v>40289</v>
      </c>
      <c r="B1022">
        <v>1221.42</v>
      </c>
    </row>
    <row r="1023" spans="1:2" x14ac:dyDescent="0.25">
      <c r="A1023" s="3">
        <v>40290</v>
      </c>
      <c r="B1023">
        <v>1220.29</v>
      </c>
    </row>
    <row r="1024" spans="1:2" x14ac:dyDescent="0.25">
      <c r="A1024" s="3">
        <v>40291</v>
      </c>
      <c r="B1024">
        <v>1220.9100000000001</v>
      </c>
    </row>
    <row r="1025" spans="1:2" x14ac:dyDescent="0.25">
      <c r="A1025" s="3">
        <v>40294</v>
      </c>
      <c r="B1025">
        <v>1220.6199999999999</v>
      </c>
    </row>
    <row r="1026" spans="1:2" x14ac:dyDescent="0.25">
      <c r="A1026" s="3">
        <v>40295</v>
      </c>
      <c r="B1026">
        <v>1220.42</v>
      </c>
    </row>
    <row r="1027" spans="1:2" x14ac:dyDescent="0.25">
      <c r="A1027" s="3">
        <v>40296</v>
      </c>
      <c r="B1027">
        <v>1218.97</v>
      </c>
    </row>
    <row r="1028" spans="1:2" x14ac:dyDescent="0.25">
      <c r="A1028" s="3">
        <v>40297</v>
      </c>
      <c r="B1028">
        <v>1219.57</v>
      </c>
    </row>
    <row r="1029" spans="1:2" x14ac:dyDescent="0.25">
      <c r="A1029" s="3">
        <v>40298</v>
      </c>
      <c r="B1029">
        <v>1220.28</v>
      </c>
    </row>
    <row r="1030" spans="1:2" x14ac:dyDescent="0.25">
      <c r="A1030" s="3">
        <v>40301</v>
      </c>
      <c r="B1030">
        <v>1218.73</v>
      </c>
    </row>
    <row r="1031" spans="1:2" x14ac:dyDescent="0.25">
      <c r="A1031" s="3">
        <v>40302</v>
      </c>
      <c r="B1031">
        <v>1216.82</v>
      </c>
    </row>
    <row r="1032" spans="1:2" x14ac:dyDescent="0.25">
      <c r="A1032" s="3">
        <v>40303</v>
      </c>
      <c r="B1032">
        <v>1214.77</v>
      </c>
    </row>
    <row r="1033" spans="1:2" x14ac:dyDescent="0.25">
      <c r="A1033" s="3">
        <v>40304</v>
      </c>
      <c r="B1033">
        <v>1212.77</v>
      </c>
    </row>
    <row r="1034" spans="1:2" x14ac:dyDescent="0.25">
      <c r="A1034" s="3">
        <v>40305</v>
      </c>
      <c r="B1034">
        <v>1211.74</v>
      </c>
    </row>
    <row r="1035" spans="1:2" x14ac:dyDescent="0.25">
      <c r="A1035" s="3">
        <v>40308</v>
      </c>
      <c r="B1035">
        <v>1214.3499999999999</v>
      </c>
    </row>
    <row r="1036" spans="1:2" x14ac:dyDescent="0.25">
      <c r="A1036" s="3">
        <v>40309</v>
      </c>
      <c r="B1036">
        <v>1212.51</v>
      </c>
    </row>
    <row r="1037" spans="1:2" x14ac:dyDescent="0.25">
      <c r="A1037" s="3">
        <v>40310</v>
      </c>
      <c r="B1037">
        <v>1212.3800000000001</v>
      </c>
    </row>
    <row r="1038" spans="1:2" x14ac:dyDescent="0.25">
      <c r="A1038" s="3">
        <v>40311</v>
      </c>
      <c r="B1038">
        <v>1210.98</v>
      </c>
    </row>
    <row r="1039" spans="1:2" x14ac:dyDescent="0.25">
      <c r="A1039" s="3">
        <v>40312</v>
      </c>
      <c r="B1039">
        <v>1209.1400000000001</v>
      </c>
    </row>
    <row r="1040" spans="1:2" x14ac:dyDescent="0.25">
      <c r="A1040" s="3">
        <v>40315</v>
      </c>
      <c r="B1040">
        <v>1207.8599999999999</v>
      </c>
    </row>
    <row r="1041" spans="1:2" x14ac:dyDescent="0.25">
      <c r="A1041" s="3">
        <v>40316</v>
      </c>
      <c r="B1041">
        <v>1208.29</v>
      </c>
    </row>
    <row r="1042" spans="1:2" x14ac:dyDescent="0.25">
      <c r="A1042" s="3">
        <v>40317</v>
      </c>
      <c r="B1042">
        <v>1207.46</v>
      </c>
    </row>
    <row r="1043" spans="1:2" x14ac:dyDescent="0.25">
      <c r="A1043" s="3">
        <v>40318</v>
      </c>
      <c r="B1043">
        <v>1207.1600000000001</v>
      </c>
    </row>
    <row r="1044" spans="1:2" x14ac:dyDescent="0.25">
      <c r="A1044" s="3">
        <v>40319</v>
      </c>
      <c r="B1044">
        <v>1209.94</v>
      </c>
    </row>
    <row r="1045" spans="1:2" x14ac:dyDescent="0.25">
      <c r="A1045" s="3">
        <v>40322</v>
      </c>
      <c r="B1045">
        <v>1207.8699999999999</v>
      </c>
    </row>
    <row r="1046" spans="1:2" x14ac:dyDescent="0.25">
      <c r="A1046" s="3">
        <v>40323</v>
      </c>
      <c r="B1046">
        <v>1206.04</v>
      </c>
    </row>
    <row r="1047" spans="1:2" x14ac:dyDescent="0.25">
      <c r="A1047" s="3">
        <v>40324</v>
      </c>
      <c r="B1047">
        <v>1206.04</v>
      </c>
    </row>
    <row r="1048" spans="1:2" x14ac:dyDescent="0.25">
      <c r="A1048" s="3">
        <v>40325</v>
      </c>
      <c r="B1048">
        <v>1206.71</v>
      </c>
    </row>
    <row r="1049" spans="1:2" x14ac:dyDescent="0.25">
      <c r="A1049" s="3">
        <v>40326</v>
      </c>
      <c r="B1049">
        <v>1207.47</v>
      </c>
    </row>
    <row r="1050" spans="1:2" x14ac:dyDescent="0.25">
      <c r="A1050" s="3">
        <v>40330</v>
      </c>
      <c r="B1050">
        <v>1207.04</v>
      </c>
    </row>
    <row r="1051" spans="1:2" x14ac:dyDescent="0.25">
      <c r="A1051" s="3">
        <v>40331</v>
      </c>
      <c r="B1051">
        <v>1205.8399999999999</v>
      </c>
    </row>
    <row r="1052" spans="1:2" x14ac:dyDescent="0.25">
      <c r="A1052" s="3">
        <v>40332</v>
      </c>
      <c r="B1052">
        <v>1206.03</v>
      </c>
    </row>
    <row r="1053" spans="1:2" x14ac:dyDescent="0.25">
      <c r="A1053" s="3">
        <v>40333</v>
      </c>
      <c r="B1053">
        <v>1203.8599999999999</v>
      </c>
    </row>
    <row r="1054" spans="1:2" x14ac:dyDescent="0.25">
      <c r="A1054" s="3">
        <v>40336</v>
      </c>
      <c r="B1054">
        <v>1202.4000000000001</v>
      </c>
    </row>
    <row r="1055" spans="1:2" x14ac:dyDescent="0.25">
      <c r="A1055" s="3">
        <v>40337</v>
      </c>
      <c r="B1055">
        <v>1202.57</v>
      </c>
    </row>
    <row r="1056" spans="1:2" x14ac:dyDescent="0.25">
      <c r="A1056" s="3">
        <v>40338</v>
      </c>
      <c r="B1056">
        <v>1204.18</v>
      </c>
    </row>
    <row r="1057" spans="1:2" x14ac:dyDescent="0.25">
      <c r="A1057" s="3">
        <v>40339</v>
      </c>
      <c r="B1057">
        <v>1204.95</v>
      </c>
    </row>
    <row r="1058" spans="1:2" x14ac:dyDescent="0.25">
      <c r="A1058" s="3">
        <v>40340</v>
      </c>
      <c r="B1058">
        <v>1204.76</v>
      </c>
    </row>
    <row r="1059" spans="1:2" x14ac:dyDescent="0.25">
      <c r="A1059" s="3">
        <v>40343</v>
      </c>
      <c r="B1059">
        <v>1207.23</v>
      </c>
    </row>
    <row r="1060" spans="1:2" x14ac:dyDescent="0.25">
      <c r="A1060" s="3">
        <v>40344</v>
      </c>
      <c r="B1060">
        <v>1207.5899999999999</v>
      </c>
    </row>
    <row r="1061" spans="1:2" x14ac:dyDescent="0.25">
      <c r="A1061" s="3">
        <v>40345</v>
      </c>
      <c r="B1061">
        <v>1207.74</v>
      </c>
    </row>
    <row r="1062" spans="1:2" x14ac:dyDescent="0.25">
      <c r="A1062" s="3">
        <v>40346</v>
      </c>
      <c r="B1062">
        <v>1208.1600000000001</v>
      </c>
    </row>
    <row r="1063" spans="1:2" x14ac:dyDescent="0.25">
      <c r="A1063" s="3">
        <v>40347</v>
      </c>
      <c r="B1063">
        <v>1208.58</v>
      </c>
    </row>
    <row r="1064" spans="1:2" x14ac:dyDescent="0.25">
      <c r="A1064" s="3">
        <v>40350</v>
      </c>
      <c r="B1064">
        <v>1208.68</v>
      </c>
    </row>
    <row r="1065" spans="1:2" x14ac:dyDescent="0.25">
      <c r="A1065" s="3">
        <v>40351</v>
      </c>
      <c r="B1065">
        <v>1207.49</v>
      </c>
    </row>
    <row r="1066" spans="1:2" x14ac:dyDescent="0.25">
      <c r="A1066" s="3">
        <v>40352</v>
      </c>
      <c r="B1066">
        <v>1206.92</v>
      </c>
    </row>
    <row r="1067" spans="1:2" x14ac:dyDescent="0.25">
      <c r="A1067" s="3">
        <v>40353</v>
      </c>
      <c r="B1067">
        <v>1207.8499999999999</v>
      </c>
    </row>
    <row r="1068" spans="1:2" x14ac:dyDescent="0.25">
      <c r="A1068" s="3">
        <v>40354</v>
      </c>
      <c r="B1068">
        <v>1207.57</v>
      </c>
    </row>
    <row r="1069" spans="1:2" x14ac:dyDescent="0.25">
      <c r="A1069" s="3">
        <v>40357</v>
      </c>
      <c r="B1069">
        <v>1208.24</v>
      </c>
    </row>
    <row r="1070" spans="1:2" x14ac:dyDescent="0.25">
      <c r="A1070" s="3">
        <v>40358</v>
      </c>
      <c r="B1070">
        <v>1206.17</v>
      </c>
    </row>
    <row r="1071" spans="1:2" x14ac:dyDescent="0.25">
      <c r="A1071" s="3">
        <v>40359</v>
      </c>
      <c r="B1071">
        <v>1228.3</v>
      </c>
    </row>
    <row r="1072" spans="1:2" x14ac:dyDescent="0.25">
      <c r="A1072" s="3">
        <v>40360</v>
      </c>
      <c r="B1072">
        <v>1230.95</v>
      </c>
    </row>
    <row r="1073" spans="1:2" x14ac:dyDescent="0.25">
      <c r="A1073" s="3">
        <v>40361</v>
      </c>
      <c r="B1073">
        <v>1232.95</v>
      </c>
    </row>
    <row r="1074" spans="1:2" x14ac:dyDescent="0.25">
      <c r="A1074" s="3">
        <v>40365</v>
      </c>
      <c r="B1074">
        <v>1233.6600000000001</v>
      </c>
    </row>
    <row r="1075" spans="1:2" x14ac:dyDescent="0.25">
      <c r="A1075" s="3">
        <v>40366</v>
      </c>
      <c r="B1075">
        <v>1233.5</v>
      </c>
    </row>
    <row r="1076" spans="1:2" x14ac:dyDescent="0.25">
      <c r="A1076" s="3">
        <v>40367</v>
      </c>
      <c r="B1076">
        <v>1234.19</v>
      </c>
    </row>
    <row r="1077" spans="1:2" x14ac:dyDescent="0.25">
      <c r="A1077" s="3">
        <v>40368</v>
      </c>
      <c r="B1077">
        <v>1233.5999999999999</v>
      </c>
    </row>
    <row r="1078" spans="1:2" x14ac:dyDescent="0.25">
      <c r="A1078" s="3">
        <v>40371</v>
      </c>
      <c r="B1078">
        <v>1232.95</v>
      </c>
    </row>
    <row r="1079" spans="1:2" x14ac:dyDescent="0.25">
      <c r="A1079" s="3">
        <v>40372</v>
      </c>
      <c r="B1079">
        <v>1234.1400000000001</v>
      </c>
    </row>
    <row r="1080" spans="1:2" x14ac:dyDescent="0.25">
      <c r="A1080" s="3">
        <v>40373</v>
      </c>
      <c r="B1080">
        <v>1234.99</v>
      </c>
    </row>
    <row r="1081" spans="1:2" x14ac:dyDescent="0.25">
      <c r="A1081" s="3">
        <v>40374</v>
      </c>
      <c r="B1081">
        <v>1237.0999999999999</v>
      </c>
    </row>
    <row r="1082" spans="1:2" x14ac:dyDescent="0.25">
      <c r="A1082" s="3">
        <v>40375</v>
      </c>
      <c r="B1082">
        <v>1237.78</v>
      </c>
    </row>
    <row r="1083" spans="1:2" x14ac:dyDescent="0.25">
      <c r="A1083" s="3">
        <v>40378</v>
      </c>
      <c r="B1083">
        <v>1237.81</v>
      </c>
    </row>
    <row r="1084" spans="1:2" x14ac:dyDescent="0.25">
      <c r="A1084" s="3">
        <v>40379</v>
      </c>
      <c r="B1084">
        <v>1236.8599999999999</v>
      </c>
    </row>
    <row r="1085" spans="1:2" x14ac:dyDescent="0.25">
      <c r="A1085" s="3">
        <v>40380</v>
      </c>
      <c r="B1085">
        <v>1236.08</v>
      </c>
    </row>
    <row r="1086" spans="1:2" x14ac:dyDescent="0.25">
      <c r="A1086" s="3">
        <v>40381</v>
      </c>
      <c r="B1086">
        <v>1237.3599999999999</v>
      </c>
    </row>
    <row r="1087" spans="1:2" x14ac:dyDescent="0.25">
      <c r="A1087" s="3">
        <v>40382</v>
      </c>
      <c r="B1087">
        <v>1236.33</v>
      </c>
    </row>
    <row r="1088" spans="1:2" x14ac:dyDescent="0.25">
      <c r="A1088" s="3">
        <v>40385</v>
      </c>
      <c r="B1088">
        <v>1237.9100000000001</v>
      </c>
    </row>
    <row r="1089" spans="1:2" x14ac:dyDescent="0.25">
      <c r="A1089" s="3">
        <v>40386</v>
      </c>
      <c r="B1089">
        <v>1238.5999999999999</v>
      </c>
    </row>
    <row r="1090" spans="1:2" x14ac:dyDescent="0.25">
      <c r="A1090" s="3">
        <v>40387</v>
      </c>
      <c r="B1090">
        <v>1238.95</v>
      </c>
    </row>
    <row r="1091" spans="1:2" x14ac:dyDescent="0.25">
      <c r="A1091" s="3">
        <v>40388</v>
      </c>
      <c r="B1091">
        <v>1239.93</v>
      </c>
    </row>
    <row r="1092" spans="1:2" x14ac:dyDescent="0.25">
      <c r="A1092" s="3">
        <v>40389</v>
      </c>
      <c r="B1092">
        <v>1239.33</v>
      </c>
    </row>
    <row r="1093" spans="1:2" x14ac:dyDescent="0.25">
      <c r="A1093" s="3">
        <v>40392</v>
      </c>
      <c r="B1093">
        <v>1241.57</v>
      </c>
    </row>
    <row r="1094" spans="1:2" x14ac:dyDescent="0.25">
      <c r="A1094" s="3">
        <v>40393</v>
      </c>
      <c r="B1094">
        <v>1242.07</v>
      </c>
    </row>
    <row r="1095" spans="1:2" x14ac:dyDescent="0.25">
      <c r="A1095" s="3">
        <v>40394</v>
      </c>
      <c r="B1095">
        <v>1241.05</v>
      </c>
    </row>
    <row r="1096" spans="1:2" x14ac:dyDescent="0.25">
      <c r="A1096" s="3">
        <v>40395</v>
      </c>
      <c r="B1096">
        <v>1241.1500000000001</v>
      </c>
    </row>
    <row r="1097" spans="1:2" x14ac:dyDescent="0.25">
      <c r="A1097" s="3">
        <v>40396</v>
      </c>
      <c r="B1097">
        <v>1243</v>
      </c>
    </row>
    <row r="1098" spans="1:2" x14ac:dyDescent="0.25">
      <c r="A1098" s="3">
        <v>40399</v>
      </c>
      <c r="B1098">
        <v>1242.3900000000001</v>
      </c>
    </row>
    <row r="1099" spans="1:2" x14ac:dyDescent="0.25">
      <c r="A1099" s="3">
        <v>40400</v>
      </c>
      <c r="B1099">
        <v>1240.17</v>
      </c>
    </row>
    <row r="1100" spans="1:2" x14ac:dyDescent="0.25">
      <c r="A1100" s="3">
        <v>40401</v>
      </c>
      <c r="B1100">
        <v>1237.67</v>
      </c>
    </row>
    <row r="1101" spans="1:2" x14ac:dyDescent="0.25">
      <c r="A1101" s="3">
        <v>40402</v>
      </c>
      <c r="B1101">
        <v>1236.8599999999999</v>
      </c>
    </row>
    <row r="1102" spans="1:2" x14ac:dyDescent="0.25">
      <c r="A1102" s="3">
        <v>40403</v>
      </c>
      <c r="B1102">
        <v>1235.81</v>
      </c>
    </row>
    <row r="1103" spans="1:2" x14ac:dyDescent="0.25">
      <c r="A1103" s="3">
        <v>40406</v>
      </c>
      <c r="B1103">
        <v>1236.95</v>
      </c>
    </row>
    <row r="1104" spans="1:2" x14ac:dyDescent="0.25">
      <c r="A1104" s="3">
        <v>40407</v>
      </c>
      <c r="B1104">
        <v>1237.3</v>
      </c>
    </row>
    <row r="1105" spans="1:2" x14ac:dyDescent="0.25">
      <c r="A1105" s="3">
        <v>40408</v>
      </c>
      <c r="B1105">
        <v>1237.06</v>
      </c>
    </row>
    <row r="1106" spans="1:2" x14ac:dyDescent="0.25">
      <c r="A1106" s="3">
        <v>40409</v>
      </c>
      <c r="B1106">
        <v>1237.2</v>
      </c>
    </row>
    <row r="1107" spans="1:2" x14ac:dyDescent="0.25">
      <c r="A1107" s="3">
        <v>40410</v>
      </c>
      <c r="B1107">
        <v>1234.73</v>
      </c>
    </row>
    <row r="1108" spans="1:2" x14ac:dyDescent="0.25">
      <c r="A1108" s="3">
        <v>40413</v>
      </c>
      <c r="B1108">
        <v>1234.43</v>
      </c>
    </row>
    <row r="1109" spans="1:2" x14ac:dyDescent="0.25">
      <c r="A1109" s="3">
        <v>40414</v>
      </c>
      <c r="B1109">
        <v>1234.67</v>
      </c>
    </row>
    <row r="1110" spans="1:2" x14ac:dyDescent="0.25">
      <c r="A1110" s="3">
        <v>40415</v>
      </c>
      <c r="B1110">
        <v>1233.8499999999999</v>
      </c>
    </row>
    <row r="1111" spans="1:2" x14ac:dyDescent="0.25">
      <c r="A1111" s="3">
        <v>40416</v>
      </c>
      <c r="B1111">
        <v>1235.49</v>
      </c>
    </row>
    <row r="1112" spans="1:2" x14ac:dyDescent="0.25">
      <c r="A1112" s="3">
        <v>40417</v>
      </c>
      <c r="B1112">
        <v>1235.21</v>
      </c>
    </row>
    <row r="1113" spans="1:2" x14ac:dyDescent="0.25">
      <c r="A1113" s="3">
        <v>40420</v>
      </c>
      <c r="B1113">
        <v>1234.82</v>
      </c>
    </row>
    <row r="1114" spans="1:2" x14ac:dyDescent="0.25">
      <c r="A1114" s="3">
        <v>40421</v>
      </c>
      <c r="B1114">
        <v>1234.96</v>
      </c>
    </row>
    <row r="1115" spans="1:2" x14ac:dyDescent="0.25">
      <c r="A1115" s="3">
        <v>40422</v>
      </c>
      <c r="B1115">
        <v>1236.5999999999999</v>
      </c>
    </row>
    <row r="1116" spans="1:2" x14ac:dyDescent="0.25">
      <c r="A1116" s="3">
        <v>40423</v>
      </c>
      <c r="B1116">
        <v>1236.7</v>
      </c>
    </row>
    <row r="1117" spans="1:2" x14ac:dyDescent="0.25">
      <c r="A1117" s="3">
        <v>40424</v>
      </c>
      <c r="B1117">
        <v>1237.21</v>
      </c>
    </row>
    <row r="1118" spans="1:2" x14ac:dyDescent="0.25">
      <c r="A1118" s="3">
        <v>40428</v>
      </c>
      <c r="B1118">
        <v>1235.4100000000001</v>
      </c>
    </row>
    <row r="1119" spans="1:2" x14ac:dyDescent="0.25">
      <c r="A1119" s="3">
        <v>40429</v>
      </c>
      <c r="B1119">
        <v>1235.81</v>
      </c>
    </row>
    <row r="1120" spans="1:2" x14ac:dyDescent="0.25">
      <c r="A1120" s="3">
        <v>40430</v>
      </c>
      <c r="B1120">
        <v>1235.8</v>
      </c>
    </row>
    <row r="1121" spans="1:2" x14ac:dyDescent="0.25">
      <c r="A1121" s="3">
        <v>40431</v>
      </c>
      <c r="B1121">
        <v>1235.5899999999999</v>
      </c>
    </row>
    <row r="1122" spans="1:2" x14ac:dyDescent="0.25">
      <c r="A1122" s="3">
        <v>40434</v>
      </c>
      <c r="B1122">
        <v>1237.54</v>
      </c>
    </row>
    <row r="1123" spans="1:2" x14ac:dyDescent="0.25">
      <c r="A1123" s="3">
        <v>40435</v>
      </c>
      <c r="B1123">
        <v>1239.01</v>
      </c>
    </row>
    <row r="1124" spans="1:2" x14ac:dyDescent="0.25">
      <c r="A1124" s="3">
        <v>40436</v>
      </c>
      <c r="B1124">
        <v>1239.7</v>
      </c>
    </row>
    <row r="1125" spans="1:2" x14ac:dyDescent="0.25">
      <c r="A1125" s="3">
        <v>40437</v>
      </c>
      <c r="B1125">
        <v>1240.57</v>
      </c>
    </row>
    <row r="1126" spans="1:2" x14ac:dyDescent="0.25">
      <c r="A1126" s="3">
        <v>40438</v>
      </c>
      <c r="B1126">
        <v>1239.8499999999999</v>
      </c>
    </row>
    <row r="1127" spans="1:2" x14ac:dyDescent="0.25">
      <c r="A1127" s="3">
        <v>40441</v>
      </c>
      <c r="B1127">
        <v>1240.42</v>
      </c>
    </row>
    <row r="1128" spans="1:2" x14ac:dyDescent="0.25">
      <c r="A1128" s="3">
        <v>40442</v>
      </c>
      <c r="B1128">
        <v>1240.99</v>
      </c>
    </row>
    <row r="1129" spans="1:2" x14ac:dyDescent="0.25">
      <c r="A1129" s="3">
        <v>40443</v>
      </c>
      <c r="B1129">
        <v>1244.72</v>
      </c>
    </row>
    <row r="1130" spans="1:2" x14ac:dyDescent="0.25">
      <c r="A1130" s="3">
        <v>40444</v>
      </c>
      <c r="B1130">
        <v>1243.71</v>
      </c>
    </row>
    <row r="1131" spans="1:2" x14ac:dyDescent="0.25">
      <c r="A1131" s="3">
        <v>40445</v>
      </c>
      <c r="B1131">
        <v>1245.67</v>
      </c>
    </row>
    <row r="1132" spans="1:2" x14ac:dyDescent="0.25">
      <c r="A1132" s="3">
        <v>40448</v>
      </c>
      <c r="B1132">
        <v>1245.6500000000001</v>
      </c>
    </row>
    <row r="1133" spans="1:2" x14ac:dyDescent="0.25">
      <c r="A1133" s="3">
        <v>40449</v>
      </c>
      <c r="B1133">
        <v>1246.6199999999999</v>
      </c>
    </row>
    <row r="1134" spans="1:2" x14ac:dyDescent="0.25">
      <c r="A1134" s="3">
        <v>40450</v>
      </c>
      <c r="B1134">
        <v>1247.33</v>
      </c>
    </row>
    <row r="1135" spans="1:2" x14ac:dyDescent="0.25">
      <c r="A1135" s="3">
        <v>40451</v>
      </c>
      <c r="B1135">
        <v>1304.46</v>
      </c>
    </row>
    <row r="1136" spans="1:2" x14ac:dyDescent="0.25">
      <c r="A1136" s="3">
        <v>40452</v>
      </c>
      <c r="B1136">
        <v>1305.79</v>
      </c>
    </row>
    <row r="1137" spans="1:2" x14ac:dyDescent="0.25">
      <c r="A1137" s="3">
        <v>40455</v>
      </c>
      <c r="B1137">
        <v>1304.9100000000001</v>
      </c>
    </row>
    <row r="1138" spans="1:2" x14ac:dyDescent="0.25">
      <c r="A1138" s="3">
        <v>40456</v>
      </c>
      <c r="B1138">
        <v>1307.1099999999999</v>
      </c>
    </row>
    <row r="1139" spans="1:2" x14ac:dyDescent="0.25">
      <c r="A1139" s="3">
        <v>40457</v>
      </c>
      <c r="B1139">
        <v>1307.83</v>
      </c>
    </row>
    <row r="1140" spans="1:2" x14ac:dyDescent="0.25">
      <c r="A1140" s="3">
        <v>40458</v>
      </c>
      <c r="B1140">
        <v>1308.6300000000001</v>
      </c>
    </row>
    <row r="1141" spans="1:2" x14ac:dyDescent="0.25">
      <c r="A1141" s="3">
        <v>40459</v>
      </c>
      <c r="B1141">
        <v>1308.53</v>
      </c>
    </row>
    <row r="1142" spans="1:2" x14ac:dyDescent="0.25">
      <c r="A1142" s="3">
        <v>40462</v>
      </c>
      <c r="B1142">
        <v>1308.03</v>
      </c>
    </row>
    <row r="1143" spans="1:2" x14ac:dyDescent="0.25">
      <c r="A1143" s="3">
        <v>40463</v>
      </c>
      <c r="B1143">
        <v>1307.1400000000001</v>
      </c>
    </row>
    <row r="1144" spans="1:2" x14ac:dyDescent="0.25">
      <c r="A1144" s="3">
        <v>40464</v>
      </c>
      <c r="B1144">
        <v>1308.96</v>
      </c>
    </row>
    <row r="1145" spans="1:2" x14ac:dyDescent="0.25">
      <c r="A1145" s="3">
        <v>40465</v>
      </c>
      <c r="B1145">
        <v>1310.79</v>
      </c>
    </row>
    <row r="1146" spans="1:2" x14ac:dyDescent="0.25">
      <c r="A1146" s="3">
        <v>40466</v>
      </c>
      <c r="B1146">
        <v>1309.73</v>
      </c>
    </row>
    <row r="1147" spans="1:2" x14ac:dyDescent="0.25">
      <c r="A1147" s="3">
        <v>40469</v>
      </c>
      <c r="B1147">
        <v>1309.0899999999999</v>
      </c>
    </row>
    <row r="1148" spans="1:2" x14ac:dyDescent="0.25">
      <c r="A1148" s="3">
        <v>40470</v>
      </c>
      <c r="B1148">
        <v>1306.3499999999999</v>
      </c>
    </row>
    <row r="1149" spans="1:2" x14ac:dyDescent="0.25">
      <c r="A1149" s="3">
        <v>40471</v>
      </c>
      <c r="B1149">
        <v>1309</v>
      </c>
    </row>
    <row r="1150" spans="1:2" x14ac:dyDescent="0.25">
      <c r="A1150" s="3">
        <v>40472</v>
      </c>
      <c r="B1150">
        <v>1309.3699999999999</v>
      </c>
    </row>
    <row r="1151" spans="1:2" x14ac:dyDescent="0.25">
      <c r="A1151" s="3">
        <v>40473</v>
      </c>
      <c r="B1151">
        <v>1308.19</v>
      </c>
    </row>
    <row r="1152" spans="1:2" x14ac:dyDescent="0.25">
      <c r="A1152" s="3">
        <v>40476</v>
      </c>
      <c r="B1152">
        <v>1309.0999999999999</v>
      </c>
    </row>
    <row r="1153" spans="1:2" x14ac:dyDescent="0.25">
      <c r="A1153" s="3">
        <v>40477</v>
      </c>
      <c r="B1153">
        <v>1307.6400000000001</v>
      </c>
    </row>
    <row r="1154" spans="1:2" x14ac:dyDescent="0.25">
      <c r="A1154" s="3">
        <v>40478</v>
      </c>
      <c r="B1154">
        <v>1306.18</v>
      </c>
    </row>
    <row r="1155" spans="1:2" x14ac:dyDescent="0.25">
      <c r="A1155" s="3">
        <v>40479</v>
      </c>
      <c r="B1155">
        <v>1308.03</v>
      </c>
    </row>
    <row r="1156" spans="1:2" x14ac:dyDescent="0.25">
      <c r="A1156" s="3">
        <v>40480</v>
      </c>
      <c r="B1156">
        <v>1308.17</v>
      </c>
    </row>
    <row r="1157" spans="1:2" x14ac:dyDescent="0.25">
      <c r="A1157" s="3">
        <v>40483</v>
      </c>
      <c r="B1157">
        <v>1308.1199999999999</v>
      </c>
    </row>
    <row r="1158" spans="1:2" x14ac:dyDescent="0.25">
      <c r="A1158" s="3">
        <v>40484</v>
      </c>
      <c r="B1158">
        <v>1310.04</v>
      </c>
    </row>
    <row r="1159" spans="1:2" x14ac:dyDescent="0.25">
      <c r="A1159" s="3">
        <v>40485</v>
      </c>
      <c r="B1159">
        <v>1309.9000000000001</v>
      </c>
    </row>
    <row r="1160" spans="1:2" x14ac:dyDescent="0.25">
      <c r="A1160" s="3">
        <v>40486</v>
      </c>
      <c r="B1160">
        <v>1313.07</v>
      </c>
    </row>
    <row r="1161" spans="1:2" x14ac:dyDescent="0.25">
      <c r="A1161" s="3">
        <v>40487</v>
      </c>
      <c r="B1161">
        <v>1310.43</v>
      </c>
    </row>
    <row r="1162" spans="1:2" x14ac:dyDescent="0.25">
      <c r="A1162" s="3">
        <v>40490</v>
      </c>
      <c r="B1162">
        <v>1308.58</v>
      </c>
    </row>
    <row r="1163" spans="1:2" x14ac:dyDescent="0.25">
      <c r="A1163" s="3">
        <v>40491</v>
      </c>
      <c r="B1163">
        <v>1308.79</v>
      </c>
    </row>
    <row r="1164" spans="1:2" x14ac:dyDescent="0.25">
      <c r="A1164" s="3">
        <v>40492</v>
      </c>
      <c r="B1164">
        <v>1305.6500000000001</v>
      </c>
    </row>
    <row r="1165" spans="1:2" x14ac:dyDescent="0.25">
      <c r="A1165" s="3">
        <v>40493</v>
      </c>
      <c r="B1165">
        <v>1305.33</v>
      </c>
    </row>
    <row r="1166" spans="1:2" x14ac:dyDescent="0.25">
      <c r="A1166" s="3">
        <v>40494</v>
      </c>
      <c r="B1166">
        <v>1305.69</v>
      </c>
    </row>
    <row r="1167" spans="1:2" x14ac:dyDescent="0.25">
      <c r="A1167" s="3">
        <v>40497</v>
      </c>
      <c r="B1167">
        <v>1304.17</v>
      </c>
    </row>
    <row r="1168" spans="1:2" x14ac:dyDescent="0.25">
      <c r="A1168" s="3">
        <v>40498</v>
      </c>
      <c r="B1168">
        <v>1303.3699999999999</v>
      </c>
    </row>
    <row r="1169" spans="1:2" x14ac:dyDescent="0.25">
      <c r="A1169" s="3">
        <v>40499</v>
      </c>
      <c r="B1169">
        <v>1303.28</v>
      </c>
    </row>
    <row r="1170" spans="1:2" x14ac:dyDescent="0.25">
      <c r="A1170" s="3">
        <v>40500</v>
      </c>
      <c r="B1170">
        <v>1304.19</v>
      </c>
    </row>
    <row r="1171" spans="1:2" x14ac:dyDescent="0.25">
      <c r="A1171" s="3">
        <v>40501</v>
      </c>
      <c r="B1171">
        <v>1304.92</v>
      </c>
    </row>
    <row r="1172" spans="1:2" x14ac:dyDescent="0.25">
      <c r="A1172" s="3">
        <v>40504</v>
      </c>
      <c r="B1172">
        <v>1304.23</v>
      </c>
    </row>
    <row r="1173" spans="1:2" x14ac:dyDescent="0.25">
      <c r="A1173" s="3">
        <v>40505</v>
      </c>
      <c r="B1173">
        <v>1301.75</v>
      </c>
    </row>
    <row r="1174" spans="1:2" x14ac:dyDescent="0.25">
      <c r="A1174" s="3">
        <v>40506</v>
      </c>
      <c r="B1174">
        <v>1301.22</v>
      </c>
    </row>
    <row r="1175" spans="1:2" x14ac:dyDescent="0.25">
      <c r="A1175" s="3">
        <v>40508</v>
      </c>
      <c r="B1175">
        <v>1298.52</v>
      </c>
    </row>
    <row r="1176" spans="1:2" x14ac:dyDescent="0.25">
      <c r="A1176" s="3">
        <v>40511</v>
      </c>
      <c r="B1176">
        <v>1296.69</v>
      </c>
    </row>
    <row r="1177" spans="1:2" x14ac:dyDescent="0.25">
      <c r="A1177" s="3">
        <v>40512</v>
      </c>
      <c r="B1177">
        <v>1295.8399999999999</v>
      </c>
    </row>
    <row r="1178" spans="1:2" x14ac:dyDescent="0.25">
      <c r="A1178" s="3">
        <v>40513</v>
      </c>
      <c r="B1178">
        <v>1296.5</v>
      </c>
    </row>
    <row r="1179" spans="1:2" x14ac:dyDescent="0.25">
      <c r="A1179" s="3">
        <v>40514</v>
      </c>
      <c r="B1179">
        <v>1298.03</v>
      </c>
    </row>
    <row r="1180" spans="1:2" x14ac:dyDescent="0.25">
      <c r="A1180" s="3">
        <v>40515</v>
      </c>
      <c r="B1180">
        <v>1301.17</v>
      </c>
    </row>
    <row r="1181" spans="1:2" x14ac:dyDescent="0.25">
      <c r="A1181" s="3">
        <v>40518</v>
      </c>
      <c r="B1181">
        <v>1299.8900000000001</v>
      </c>
    </row>
    <row r="1182" spans="1:2" x14ac:dyDescent="0.25">
      <c r="A1182" s="3">
        <v>40519</v>
      </c>
      <c r="B1182">
        <v>1300.77</v>
      </c>
    </row>
    <row r="1183" spans="1:2" x14ac:dyDescent="0.25">
      <c r="A1183" s="3">
        <v>40520</v>
      </c>
      <c r="B1183">
        <v>1298.81</v>
      </c>
    </row>
    <row r="1184" spans="1:2" x14ac:dyDescent="0.25">
      <c r="A1184" s="3">
        <v>40521</v>
      </c>
      <c r="B1184">
        <v>1298.33</v>
      </c>
    </row>
    <row r="1185" spans="1:2" x14ac:dyDescent="0.25">
      <c r="A1185" s="3">
        <v>40522</v>
      </c>
      <c r="B1185">
        <v>1298.97</v>
      </c>
    </row>
    <row r="1186" spans="1:2" x14ac:dyDescent="0.25">
      <c r="A1186" s="3">
        <v>40525</v>
      </c>
      <c r="B1186">
        <v>1301.3499999999999</v>
      </c>
    </row>
    <row r="1187" spans="1:2" x14ac:dyDescent="0.25">
      <c r="A1187" s="3">
        <v>40526</v>
      </c>
      <c r="B1187">
        <v>1301.3</v>
      </c>
    </row>
    <row r="1188" spans="1:2" x14ac:dyDescent="0.25">
      <c r="A1188" s="3">
        <v>40527</v>
      </c>
      <c r="B1188">
        <v>1300.3900000000001</v>
      </c>
    </row>
    <row r="1189" spans="1:2" x14ac:dyDescent="0.25">
      <c r="A1189" s="3">
        <v>40528</v>
      </c>
      <c r="B1189">
        <v>1298.47</v>
      </c>
    </row>
    <row r="1190" spans="1:2" x14ac:dyDescent="0.25">
      <c r="A1190" s="3">
        <v>40529</v>
      </c>
      <c r="B1190">
        <v>1297.8</v>
      </c>
    </row>
    <row r="1191" spans="1:2" x14ac:dyDescent="0.25">
      <c r="A1191" s="3">
        <v>40532</v>
      </c>
      <c r="B1191">
        <v>1297.24</v>
      </c>
    </row>
    <row r="1192" spans="1:2" x14ac:dyDescent="0.25">
      <c r="A1192" s="3">
        <v>40533</v>
      </c>
      <c r="B1192">
        <v>1297.74</v>
      </c>
    </row>
    <row r="1193" spans="1:2" x14ac:dyDescent="0.25">
      <c r="A1193" s="3">
        <v>40534</v>
      </c>
      <c r="B1193">
        <v>1297.23</v>
      </c>
    </row>
    <row r="1194" spans="1:2" x14ac:dyDescent="0.25">
      <c r="A1194" s="3">
        <v>40535</v>
      </c>
      <c r="B1194">
        <v>1296.9000000000001</v>
      </c>
    </row>
    <row r="1195" spans="1:2" x14ac:dyDescent="0.25">
      <c r="A1195" s="3">
        <v>40539</v>
      </c>
      <c r="B1195">
        <v>1297.99</v>
      </c>
    </row>
    <row r="1196" spans="1:2" x14ac:dyDescent="0.25">
      <c r="A1196" s="3">
        <v>40540</v>
      </c>
      <c r="B1196">
        <v>1297.8499999999999</v>
      </c>
    </row>
    <row r="1197" spans="1:2" x14ac:dyDescent="0.25">
      <c r="A1197" s="3">
        <v>40541</v>
      </c>
      <c r="B1197">
        <v>1297.97</v>
      </c>
    </row>
    <row r="1198" spans="1:2" x14ac:dyDescent="0.25">
      <c r="A1198" s="3">
        <v>40542</v>
      </c>
      <c r="B1198">
        <v>1299.9000000000001</v>
      </c>
    </row>
    <row r="1199" spans="1:2" x14ac:dyDescent="0.25">
      <c r="A1199" s="3">
        <v>40543</v>
      </c>
      <c r="B1199">
        <v>1402.01</v>
      </c>
    </row>
    <row r="1200" spans="1:2" x14ac:dyDescent="0.25">
      <c r="A1200" s="3">
        <v>40546</v>
      </c>
      <c r="B1200">
        <v>1401.03</v>
      </c>
    </row>
    <row r="1201" spans="1:2" x14ac:dyDescent="0.25">
      <c r="A1201" s="3">
        <v>40547</v>
      </c>
      <c r="B1201">
        <v>1400.32</v>
      </c>
    </row>
    <row r="1202" spans="1:2" x14ac:dyDescent="0.25">
      <c r="A1202" s="3">
        <v>40548</v>
      </c>
      <c r="B1202">
        <v>1397.55</v>
      </c>
    </row>
    <row r="1203" spans="1:2" x14ac:dyDescent="0.25">
      <c r="A1203" s="3">
        <v>40549</v>
      </c>
      <c r="B1203">
        <v>1395.89</v>
      </c>
    </row>
    <row r="1204" spans="1:2" x14ac:dyDescent="0.25">
      <c r="A1204" s="3">
        <v>40550</v>
      </c>
      <c r="B1204">
        <v>1395.23</v>
      </c>
    </row>
    <row r="1205" spans="1:2" x14ac:dyDescent="0.25">
      <c r="A1205" s="3">
        <v>40553</v>
      </c>
      <c r="B1205">
        <v>1394.51</v>
      </c>
    </row>
    <row r="1206" spans="1:2" x14ac:dyDescent="0.25">
      <c r="A1206" s="3">
        <v>40554</v>
      </c>
      <c r="B1206">
        <v>1394.35</v>
      </c>
    </row>
    <row r="1207" spans="1:2" x14ac:dyDescent="0.25">
      <c r="A1207" s="3">
        <v>40555</v>
      </c>
      <c r="B1207">
        <v>1396.46</v>
      </c>
    </row>
    <row r="1208" spans="1:2" x14ac:dyDescent="0.25">
      <c r="A1208" s="3">
        <v>40556</v>
      </c>
      <c r="B1208">
        <v>1400.66</v>
      </c>
    </row>
    <row r="1209" spans="1:2" x14ac:dyDescent="0.25">
      <c r="A1209" s="3">
        <v>40557</v>
      </c>
      <c r="B1209">
        <v>1400.98</v>
      </c>
    </row>
    <row r="1210" spans="1:2" x14ac:dyDescent="0.25">
      <c r="A1210" s="3">
        <v>40561</v>
      </c>
      <c r="B1210">
        <v>1401.58</v>
      </c>
    </row>
    <row r="1211" spans="1:2" x14ac:dyDescent="0.25">
      <c r="A1211" s="3">
        <v>40562</v>
      </c>
      <c r="B1211">
        <v>1403.16</v>
      </c>
    </row>
    <row r="1212" spans="1:2" x14ac:dyDescent="0.25">
      <c r="A1212" s="3">
        <v>40563</v>
      </c>
      <c r="B1212">
        <v>1401.64</v>
      </c>
    </row>
    <row r="1213" spans="1:2" x14ac:dyDescent="0.25">
      <c r="A1213" s="3">
        <v>40564</v>
      </c>
      <c r="B1213">
        <v>1404.39</v>
      </c>
    </row>
    <row r="1214" spans="1:2" x14ac:dyDescent="0.25">
      <c r="A1214" s="3">
        <v>40567</v>
      </c>
      <c r="B1214">
        <v>1405.81</v>
      </c>
    </row>
    <row r="1215" spans="1:2" x14ac:dyDescent="0.25">
      <c r="A1215" s="3">
        <v>40568</v>
      </c>
      <c r="B1215">
        <v>1405.61</v>
      </c>
    </row>
    <row r="1216" spans="1:2" x14ac:dyDescent="0.25">
      <c r="A1216" s="3">
        <v>40569</v>
      </c>
      <c r="B1216">
        <v>1405.97</v>
      </c>
    </row>
    <row r="1217" spans="1:2" x14ac:dyDescent="0.25">
      <c r="A1217" s="3">
        <v>40570</v>
      </c>
      <c r="B1217">
        <v>1406.55</v>
      </c>
    </row>
    <row r="1218" spans="1:2" x14ac:dyDescent="0.25">
      <c r="A1218" s="3">
        <v>40571</v>
      </c>
      <c r="B1218">
        <v>1404.9</v>
      </c>
    </row>
    <row r="1219" spans="1:2" x14ac:dyDescent="0.25">
      <c r="A1219" s="3">
        <v>40574</v>
      </c>
      <c r="B1219">
        <v>1406.45</v>
      </c>
    </row>
    <row r="1220" spans="1:2" x14ac:dyDescent="0.25">
      <c r="A1220" s="3">
        <v>40575</v>
      </c>
      <c r="B1220">
        <v>1407.94</v>
      </c>
    </row>
    <row r="1221" spans="1:2" x14ac:dyDescent="0.25">
      <c r="A1221" s="3">
        <v>40576</v>
      </c>
      <c r="B1221">
        <v>1408.17</v>
      </c>
    </row>
    <row r="1222" spans="1:2" x14ac:dyDescent="0.25">
      <c r="A1222" s="3">
        <v>40577</v>
      </c>
      <c r="B1222">
        <v>1405.52</v>
      </c>
    </row>
    <row r="1223" spans="1:2" x14ac:dyDescent="0.25">
      <c r="A1223" s="3">
        <v>40578</v>
      </c>
      <c r="B1223">
        <v>1404.35</v>
      </c>
    </row>
    <row r="1224" spans="1:2" x14ac:dyDescent="0.25">
      <c r="A1224" s="3">
        <v>40581</v>
      </c>
      <c r="B1224">
        <v>1404.23</v>
      </c>
    </row>
    <row r="1225" spans="1:2" x14ac:dyDescent="0.25">
      <c r="A1225" s="3">
        <v>40582</v>
      </c>
      <c r="B1225">
        <v>1406.16</v>
      </c>
    </row>
    <row r="1226" spans="1:2" x14ac:dyDescent="0.25">
      <c r="A1226" s="3">
        <v>40583</v>
      </c>
      <c r="B1226">
        <v>1406.62</v>
      </c>
    </row>
    <row r="1227" spans="1:2" x14ac:dyDescent="0.25">
      <c r="A1227" s="3">
        <v>40584</v>
      </c>
      <c r="B1227">
        <v>1404.93</v>
      </c>
    </row>
    <row r="1228" spans="1:2" x14ac:dyDescent="0.25">
      <c r="A1228" s="3">
        <v>40585</v>
      </c>
      <c r="B1228">
        <v>1404.13</v>
      </c>
    </row>
    <row r="1229" spans="1:2" x14ac:dyDescent="0.25">
      <c r="A1229" s="3">
        <v>40588</v>
      </c>
      <c r="B1229">
        <v>1402.78</v>
      </c>
    </row>
    <row r="1230" spans="1:2" x14ac:dyDescent="0.25">
      <c r="A1230" s="3">
        <v>40589</v>
      </c>
      <c r="B1230">
        <v>1403.64</v>
      </c>
    </row>
    <row r="1231" spans="1:2" x14ac:dyDescent="0.25">
      <c r="A1231" s="3">
        <v>40590</v>
      </c>
      <c r="B1231">
        <v>1403.62</v>
      </c>
    </row>
    <row r="1232" spans="1:2" x14ac:dyDescent="0.25">
      <c r="A1232" s="3">
        <v>40591</v>
      </c>
      <c r="B1232">
        <v>1404.72</v>
      </c>
    </row>
    <row r="1233" spans="1:2" x14ac:dyDescent="0.25">
      <c r="A1233" s="3">
        <v>40592</v>
      </c>
      <c r="B1233">
        <v>1405.64</v>
      </c>
    </row>
    <row r="1234" spans="1:2" x14ac:dyDescent="0.25">
      <c r="A1234" s="3">
        <v>40596</v>
      </c>
      <c r="B1234">
        <v>1406.39</v>
      </c>
    </row>
    <row r="1235" spans="1:2" x14ac:dyDescent="0.25">
      <c r="A1235" s="3">
        <v>40597</v>
      </c>
      <c r="B1235">
        <v>1407.41</v>
      </c>
    </row>
    <row r="1236" spans="1:2" x14ac:dyDescent="0.25">
      <c r="A1236" s="3">
        <v>40598</v>
      </c>
      <c r="B1236">
        <v>1407.85</v>
      </c>
    </row>
    <row r="1237" spans="1:2" x14ac:dyDescent="0.25">
      <c r="A1237" s="3">
        <v>40599</v>
      </c>
      <c r="B1237">
        <v>1407.26</v>
      </c>
    </row>
    <row r="1238" spans="1:2" x14ac:dyDescent="0.25">
      <c r="A1238" s="3">
        <v>40602</v>
      </c>
      <c r="B1238">
        <v>1408.41</v>
      </c>
    </row>
    <row r="1239" spans="1:2" x14ac:dyDescent="0.25">
      <c r="A1239" s="3">
        <v>40603</v>
      </c>
      <c r="B1239">
        <v>1408.68</v>
      </c>
    </row>
    <row r="1240" spans="1:2" x14ac:dyDescent="0.25">
      <c r="A1240" s="3">
        <v>40604</v>
      </c>
      <c r="B1240">
        <v>1409.45</v>
      </c>
    </row>
    <row r="1241" spans="1:2" x14ac:dyDescent="0.25">
      <c r="A1241" s="3">
        <v>40605</v>
      </c>
      <c r="B1241">
        <v>1410.25</v>
      </c>
    </row>
    <row r="1242" spans="1:2" x14ac:dyDescent="0.25">
      <c r="A1242" s="3">
        <v>40606</v>
      </c>
      <c r="B1242">
        <v>1410.99</v>
      </c>
    </row>
    <row r="1243" spans="1:2" x14ac:dyDescent="0.25">
      <c r="A1243" s="3">
        <v>40609</v>
      </c>
      <c r="B1243">
        <v>1411.35</v>
      </c>
    </row>
    <row r="1244" spans="1:2" x14ac:dyDescent="0.25">
      <c r="A1244" s="3">
        <v>40610</v>
      </c>
      <c r="B1244">
        <v>1409.52</v>
      </c>
    </row>
    <row r="1245" spans="1:2" x14ac:dyDescent="0.25">
      <c r="A1245" s="3">
        <v>40611</v>
      </c>
      <c r="B1245">
        <v>1409.9</v>
      </c>
    </row>
    <row r="1246" spans="1:2" x14ac:dyDescent="0.25">
      <c r="A1246" s="3">
        <v>40612</v>
      </c>
      <c r="B1246">
        <v>1407.86</v>
      </c>
    </row>
    <row r="1247" spans="1:2" x14ac:dyDescent="0.25">
      <c r="A1247" s="3">
        <v>40613</v>
      </c>
      <c r="B1247">
        <v>1408.52</v>
      </c>
    </row>
    <row r="1248" spans="1:2" x14ac:dyDescent="0.25">
      <c r="A1248" s="3">
        <v>40616</v>
      </c>
      <c r="B1248">
        <v>1410.66</v>
      </c>
    </row>
    <row r="1249" spans="1:2" x14ac:dyDescent="0.25">
      <c r="A1249" s="3">
        <v>40617</v>
      </c>
      <c r="B1249">
        <v>1410.31</v>
      </c>
    </row>
    <row r="1250" spans="1:2" x14ac:dyDescent="0.25">
      <c r="A1250" s="3">
        <v>40618</v>
      </c>
      <c r="B1250">
        <v>1409.54</v>
      </c>
    </row>
    <row r="1251" spans="1:2" x14ac:dyDescent="0.25">
      <c r="A1251" s="3">
        <v>40619</v>
      </c>
      <c r="B1251">
        <v>1411.12</v>
      </c>
    </row>
    <row r="1252" spans="1:2" x14ac:dyDescent="0.25">
      <c r="A1252" s="3">
        <v>40620</v>
      </c>
      <c r="B1252">
        <v>1412.94</v>
      </c>
    </row>
    <row r="1253" spans="1:2" x14ac:dyDescent="0.25">
      <c r="A1253" s="3">
        <v>40623</v>
      </c>
      <c r="B1253">
        <v>1413.8</v>
      </c>
    </row>
    <row r="1254" spans="1:2" x14ac:dyDescent="0.25">
      <c r="A1254" s="3">
        <v>40624</v>
      </c>
      <c r="B1254">
        <v>1414.35</v>
      </c>
    </row>
    <row r="1255" spans="1:2" x14ac:dyDescent="0.25">
      <c r="A1255" s="3">
        <v>40625</v>
      </c>
      <c r="B1255">
        <v>1412.94</v>
      </c>
    </row>
    <row r="1256" spans="1:2" x14ac:dyDescent="0.25">
      <c r="A1256" s="3">
        <v>40626</v>
      </c>
      <c r="B1256">
        <v>1414.13</v>
      </c>
    </row>
    <row r="1257" spans="1:2" x14ac:dyDescent="0.25">
      <c r="A1257" s="3">
        <v>40627</v>
      </c>
      <c r="B1257">
        <v>1413.3</v>
      </c>
    </row>
    <row r="1258" spans="1:2" x14ac:dyDescent="0.25">
      <c r="A1258" s="3">
        <v>40630</v>
      </c>
      <c r="B1258">
        <v>1412.66</v>
      </c>
    </row>
    <row r="1259" spans="1:2" x14ac:dyDescent="0.25">
      <c r="A1259" s="3">
        <v>40631</v>
      </c>
      <c r="B1259">
        <v>1412.04</v>
      </c>
    </row>
    <row r="1260" spans="1:2" x14ac:dyDescent="0.25">
      <c r="A1260" s="3">
        <v>40632</v>
      </c>
      <c r="B1260">
        <v>1413.27</v>
      </c>
    </row>
    <row r="1261" spans="1:2" x14ac:dyDescent="0.25">
      <c r="A1261" s="3">
        <v>40633</v>
      </c>
      <c r="B1261">
        <v>1473.1</v>
      </c>
    </row>
    <row r="1262" spans="1:2" x14ac:dyDescent="0.25">
      <c r="A1262" s="3">
        <v>40634</v>
      </c>
      <c r="B1262">
        <v>1472.41</v>
      </c>
    </row>
    <row r="1263" spans="1:2" x14ac:dyDescent="0.25">
      <c r="A1263" s="3">
        <v>40637</v>
      </c>
      <c r="B1263">
        <v>1473.86</v>
      </c>
    </row>
    <row r="1264" spans="1:2" x14ac:dyDescent="0.25">
      <c r="A1264" s="3">
        <v>40638</v>
      </c>
      <c r="B1264">
        <v>1473.52</v>
      </c>
    </row>
    <row r="1265" spans="1:2" x14ac:dyDescent="0.25">
      <c r="A1265" s="3">
        <v>40639</v>
      </c>
      <c r="B1265">
        <v>1475.81</v>
      </c>
    </row>
    <row r="1266" spans="1:2" x14ac:dyDescent="0.25">
      <c r="A1266" s="3">
        <v>40640</v>
      </c>
      <c r="B1266">
        <v>1474.98</v>
      </c>
    </row>
    <row r="1267" spans="1:2" x14ac:dyDescent="0.25">
      <c r="A1267" s="3">
        <v>40641</v>
      </c>
      <c r="B1267">
        <v>1477.37</v>
      </c>
    </row>
    <row r="1268" spans="1:2" x14ac:dyDescent="0.25">
      <c r="A1268" s="3">
        <v>40644</v>
      </c>
      <c r="B1268">
        <v>1477.68</v>
      </c>
    </row>
    <row r="1269" spans="1:2" x14ac:dyDescent="0.25">
      <c r="A1269" s="3">
        <v>40645</v>
      </c>
      <c r="B1269">
        <v>1478.13</v>
      </c>
    </row>
    <row r="1270" spans="1:2" x14ac:dyDescent="0.25">
      <c r="A1270" s="3">
        <v>40646</v>
      </c>
      <c r="B1270">
        <v>1478.33</v>
      </c>
    </row>
    <row r="1271" spans="1:2" x14ac:dyDescent="0.25">
      <c r="A1271" s="3">
        <v>40647</v>
      </c>
      <c r="B1271">
        <v>1477.75</v>
      </c>
    </row>
    <row r="1272" spans="1:2" x14ac:dyDescent="0.25">
      <c r="A1272" s="3">
        <v>40648</v>
      </c>
      <c r="B1272">
        <v>1477.1</v>
      </c>
    </row>
    <row r="1273" spans="1:2" x14ac:dyDescent="0.25">
      <c r="A1273" s="3">
        <v>40651</v>
      </c>
      <c r="B1273">
        <v>1473.64</v>
      </c>
    </row>
    <row r="1274" spans="1:2" x14ac:dyDescent="0.25">
      <c r="A1274" s="3">
        <v>40652</v>
      </c>
      <c r="B1274">
        <v>1475.48</v>
      </c>
    </row>
    <row r="1275" spans="1:2" x14ac:dyDescent="0.25">
      <c r="A1275" s="3">
        <v>40653</v>
      </c>
      <c r="B1275">
        <v>1478.78</v>
      </c>
    </row>
    <row r="1276" spans="1:2" x14ac:dyDescent="0.25">
      <c r="A1276" s="3">
        <v>40654</v>
      </c>
      <c r="B1276">
        <v>1479.92</v>
      </c>
    </row>
    <row r="1277" spans="1:2" x14ac:dyDescent="0.25">
      <c r="A1277" s="3">
        <v>40658</v>
      </c>
      <c r="B1277">
        <v>1479.63</v>
      </c>
    </row>
    <row r="1278" spans="1:2" x14ac:dyDescent="0.25">
      <c r="A1278" s="3">
        <v>40659</v>
      </c>
      <c r="B1278">
        <v>1480.71</v>
      </c>
    </row>
    <row r="1279" spans="1:2" x14ac:dyDescent="0.25">
      <c r="A1279" s="3">
        <v>40660</v>
      </c>
      <c r="B1279">
        <v>1480.98</v>
      </c>
    </row>
    <row r="1280" spans="1:2" x14ac:dyDescent="0.25">
      <c r="A1280" s="3">
        <v>40661</v>
      </c>
      <c r="B1280">
        <v>1484</v>
      </c>
    </row>
    <row r="1281" spans="1:2" x14ac:dyDescent="0.25">
      <c r="A1281" s="3">
        <v>40662</v>
      </c>
      <c r="B1281">
        <v>1484.29</v>
      </c>
    </row>
    <row r="1282" spans="1:2" x14ac:dyDescent="0.25">
      <c r="A1282" s="3">
        <v>40665</v>
      </c>
      <c r="B1282">
        <v>1485.3</v>
      </c>
    </row>
    <row r="1283" spans="1:2" x14ac:dyDescent="0.25">
      <c r="A1283" s="3">
        <v>40666</v>
      </c>
      <c r="B1283">
        <v>1484.21</v>
      </c>
    </row>
    <row r="1284" spans="1:2" x14ac:dyDescent="0.25">
      <c r="A1284" s="3">
        <v>40667</v>
      </c>
      <c r="B1284">
        <v>1484.77</v>
      </c>
    </row>
    <row r="1285" spans="1:2" x14ac:dyDescent="0.25">
      <c r="A1285" s="3">
        <v>40668</v>
      </c>
      <c r="B1285">
        <v>1480.36</v>
      </c>
    </row>
    <row r="1286" spans="1:2" x14ac:dyDescent="0.25">
      <c r="A1286" s="3">
        <v>40669</v>
      </c>
      <c r="B1286">
        <v>1478.87</v>
      </c>
    </row>
    <row r="1287" spans="1:2" x14ac:dyDescent="0.25">
      <c r="A1287" s="3">
        <v>40672</v>
      </c>
      <c r="B1287">
        <v>1475</v>
      </c>
    </row>
    <row r="1288" spans="1:2" x14ac:dyDescent="0.25">
      <c r="A1288" s="3">
        <v>40673</v>
      </c>
      <c r="B1288">
        <v>1476.55</v>
      </c>
    </row>
    <row r="1289" spans="1:2" x14ac:dyDescent="0.25">
      <c r="A1289" s="3">
        <v>40674</v>
      </c>
      <c r="B1289">
        <v>1475.64</v>
      </c>
    </row>
    <row r="1290" spans="1:2" x14ac:dyDescent="0.25">
      <c r="A1290" s="3">
        <v>40675</v>
      </c>
      <c r="B1290">
        <v>1473.78</v>
      </c>
    </row>
    <row r="1291" spans="1:2" x14ac:dyDescent="0.25">
      <c r="A1291" s="3">
        <v>40676</v>
      </c>
      <c r="B1291">
        <v>1473.85</v>
      </c>
    </row>
    <row r="1292" spans="1:2" x14ac:dyDescent="0.25">
      <c r="A1292" s="3">
        <v>40679</v>
      </c>
      <c r="B1292">
        <v>1474.37</v>
      </c>
    </row>
    <row r="1293" spans="1:2" x14ac:dyDescent="0.25">
      <c r="A1293" s="3">
        <v>40680</v>
      </c>
      <c r="B1293">
        <v>1473.2</v>
      </c>
    </row>
    <row r="1294" spans="1:2" x14ac:dyDescent="0.25">
      <c r="A1294" s="3">
        <v>40681</v>
      </c>
      <c r="B1294">
        <v>1474.5</v>
      </c>
    </row>
    <row r="1295" spans="1:2" x14ac:dyDescent="0.25">
      <c r="A1295" s="3">
        <v>40682</v>
      </c>
      <c r="B1295">
        <v>1474.53</v>
      </c>
    </row>
    <row r="1296" spans="1:2" x14ac:dyDescent="0.25">
      <c r="A1296" s="3">
        <v>40683</v>
      </c>
      <c r="B1296">
        <v>1473.05</v>
      </c>
    </row>
    <row r="1297" spans="1:2" x14ac:dyDescent="0.25">
      <c r="A1297" s="3">
        <v>40686</v>
      </c>
      <c r="B1297">
        <v>1470.83</v>
      </c>
    </row>
    <row r="1298" spans="1:2" x14ac:dyDescent="0.25">
      <c r="A1298" s="3">
        <v>40687</v>
      </c>
      <c r="B1298">
        <v>1472.19</v>
      </c>
    </row>
    <row r="1299" spans="1:2" x14ac:dyDescent="0.25">
      <c r="A1299" s="3">
        <v>40688</v>
      </c>
      <c r="B1299">
        <v>1471.7</v>
      </c>
    </row>
    <row r="1300" spans="1:2" x14ac:dyDescent="0.25">
      <c r="A1300" s="3">
        <v>40689</v>
      </c>
      <c r="B1300">
        <v>1472.31</v>
      </c>
    </row>
    <row r="1301" spans="1:2" x14ac:dyDescent="0.25">
      <c r="A1301" s="3">
        <v>40690</v>
      </c>
      <c r="B1301">
        <v>1475.03</v>
      </c>
    </row>
    <row r="1302" spans="1:2" x14ac:dyDescent="0.25">
      <c r="A1302" s="3">
        <v>40694</v>
      </c>
      <c r="B1302">
        <v>1476.67</v>
      </c>
    </row>
    <row r="1303" spans="1:2" x14ac:dyDescent="0.25">
      <c r="A1303" s="3">
        <v>40695</v>
      </c>
      <c r="B1303">
        <v>1477.43</v>
      </c>
    </row>
    <row r="1304" spans="1:2" x14ac:dyDescent="0.25">
      <c r="A1304" s="3">
        <v>40696</v>
      </c>
      <c r="B1304">
        <v>1477.53</v>
      </c>
    </row>
    <row r="1305" spans="1:2" x14ac:dyDescent="0.25">
      <c r="A1305" s="3">
        <v>40697</v>
      </c>
      <c r="B1305">
        <v>1479.55</v>
      </c>
    </row>
    <row r="1306" spans="1:2" x14ac:dyDescent="0.25">
      <c r="A1306" s="3">
        <v>40700</v>
      </c>
      <c r="B1306">
        <v>1480.13</v>
      </c>
    </row>
    <row r="1307" spans="1:2" x14ac:dyDescent="0.25">
      <c r="A1307" s="3">
        <v>40701</v>
      </c>
      <c r="B1307">
        <v>1481.44</v>
      </c>
    </row>
    <row r="1308" spans="1:2" x14ac:dyDescent="0.25">
      <c r="A1308" s="3">
        <v>40702</v>
      </c>
      <c r="B1308">
        <v>1480.12</v>
      </c>
    </row>
    <row r="1309" spans="1:2" x14ac:dyDescent="0.25">
      <c r="A1309" s="3">
        <v>40703</v>
      </c>
      <c r="B1309">
        <v>1478.56</v>
      </c>
    </row>
    <row r="1310" spans="1:2" x14ac:dyDescent="0.25">
      <c r="A1310" s="3">
        <v>40704</v>
      </c>
      <c r="B1310">
        <v>1476.09</v>
      </c>
    </row>
    <row r="1311" spans="1:2" x14ac:dyDescent="0.25">
      <c r="A1311" s="3">
        <v>40707</v>
      </c>
      <c r="B1311">
        <v>1476.45</v>
      </c>
    </row>
    <row r="1312" spans="1:2" x14ac:dyDescent="0.25">
      <c r="A1312" s="3">
        <v>40708</v>
      </c>
      <c r="B1312">
        <v>1478.21</v>
      </c>
    </row>
    <row r="1313" spans="1:2" x14ac:dyDescent="0.25">
      <c r="A1313" s="3">
        <v>40709</v>
      </c>
      <c r="B1313">
        <v>1475.19</v>
      </c>
    </row>
    <row r="1314" spans="1:2" x14ac:dyDescent="0.25">
      <c r="A1314" s="3">
        <v>40710</v>
      </c>
      <c r="B1314">
        <v>1472.63</v>
      </c>
    </row>
    <row r="1315" spans="1:2" x14ac:dyDescent="0.25">
      <c r="A1315" s="3">
        <v>40711</v>
      </c>
      <c r="B1315">
        <v>1475.31</v>
      </c>
    </row>
    <row r="1316" spans="1:2" x14ac:dyDescent="0.25">
      <c r="A1316" s="3">
        <v>40714</v>
      </c>
      <c r="B1316">
        <v>1475.38</v>
      </c>
    </row>
    <row r="1317" spans="1:2" x14ac:dyDescent="0.25">
      <c r="A1317" s="3">
        <v>40715</v>
      </c>
      <c r="B1317">
        <v>1476.37</v>
      </c>
    </row>
    <row r="1318" spans="1:2" x14ac:dyDescent="0.25">
      <c r="A1318" s="3">
        <v>40716</v>
      </c>
      <c r="B1318">
        <v>1477.27</v>
      </c>
    </row>
    <row r="1319" spans="1:2" x14ac:dyDescent="0.25">
      <c r="A1319" s="3">
        <v>40717</v>
      </c>
      <c r="B1319">
        <v>1472.58</v>
      </c>
    </row>
    <row r="1320" spans="1:2" x14ac:dyDescent="0.25">
      <c r="A1320" s="3">
        <v>40718</v>
      </c>
      <c r="B1320">
        <v>1472.85</v>
      </c>
    </row>
    <row r="1321" spans="1:2" x14ac:dyDescent="0.25">
      <c r="A1321" s="3">
        <v>40721</v>
      </c>
      <c r="B1321">
        <v>1474.58</v>
      </c>
    </row>
    <row r="1322" spans="1:2" x14ac:dyDescent="0.25">
      <c r="A1322" s="3">
        <v>40722</v>
      </c>
      <c r="B1322">
        <v>1475.93</v>
      </c>
    </row>
    <row r="1323" spans="1:2" x14ac:dyDescent="0.25">
      <c r="A1323" s="3">
        <v>40723</v>
      </c>
      <c r="B1323">
        <v>1476.62</v>
      </c>
    </row>
    <row r="1324" spans="1:2" x14ac:dyDescent="0.25">
      <c r="A1324" s="3">
        <v>40724</v>
      </c>
      <c r="B1324">
        <v>1537.97</v>
      </c>
    </row>
    <row r="1325" spans="1:2" x14ac:dyDescent="0.25">
      <c r="A1325" s="3">
        <v>40725</v>
      </c>
      <c r="B1325">
        <v>1537.74</v>
      </c>
    </row>
    <row r="1326" spans="1:2" x14ac:dyDescent="0.25">
      <c r="A1326" s="3">
        <v>40729</v>
      </c>
      <c r="B1326">
        <v>1537.44</v>
      </c>
    </row>
    <row r="1327" spans="1:2" x14ac:dyDescent="0.25">
      <c r="A1327" s="3">
        <v>40730</v>
      </c>
      <c r="B1327">
        <v>1534.74</v>
      </c>
    </row>
    <row r="1328" spans="1:2" x14ac:dyDescent="0.25">
      <c r="A1328" s="3">
        <v>40731</v>
      </c>
      <c r="B1328">
        <v>1535.83</v>
      </c>
    </row>
    <row r="1329" spans="1:2" x14ac:dyDescent="0.25">
      <c r="A1329" s="3">
        <v>40732</v>
      </c>
      <c r="B1329">
        <v>1534.07</v>
      </c>
    </row>
    <row r="1330" spans="1:2" x14ac:dyDescent="0.25">
      <c r="A1330" s="3">
        <v>40735</v>
      </c>
      <c r="B1330">
        <v>1529.42</v>
      </c>
    </row>
    <row r="1331" spans="1:2" x14ac:dyDescent="0.25">
      <c r="A1331" s="3">
        <v>40736</v>
      </c>
      <c r="B1331">
        <v>1529.35</v>
      </c>
    </row>
    <row r="1332" spans="1:2" x14ac:dyDescent="0.25">
      <c r="A1332" s="3">
        <v>40737</v>
      </c>
      <c r="B1332">
        <v>1532.57</v>
      </c>
    </row>
    <row r="1333" spans="1:2" x14ac:dyDescent="0.25">
      <c r="A1333" s="3">
        <v>40738</v>
      </c>
      <c r="B1333">
        <v>1532.47</v>
      </c>
    </row>
    <row r="1334" spans="1:2" x14ac:dyDescent="0.25">
      <c r="A1334" s="3">
        <v>40739</v>
      </c>
      <c r="B1334">
        <v>1531.86</v>
      </c>
    </row>
    <row r="1335" spans="1:2" x14ac:dyDescent="0.25">
      <c r="A1335" s="3">
        <v>40742</v>
      </c>
      <c r="B1335">
        <v>1530.08</v>
      </c>
    </row>
    <row r="1336" spans="1:2" x14ac:dyDescent="0.25">
      <c r="A1336" s="3">
        <v>40743</v>
      </c>
      <c r="B1336">
        <v>1533.08</v>
      </c>
    </row>
    <row r="1337" spans="1:2" x14ac:dyDescent="0.25">
      <c r="A1337" s="3">
        <v>40744</v>
      </c>
      <c r="B1337">
        <v>1533.2</v>
      </c>
    </row>
    <row r="1338" spans="1:2" x14ac:dyDescent="0.25">
      <c r="A1338" s="3">
        <v>40745</v>
      </c>
      <c r="B1338">
        <v>1536.46</v>
      </c>
    </row>
    <row r="1339" spans="1:2" x14ac:dyDescent="0.25">
      <c r="A1339" s="3">
        <v>40746</v>
      </c>
      <c r="B1339">
        <v>1536.26</v>
      </c>
    </row>
    <row r="1340" spans="1:2" x14ac:dyDescent="0.25">
      <c r="A1340" s="3">
        <v>40749</v>
      </c>
      <c r="B1340">
        <v>1535.77</v>
      </c>
    </row>
    <row r="1341" spans="1:2" x14ac:dyDescent="0.25">
      <c r="A1341" s="3">
        <v>40750</v>
      </c>
      <c r="B1341">
        <v>1538.42</v>
      </c>
    </row>
    <row r="1342" spans="1:2" x14ac:dyDescent="0.25">
      <c r="A1342" s="3">
        <v>40751</v>
      </c>
      <c r="B1342">
        <v>1536.73</v>
      </c>
    </row>
    <row r="1343" spans="1:2" x14ac:dyDescent="0.25">
      <c r="A1343" s="3">
        <v>40752</v>
      </c>
      <c r="B1343">
        <v>1535.36</v>
      </c>
    </row>
    <row r="1344" spans="1:2" x14ac:dyDescent="0.25">
      <c r="A1344" s="3">
        <v>40753</v>
      </c>
      <c r="B1344">
        <v>1536.56</v>
      </c>
    </row>
    <row r="1345" spans="1:2" x14ac:dyDescent="0.25">
      <c r="A1345" s="3">
        <v>40756</v>
      </c>
      <c r="B1345">
        <v>1533.68</v>
      </c>
    </row>
    <row r="1346" spans="1:2" x14ac:dyDescent="0.25">
      <c r="A1346" s="3">
        <v>40757</v>
      </c>
      <c r="B1346">
        <v>1533.84</v>
      </c>
    </row>
    <row r="1347" spans="1:2" x14ac:dyDescent="0.25">
      <c r="A1347" s="3">
        <v>40758</v>
      </c>
      <c r="B1347">
        <v>1534.99</v>
      </c>
    </row>
    <row r="1348" spans="1:2" x14ac:dyDescent="0.25">
      <c r="A1348" s="3">
        <v>40759</v>
      </c>
      <c r="B1348">
        <v>1532.48</v>
      </c>
    </row>
    <row r="1349" spans="1:2" x14ac:dyDescent="0.25">
      <c r="A1349" s="3">
        <v>40760</v>
      </c>
      <c r="B1349">
        <v>1532.99</v>
      </c>
    </row>
    <row r="1350" spans="1:2" x14ac:dyDescent="0.25">
      <c r="A1350" s="3">
        <v>40763</v>
      </c>
      <c r="B1350">
        <v>1532.7</v>
      </c>
    </row>
    <row r="1351" spans="1:2" x14ac:dyDescent="0.25">
      <c r="A1351" s="3">
        <v>40764</v>
      </c>
      <c r="B1351">
        <v>1532.95</v>
      </c>
    </row>
    <row r="1352" spans="1:2" x14ac:dyDescent="0.25">
      <c r="A1352" s="3">
        <v>40765</v>
      </c>
      <c r="B1352">
        <v>1532.39</v>
      </c>
    </row>
    <row r="1353" spans="1:2" x14ac:dyDescent="0.25">
      <c r="A1353" s="3">
        <v>40766</v>
      </c>
      <c r="B1353">
        <v>1533.89</v>
      </c>
    </row>
    <row r="1354" spans="1:2" x14ac:dyDescent="0.25">
      <c r="A1354" s="3">
        <v>40767</v>
      </c>
      <c r="B1354">
        <v>1533.14</v>
      </c>
    </row>
    <row r="1355" spans="1:2" x14ac:dyDescent="0.25">
      <c r="A1355" s="3">
        <v>40770</v>
      </c>
      <c r="B1355">
        <v>1537.19</v>
      </c>
    </row>
    <row r="1356" spans="1:2" x14ac:dyDescent="0.25">
      <c r="A1356" s="3">
        <v>40771</v>
      </c>
      <c r="B1356">
        <v>1536.47</v>
      </c>
    </row>
    <row r="1357" spans="1:2" x14ac:dyDescent="0.25">
      <c r="A1357" s="3">
        <v>40772</v>
      </c>
      <c r="B1357">
        <v>1537.6</v>
      </c>
    </row>
    <row r="1358" spans="1:2" x14ac:dyDescent="0.25">
      <c r="A1358" s="3">
        <v>40773</v>
      </c>
      <c r="B1358">
        <v>1535.03</v>
      </c>
    </row>
    <row r="1359" spans="1:2" x14ac:dyDescent="0.25">
      <c r="A1359" s="3">
        <v>40774</v>
      </c>
      <c r="B1359">
        <v>1536.87</v>
      </c>
    </row>
    <row r="1360" spans="1:2" x14ac:dyDescent="0.25">
      <c r="A1360" s="3">
        <v>40777</v>
      </c>
      <c r="B1360">
        <v>1536.11</v>
      </c>
    </row>
    <row r="1361" spans="1:2" x14ac:dyDescent="0.25">
      <c r="A1361" s="3">
        <v>40778</v>
      </c>
      <c r="B1361">
        <v>1536.36</v>
      </c>
    </row>
    <row r="1362" spans="1:2" x14ac:dyDescent="0.25">
      <c r="A1362" s="3">
        <v>40779</v>
      </c>
      <c r="B1362">
        <v>1536.59</v>
      </c>
    </row>
    <row r="1363" spans="1:2" x14ac:dyDescent="0.25">
      <c r="A1363" s="3">
        <v>40780</v>
      </c>
      <c r="B1363">
        <v>1535.47</v>
      </c>
    </row>
    <row r="1364" spans="1:2" x14ac:dyDescent="0.25">
      <c r="A1364" s="3">
        <v>40781</v>
      </c>
      <c r="B1364">
        <v>1535.65</v>
      </c>
    </row>
    <row r="1365" spans="1:2" x14ac:dyDescent="0.25">
      <c r="A1365" s="3">
        <v>40784</v>
      </c>
      <c r="B1365">
        <v>1538.81</v>
      </c>
    </row>
    <row r="1366" spans="1:2" x14ac:dyDescent="0.25">
      <c r="A1366" s="3">
        <v>40785</v>
      </c>
      <c r="B1366">
        <v>1537.09</v>
      </c>
    </row>
    <row r="1367" spans="1:2" x14ac:dyDescent="0.25">
      <c r="A1367" s="3">
        <v>40786</v>
      </c>
      <c r="B1367">
        <v>1536.18</v>
      </c>
    </row>
    <row r="1368" spans="1:2" x14ac:dyDescent="0.25">
      <c r="A1368" s="3">
        <v>40787</v>
      </c>
      <c r="B1368">
        <v>1533.66</v>
      </c>
    </row>
    <row r="1369" spans="1:2" x14ac:dyDescent="0.25">
      <c r="A1369" s="3">
        <v>40788</v>
      </c>
      <c r="B1369">
        <v>1532.89</v>
      </c>
    </row>
    <row r="1370" spans="1:2" x14ac:dyDescent="0.25">
      <c r="A1370" s="3">
        <v>40792</v>
      </c>
      <c r="B1370">
        <v>1529.66</v>
      </c>
    </row>
    <row r="1371" spans="1:2" x14ac:dyDescent="0.25">
      <c r="A1371" s="3">
        <v>40793</v>
      </c>
      <c r="B1371">
        <v>1529.73</v>
      </c>
    </row>
    <row r="1372" spans="1:2" x14ac:dyDescent="0.25">
      <c r="A1372" s="3">
        <v>40794</v>
      </c>
      <c r="B1372">
        <v>1529.37</v>
      </c>
    </row>
    <row r="1373" spans="1:2" x14ac:dyDescent="0.25">
      <c r="A1373" s="3">
        <v>40795</v>
      </c>
      <c r="B1373">
        <v>1524.23</v>
      </c>
    </row>
    <row r="1374" spans="1:2" x14ac:dyDescent="0.25">
      <c r="A1374" s="3">
        <v>40798</v>
      </c>
      <c r="B1374">
        <v>1522.29</v>
      </c>
    </row>
    <row r="1375" spans="1:2" x14ac:dyDescent="0.25">
      <c r="A1375" s="3">
        <v>40799</v>
      </c>
      <c r="B1375">
        <v>1523.38</v>
      </c>
    </row>
    <row r="1376" spans="1:2" x14ac:dyDescent="0.25">
      <c r="A1376" s="3">
        <v>40800</v>
      </c>
      <c r="B1376">
        <v>1523.08</v>
      </c>
    </row>
    <row r="1377" spans="1:2" x14ac:dyDescent="0.25">
      <c r="A1377" s="3">
        <v>40801</v>
      </c>
      <c r="B1377">
        <v>1526.18</v>
      </c>
    </row>
    <row r="1378" spans="1:2" x14ac:dyDescent="0.25">
      <c r="A1378" s="3">
        <v>40802</v>
      </c>
      <c r="B1378">
        <v>1525.19</v>
      </c>
    </row>
    <row r="1379" spans="1:2" x14ac:dyDescent="0.25">
      <c r="A1379" s="3">
        <v>40805</v>
      </c>
      <c r="B1379">
        <v>1521.98</v>
      </c>
    </row>
    <row r="1380" spans="1:2" x14ac:dyDescent="0.25">
      <c r="A1380" s="3">
        <v>40806</v>
      </c>
      <c r="B1380">
        <v>1523.75</v>
      </c>
    </row>
    <row r="1381" spans="1:2" x14ac:dyDescent="0.25">
      <c r="A1381" s="3">
        <v>40807</v>
      </c>
      <c r="B1381">
        <v>1523.15</v>
      </c>
    </row>
    <row r="1382" spans="1:2" x14ac:dyDescent="0.25">
      <c r="A1382" s="3">
        <v>40808</v>
      </c>
      <c r="B1382">
        <v>1518.75</v>
      </c>
    </row>
    <row r="1383" spans="1:2" x14ac:dyDescent="0.25">
      <c r="A1383" s="3">
        <v>40809</v>
      </c>
      <c r="B1383">
        <v>1519.71</v>
      </c>
    </row>
    <row r="1384" spans="1:2" x14ac:dyDescent="0.25">
      <c r="A1384" s="3">
        <v>40812</v>
      </c>
      <c r="B1384">
        <v>1518.97</v>
      </c>
    </row>
    <row r="1385" spans="1:2" x14ac:dyDescent="0.25">
      <c r="A1385" s="3">
        <v>40813</v>
      </c>
      <c r="B1385">
        <v>1522.11</v>
      </c>
    </row>
    <row r="1386" spans="1:2" x14ac:dyDescent="0.25">
      <c r="A1386" s="3">
        <v>40814</v>
      </c>
      <c r="B1386">
        <v>1521.42</v>
      </c>
    </row>
    <row r="1387" spans="1:2" x14ac:dyDescent="0.25">
      <c r="A1387" s="3">
        <v>40815</v>
      </c>
      <c r="B1387">
        <v>1522.1</v>
      </c>
    </row>
    <row r="1388" spans="1:2" x14ac:dyDescent="0.25">
      <c r="A1388" s="3">
        <v>40816</v>
      </c>
      <c r="B1388">
        <v>1467.9</v>
      </c>
    </row>
    <row r="1389" spans="1:2" x14ac:dyDescent="0.25">
      <c r="A1389" s="3">
        <v>40819</v>
      </c>
      <c r="B1389">
        <v>1465.41</v>
      </c>
    </row>
    <row r="1390" spans="1:2" x14ac:dyDescent="0.25">
      <c r="A1390" s="3">
        <v>40820</v>
      </c>
      <c r="B1390">
        <v>1465.24</v>
      </c>
    </row>
    <row r="1391" spans="1:2" x14ac:dyDescent="0.25">
      <c r="A1391" s="3">
        <v>40821</v>
      </c>
      <c r="B1391">
        <v>1465.99</v>
      </c>
    </row>
    <row r="1392" spans="1:2" x14ac:dyDescent="0.25">
      <c r="A1392" s="3">
        <v>40822</v>
      </c>
      <c r="B1392">
        <v>1467.57</v>
      </c>
    </row>
    <row r="1393" spans="1:2" x14ac:dyDescent="0.25">
      <c r="A1393" s="3">
        <v>40823</v>
      </c>
      <c r="B1393">
        <v>1469.41</v>
      </c>
    </row>
    <row r="1394" spans="1:2" x14ac:dyDescent="0.25">
      <c r="A1394" s="3">
        <v>40826</v>
      </c>
      <c r="B1394">
        <v>1472.2</v>
      </c>
    </row>
    <row r="1395" spans="1:2" x14ac:dyDescent="0.25">
      <c r="A1395" s="3">
        <v>40827</v>
      </c>
      <c r="B1395">
        <v>1471.83</v>
      </c>
    </row>
    <row r="1396" spans="1:2" x14ac:dyDescent="0.25">
      <c r="A1396" s="3">
        <v>40828</v>
      </c>
      <c r="B1396">
        <v>1474.69</v>
      </c>
    </row>
    <row r="1397" spans="1:2" x14ac:dyDescent="0.25">
      <c r="A1397" s="3">
        <v>40829</v>
      </c>
      <c r="B1397">
        <v>1473.18</v>
      </c>
    </row>
    <row r="1398" spans="1:2" x14ac:dyDescent="0.25">
      <c r="A1398" s="3">
        <v>40830</v>
      </c>
      <c r="B1398">
        <v>1475.99</v>
      </c>
    </row>
    <row r="1399" spans="1:2" x14ac:dyDescent="0.25">
      <c r="A1399" s="3">
        <v>40833</v>
      </c>
      <c r="B1399">
        <v>1474.3</v>
      </c>
    </row>
    <row r="1400" spans="1:2" x14ac:dyDescent="0.25">
      <c r="A1400" s="3">
        <v>40834</v>
      </c>
      <c r="B1400">
        <v>1472.84</v>
      </c>
    </row>
    <row r="1401" spans="1:2" x14ac:dyDescent="0.25">
      <c r="A1401" s="3">
        <v>40835</v>
      </c>
      <c r="B1401">
        <v>1474.99</v>
      </c>
    </row>
    <row r="1402" spans="1:2" x14ac:dyDescent="0.25">
      <c r="A1402" s="3">
        <v>40836</v>
      </c>
      <c r="B1402">
        <v>1473.05</v>
      </c>
    </row>
    <row r="1403" spans="1:2" x14ac:dyDescent="0.25">
      <c r="A1403" s="3">
        <v>40837</v>
      </c>
      <c r="B1403">
        <v>1476.62</v>
      </c>
    </row>
    <row r="1404" spans="1:2" x14ac:dyDescent="0.25">
      <c r="A1404" s="3">
        <v>40840</v>
      </c>
      <c r="B1404">
        <v>1476.53</v>
      </c>
    </row>
    <row r="1405" spans="1:2" x14ac:dyDescent="0.25">
      <c r="A1405" s="3">
        <v>40841</v>
      </c>
      <c r="B1405">
        <v>1476.9</v>
      </c>
    </row>
    <row r="1406" spans="1:2" x14ac:dyDescent="0.25">
      <c r="A1406" s="3">
        <v>40842</v>
      </c>
      <c r="B1406">
        <v>1475.38</v>
      </c>
    </row>
    <row r="1407" spans="1:2" x14ac:dyDescent="0.25">
      <c r="A1407" s="3">
        <v>40843</v>
      </c>
      <c r="B1407">
        <v>1481.05</v>
      </c>
    </row>
    <row r="1408" spans="1:2" x14ac:dyDescent="0.25">
      <c r="A1408" s="3">
        <v>40844</v>
      </c>
      <c r="B1408">
        <v>1481.75</v>
      </c>
    </row>
    <row r="1409" spans="1:2" x14ac:dyDescent="0.25">
      <c r="A1409" s="3">
        <v>40847</v>
      </c>
      <c r="B1409">
        <v>1478.34</v>
      </c>
    </row>
    <row r="1410" spans="1:2" x14ac:dyDescent="0.25">
      <c r="A1410" s="3">
        <v>40848</v>
      </c>
      <c r="B1410">
        <v>1473.42</v>
      </c>
    </row>
    <row r="1411" spans="1:2" x14ac:dyDescent="0.25">
      <c r="A1411" s="3">
        <v>40849</v>
      </c>
      <c r="B1411">
        <v>1475.51</v>
      </c>
    </row>
    <row r="1412" spans="1:2" x14ac:dyDescent="0.25">
      <c r="A1412" s="3">
        <v>40850</v>
      </c>
      <c r="B1412">
        <v>1474.58</v>
      </c>
    </row>
    <row r="1413" spans="1:2" x14ac:dyDescent="0.25">
      <c r="A1413" s="3">
        <v>40851</v>
      </c>
      <c r="B1413">
        <v>1474.87</v>
      </c>
    </row>
    <row r="1414" spans="1:2" x14ac:dyDescent="0.25">
      <c r="A1414" s="3">
        <v>40854</v>
      </c>
      <c r="B1414">
        <v>1474.74</v>
      </c>
    </row>
    <row r="1415" spans="1:2" x14ac:dyDescent="0.25">
      <c r="A1415" s="3">
        <v>40855</v>
      </c>
      <c r="B1415">
        <v>1475.7</v>
      </c>
    </row>
    <row r="1416" spans="1:2" x14ac:dyDescent="0.25">
      <c r="A1416" s="3">
        <v>40856</v>
      </c>
      <c r="B1416">
        <v>1471.89</v>
      </c>
    </row>
    <row r="1417" spans="1:2" x14ac:dyDescent="0.25">
      <c r="A1417" s="3">
        <v>40857</v>
      </c>
      <c r="B1417">
        <v>1471.75</v>
      </c>
    </row>
    <row r="1418" spans="1:2" x14ac:dyDescent="0.25">
      <c r="A1418" s="3">
        <v>40858</v>
      </c>
      <c r="B1418">
        <v>1474.47</v>
      </c>
    </row>
    <row r="1419" spans="1:2" x14ac:dyDescent="0.25">
      <c r="A1419" s="3">
        <v>40861</v>
      </c>
      <c r="B1419">
        <v>1472.63</v>
      </c>
    </row>
    <row r="1420" spans="1:2" x14ac:dyDescent="0.25">
      <c r="A1420" s="3">
        <v>40862</v>
      </c>
      <c r="B1420">
        <v>1470.76</v>
      </c>
    </row>
    <row r="1421" spans="1:2" x14ac:dyDescent="0.25">
      <c r="A1421" s="3">
        <v>40863</v>
      </c>
      <c r="B1421">
        <v>1470.82</v>
      </c>
    </row>
    <row r="1422" spans="1:2" x14ac:dyDescent="0.25">
      <c r="A1422" s="3">
        <v>40864</v>
      </c>
      <c r="B1422">
        <v>1470.49</v>
      </c>
    </row>
    <row r="1423" spans="1:2" x14ac:dyDescent="0.25">
      <c r="A1423" s="3">
        <v>40865</v>
      </c>
      <c r="B1423">
        <v>1470.61</v>
      </c>
    </row>
    <row r="1424" spans="1:2" x14ac:dyDescent="0.25">
      <c r="A1424" s="3">
        <v>40868</v>
      </c>
      <c r="B1424">
        <v>1469.27</v>
      </c>
    </row>
    <row r="1425" spans="1:2" x14ac:dyDescent="0.25">
      <c r="A1425" s="3">
        <v>40869</v>
      </c>
      <c r="B1425">
        <v>1469.74</v>
      </c>
    </row>
    <row r="1426" spans="1:2" x14ac:dyDescent="0.25">
      <c r="A1426" s="3">
        <v>40870</v>
      </c>
      <c r="B1426">
        <v>1467.14</v>
      </c>
    </row>
    <row r="1427" spans="1:2" x14ac:dyDescent="0.25">
      <c r="A1427" s="3">
        <v>40872</v>
      </c>
      <c r="B1427">
        <v>1465.84</v>
      </c>
    </row>
    <row r="1428" spans="1:2" x14ac:dyDescent="0.25">
      <c r="A1428" s="3">
        <v>40875</v>
      </c>
      <c r="B1428">
        <v>1467.43</v>
      </c>
    </row>
    <row r="1429" spans="1:2" x14ac:dyDescent="0.25">
      <c r="A1429" s="3">
        <v>40876</v>
      </c>
      <c r="B1429">
        <v>1467.32</v>
      </c>
    </row>
    <row r="1430" spans="1:2" x14ac:dyDescent="0.25">
      <c r="A1430" s="3">
        <v>40877</v>
      </c>
      <c r="B1430">
        <v>1469.93</v>
      </c>
    </row>
    <row r="1431" spans="1:2" x14ac:dyDescent="0.25">
      <c r="A1431" s="3">
        <v>40878</v>
      </c>
      <c r="B1431">
        <v>1469.98</v>
      </c>
    </row>
    <row r="1432" spans="1:2" x14ac:dyDescent="0.25">
      <c r="A1432" s="3">
        <v>40879</v>
      </c>
      <c r="B1432">
        <v>1469.36</v>
      </c>
    </row>
    <row r="1433" spans="1:2" x14ac:dyDescent="0.25">
      <c r="A1433" s="3">
        <v>40882</v>
      </c>
      <c r="B1433">
        <v>1470.07</v>
      </c>
    </row>
    <row r="1434" spans="1:2" x14ac:dyDescent="0.25">
      <c r="A1434" s="3">
        <v>40883</v>
      </c>
      <c r="B1434">
        <v>1468.53</v>
      </c>
    </row>
    <row r="1435" spans="1:2" x14ac:dyDescent="0.25">
      <c r="A1435" s="3">
        <v>40884</v>
      </c>
      <c r="B1435">
        <v>1468.76</v>
      </c>
    </row>
    <row r="1436" spans="1:2" x14ac:dyDescent="0.25">
      <c r="A1436" s="3">
        <v>40885</v>
      </c>
      <c r="B1436">
        <v>1467.41</v>
      </c>
    </row>
    <row r="1437" spans="1:2" x14ac:dyDescent="0.25">
      <c r="A1437" s="3">
        <v>40886</v>
      </c>
      <c r="B1437">
        <v>1468.2</v>
      </c>
    </row>
    <row r="1438" spans="1:2" x14ac:dyDescent="0.25">
      <c r="A1438" s="3">
        <v>40889</v>
      </c>
      <c r="B1438">
        <v>1465.7</v>
      </c>
    </row>
    <row r="1439" spans="1:2" x14ac:dyDescent="0.25">
      <c r="A1439" s="3">
        <v>40890</v>
      </c>
      <c r="B1439">
        <v>1463.56</v>
      </c>
    </row>
    <row r="1440" spans="1:2" x14ac:dyDescent="0.25">
      <c r="A1440" s="3">
        <v>40891</v>
      </c>
      <c r="B1440">
        <v>1461.06</v>
      </c>
    </row>
    <row r="1441" spans="1:2" x14ac:dyDescent="0.25">
      <c r="A1441" s="3">
        <v>40892</v>
      </c>
      <c r="B1441">
        <v>1461.91</v>
      </c>
    </row>
    <row r="1442" spans="1:2" x14ac:dyDescent="0.25">
      <c r="A1442" s="3">
        <v>40893</v>
      </c>
      <c r="B1442">
        <v>1462.83</v>
      </c>
    </row>
    <row r="1443" spans="1:2" x14ac:dyDescent="0.25">
      <c r="A1443" s="3">
        <v>40896</v>
      </c>
      <c r="B1443">
        <v>1462.28</v>
      </c>
    </row>
    <row r="1444" spans="1:2" x14ac:dyDescent="0.25">
      <c r="A1444" s="3">
        <v>40897</v>
      </c>
      <c r="B1444">
        <v>1464.07</v>
      </c>
    </row>
    <row r="1445" spans="1:2" x14ac:dyDescent="0.25">
      <c r="A1445" s="3">
        <v>40898</v>
      </c>
      <c r="B1445">
        <v>1463.03</v>
      </c>
    </row>
    <row r="1446" spans="1:2" x14ac:dyDescent="0.25">
      <c r="A1446" s="3">
        <v>40899</v>
      </c>
      <c r="B1446">
        <v>1463.38</v>
      </c>
    </row>
    <row r="1447" spans="1:2" x14ac:dyDescent="0.25">
      <c r="A1447" s="3">
        <v>40900</v>
      </c>
      <c r="B1447">
        <v>1462.95</v>
      </c>
    </row>
    <row r="1448" spans="1:2" x14ac:dyDescent="0.25">
      <c r="A1448" s="3">
        <v>40904</v>
      </c>
      <c r="B1448">
        <v>1463.41</v>
      </c>
    </row>
    <row r="1449" spans="1:2" x14ac:dyDescent="0.25">
      <c r="A1449" s="3">
        <v>40905</v>
      </c>
      <c r="B1449">
        <v>1461.28</v>
      </c>
    </row>
    <row r="1450" spans="1:2" x14ac:dyDescent="0.25">
      <c r="A1450" s="3">
        <v>40906</v>
      </c>
      <c r="B1450">
        <v>1460.74</v>
      </c>
    </row>
    <row r="1451" spans="1:2" x14ac:dyDescent="0.25">
      <c r="A1451" s="3">
        <v>40907</v>
      </c>
      <c r="B1451">
        <v>1462.1</v>
      </c>
    </row>
    <row r="1452" spans="1:2" x14ac:dyDescent="0.25">
      <c r="A1452" s="3">
        <v>40911</v>
      </c>
      <c r="B1452">
        <v>1511.03</v>
      </c>
    </row>
    <row r="1453" spans="1:2" x14ac:dyDescent="0.25">
      <c r="A1453" s="3">
        <v>40912</v>
      </c>
      <c r="B1453">
        <v>1508.69</v>
      </c>
    </row>
    <row r="1454" spans="1:2" x14ac:dyDescent="0.25">
      <c r="A1454" s="3">
        <v>40913</v>
      </c>
      <c r="B1454">
        <v>1506.62</v>
      </c>
    </row>
    <row r="1455" spans="1:2" x14ac:dyDescent="0.25">
      <c r="A1455" s="3">
        <v>40914</v>
      </c>
      <c r="B1455">
        <v>1505.28</v>
      </c>
    </row>
    <row r="1456" spans="1:2" x14ac:dyDescent="0.25">
      <c r="A1456" s="3">
        <v>40917</v>
      </c>
      <c r="B1456">
        <v>1505.7</v>
      </c>
    </row>
    <row r="1457" spans="1:2" x14ac:dyDescent="0.25">
      <c r="A1457" s="3">
        <v>40918</v>
      </c>
      <c r="B1457">
        <v>1506.53</v>
      </c>
    </row>
    <row r="1458" spans="1:2" x14ac:dyDescent="0.25">
      <c r="A1458" s="3">
        <v>40919</v>
      </c>
      <c r="B1458">
        <v>1504.92</v>
      </c>
    </row>
    <row r="1459" spans="1:2" x14ac:dyDescent="0.25">
      <c r="A1459" s="3">
        <v>40920</v>
      </c>
      <c r="B1459">
        <v>1506.69</v>
      </c>
    </row>
    <row r="1460" spans="1:2" x14ac:dyDescent="0.25">
      <c r="A1460" s="3">
        <v>40921</v>
      </c>
      <c r="B1460">
        <v>1504.54</v>
      </c>
    </row>
    <row r="1461" spans="1:2" x14ac:dyDescent="0.25">
      <c r="A1461" s="3">
        <v>40925</v>
      </c>
      <c r="B1461">
        <v>1505.87</v>
      </c>
    </row>
    <row r="1462" spans="1:2" x14ac:dyDescent="0.25">
      <c r="A1462" s="3">
        <v>40926</v>
      </c>
      <c r="B1462">
        <v>1507.18</v>
      </c>
    </row>
    <row r="1463" spans="1:2" x14ac:dyDescent="0.25">
      <c r="A1463" s="3">
        <v>40927</v>
      </c>
      <c r="B1463">
        <v>1508.48</v>
      </c>
    </row>
    <row r="1464" spans="1:2" x14ac:dyDescent="0.25">
      <c r="A1464" s="3">
        <v>40928</v>
      </c>
      <c r="B1464">
        <v>1508.99</v>
      </c>
    </row>
    <row r="1465" spans="1:2" x14ac:dyDescent="0.25">
      <c r="A1465" s="3">
        <v>40931</v>
      </c>
      <c r="B1465">
        <v>1511.18</v>
      </c>
    </row>
    <row r="1466" spans="1:2" x14ac:dyDescent="0.25">
      <c r="A1466" s="3">
        <v>40932</v>
      </c>
      <c r="B1466">
        <v>1510</v>
      </c>
    </row>
    <row r="1467" spans="1:2" x14ac:dyDescent="0.25">
      <c r="A1467" s="3">
        <v>40933</v>
      </c>
      <c r="B1467">
        <v>1509.88</v>
      </c>
    </row>
    <row r="1468" spans="1:2" x14ac:dyDescent="0.25">
      <c r="A1468" s="3">
        <v>40934</v>
      </c>
      <c r="B1468">
        <v>1513.13</v>
      </c>
    </row>
    <row r="1469" spans="1:2" x14ac:dyDescent="0.25">
      <c r="A1469" s="3">
        <v>40935</v>
      </c>
      <c r="B1469">
        <v>1512.69</v>
      </c>
    </row>
    <row r="1470" spans="1:2" x14ac:dyDescent="0.25">
      <c r="A1470" s="3">
        <v>40938</v>
      </c>
      <c r="B1470">
        <v>1512.36</v>
      </c>
    </row>
    <row r="1471" spans="1:2" x14ac:dyDescent="0.25">
      <c r="A1471" s="3">
        <v>40939</v>
      </c>
      <c r="B1471">
        <v>1512.4</v>
      </c>
    </row>
    <row r="1472" spans="1:2" x14ac:dyDescent="0.25">
      <c r="A1472" s="3">
        <v>40940</v>
      </c>
      <c r="B1472">
        <v>1514.31</v>
      </c>
    </row>
    <row r="1473" spans="1:2" x14ac:dyDescent="0.25">
      <c r="A1473" s="3">
        <v>40941</v>
      </c>
      <c r="B1473">
        <v>1513.87</v>
      </c>
    </row>
    <row r="1474" spans="1:2" x14ac:dyDescent="0.25">
      <c r="A1474" s="3">
        <v>40942</v>
      </c>
      <c r="B1474">
        <v>1513.09</v>
      </c>
    </row>
    <row r="1475" spans="1:2" x14ac:dyDescent="0.25">
      <c r="A1475" s="3">
        <v>40945</v>
      </c>
      <c r="B1475">
        <v>1512.36</v>
      </c>
    </row>
    <row r="1476" spans="1:2" x14ac:dyDescent="0.25">
      <c r="A1476" s="3">
        <v>40946</v>
      </c>
      <c r="B1476">
        <v>1515.09</v>
      </c>
    </row>
    <row r="1477" spans="1:2" x14ac:dyDescent="0.25">
      <c r="A1477" s="3">
        <v>40947</v>
      </c>
      <c r="B1477">
        <v>1515.24</v>
      </c>
    </row>
    <row r="1478" spans="1:2" x14ac:dyDescent="0.25">
      <c r="A1478" s="3">
        <v>40948</v>
      </c>
      <c r="B1478">
        <v>1516.04</v>
      </c>
    </row>
    <row r="1479" spans="1:2" x14ac:dyDescent="0.25">
      <c r="A1479" s="3">
        <v>40949</v>
      </c>
      <c r="B1479">
        <v>1513.99</v>
      </c>
    </row>
    <row r="1480" spans="1:2" x14ac:dyDescent="0.25">
      <c r="A1480" s="3">
        <v>40952</v>
      </c>
      <c r="B1480">
        <v>1514.53</v>
      </c>
    </row>
    <row r="1481" spans="1:2" x14ac:dyDescent="0.25">
      <c r="A1481" s="3">
        <v>40953</v>
      </c>
      <c r="B1481">
        <v>1512.98</v>
      </c>
    </row>
    <row r="1482" spans="1:2" x14ac:dyDescent="0.25">
      <c r="A1482" s="3">
        <v>40954</v>
      </c>
      <c r="B1482">
        <v>1512.01</v>
      </c>
    </row>
    <row r="1483" spans="1:2" x14ac:dyDescent="0.25">
      <c r="A1483" s="3">
        <v>40955</v>
      </c>
      <c r="B1483">
        <v>1511.64</v>
      </c>
    </row>
    <row r="1484" spans="1:2" x14ac:dyDescent="0.25">
      <c r="A1484" s="3">
        <v>40956</v>
      </c>
      <c r="B1484">
        <v>1513.62</v>
      </c>
    </row>
    <row r="1485" spans="1:2" x14ac:dyDescent="0.25">
      <c r="A1485" s="3">
        <v>40960</v>
      </c>
      <c r="B1485">
        <v>1515.22</v>
      </c>
    </row>
    <row r="1486" spans="1:2" x14ac:dyDescent="0.25">
      <c r="A1486" s="3">
        <v>40961</v>
      </c>
      <c r="B1486">
        <v>1514.64</v>
      </c>
    </row>
    <row r="1487" spans="1:2" x14ac:dyDescent="0.25">
      <c r="A1487" s="3">
        <v>40962</v>
      </c>
      <c r="B1487">
        <v>1515.89</v>
      </c>
    </row>
    <row r="1488" spans="1:2" x14ac:dyDescent="0.25">
      <c r="A1488" s="3">
        <v>40963</v>
      </c>
      <c r="B1488">
        <v>1518.39</v>
      </c>
    </row>
    <row r="1489" spans="1:2" x14ac:dyDescent="0.25">
      <c r="A1489" s="3">
        <v>40966</v>
      </c>
      <c r="B1489">
        <v>1517.31</v>
      </c>
    </row>
    <row r="1490" spans="1:2" x14ac:dyDescent="0.25">
      <c r="A1490" s="3">
        <v>40967</v>
      </c>
      <c r="B1490">
        <v>1517.8</v>
      </c>
    </row>
    <row r="1491" spans="1:2" x14ac:dyDescent="0.25">
      <c r="A1491" s="3">
        <v>40968</v>
      </c>
      <c r="B1491">
        <v>1517.71</v>
      </c>
    </row>
    <row r="1492" spans="1:2" x14ac:dyDescent="0.25">
      <c r="A1492" s="3">
        <v>40969</v>
      </c>
      <c r="B1492">
        <v>1516.97</v>
      </c>
    </row>
    <row r="1493" spans="1:2" x14ac:dyDescent="0.25">
      <c r="A1493" s="3">
        <v>40970</v>
      </c>
      <c r="B1493">
        <v>1514.79</v>
      </c>
    </row>
    <row r="1494" spans="1:2" x14ac:dyDescent="0.25">
      <c r="A1494" s="3">
        <v>40973</v>
      </c>
      <c r="B1494">
        <v>1515.15</v>
      </c>
    </row>
    <row r="1495" spans="1:2" x14ac:dyDescent="0.25">
      <c r="A1495" s="3">
        <v>40974</v>
      </c>
      <c r="B1495">
        <v>1513.05</v>
      </c>
    </row>
    <row r="1496" spans="1:2" x14ac:dyDescent="0.25">
      <c r="A1496" s="3">
        <v>40975</v>
      </c>
      <c r="B1496">
        <v>1513.07</v>
      </c>
    </row>
    <row r="1497" spans="1:2" x14ac:dyDescent="0.25">
      <c r="A1497" s="3">
        <v>40976</v>
      </c>
      <c r="B1497">
        <v>1515.64</v>
      </c>
    </row>
    <row r="1498" spans="1:2" x14ac:dyDescent="0.25">
      <c r="A1498" s="3">
        <v>40977</v>
      </c>
      <c r="B1498">
        <v>1513.08</v>
      </c>
    </row>
    <row r="1499" spans="1:2" x14ac:dyDescent="0.25">
      <c r="A1499" s="3">
        <v>40980</v>
      </c>
      <c r="B1499">
        <v>1513.17</v>
      </c>
    </row>
    <row r="1500" spans="1:2" x14ac:dyDescent="0.25">
      <c r="A1500" s="3">
        <v>40981</v>
      </c>
      <c r="B1500">
        <v>1512.85</v>
      </c>
    </row>
    <row r="1501" spans="1:2" x14ac:dyDescent="0.25">
      <c r="A1501" s="3">
        <v>40982</v>
      </c>
      <c r="B1501">
        <v>1511.34</v>
      </c>
    </row>
    <row r="1502" spans="1:2" x14ac:dyDescent="0.25">
      <c r="A1502" s="3">
        <v>40983</v>
      </c>
      <c r="B1502">
        <v>1512.14</v>
      </c>
    </row>
    <row r="1503" spans="1:2" x14ac:dyDescent="0.25">
      <c r="A1503" s="3">
        <v>40984</v>
      </c>
      <c r="B1503">
        <v>1513.94</v>
      </c>
    </row>
    <row r="1504" spans="1:2" x14ac:dyDescent="0.25">
      <c r="A1504" s="3">
        <v>40987</v>
      </c>
      <c r="B1504">
        <v>1515.13</v>
      </c>
    </row>
    <row r="1505" spans="1:2" x14ac:dyDescent="0.25">
      <c r="A1505" s="3">
        <v>40988</v>
      </c>
      <c r="B1505">
        <v>1514.61</v>
      </c>
    </row>
    <row r="1506" spans="1:2" x14ac:dyDescent="0.25">
      <c r="A1506" s="3">
        <v>40989</v>
      </c>
      <c r="B1506">
        <v>1514.08</v>
      </c>
    </row>
    <row r="1507" spans="1:2" x14ac:dyDescent="0.25">
      <c r="A1507" s="3">
        <v>40990</v>
      </c>
      <c r="B1507">
        <v>1514.07</v>
      </c>
    </row>
    <row r="1508" spans="1:2" x14ac:dyDescent="0.25">
      <c r="A1508" s="3">
        <v>40991</v>
      </c>
      <c r="B1508">
        <v>1515.3</v>
      </c>
    </row>
    <row r="1509" spans="1:2" x14ac:dyDescent="0.25">
      <c r="A1509" s="3">
        <v>40994</v>
      </c>
      <c r="B1509">
        <v>1516.43</v>
      </c>
    </row>
    <row r="1510" spans="1:2" x14ac:dyDescent="0.25">
      <c r="A1510" s="3">
        <v>40995</v>
      </c>
      <c r="B1510">
        <v>1516.34</v>
      </c>
    </row>
    <row r="1511" spans="1:2" x14ac:dyDescent="0.25">
      <c r="A1511" s="3">
        <v>40996</v>
      </c>
      <c r="B1511">
        <v>1515.61</v>
      </c>
    </row>
    <row r="1512" spans="1:2" x14ac:dyDescent="0.25">
      <c r="A1512" s="3">
        <v>40997</v>
      </c>
      <c r="B1512">
        <v>1515.43</v>
      </c>
    </row>
    <row r="1513" spans="1:2" x14ac:dyDescent="0.25">
      <c r="A1513" s="3">
        <v>40998</v>
      </c>
      <c r="B1513">
        <v>1516.17</v>
      </c>
    </row>
    <row r="1514" spans="1:2" x14ac:dyDescent="0.25">
      <c r="A1514" s="3">
        <v>41001</v>
      </c>
      <c r="B1514">
        <v>1586.97</v>
      </c>
    </row>
    <row r="1515" spans="1:2" x14ac:dyDescent="0.25">
      <c r="A1515" s="3">
        <v>41002</v>
      </c>
      <c r="B1515">
        <v>1587.57</v>
      </c>
    </row>
    <row r="1516" spans="1:2" x14ac:dyDescent="0.25">
      <c r="A1516" s="3">
        <v>41003</v>
      </c>
      <c r="B1516">
        <v>1583.55</v>
      </c>
    </row>
    <row r="1517" spans="1:2" x14ac:dyDescent="0.25">
      <c r="A1517" s="3">
        <v>41004</v>
      </c>
      <c r="B1517">
        <v>1582.65</v>
      </c>
    </row>
    <row r="1518" spans="1:2" x14ac:dyDescent="0.25">
      <c r="A1518" s="3">
        <v>41008</v>
      </c>
      <c r="B1518">
        <v>1582.82</v>
      </c>
    </row>
    <row r="1519" spans="1:2" x14ac:dyDescent="0.25">
      <c r="A1519" s="3">
        <v>41009</v>
      </c>
      <c r="B1519">
        <v>1582.96</v>
      </c>
    </row>
    <row r="1520" spans="1:2" x14ac:dyDescent="0.25">
      <c r="A1520" s="3">
        <v>41010</v>
      </c>
      <c r="B1520">
        <v>1583.71</v>
      </c>
    </row>
    <row r="1521" spans="1:2" x14ac:dyDescent="0.25">
      <c r="A1521" s="3">
        <v>41011</v>
      </c>
      <c r="B1521">
        <v>1584.81</v>
      </c>
    </row>
    <row r="1522" spans="1:2" x14ac:dyDescent="0.25">
      <c r="A1522" s="3">
        <v>41012</v>
      </c>
      <c r="B1522">
        <v>1583.11</v>
      </c>
    </row>
    <row r="1523" spans="1:2" x14ac:dyDescent="0.25">
      <c r="A1523" s="3">
        <v>41015</v>
      </c>
      <c r="B1523">
        <v>1582.71</v>
      </c>
    </row>
    <row r="1524" spans="1:2" x14ac:dyDescent="0.25">
      <c r="A1524" s="3">
        <v>41016</v>
      </c>
      <c r="B1524">
        <v>1584.17</v>
      </c>
    </row>
    <row r="1525" spans="1:2" x14ac:dyDescent="0.25">
      <c r="A1525" s="3">
        <v>41017</v>
      </c>
      <c r="B1525">
        <v>1583.89</v>
      </c>
    </row>
    <row r="1526" spans="1:2" x14ac:dyDescent="0.25">
      <c r="A1526" s="3">
        <v>41018</v>
      </c>
      <c r="B1526">
        <v>1584.18</v>
      </c>
    </row>
    <row r="1527" spans="1:2" x14ac:dyDescent="0.25">
      <c r="A1527" s="3">
        <v>41019</v>
      </c>
      <c r="B1527">
        <v>1585.38</v>
      </c>
    </row>
    <row r="1528" spans="1:2" x14ac:dyDescent="0.25">
      <c r="A1528" s="3">
        <v>41022</v>
      </c>
      <c r="B1528">
        <v>1583.85</v>
      </c>
    </row>
    <row r="1529" spans="1:2" x14ac:dyDescent="0.25">
      <c r="A1529" s="3">
        <v>41023</v>
      </c>
      <c r="B1529">
        <v>1585.27</v>
      </c>
    </row>
    <row r="1530" spans="1:2" x14ac:dyDescent="0.25">
      <c r="A1530" s="3">
        <v>41024</v>
      </c>
      <c r="B1530">
        <v>1584.93</v>
      </c>
    </row>
    <row r="1531" spans="1:2" x14ac:dyDescent="0.25">
      <c r="A1531" s="3">
        <v>41025</v>
      </c>
      <c r="B1531">
        <v>1585.81</v>
      </c>
    </row>
    <row r="1532" spans="1:2" x14ac:dyDescent="0.25">
      <c r="A1532" s="3">
        <v>41026</v>
      </c>
      <c r="B1532">
        <v>1586.47</v>
      </c>
    </row>
    <row r="1533" spans="1:2" x14ac:dyDescent="0.25">
      <c r="A1533" s="3">
        <v>41029</v>
      </c>
      <c r="B1533">
        <v>1586.09</v>
      </c>
    </row>
    <row r="1534" spans="1:2" x14ac:dyDescent="0.25">
      <c r="A1534" s="3">
        <v>41030</v>
      </c>
      <c r="B1534">
        <v>1585.82</v>
      </c>
    </row>
    <row r="1535" spans="1:2" x14ac:dyDescent="0.25">
      <c r="A1535" s="3">
        <v>41031</v>
      </c>
      <c r="B1535">
        <v>1584.5</v>
      </c>
    </row>
    <row r="1536" spans="1:2" x14ac:dyDescent="0.25">
      <c r="A1536" s="3">
        <v>41032</v>
      </c>
      <c r="B1536">
        <v>1584.45</v>
      </c>
    </row>
    <row r="1537" spans="1:2" x14ac:dyDescent="0.25">
      <c r="A1537" s="3">
        <v>41033</v>
      </c>
      <c r="B1537">
        <v>1583.68</v>
      </c>
    </row>
    <row r="1538" spans="1:2" x14ac:dyDescent="0.25">
      <c r="A1538" s="3">
        <v>41036</v>
      </c>
      <c r="B1538">
        <v>1582.57</v>
      </c>
    </row>
    <row r="1539" spans="1:2" x14ac:dyDescent="0.25">
      <c r="A1539" s="3">
        <v>41037</v>
      </c>
      <c r="B1539">
        <v>1581.51</v>
      </c>
    </row>
    <row r="1540" spans="1:2" x14ac:dyDescent="0.25">
      <c r="A1540" s="3">
        <v>41038</v>
      </c>
      <c r="B1540">
        <v>1580.3</v>
      </c>
    </row>
    <row r="1541" spans="1:2" x14ac:dyDescent="0.25">
      <c r="A1541" s="3">
        <v>41039</v>
      </c>
      <c r="B1541">
        <v>1580.92</v>
      </c>
    </row>
    <row r="1542" spans="1:2" x14ac:dyDescent="0.25">
      <c r="A1542" s="3">
        <v>41040</v>
      </c>
      <c r="B1542">
        <v>1580.55</v>
      </c>
    </row>
    <row r="1543" spans="1:2" x14ac:dyDescent="0.25">
      <c r="A1543" s="3">
        <v>41043</v>
      </c>
      <c r="B1543">
        <v>1578.61</v>
      </c>
    </row>
    <row r="1544" spans="1:2" x14ac:dyDescent="0.25">
      <c r="A1544" s="3">
        <v>41044</v>
      </c>
      <c r="B1544">
        <v>1577.45</v>
      </c>
    </row>
    <row r="1545" spans="1:2" x14ac:dyDescent="0.25">
      <c r="A1545" s="3">
        <v>41045</v>
      </c>
      <c r="B1545">
        <v>1576.71</v>
      </c>
    </row>
    <row r="1546" spans="1:2" x14ac:dyDescent="0.25">
      <c r="A1546" s="3">
        <v>41046</v>
      </c>
      <c r="B1546">
        <v>1576.07</v>
      </c>
    </row>
    <row r="1547" spans="1:2" x14ac:dyDescent="0.25">
      <c r="A1547" s="3">
        <v>41047</v>
      </c>
      <c r="B1547">
        <v>1576.23</v>
      </c>
    </row>
    <row r="1548" spans="1:2" x14ac:dyDescent="0.25">
      <c r="A1548" s="3">
        <v>41050</v>
      </c>
      <c r="B1548">
        <v>1576.97</v>
      </c>
    </row>
    <row r="1549" spans="1:2" x14ac:dyDescent="0.25">
      <c r="A1549" s="3">
        <v>41051</v>
      </c>
      <c r="B1549">
        <v>1576.82</v>
      </c>
    </row>
    <row r="1550" spans="1:2" x14ac:dyDescent="0.25">
      <c r="A1550" s="3">
        <v>41052</v>
      </c>
      <c r="B1550">
        <v>1573.55</v>
      </c>
    </row>
    <row r="1551" spans="1:2" x14ac:dyDescent="0.25">
      <c r="A1551" s="3">
        <v>41053</v>
      </c>
      <c r="B1551">
        <v>1573.61</v>
      </c>
    </row>
    <row r="1552" spans="1:2" x14ac:dyDescent="0.25">
      <c r="A1552" s="3">
        <v>41054</v>
      </c>
      <c r="B1552">
        <v>1572.4</v>
      </c>
    </row>
    <row r="1553" spans="1:2" x14ac:dyDescent="0.25">
      <c r="A1553" s="3">
        <v>41058</v>
      </c>
      <c r="B1553">
        <v>1572.97</v>
      </c>
    </row>
    <row r="1554" spans="1:2" x14ac:dyDescent="0.25">
      <c r="A1554" s="3">
        <v>41059</v>
      </c>
      <c r="B1554">
        <v>1570.24</v>
      </c>
    </row>
    <row r="1555" spans="1:2" x14ac:dyDescent="0.25">
      <c r="A1555" s="3">
        <v>41060</v>
      </c>
      <c r="B1555">
        <v>1569.61</v>
      </c>
    </row>
    <row r="1556" spans="1:2" x14ac:dyDescent="0.25">
      <c r="A1556" s="3">
        <v>41061</v>
      </c>
      <c r="B1556">
        <v>1569.48</v>
      </c>
    </row>
    <row r="1557" spans="1:2" x14ac:dyDescent="0.25">
      <c r="A1557" s="3">
        <v>41064</v>
      </c>
      <c r="B1557">
        <v>1571.85</v>
      </c>
    </row>
    <row r="1558" spans="1:2" x14ac:dyDescent="0.25">
      <c r="A1558" s="3">
        <v>41065</v>
      </c>
      <c r="B1558">
        <v>1571.33</v>
      </c>
    </row>
    <row r="1559" spans="1:2" x14ac:dyDescent="0.25">
      <c r="A1559" s="3">
        <v>41066</v>
      </c>
      <c r="B1559">
        <v>1572.14</v>
      </c>
    </row>
    <row r="1560" spans="1:2" x14ac:dyDescent="0.25">
      <c r="A1560" s="3">
        <v>41067</v>
      </c>
      <c r="B1560">
        <v>1573.38</v>
      </c>
    </row>
    <row r="1561" spans="1:2" x14ac:dyDescent="0.25">
      <c r="A1561" s="3">
        <v>41068</v>
      </c>
      <c r="B1561">
        <v>1571.53</v>
      </c>
    </row>
    <row r="1562" spans="1:2" x14ac:dyDescent="0.25">
      <c r="A1562" s="3">
        <v>41071</v>
      </c>
      <c r="B1562">
        <v>1572.44</v>
      </c>
    </row>
    <row r="1563" spans="1:2" x14ac:dyDescent="0.25">
      <c r="A1563" s="3">
        <v>41072</v>
      </c>
      <c r="B1563">
        <v>1571.49</v>
      </c>
    </row>
    <row r="1564" spans="1:2" x14ac:dyDescent="0.25">
      <c r="A1564" s="3">
        <v>41073</v>
      </c>
      <c r="B1564">
        <v>1573.63</v>
      </c>
    </row>
    <row r="1565" spans="1:2" x14ac:dyDescent="0.25">
      <c r="A1565" s="3">
        <v>41074</v>
      </c>
      <c r="B1565">
        <v>1573.96</v>
      </c>
    </row>
    <row r="1566" spans="1:2" x14ac:dyDescent="0.25">
      <c r="A1566" s="3">
        <v>41075</v>
      </c>
      <c r="B1566">
        <v>1574.65</v>
      </c>
    </row>
    <row r="1567" spans="1:2" x14ac:dyDescent="0.25">
      <c r="A1567" s="3">
        <v>41078</v>
      </c>
      <c r="B1567">
        <v>1573.91</v>
      </c>
    </row>
    <row r="1568" spans="1:2" x14ac:dyDescent="0.25">
      <c r="A1568" s="3">
        <v>41079</v>
      </c>
      <c r="B1568">
        <v>1575.73</v>
      </c>
    </row>
    <row r="1569" spans="1:2" x14ac:dyDescent="0.25">
      <c r="A1569" s="3">
        <v>41080</v>
      </c>
      <c r="B1569">
        <v>1576.2</v>
      </c>
    </row>
    <row r="1570" spans="1:2" x14ac:dyDescent="0.25">
      <c r="A1570" s="3">
        <v>41081</v>
      </c>
      <c r="B1570">
        <v>1574.39</v>
      </c>
    </row>
    <row r="1571" spans="1:2" x14ac:dyDescent="0.25">
      <c r="A1571" s="3">
        <v>41082</v>
      </c>
      <c r="B1571">
        <v>1572.98</v>
      </c>
    </row>
    <row r="1572" spans="1:2" x14ac:dyDescent="0.25">
      <c r="A1572" s="3">
        <v>41085</v>
      </c>
      <c r="B1572">
        <v>1571.98</v>
      </c>
    </row>
    <row r="1573" spans="1:2" x14ac:dyDescent="0.25">
      <c r="A1573" s="3">
        <v>41086</v>
      </c>
      <c r="B1573">
        <v>1571.91</v>
      </c>
    </row>
    <row r="1574" spans="1:2" x14ac:dyDescent="0.25">
      <c r="A1574" s="3">
        <v>41087</v>
      </c>
      <c r="B1574">
        <v>1571.68</v>
      </c>
    </row>
    <row r="1575" spans="1:2" x14ac:dyDescent="0.25">
      <c r="A1575" s="3">
        <v>41088</v>
      </c>
      <c r="B1575">
        <v>1571.06</v>
      </c>
    </row>
    <row r="1576" spans="1:2" x14ac:dyDescent="0.25">
      <c r="A1576" s="3">
        <v>41089</v>
      </c>
      <c r="B1576">
        <v>1576.04</v>
      </c>
    </row>
    <row r="1577" spans="1:2" x14ac:dyDescent="0.25">
      <c r="A1577" s="3">
        <v>41092</v>
      </c>
      <c r="B1577">
        <v>1584.49</v>
      </c>
    </row>
    <row r="1578" spans="1:2" x14ac:dyDescent="0.25">
      <c r="A1578" s="3">
        <v>41093</v>
      </c>
      <c r="B1578">
        <v>1584.88</v>
      </c>
    </row>
    <row r="1579" spans="1:2" x14ac:dyDescent="0.25">
      <c r="A1579" s="3">
        <v>41095</v>
      </c>
      <c r="B1579">
        <v>1580.77</v>
      </c>
    </row>
    <row r="1580" spans="1:2" x14ac:dyDescent="0.25">
      <c r="A1580" s="3">
        <v>41096</v>
      </c>
      <c r="B1580">
        <v>1579.36</v>
      </c>
    </row>
    <row r="1581" spans="1:2" x14ac:dyDescent="0.25">
      <c r="A1581" s="3">
        <v>41099</v>
      </c>
      <c r="B1581">
        <v>1579.22</v>
      </c>
    </row>
    <row r="1582" spans="1:2" x14ac:dyDescent="0.25">
      <c r="A1582" s="3">
        <v>41100</v>
      </c>
      <c r="B1582">
        <v>1578.45</v>
      </c>
    </row>
    <row r="1583" spans="1:2" x14ac:dyDescent="0.25">
      <c r="A1583" s="3">
        <v>41101</v>
      </c>
      <c r="B1583">
        <v>1578.44</v>
      </c>
    </row>
    <row r="1584" spans="1:2" x14ac:dyDescent="0.25">
      <c r="A1584" s="3">
        <v>41102</v>
      </c>
      <c r="B1584">
        <v>1576.98</v>
      </c>
    </row>
    <row r="1585" spans="1:2" x14ac:dyDescent="0.25">
      <c r="A1585" s="3">
        <v>41103</v>
      </c>
      <c r="B1585">
        <v>1578.31</v>
      </c>
    </row>
    <row r="1586" spans="1:2" x14ac:dyDescent="0.25">
      <c r="A1586" s="3">
        <v>41106</v>
      </c>
      <c r="B1586">
        <v>1578.34</v>
      </c>
    </row>
    <row r="1587" spans="1:2" x14ac:dyDescent="0.25">
      <c r="A1587" s="3">
        <v>41107</v>
      </c>
      <c r="B1587">
        <v>1577.83</v>
      </c>
    </row>
    <row r="1588" spans="1:2" x14ac:dyDescent="0.25">
      <c r="A1588" s="3">
        <v>41108</v>
      </c>
      <c r="B1588">
        <v>1578.92</v>
      </c>
    </row>
    <row r="1589" spans="1:2" x14ac:dyDescent="0.25">
      <c r="A1589" s="3">
        <v>41109</v>
      </c>
      <c r="B1589">
        <v>1579.03</v>
      </c>
    </row>
    <row r="1590" spans="1:2" x14ac:dyDescent="0.25">
      <c r="A1590" s="3">
        <v>41110</v>
      </c>
      <c r="B1590">
        <v>1577.27</v>
      </c>
    </row>
    <row r="1591" spans="1:2" x14ac:dyDescent="0.25">
      <c r="A1591" s="3">
        <v>41113</v>
      </c>
      <c r="B1591">
        <v>1576.11</v>
      </c>
    </row>
    <row r="1592" spans="1:2" x14ac:dyDescent="0.25">
      <c r="A1592" s="3">
        <v>41114</v>
      </c>
      <c r="B1592">
        <v>1575.57</v>
      </c>
    </row>
    <row r="1593" spans="1:2" x14ac:dyDescent="0.25">
      <c r="A1593" s="3">
        <v>41115</v>
      </c>
      <c r="B1593">
        <v>1576.19</v>
      </c>
    </row>
    <row r="1594" spans="1:2" x14ac:dyDescent="0.25">
      <c r="A1594" s="3">
        <v>41116</v>
      </c>
      <c r="B1594">
        <v>1579.67</v>
      </c>
    </row>
    <row r="1595" spans="1:2" x14ac:dyDescent="0.25">
      <c r="A1595" s="3">
        <v>41117</v>
      </c>
      <c r="B1595">
        <v>1580.99</v>
      </c>
    </row>
    <row r="1596" spans="1:2" x14ac:dyDescent="0.25">
      <c r="A1596" s="3">
        <v>41120</v>
      </c>
      <c r="B1596">
        <v>1578.79</v>
      </c>
    </row>
    <row r="1597" spans="1:2" x14ac:dyDescent="0.25">
      <c r="A1597" s="3">
        <v>41121</v>
      </c>
      <c r="B1597">
        <v>1580.11</v>
      </c>
    </row>
    <row r="1598" spans="1:2" x14ac:dyDescent="0.25">
      <c r="A1598" s="3">
        <v>41122</v>
      </c>
      <c r="B1598">
        <v>1579.71</v>
      </c>
    </row>
    <row r="1599" spans="1:2" x14ac:dyDescent="0.25">
      <c r="A1599" s="3">
        <v>41123</v>
      </c>
      <c r="B1599">
        <v>1577.17</v>
      </c>
    </row>
    <row r="1600" spans="1:2" x14ac:dyDescent="0.25">
      <c r="A1600" s="3">
        <v>41124</v>
      </c>
      <c r="B1600">
        <v>1580.53</v>
      </c>
    </row>
    <row r="1601" spans="1:2" x14ac:dyDescent="0.25">
      <c r="A1601" s="3">
        <v>41127</v>
      </c>
      <c r="B1601">
        <v>1581.88</v>
      </c>
    </row>
    <row r="1602" spans="1:2" x14ac:dyDescent="0.25">
      <c r="A1602" s="3">
        <v>41128</v>
      </c>
      <c r="B1602">
        <v>1582</v>
      </c>
    </row>
    <row r="1603" spans="1:2" x14ac:dyDescent="0.25">
      <c r="A1603" s="3">
        <v>41129</v>
      </c>
      <c r="B1603">
        <v>1580.92</v>
      </c>
    </row>
    <row r="1604" spans="1:2" x14ac:dyDescent="0.25">
      <c r="A1604" s="3">
        <v>41130</v>
      </c>
      <c r="B1604">
        <v>1580.07</v>
      </c>
    </row>
    <row r="1605" spans="1:2" x14ac:dyDescent="0.25">
      <c r="A1605" s="3">
        <v>41131</v>
      </c>
      <c r="B1605">
        <v>1580.21</v>
      </c>
    </row>
    <row r="1606" spans="1:2" x14ac:dyDescent="0.25">
      <c r="A1606" s="3">
        <v>41134</v>
      </c>
      <c r="B1606">
        <v>1580.8</v>
      </c>
    </row>
    <row r="1607" spans="1:2" x14ac:dyDescent="0.25">
      <c r="A1607" s="3">
        <v>41135</v>
      </c>
      <c r="B1607">
        <v>1580.22</v>
      </c>
    </row>
    <row r="1608" spans="1:2" x14ac:dyDescent="0.25">
      <c r="A1608" s="3">
        <v>41136</v>
      </c>
      <c r="B1608">
        <v>1579.55</v>
      </c>
    </row>
    <row r="1609" spans="1:2" x14ac:dyDescent="0.25">
      <c r="A1609" s="3">
        <v>41137</v>
      </c>
      <c r="B1609">
        <v>1581</v>
      </c>
    </row>
    <row r="1610" spans="1:2" x14ac:dyDescent="0.25">
      <c r="A1610" s="3">
        <v>41138</v>
      </c>
      <c r="B1610">
        <v>1579.69</v>
      </c>
    </row>
    <row r="1611" spans="1:2" x14ac:dyDescent="0.25">
      <c r="A1611" s="3">
        <v>41141</v>
      </c>
      <c r="B1611">
        <v>1580.53</v>
      </c>
    </row>
    <row r="1612" spans="1:2" x14ac:dyDescent="0.25">
      <c r="A1612" s="3">
        <v>41142</v>
      </c>
      <c r="B1612">
        <v>1583.11</v>
      </c>
    </row>
    <row r="1613" spans="1:2" x14ac:dyDescent="0.25">
      <c r="A1613" s="3">
        <v>41143</v>
      </c>
      <c r="B1613">
        <v>1582.83</v>
      </c>
    </row>
    <row r="1614" spans="1:2" x14ac:dyDescent="0.25">
      <c r="A1614" s="3">
        <v>41144</v>
      </c>
      <c r="B1614">
        <v>1585.02</v>
      </c>
    </row>
    <row r="1615" spans="1:2" x14ac:dyDescent="0.25">
      <c r="A1615" s="3">
        <v>41145</v>
      </c>
      <c r="B1615">
        <v>1583.69</v>
      </c>
    </row>
    <row r="1616" spans="1:2" x14ac:dyDescent="0.25">
      <c r="A1616" s="3">
        <v>41148</v>
      </c>
      <c r="B1616">
        <v>1583.64</v>
      </c>
    </row>
    <row r="1617" spans="1:2" x14ac:dyDescent="0.25">
      <c r="A1617" s="3">
        <v>41149</v>
      </c>
      <c r="B1617">
        <v>1584.54</v>
      </c>
    </row>
    <row r="1618" spans="1:2" x14ac:dyDescent="0.25">
      <c r="A1618" s="3">
        <v>41150</v>
      </c>
      <c r="B1618">
        <v>1583.81</v>
      </c>
    </row>
    <row r="1619" spans="1:2" x14ac:dyDescent="0.25">
      <c r="A1619" s="3">
        <v>41151</v>
      </c>
      <c r="B1619">
        <v>1583.21</v>
      </c>
    </row>
    <row r="1620" spans="1:2" x14ac:dyDescent="0.25">
      <c r="A1620" s="3">
        <v>41152</v>
      </c>
      <c r="B1620">
        <v>1585.29</v>
      </c>
    </row>
    <row r="1621" spans="1:2" x14ac:dyDescent="0.25">
      <c r="A1621" s="3">
        <v>41156</v>
      </c>
      <c r="B1621">
        <v>1584.4</v>
      </c>
    </row>
    <row r="1622" spans="1:2" x14ac:dyDescent="0.25">
      <c r="A1622" s="3">
        <v>41157</v>
      </c>
      <c r="B1622">
        <v>1585.1</v>
      </c>
    </row>
    <row r="1623" spans="1:2" x14ac:dyDescent="0.25">
      <c r="A1623" s="3">
        <v>41158</v>
      </c>
      <c r="B1623">
        <v>1585.79</v>
      </c>
    </row>
    <row r="1624" spans="1:2" x14ac:dyDescent="0.25">
      <c r="A1624" s="3">
        <v>41159</v>
      </c>
      <c r="B1624">
        <v>1588.95</v>
      </c>
    </row>
    <row r="1625" spans="1:2" x14ac:dyDescent="0.25">
      <c r="A1625" s="3">
        <v>41162</v>
      </c>
      <c r="B1625">
        <v>1588.65</v>
      </c>
    </row>
    <row r="1626" spans="1:2" x14ac:dyDescent="0.25">
      <c r="A1626" s="3">
        <v>41163</v>
      </c>
      <c r="B1626">
        <v>1589.86</v>
      </c>
    </row>
    <row r="1627" spans="1:2" x14ac:dyDescent="0.25">
      <c r="A1627" s="3">
        <v>41164</v>
      </c>
      <c r="B1627">
        <v>1590.65</v>
      </c>
    </row>
    <row r="1628" spans="1:2" x14ac:dyDescent="0.25">
      <c r="A1628" s="3">
        <v>41165</v>
      </c>
      <c r="B1628">
        <v>1591</v>
      </c>
    </row>
    <row r="1629" spans="1:2" x14ac:dyDescent="0.25">
      <c r="A1629" s="3">
        <v>41166</v>
      </c>
      <c r="B1629">
        <v>1595.5</v>
      </c>
    </row>
    <row r="1630" spans="1:2" x14ac:dyDescent="0.25">
      <c r="A1630" s="3">
        <v>41169</v>
      </c>
      <c r="B1630">
        <v>1595.21</v>
      </c>
    </row>
    <row r="1631" spans="1:2" x14ac:dyDescent="0.25">
      <c r="A1631" s="3">
        <v>41170</v>
      </c>
      <c r="B1631">
        <v>1593.71</v>
      </c>
    </row>
    <row r="1632" spans="1:2" x14ac:dyDescent="0.25">
      <c r="A1632" s="3">
        <v>41171</v>
      </c>
      <c r="B1632">
        <v>1593.76</v>
      </c>
    </row>
    <row r="1633" spans="1:2" x14ac:dyDescent="0.25">
      <c r="A1633" s="3">
        <v>41172</v>
      </c>
      <c r="B1633">
        <v>1591.81</v>
      </c>
    </row>
    <row r="1634" spans="1:2" x14ac:dyDescent="0.25">
      <c r="A1634" s="3">
        <v>41173</v>
      </c>
      <c r="B1634">
        <v>1592.58</v>
      </c>
    </row>
    <row r="1635" spans="1:2" x14ac:dyDescent="0.25">
      <c r="A1635" s="3">
        <v>41176</v>
      </c>
      <c r="B1635">
        <v>1591.18</v>
      </c>
    </row>
    <row r="1636" spans="1:2" x14ac:dyDescent="0.25">
      <c r="A1636" s="3">
        <v>41177</v>
      </c>
      <c r="B1636">
        <v>1592.1</v>
      </c>
    </row>
    <row r="1637" spans="1:2" x14ac:dyDescent="0.25">
      <c r="A1637" s="3">
        <v>41178</v>
      </c>
      <c r="B1637">
        <v>1589.7</v>
      </c>
    </row>
    <row r="1638" spans="1:2" x14ac:dyDescent="0.25">
      <c r="A1638" s="3">
        <v>41179</v>
      </c>
      <c r="B1638">
        <v>1590.23</v>
      </c>
    </row>
    <row r="1639" spans="1:2" x14ac:dyDescent="0.25">
      <c r="A1639" s="3">
        <v>41180</v>
      </c>
      <c r="B1639">
        <v>1590.24</v>
      </c>
    </row>
    <row r="1640" spans="1:2" x14ac:dyDescent="0.25">
      <c r="A1640" s="3">
        <v>41183</v>
      </c>
      <c r="B1640">
        <v>1636.56</v>
      </c>
    </row>
    <row r="1641" spans="1:2" x14ac:dyDescent="0.25">
      <c r="A1641" s="3">
        <v>41184</v>
      </c>
      <c r="B1641">
        <v>1636.97</v>
      </c>
    </row>
    <row r="1642" spans="1:2" x14ac:dyDescent="0.25">
      <c r="A1642" s="3">
        <v>41185</v>
      </c>
      <c r="B1642">
        <v>1636.18</v>
      </c>
    </row>
    <row r="1643" spans="1:2" x14ac:dyDescent="0.25">
      <c r="A1643" s="3">
        <v>41186</v>
      </c>
      <c r="B1643">
        <v>1638.13</v>
      </c>
    </row>
    <row r="1644" spans="1:2" x14ac:dyDescent="0.25">
      <c r="A1644" s="3">
        <v>41187</v>
      </c>
      <c r="B1644">
        <v>1639.13</v>
      </c>
    </row>
    <row r="1645" spans="1:2" x14ac:dyDescent="0.25">
      <c r="A1645" s="3">
        <v>41190</v>
      </c>
      <c r="B1645">
        <v>1637.34</v>
      </c>
    </row>
    <row r="1646" spans="1:2" x14ac:dyDescent="0.25">
      <c r="A1646" s="3">
        <v>41191</v>
      </c>
      <c r="B1646">
        <v>1636.02</v>
      </c>
    </row>
    <row r="1647" spans="1:2" x14ac:dyDescent="0.25">
      <c r="A1647" s="3">
        <v>41192</v>
      </c>
      <c r="B1647">
        <v>1636.18</v>
      </c>
    </row>
    <row r="1648" spans="1:2" x14ac:dyDescent="0.25">
      <c r="A1648" s="3">
        <v>41193</v>
      </c>
      <c r="B1648">
        <v>1636.96</v>
      </c>
    </row>
    <row r="1649" spans="1:2" x14ac:dyDescent="0.25">
      <c r="A1649" s="3">
        <v>41194</v>
      </c>
      <c r="B1649">
        <v>1637.37</v>
      </c>
    </row>
    <row r="1650" spans="1:2" x14ac:dyDescent="0.25">
      <c r="A1650" s="3">
        <v>41197</v>
      </c>
      <c r="B1650">
        <v>1636.78</v>
      </c>
    </row>
    <row r="1651" spans="1:2" x14ac:dyDescent="0.25">
      <c r="A1651" s="3">
        <v>41198</v>
      </c>
      <c r="B1651">
        <v>1638.4</v>
      </c>
    </row>
    <row r="1652" spans="1:2" x14ac:dyDescent="0.25">
      <c r="A1652" s="3">
        <v>41199</v>
      </c>
      <c r="B1652">
        <v>1640.32</v>
      </c>
    </row>
    <row r="1653" spans="1:2" x14ac:dyDescent="0.25">
      <c r="A1653" s="3">
        <v>41200</v>
      </c>
      <c r="B1653">
        <v>1639.79</v>
      </c>
    </row>
    <row r="1654" spans="1:2" x14ac:dyDescent="0.25">
      <c r="A1654" s="3">
        <v>41201</v>
      </c>
      <c r="B1654">
        <v>1638.56</v>
      </c>
    </row>
    <row r="1655" spans="1:2" x14ac:dyDescent="0.25">
      <c r="A1655" s="3">
        <v>41204</v>
      </c>
      <c r="B1655">
        <v>1639.23</v>
      </c>
    </row>
    <row r="1656" spans="1:2" x14ac:dyDescent="0.25">
      <c r="A1656" s="3">
        <v>41205</v>
      </c>
      <c r="B1656">
        <v>1637.18</v>
      </c>
    </row>
    <row r="1657" spans="1:2" x14ac:dyDescent="0.25">
      <c r="A1657" s="3">
        <v>41206</v>
      </c>
      <c r="B1657">
        <v>1637.44</v>
      </c>
    </row>
    <row r="1658" spans="1:2" x14ac:dyDescent="0.25">
      <c r="A1658" s="3">
        <v>41207</v>
      </c>
      <c r="B1658">
        <v>1637.4</v>
      </c>
    </row>
    <row r="1659" spans="1:2" x14ac:dyDescent="0.25">
      <c r="A1659" s="3">
        <v>41208</v>
      </c>
      <c r="B1659">
        <v>1636.88</v>
      </c>
    </row>
    <row r="1660" spans="1:2" x14ac:dyDescent="0.25">
      <c r="A1660" s="3">
        <v>41211</v>
      </c>
      <c r="B1660">
        <v>1636.29</v>
      </c>
    </row>
    <row r="1661" spans="1:2" x14ac:dyDescent="0.25">
      <c r="A1661" s="3">
        <v>41212</v>
      </c>
      <c r="B1661">
        <v>1637.69</v>
      </c>
    </row>
    <row r="1662" spans="1:2" x14ac:dyDescent="0.25">
      <c r="A1662" s="3">
        <v>41213</v>
      </c>
      <c r="B1662">
        <v>1637.58</v>
      </c>
    </row>
    <row r="1663" spans="1:2" x14ac:dyDescent="0.25">
      <c r="A1663" s="3">
        <v>41214</v>
      </c>
      <c r="B1663">
        <v>1637.27</v>
      </c>
    </row>
    <row r="1664" spans="1:2" x14ac:dyDescent="0.25">
      <c r="A1664" s="3">
        <v>41215</v>
      </c>
      <c r="B1664">
        <v>1635.51</v>
      </c>
    </row>
    <row r="1665" spans="1:2" x14ac:dyDescent="0.25">
      <c r="A1665" s="3">
        <v>41218</v>
      </c>
      <c r="B1665">
        <v>1634.36</v>
      </c>
    </row>
    <row r="1666" spans="1:2" x14ac:dyDescent="0.25">
      <c r="A1666" s="3">
        <v>41219</v>
      </c>
      <c r="B1666">
        <v>1634.77</v>
      </c>
    </row>
    <row r="1667" spans="1:2" x14ac:dyDescent="0.25">
      <c r="A1667" s="3">
        <v>41220</v>
      </c>
      <c r="B1667">
        <v>1633.94</v>
      </c>
    </row>
    <row r="1668" spans="1:2" x14ac:dyDescent="0.25">
      <c r="A1668" s="3">
        <v>41221</v>
      </c>
      <c r="B1668">
        <v>1633.44</v>
      </c>
    </row>
    <row r="1669" spans="1:2" x14ac:dyDescent="0.25">
      <c r="A1669" s="3">
        <v>41222</v>
      </c>
      <c r="B1669">
        <v>1633.01</v>
      </c>
    </row>
    <row r="1670" spans="1:2" x14ac:dyDescent="0.25">
      <c r="A1670" s="3">
        <v>41225</v>
      </c>
      <c r="B1670">
        <v>1633.07</v>
      </c>
    </row>
    <row r="1671" spans="1:2" x14ac:dyDescent="0.25">
      <c r="A1671" s="3">
        <v>41226</v>
      </c>
      <c r="B1671">
        <v>1633.08</v>
      </c>
    </row>
    <row r="1672" spans="1:2" x14ac:dyDescent="0.25">
      <c r="A1672" s="3">
        <v>41227</v>
      </c>
      <c r="B1672">
        <v>1633.26</v>
      </c>
    </row>
    <row r="1673" spans="1:2" x14ac:dyDescent="0.25">
      <c r="A1673" s="3">
        <v>41228</v>
      </c>
      <c r="B1673">
        <v>1634.31</v>
      </c>
    </row>
    <row r="1674" spans="1:2" x14ac:dyDescent="0.25">
      <c r="A1674" s="3">
        <v>41229</v>
      </c>
      <c r="B1674">
        <v>1632.72</v>
      </c>
    </row>
    <row r="1675" spans="1:2" x14ac:dyDescent="0.25">
      <c r="A1675" s="3">
        <v>41232</v>
      </c>
      <c r="B1675">
        <v>1634.86</v>
      </c>
    </row>
    <row r="1676" spans="1:2" x14ac:dyDescent="0.25">
      <c r="A1676" s="3">
        <v>41233</v>
      </c>
      <c r="B1676">
        <v>1634.57</v>
      </c>
    </row>
    <row r="1677" spans="1:2" x14ac:dyDescent="0.25">
      <c r="A1677" s="3">
        <v>41234</v>
      </c>
      <c r="B1677">
        <v>1634.82</v>
      </c>
    </row>
    <row r="1678" spans="1:2" x14ac:dyDescent="0.25">
      <c r="A1678" s="3">
        <v>41236</v>
      </c>
      <c r="B1678">
        <v>1637.48</v>
      </c>
    </row>
    <row r="1679" spans="1:2" x14ac:dyDescent="0.25">
      <c r="A1679" s="3">
        <v>41239</v>
      </c>
      <c r="B1679">
        <v>1637.63</v>
      </c>
    </row>
    <row r="1680" spans="1:2" x14ac:dyDescent="0.25">
      <c r="A1680" s="3">
        <v>41240</v>
      </c>
      <c r="B1680">
        <v>1637.03</v>
      </c>
    </row>
    <row r="1681" spans="1:2" x14ac:dyDescent="0.25">
      <c r="A1681" s="3">
        <v>41241</v>
      </c>
      <c r="B1681">
        <v>1636.62</v>
      </c>
    </row>
    <row r="1682" spans="1:2" x14ac:dyDescent="0.25">
      <c r="A1682" s="3">
        <v>41242</v>
      </c>
      <c r="B1682">
        <v>1637.85</v>
      </c>
    </row>
    <row r="1683" spans="1:2" x14ac:dyDescent="0.25">
      <c r="A1683" s="3">
        <v>41243</v>
      </c>
      <c r="B1683">
        <v>1638.23</v>
      </c>
    </row>
    <row r="1684" spans="1:2" x14ac:dyDescent="0.25">
      <c r="A1684" s="3">
        <v>41246</v>
      </c>
      <c r="B1684">
        <v>1639.45</v>
      </c>
    </row>
    <row r="1685" spans="1:2" x14ac:dyDescent="0.25">
      <c r="A1685" s="3">
        <v>41247</v>
      </c>
      <c r="B1685">
        <v>1639.8</v>
      </c>
    </row>
    <row r="1686" spans="1:2" x14ac:dyDescent="0.25">
      <c r="A1686" s="3">
        <v>41248</v>
      </c>
      <c r="B1686">
        <v>1639.42</v>
      </c>
    </row>
    <row r="1687" spans="1:2" x14ac:dyDescent="0.25">
      <c r="A1687" s="3">
        <v>41249</v>
      </c>
      <c r="B1687">
        <v>1638.07</v>
      </c>
    </row>
    <row r="1688" spans="1:2" x14ac:dyDescent="0.25">
      <c r="A1688" s="3">
        <v>41250</v>
      </c>
      <c r="B1688">
        <v>1636.97</v>
      </c>
    </row>
    <row r="1689" spans="1:2" x14ac:dyDescent="0.25">
      <c r="A1689" s="3">
        <v>41253</v>
      </c>
      <c r="B1689">
        <v>1636.99</v>
      </c>
    </row>
    <row r="1690" spans="1:2" x14ac:dyDescent="0.25">
      <c r="A1690" s="3">
        <v>41254</v>
      </c>
      <c r="B1690">
        <v>1638.34</v>
      </c>
    </row>
    <row r="1691" spans="1:2" x14ac:dyDescent="0.25">
      <c r="A1691" s="3">
        <v>41255</v>
      </c>
      <c r="B1691">
        <v>1639.09</v>
      </c>
    </row>
    <row r="1692" spans="1:2" x14ac:dyDescent="0.25">
      <c r="A1692" s="3">
        <v>41256</v>
      </c>
      <c r="B1692">
        <v>1639.93</v>
      </c>
    </row>
    <row r="1693" spans="1:2" x14ac:dyDescent="0.25">
      <c r="A1693" s="3">
        <v>41257</v>
      </c>
      <c r="B1693">
        <v>1640.28</v>
      </c>
    </row>
    <row r="1694" spans="1:2" x14ac:dyDescent="0.25">
      <c r="A1694" s="3">
        <v>41260</v>
      </c>
      <c r="B1694">
        <v>1641.26</v>
      </c>
    </row>
    <row r="1695" spans="1:2" x14ac:dyDescent="0.25">
      <c r="A1695" s="3">
        <v>41261</v>
      </c>
      <c r="B1695">
        <v>1642.21</v>
      </c>
    </row>
    <row r="1696" spans="1:2" x14ac:dyDescent="0.25">
      <c r="A1696" s="3">
        <v>41262</v>
      </c>
      <c r="B1696">
        <v>1643</v>
      </c>
    </row>
    <row r="1697" spans="1:2" x14ac:dyDescent="0.25">
      <c r="A1697" s="3">
        <v>41263</v>
      </c>
      <c r="B1697">
        <v>1642.57</v>
      </c>
    </row>
    <row r="1698" spans="1:2" x14ac:dyDescent="0.25">
      <c r="A1698" s="3">
        <v>41264</v>
      </c>
      <c r="B1698">
        <v>1641.33</v>
      </c>
    </row>
    <row r="1699" spans="1:2" x14ac:dyDescent="0.25">
      <c r="A1699" s="3">
        <v>41267</v>
      </c>
      <c r="B1699">
        <v>1641.55</v>
      </c>
    </row>
    <row r="1700" spans="1:2" x14ac:dyDescent="0.25">
      <c r="A1700" s="3">
        <v>41269</v>
      </c>
      <c r="B1700">
        <v>1642</v>
      </c>
    </row>
    <row r="1701" spans="1:2" x14ac:dyDescent="0.25">
      <c r="A1701" s="3">
        <v>41270</v>
      </c>
      <c r="B1701">
        <v>1642.01</v>
      </c>
    </row>
    <row r="1702" spans="1:2" x14ac:dyDescent="0.25">
      <c r="A1702" s="3">
        <v>41271</v>
      </c>
      <c r="B1702">
        <v>1642.04</v>
      </c>
    </row>
    <row r="1703" spans="1:2" x14ac:dyDescent="0.25">
      <c r="A1703" s="3">
        <v>41274</v>
      </c>
      <c r="B1703">
        <v>1694.05</v>
      </c>
    </row>
    <row r="1704" spans="1:2" x14ac:dyDescent="0.25">
      <c r="A1704" s="3">
        <v>41276</v>
      </c>
      <c r="B1704">
        <v>1695.26</v>
      </c>
    </row>
    <row r="1705" spans="1:2" x14ac:dyDescent="0.25">
      <c r="A1705" s="3">
        <v>41277</v>
      </c>
      <c r="B1705">
        <v>1692.54</v>
      </c>
    </row>
    <row r="1706" spans="1:2" x14ac:dyDescent="0.25">
      <c r="A1706" s="3">
        <v>41278</v>
      </c>
      <c r="B1706">
        <v>1691.37</v>
      </c>
    </row>
    <row r="1707" spans="1:2" x14ac:dyDescent="0.25">
      <c r="A1707" s="3">
        <v>41281</v>
      </c>
      <c r="B1707">
        <v>1692.47</v>
      </c>
    </row>
    <row r="1708" spans="1:2" x14ac:dyDescent="0.25">
      <c r="A1708" s="3">
        <v>41282</v>
      </c>
      <c r="B1708">
        <v>1691.82</v>
      </c>
    </row>
    <row r="1709" spans="1:2" x14ac:dyDescent="0.25">
      <c r="A1709" s="3">
        <v>41283</v>
      </c>
      <c r="B1709">
        <v>1691.39</v>
      </c>
    </row>
    <row r="1710" spans="1:2" x14ac:dyDescent="0.25">
      <c r="A1710" s="3">
        <v>41284</v>
      </c>
      <c r="B1710">
        <v>1694.69</v>
      </c>
    </row>
    <row r="1711" spans="1:2" x14ac:dyDescent="0.25">
      <c r="A1711" s="3">
        <v>41285</v>
      </c>
      <c r="B1711">
        <v>1697.08</v>
      </c>
    </row>
    <row r="1712" spans="1:2" x14ac:dyDescent="0.25">
      <c r="A1712" s="3">
        <v>41288</v>
      </c>
      <c r="B1712">
        <v>1697.41</v>
      </c>
    </row>
    <row r="1713" spans="1:2" x14ac:dyDescent="0.25">
      <c r="A1713" s="3">
        <v>41289</v>
      </c>
      <c r="B1713">
        <v>1697.1</v>
      </c>
    </row>
    <row r="1714" spans="1:2" x14ac:dyDescent="0.25">
      <c r="A1714" s="3">
        <v>41290</v>
      </c>
      <c r="B1714">
        <v>1696.07</v>
      </c>
    </row>
    <row r="1715" spans="1:2" x14ac:dyDescent="0.25">
      <c r="A1715" s="3">
        <v>41291</v>
      </c>
      <c r="B1715">
        <v>1697.12</v>
      </c>
    </row>
    <row r="1716" spans="1:2" x14ac:dyDescent="0.25">
      <c r="A1716" s="3">
        <v>41292</v>
      </c>
      <c r="B1716">
        <v>1695.73</v>
      </c>
    </row>
    <row r="1717" spans="1:2" x14ac:dyDescent="0.25">
      <c r="A1717" s="3">
        <v>41296</v>
      </c>
      <c r="B1717">
        <v>1695.75</v>
      </c>
    </row>
    <row r="1718" spans="1:2" x14ac:dyDescent="0.25">
      <c r="A1718" s="3">
        <v>41297</v>
      </c>
      <c r="B1718">
        <v>1695.62</v>
      </c>
    </row>
    <row r="1719" spans="1:2" x14ac:dyDescent="0.25">
      <c r="A1719" s="3">
        <v>41298</v>
      </c>
      <c r="B1719">
        <v>1697.15</v>
      </c>
    </row>
    <row r="1720" spans="1:2" x14ac:dyDescent="0.25">
      <c r="A1720" s="3">
        <v>41299</v>
      </c>
      <c r="B1720">
        <v>1698.95</v>
      </c>
    </row>
    <row r="1721" spans="1:2" x14ac:dyDescent="0.25">
      <c r="A1721" s="3">
        <v>41302</v>
      </c>
      <c r="B1721">
        <v>1698.58</v>
      </c>
    </row>
    <row r="1722" spans="1:2" x14ac:dyDescent="0.25">
      <c r="A1722" s="3">
        <v>41303</v>
      </c>
      <c r="B1722">
        <v>1699.02</v>
      </c>
    </row>
    <row r="1723" spans="1:2" x14ac:dyDescent="0.25">
      <c r="A1723" s="3">
        <v>41304</v>
      </c>
      <c r="B1723">
        <v>1700.69</v>
      </c>
    </row>
    <row r="1724" spans="1:2" x14ac:dyDescent="0.25">
      <c r="A1724" s="3">
        <v>41305</v>
      </c>
      <c r="B1724">
        <v>1700.9</v>
      </c>
    </row>
    <row r="1725" spans="1:2" x14ac:dyDescent="0.25">
      <c r="A1725" s="3">
        <v>41306</v>
      </c>
      <c r="B1725">
        <v>1702.98</v>
      </c>
    </row>
    <row r="1726" spans="1:2" x14ac:dyDescent="0.25">
      <c r="A1726" s="3">
        <v>41309</v>
      </c>
      <c r="B1726">
        <v>1700.47</v>
      </c>
    </row>
    <row r="1727" spans="1:2" x14ac:dyDescent="0.25">
      <c r="A1727" s="3">
        <v>41310</v>
      </c>
      <c r="B1727">
        <v>1699.79</v>
      </c>
    </row>
    <row r="1728" spans="1:2" x14ac:dyDescent="0.25">
      <c r="A1728" s="3">
        <v>41311</v>
      </c>
      <c r="B1728">
        <v>1699.86</v>
      </c>
    </row>
    <row r="1729" spans="1:2" x14ac:dyDescent="0.25">
      <c r="A1729" s="3">
        <v>41312</v>
      </c>
      <c r="B1729">
        <v>1697.2</v>
      </c>
    </row>
    <row r="1730" spans="1:2" x14ac:dyDescent="0.25">
      <c r="A1730" s="3">
        <v>41313</v>
      </c>
      <c r="B1730">
        <v>1697.18</v>
      </c>
    </row>
    <row r="1731" spans="1:2" x14ac:dyDescent="0.25">
      <c r="A1731" s="3">
        <v>41316</v>
      </c>
      <c r="B1731">
        <v>1696.9</v>
      </c>
    </row>
    <row r="1732" spans="1:2" x14ac:dyDescent="0.25">
      <c r="A1732" s="3">
        <v>41317</v>
      </c>
      <c r="B1732">
        <v>1698.53</v>
      </c>
    </row>
    <row r="1733" spans="1:2" x14ac:dyDescent="0.25">
      <c r="A1733" s="3">
        <v>41318</v>
      </c>
      <c r="B1733">
        <v>1697.95</v>
      </c>
    </row>
    <row r="1734" spans="1:2" x14ac:dyDescent="0.25">
      <c r="A1734" s="3">
        <v>41319</v>
      </c>
      <c r="B1734">
        <v>1696.23</v>
      </c>
    </row>
    <row r="1735" spans="1:2" x14ac:dyDescent="0.25">
      <c r="A1735" s="3">
        <v>41320</v>
      </c>
      <c r="B1735">
        <v>1696.3</v>
      </c>
    </row>
    <row r="1736" spans="1:2" x14ac:dyDescent="0.25">
      <c r="A1736" s="3">
        <v>41324</v>
      </c>
      <c r="B1736">
        <v>1696.4</v>
      </c>
    </row>
    <row r="1737" spans="1:2" x14ac:dyDescent="0.25">
      <c r="A1737" s="3">
        <v>41325</v>
      </c>
      <c r="B1737">
        <v>1696.43</v>
      </c>
    </row>
    <row r="1738" spans="1:2" x14ac:dyDescent="0.25">
      <c r="A1738" s="3">
        <v>41326</v>
      </c>
      <c r="B1738">
        <v>1693.61</v>
      </c>
    </row>
    <row r="1739" spans="1:2" x14ac:dyDescent="0.25">
      <c r="A1739" s="3">
        <v>41327</v>
      </c>
      <c r="B1739">
        <v>1692.58</v>
      </c>
    </row>
    <row r="1740" spans="1:2" x14ac:dyDescent="0.25">
      <c r="A1740" s="3">
        <v>41330</v>
      </c>
      <c r="B1740">
        <v>1693.35</v>
      </c>
    </row>
    <row r="1741" spans="1:2" x14ac:dyDescent="0.25">
      <c r="A1741" s="3">
        <v>41331</v>
      </c>
      <c r="B1741">
        <v>1690.7</v>
      </c>
    </row>
    <row r="1742" spans="1:2" x14ac:dyDescent="0.25">
      <c r="A1742" s="3">
        <v>41332</v>
      </c>
      <c r="B1742">
        <v>1691.37</v>
      </c>
    </row>
    <row r="1743" spans="1:2" x14ac:dyDescent="0.25">
      <c r="A1743" s="3">
        <v>41333</v>
      </c>
      <c r="B1743">
        <v>1690.64</v>
      </c>
    </row>
    <row r="1744" spans="1:2" x14ac:dyDescent="0.25">
      <c r="A1744" s="3">
        <v>41334</v>
      </c>
      <c r="B1744">
        <v>1688.77</v>
      </c>
    </row>
    <row r="1745" spans="1:2" x14ac:dyDescent="0.25">
      <c r="A1745" s="3">
        <v>41337</v>
      </c>
      <c r="B1745">
        <v>1689.24</v>
      </c>
    </row>
    <row r="1746" spans="1:2" x14ac:dyDescent="0.25">
      <c r="A1746" s="3">
        <v>41338</v>
      </c>
      <c r="B1746">
        <v>1689.71</v>
      </c>
    </row>
    <row r="1747" spans="1:2" x14ac:dyDescent="0.25">
      <c r="A1747" s="3">
        <v>41339</v>
      </c>
      <c r="B1747">
        <v>1689.2</v>
      </c>
    </row>
    <row r="1748" spans="1:2" x14ac:dyDescent="0.25">
      <c r="A1748" s="3">
        <v>41340</v>
      </c>
      <c r="B1748">
        <v>1690.7</v>
      </c>
    </row>
    <row r="1749" spans="1:2" x14ac:dyDescent="0.25">
      <c r="A1749" s="3">
        <v>41341</v>
      </c>
      <c r="B1749">
        <v>1688.66</v>
      </c>
    </row>
    <row r="1750" spans="1:2" x14ac:dyDescent="0.25">
      <c r="A1750" s="3">
        <v>41344</v>
      </c>
      <c r="B1750">
        <v>1689.28</v>
      </c>
    </row>
    <row r="1751" spans="1:2" x14ac:dyDescent="0.25">
      <c r="A1751" s="3">
        <v>41345</v>
      </c>
      <c r="B1751">
        <v>1689.47</v>
      </c>
    </row>
    <row r="1752" spans="1:2" x14ac:dyDescent="0.25">
      <c r="A1752" s="3">
        <v>41346</v>
      </c>
      <c r="B1752">
        <v>1688.16</v>
      </c>
    </row>
    <row r="1753" spans="1:2" x14ac:dyDescent="0.25">
      <c r="A1753" s="3">
        <v>41347</v>
      </c>
      <c r="B1753">
        <v>1688.96</v>
      </c>
    </row>
    <row r="1754" spans="1:2" x14ac:dyDescent="0.25">
      <c r="A1754" s="3">
        <v>41348</v>
      </c>
      <c r="B1754">
        <v>1690.65</v>
      </c>
    </row>
    <row r="1755" spans="1:2" x14ac:dyDescent="0.25">
      <c r="A1755" s="3">
        <v>41351</v>
      </c>
      <c r="B1755">
        <v>1688.62</v>
      </c>
    </row>
    <row r="1756" spans="1:2" x14ac:dyDescent="0.25">
      <c r="A1756" s="3">
        <v>41352</v>
      </c>
      <c r="B1756">
        <v>1687.27</v>
      </c>
    </row>
    <row r="1757" spans="1:2" x14ac:dyDescent="0.25">
      <c r="A1757" s="3">
        <v>41353</v>
      </c>
      <c r="B1757">
        <v>1688.47</v>
      </c>
    </row>
    <row r="1758" spans="1:2" x14ac:dyDescent="0.25">
      <c r="A1758" s="3">
        <v>41354</v>
      </c>
      <c r="B1758">
        <v>1688.15</v>
      </c>
    </row>
    <row r="1759" spans="1:2" x14ac:dyDescent="0.25">
      <c r="A1759" s="3">
        <v>41355</v>
      </c>
      <c r="B1759">
        <v>1689.51</v>
      </c>
    </row>
    <row r="1760" spans="1:2" x14ac:dyDescent="0.25">
      <c r="A1760" s="3">
        <v>41358</v>
      </c>
      <c r="B1760">
        <v>1687.37</v>
      </c>
    </row>
    <row r="1761" spans="1:2" x14ac:dyDescent="0.25">
      <c r="A1761" s="3">
        <v>41359</v>
      </c>
      <c r="B1761">
        <v>1686.97</v>
      </c>
    </row>
    <row r="1762" spans="1:2" x14ac:dyDescent="0.25">
      <c r="A1762" s="3">
        <v>41360</v>
      </c>
      <c r="B1762">
        <v>1685.43</v>
      </c>
    </row>
    <row r="1763" spans="1:2" x14ac:dyDescent="0.25">
      <c r="A1763" s="3">
        <v>41361</v>
      </c>
      <c r="B1763">
        <v>1686.56</v>
      </c>
    </row>
    <row r="1764" spans="1:2" x14ac:dyDescent="0.25">
      <c r="A1764" s="3">
        <v>41365</v>
      </c>
      <c r="B1764">
        <v>1743.91</v>
      </c>
    </row>
    <row r="1765" spans="1:2" x14ac:dyDescent="0.25">
      <c r="A1765" s="3">
        <v>41366</v>
      </c>
      <c r="B1765">
        <v>1743.71</v>
      </c>
    </row>
    <row r="1766" spans="1:2" x14ac:dyDescent="0.25">
      <c r="A1766" s="3">
        <v>41367</v>
      </c>
      <c r="B1766">
        <v>1743.94</v>
      </c>
    </row>
    <row r="1767" spans="1:2" x14ac:dyDescent="0.25">
      <c r="A1767" s="3">
        <v>41368</v>
      </c>
      <c r="B1767">
        <v>1743.93</v>
      </c>
    </row>
    <row r="1768" spans="1:2" x14ac:dyDescent="0.25">
      <c r="A1768" s="3">
        <v>41369</v>
      </c>
      <c r="B1768">
        <v>1747.26</v>
      </c>
    </row>
    <row r="1769" spans="1:2" x14ac:dyDescent="0.25">
      <c r="A1769" s="3">
        <v>41372</v>
      </c>
      <c r="B1769">
        <v>1747.11</v>
      </c>
    </row>
    <row r="1770" spans="1:2" x14ac:dyDescent="0.25">
      <c r="A1770" s="3">
        <v>41373</v>
      </c>
      <c r="B1770">
        <v>1748.02</v>
      </c>
    </row>
    <row r="1771" spans="1:2" x14ac:dyDescent="0.25">
      <c r="A1771" s="3">
        <v>41374</v>
      </c>
      <c r="B1771">
        <v>1748.66</v>
      </c>
    </row>
    <row r="1772" spans="1:2" x14ac:dyDescent="0.25">
      <c r="A1772" s="3">
        <v>41375</v>
      </c>
      <c r="B1772">
        <v>1749.55</v>
      </c>
    </row>
    <row r="1773" spans="1:2" x14ac:dyDescent="0.25">
      <c r="A1773" s="3">
        <v>41376</v>
      </c>
      <c r="B1773">
        <v>1748.9</v>
      </c>
    </row>
    <row r="1774" spans="1:2" x14ac:dyDescent="0.25">
      <c r="A1774" s="3">
        <v>41379</v>
      </c>
      <c r="B1774">
        <v>1748.44</v>
      </c>
    </row>
    <row r="1775" spans="1:2" x14ac:dyDescent="0.25">
      <c r="A1775" s="3">
        <v>41380</v>
      </c>
      <c r="B1775">
        <v>1749.21</v>
      </c>
    </row>
    <row r="1776" spans="1:2" x14ac:dyDescent="0.25">
      <c r="A1776" s="3">
        <v>41381</v>
      </c>
      <c r="B1776">
        <v>1747.41</v>
      </c>
    </row>
    <row r="1777" spans="1:2" x14ac:dyDescent="0.25">
      <c r="A1777" s="3">
        <v>41382</v>
      </c>
      <c r="B1777">
        <v>1748.2</v>
      </c>
    </row>
    <row r="1778" spans="1:2" x14ac:dyDescent="0.25">
      <c r="A1778" s="3">
        <v>41383</v>
      </c>
      <c r="B1778">
        <v>1748.15</v>
      </c>
    </row>
    <row r="1779" spans="1:2" x14ac:dyDescent="0.25">
      <c r="A1779" s="3">
        <v>41386</v>
      </c>
      <c r="B1779">
        <v>1747.07</v>
      </c>
    </row>
    <row r="1780" spans="1:2" x14ac:dyDescent="0.25">
      <c r="A1780" s="3">
        <v>41387</v>
      </c>
      <c r="B1780">
        <v>1746.83</v>
      </c>
    </row>
    <row r="1781" spans="1:2" x14ac:dyDescent="0.25">
      <c r="A1781" s="3">
        <v>41388</v>
      </c>
      <c r="B1781">
        <v>1746.43</v>
      </c>
    </row>
    <row r="1782" spans="1:2" x14ac:dyDescent="0.25">
      <c r="A1782" s="3">
        <v>41389</v>
      </c>
      <c r="B1782">
        <v>1746.9</v>
      </c>
    </row>
    <row r="1783" spans="1:2" x14ac:dyDescent="0.25">
      <c r="A1783" s="3">
        <v>41390</v>
      </c>
      <c r="B1783">
        <v>1747.36</v>
      </c>
    </row>
    <row r="1784" spans="1:2" x14ac:dyDescent="0.25">
      <c r="A1784" s="3">
        <v>41393</v>
      </c>
      <c r="B1784">
        <v>1748.82</v>
      </c>
    </row>
    <row r="1785" spans="1:2" x14ac:dyDescent="0.25">
      <c r="A1785" s="3">
        <v>41394</v>
      </c>
      <c r="B1785">
        <v>1750.57</v>
      </c>
    </row>
    <row r="1786" spans="1:2" x14ac:dyDescent="0.25">
      <c r="A1786" s="3">
        <v>41395</v>
      </c>
      <c r="B1786">
        <v>1750.6</v>
      </c>
    </row>
    <row r="1787" spans="1:2" x14ac:dyDescent="0.25">
      <c r="A1787" s="3">
        <v>41396</v>
      </c>
      <c r="B1787">
        <v>1748.21</v>
      </c>
    </row>
    <row r="1788" spans="1:2" x14ac:dyDescent="0.25">
      <c r="A1788" s="3">
        <v>41397</v>
      </c>
      <c r="B1788">
        <v>1749.16</v>
      </c>
    </row>
    <row r="1789" spans="1:2" x14ac:dyDescent="0.25">
      <c r="A1789" s="3">
        <v>41400</v>
      </c>
      <c r="B1789">
        <v>1747.88</v>
      </c>
    </row>
    <row r="1790" spans="1:2" x14ac:dyDescent="0.25">
      <c r="A1790" s="3">
        <v>41401</v>
      </c>
      <c r="B1790">
        <v>1748.28</v>
      </c>
    </row>
    <row r="1791" spans="1:2" x14ac:dyDescent="0.25">
      <c r="A1791" s="3">
        <v>41402</v>
      </c>
      <c r="B1791">
        <v>1750.1</v>
      </c>
    </row>
    <row r="1792" spans="1:2" x14ac:dyDescent="0.25">
      <c r="A1792" s="3">
        <v>41403</v>
      </c>
      <c r="B1792">
        <v>1748.53</v>
      </c>
    </row>
    <row r="1793" spans="1:2" x14ac:dyDescent="0.25">
      <c r="A1793" s="3">
        <v>41404</v>
      </c>
      <c r="B1793">
        <v>1745.73</v>
      </c>
    </row>
    <row r="1794" spans="1:2" x14ac:dyDescent="0.25">
      <c r="A1794" s="3">
        <v>41407</v>
      </c>
      <c r="B1794">
        <v>1745.88</v>
      </c>
    </row>
    <row r="1795" spans="1:2" x14ac:dyDescent="0.25">
      <c r="A1795" s="3">
        <v>41408</v>
      </c>
      <c r="B1795">
        <v>1745.65</v>
      </c>
    </row>
    <row r="1796" spans="1:2" x14ac:dyDescent="0.25">
      <c r="A1796" s="3">
        <v>41409</v>
      </c>
      <c r="B1796">
        <v>1743.34</v>
      </c>
    </row>
    <row r="1797" spans="1:2" x14ac:dyDescent="0.25">
      <c r="A1797" s="3">
        <v>41410</v>
      </c>
      <c r="B1797">
        <v>1744.43</v>
      </c>
    </row>
    <row r="1798" spans="1:2" x14ac:dyDescent="0.25">
      <c r="A1798" s="3">
        <v>41411</v>
      </c>
      <c r="B1798">
        <v>1742.35</v>
      </c>
    </row>
    <row r="1799" spans="1:2" x14ac:dyDescent="0.25">
      <c r="A1799" s="3">
        <v>41414</v>
      </c>
      <c r="B1799">
        <v>1743.08</v>
      </c>
    </row>
    <row r="1800" spans="1:2" x14ac:dyDescent="0.25">
      <c r="A1800" s="3">
        <v>41415</v>
      </c>
      <c r="B1800">
        <v>1743.27</v>
      </c>
    </row>
    <row r="1801" spans="1:2" x14ac:dyDescent="0.25">
      <c r="A1801" s="3">
        <v>41416</v>
      </c>
      <c r="B1801">
        <v>1743.11</v>
      </c>
    </row>
    <row r="1802" spans="1:2" x14ac:dyDescent="0.25">
      <c r="A1802" s="3">
        <v>41417</v>
      </c>
      <c r="B1802">
        <v>1743.65</v>
      </c>
    </row>
    <row r="1803" spans="1:2" x14ac:dyDescent="0.25">
      <c r="A1803" s="3">
        <v>41418</v>
      </c>
      <c r="B1803">
        <v>1744.24</v>
      </c>
    </row>
    <row r="1804" spans="1:2" x14ac:dyDescent="0.25">
      <c r="A1804" s="3">
        <v>41422</v>
      </c>
      <c r="B1804">
        <v>1742.61</v>
      </c>
    </row>
    <row r="1805" spans="1:2" x14ac:dyDescent="0.25">
      <c r="A1805" s="3">
        <v>41423</v>
      </c>
      <c r="B1805">
        <v>1744.79</v>
      </c>
    </row>
    <row r="1806" spans="1:2" x14ac:dyDescent="0.25">
      <c r="A1806" s="3">
        <v>41424</v>
      </c>
      <c r="B1806">
        <v>1746.63</v>
      </c>
    </row>
    <row r="1807" spans="1:2" x14ac:dyDescent="0.25">
      <c r="A1807" s="3">
        <v>41425</v>
      </c>
      <c r="B1807">
        <v>1744.67</v>
      </c>
    </row>
    <row r="1808" spans="1:2" x14ac:dyDescent="0.25">
      <c r="A1808" s="3">
        <v>41428</v>
      </c>
      <c r="B1808">
        <v>1746.31</v>
      </c>
    </row>
    <row r="1809" spans="1:2" x14ac:dyDescent="0.25">
      <c r="A1809" s="3">
        <v>41429</v>
      </c>
      <c r="B1809">
        <v>1747.02</v>
      </c>
    </row>
    <row r="1810" spans="1:2" x14ac:dyDescent="0.25">
      <c r="A1810" s="3">
        <v>41430</v>
      </c>
      <c r="B1810">
        <v>1747.22</v>
      </c>
    </row>
    <row r="1811" spans="1:2" x14ac:dyDescent="0.25">
      <c r="A1811" s="3">
        <v>41431</v>
      </c>
      <c r="B1811">
        <v>1749.44</v>
      </c>
    </row>
    <row r="1812" spans="1:2" x14ac:dyDescent="0.25">
      <c r="A1812" s="3">
        <v>41432</v>
      </c>
      <c r="B1812">
        <v>1749.9</v>
      </c>
    </row>
    <row r="1813" spans="1:2" x14ac:dyDescent="0.25">
      <c r="A1813" s="3">
        <v>41435</v>
      </c>
      <c r="B1813">
        <v>1749.29</v>
      </c>
    </row>
    <row r="1814" spans="1:2" x14ac:dyDescent="0.25">
      <c r="A1814" s="3">
        <v>41436</v>
      </c>
      <c r="B1814">
        <v>1750.86</v>
      </c>
    </row>
    <row r="1815" spans="1:2" x14ac:dyDescent="0.25">
      <c r="A1815" s="3">
        <v>41437</v>
      </c>
      <c r="B1815">
        <v>1752.29</v>
      </c>
    </row>
    <row r="1816" spans="1:2" x14ac:dyDescent="0.25">
      <c r="A1816" s="3">
        <v>41438</v>
      </c>
      <c r="B1816">
        <v>1751.73</v>
      </c>
    </row>
    <row r="1817" spans="1:2" x14ac:dyDescent="0.25">
      <c r="A1817" s="3">
        <v>41439</v>
      </c>
      <c r="B1817">
        <v>1752.55</v>
      </c>
    </row>
    <row r="1818" spans="1:2" x14ac:dyDescent="0.25">
      <c r="A1818" s="3">
        <v>41442</v>
      </c>
      <c r="B1818">
        <v>1752.64</v>
      </c>
    </row>
    <row r="1819" spans="1:2" x14ac:dyDescent="0.25">
      <c r="A1819" s="3">
        <v>41443</v>
      </c>
      <c r="B1819">
        <v>1753.2</v>
      </c>
    </row>
    <row r="1820" spans="1:2" x14ac:dyDescent="0.25">
      <c r="A1820" s="3">
        <v>41444</v>
      </c>
      <c r="B1820">
        <v>1753.59</v>
      </c>
    </row>
    <row r="1821" spans="1:2" x14ac:dyDescent="0.25">
      <c r="A1821" s="3">
        <v>41445</v>
      </c>
      <c r="B1821">
        <v>1748.4</v>
      </c>
    </row>
    <row r="1822" spans="1:2" x14ac:dyDescent="0.25">
      <c r="A1822" s="3">
        <v>41446</v>
      </c>
      <c r="B1822">
        <v>1747.62</v>
      </c>
    </row>
    <row r="1823" spans="1:2" x14ac:dyDescent="0.25">
      <c r="A1823" s="3">
        <v>41449</v>
      </c>
      <c r="B1823">
        <v>1746.91</v>
      </c>
    </row>
    <row r="1824" spans="1:2" x14ac:dyDescent="0.25">
      <c r="A1824" s="3">
        <v>41450</v>
      </c>
      <c r="B1824">
        <v>1746.54</v>
      </c>
    </row>
    <row r="1825" spans="1:2" x14ac:dyDescent="0.25">
      <c r="A1825" s="3">
        <v>41451</v>
      </c>
      <c r="B1825">
        <v>1745.24</v>
      </c>
    </row>
    <row r="1826" spans="1:2" x14ac:dyDescent="0.25">
      <c r="A1826" s="3">
        <v>41452</v>
      </c>
      <c r="B1826">
        <v>1745.06</v>
      </c>
    </row>
    <row r="1827" spans="1:2" x14ac:dyDescent="0.25">
      <c r="A1827" s="3">
        <v>41453</v>
      </c>
      <c r="B1827">
        <v>1744.8</v>
      </c>
    </row>
    <row r="1828" spans="1:2" x14ac:dyDescent="0.25">
      <c r="A1828" s="3">
        <v>41456</v>
      </c>
      <c r="B1828">
        <v>1791.86</v>
      </c>
    </row>
    <row r="1829" spans="1:2" x14ac:dyDescent="0.25">
      <c r="A1829" s="3">
        <v>41457</v>
      </c>
      <c r="B1829">
        <v>1791.68</v>
      </c>
    </row>
    <row r="1830" spans="1:2" x14ac:dyDescent="0.25">
      <c r="A1830" s="3">
        <v>41458</v>
      </c>
      <c r="B1830">
        <v>1790.4</v>
      </c>
    </row>
    <row r="1831" spans="1:2" x14ac:dyDescent="0.25">
      <c r="A1831" s="3">
        <v>41460</v>
      </c>
      <c r="B1831">
        <v>1787.29</v>
      </c>
    </row>
    <row r="1832" spans="1:2" x14ac:dyDescent="0.25">
      <c r="A1832" s="3">
        <v>41463</v>
      </c>
      <c r="B1832">
        <v>1788.04</v>
      </c>
    </row>
    <row r="1833" spans="1:2" x14ac:dyDescent="0.25">
      <c r="A1833" s="3">
        <v>41464</v>
      </c>
      <c r="B1833">
        <v>1786.42</v>
      </c>
    </row>
    <row r="1834" spans="1:2" x14ac:dyDescent="0.25">
      <c r="A1834" s="3">
        <v>41465</v>
      </c>
      <c r="B1834">
        <v>1787.98</v>
      </c>
    </row>
    <row r="1835" spans="1:2" x14ac:dyDescent="0.25">
      <c r="A1835" s="3">
        <v>41466</v>
      </c>
      <c r="B1835">
        <v>1791.74</v>
      </c>
    </row>
    <row r="1836" spans="1:2" x14ac:dyDescent="0.25">
      <c r="A1836" s="3">
        <v>41467</v>
      </c>
      <c r="B1836">
        <v>1791.86</v>
      </c>
    </row>
    <row r="1837" spans="1:2" x14ac:dyDescent="0.25">
      <c r="A1837" s="3">
        <v>41470</v>
      </c>
      <c r="B1837">
        <v>1791.78</v>
      </c>
    </row>
    <row r="1838" spans="1:2" x14ac:dyDescent="0.25">
      <c r="A1838" s="3">
        <v>41471</v>
      </c>
      <c r="B1838">
        <v>1793.79</v>
      </c>
    </row>
    <row r="1839" spans="1:2" x14ac:dyDescent="0.25">
      <c r="A1839" s="3">
        <v>41472</v>
      </c>
      <c r="B1839">
        <v>1792.96</v>
      </c>
    </row>
    <row r="1840" spans="1:2" x14ac:dyDescent="0.25">
      <c r="A1840" s="3">
        <v>41473</v>
      </c>
      <c r="B1840">
        <v>1792.87</v>
      </c>
    </row>
    <row r="1841" spans="1:2" x14ac:dyDescent="0.25">
      <c r="A1841" s="3">
        <v>41474</v>
      </c>
      <c r="B1841">
        <v>1793.93</v>
      </c>
    </row>
    <row r="1842" spans="1:2" x14ac:dyDescent="0.25">
      <c r="A1842" s="3">
        <v>41477</v>
      </c>
      <c r="B1842">
        <v>1795.18</v>
      </c>
    </row>
    <row r="1843" spans="1:2" x14ac:dyDescent="0.25">
      <c r="A1843" s="3">
        <v>41478</v>
      </c>
      <c r="B1843">
        <v>1795.69</v>
      </c>
    </row>
    <row r="1844" spans="1:2" x14ac:dyDescent="0.25">
      <c r="A1844" s="3">
        <v>41479</v>
      </c>
      <c r="B1844">
        <v>1795.94</v>
      </c>
    </row>
    <row r="1845" spans="1:2" x14ac:dyDescent="0.25">
      <c r="A1845" s="3">
        <v>41480</v>
      </c>
      <c r="B1845">
        <v>1795.85</v>
      </c>
    </row>
    <row r="1846" spans="1:2" x14ac:dyDescent="0.25">
      <c r="A1846" s="3">
        <v>41481</v>
      </c>
      <c r="B1846">
        <v>1796.56</v>
      </c>
    </row>
    <row r="1847" spans="1:2" x14ac:dyDescent="0.25">
      <c r="A1847" s="3">
        <v>41484</v>
      </c>
      <c r="B1847">
        <v>1796.27</v>
      </c>
    </row>
    <row r="1848" spans="1:2" x14ac:dyDescent="0.25">
      <c r="A1848" s="3">
        <v>41485</v>
      </c>
      <c r="B1848">
        <v>1795.91</v>
      </c>
    </row>
    <row r="1849" spans="1:2" x14ac:dyDescent="0.25">
      <c r="A1849" s="3">
        <v>41486</v>
      </c>
      <c r="B1849">
        <v>1796.26</v>
      </c>
    </row>
    <row r="1850" spans="1:2" x14ac:dyDescent="0.25">
      <c r="A1850" s="3">
        <v>41487</v>
      </c>
      <c r="B1850">
        <v>1795.29</v>
      </c>
    </row>
    <row r="1851" spans="1:2" x14ac:dyDescent="0.25">
      <c r="A1851" s="3">
        <v>41488</v>
      </c>
      <c r="B1851">
        <v>1796.36</v>
      </c>
    </row>
    <row r="1852" spans="1:2" x14ac:dyDescent="0.25">
      <c r="A1852" s="3">
        <v>41491</v>
      </c>
      <c r="B1852">
        <v>1795.56</v>
      </c>
    </row>
    <row r="1853" spans="1:2" x14ac:dyDescent="0.25">
      <c r="A1853" s="3">
        <v>41492</v>
      </c>
      <c r="B1853">
        <v>1797.11</v>
      </c>
    </row>
    <row r="1854" spans="1:2" x14ac:dyDescent="0.25">
      <c r="A1854" s="3">
        <v>41493</v>
      </c>
      <c r="B1854">
        <v>1797.46</v>
      </c>
    </row>
    <row r="1855" spans="1:2" x14ac:dyDescent="0.25">
      <c r="A1855" s="3">
        <v>41494</v>
      </c>
      <c r="B1855">
        <v>1799.02</v>
      </c>
    </row>
    <row r="1856" spans="1:2" x14ac:dyDescent="0.25">
      <c r="A1856" s="3">
        <v>41495</v>
      </c>
      <c r="B1856">
        <v>1798.46</v>
      </c>
    </row>
    <row r="1857" spans="1:2" x14ac:dyDescent="0.25">
      <c r="A1857" s="3">
        <v>41498</v>
      </c>
      <c r="B1857">
        <v>1797.22</v>
      </c>
    </row>
    <row r="1858" spans="1:2" x14ac:dyDescent="0.25">
      <c r="A1858" s="3">
        <v>41499</v>
      </c>
      <c r="B1858">
        <v>1795.9</v>
      </c>
    </row>
    <row r="1859" spans="1:2" x14ac:dyDescent="0.25">
      <c r="A1859" s="3">
        <v>41500</v>
      </c>
      <c r="B1859">
        <v>1796.66</v>
      </c>
    </row>
    <row r="1860" spans="1:2" x14ac:dyDescent="0.25">
      <c r="A1860" s="3">
        <v>41501</v>
      </c>
      <c r="B1860">
        <v>1796.26</v>
      </c>
    </row>
    <row r="1861" spans="1:2" x14ac:dyDescent="0.25">
      <c r="A1861" s="3">
        <v>41502</v>
      </c>
      <c r="B1861">
        <v>1798.08</v>
      </c>
    </row>
    <row r="1862" spans="1:2" x14ac:dyDescent="0.25">
      <c r="A1862" s="3">
        <v>41505</v>
      </c>
      <c r="B1862">
        <v>1798.36</v>
      </c>
    </row>
    <row r="1863" spans="1:2" x14ac:dyDescent="0.25">
      <c r="A1863" s="3">
        <v>41506</v>
      </c>
      <c r="B1863">
        <v>1799.77</v>
      </c>
    </row>
    <row r="1864" spans="1:2" x14ac:dyDescent="0.25">
      <c r="A1864" s="3">
        <v>41507</v>
      </c>
      <c r="B1864">
        <v>1798.68</v>
      </c>
    </row>
    <row r="1865" spans="1:2" x14ac:dyDescent="0.25">
      <c r="A1865" s="3">
        <v>41508</v>
      </c>
      <c r="B1865">
        <v>1797.91</v>
      </c>
    </row>
    <row r="1866" spans="1:2" x14ac:dyDescent="0.25">
      <c r="A1866" s="3">
        <v>41509</v>
      </c>
      <c r="B1866">
        <v>1799.14</v>
      </c>
    </row>
    <row r="1867" spans="1:2" x14ac:dyDescent="0.25">
      <c r="A1867" s="3">
        <v>41512</v>
      </c>
      <c r="B1867">
        <v>1798.58</v>
      </c>
    </row>
    <row r="1868" spans="1:2" x14ac:dyDescent="0.25">
      <c r="A1868" s="3">
        <v>41513</v>
      </c>
      <c r="B1868">
        <v>1798.78</v>
      </c>
    </row>
    <row r="1869" spans="1:2" x14ac:dyDescent="0.25">
      <c r="A1869" s="3">
        <v>41514</v>
      </c>
      <c r="B1869">
        <v>1797.74</v>
      </c>
    </row>
    <row r="1870" spans="1:2" x14ac:dyDescent="0.25">
      <c r="A1870" s="3">
        <v>41515</v>
      </c>
      <c r="B1870">
        <v>1795.38</v>
      </c>
    </row>
    <row r="1871" spans="1:2" x14ac:dyDescent="0.25">
      <c r="A1871" s="3">
        <v>41516</v>
      </c>
      <c r="B1871">
        <v>1794.55</v>
      </c>
    </row>
    <row r="1872" spans="1:2" x14ac:dyDescent="0.25">
      <c r="A1872" s="3">
        <v>41520</v>
      </c>
      <c r="B1872">
        <v>1794.25</v>
      </c>
    </row>
    <row r="1873" spans="1:2" x14ac:dyDescent="0.25">
      <c r="A1873" s="3">
        <v>41521</v>
      </c>
      <c r="B1873">
        <v>1795.34</v>
      </c>
    </row>
    <row r="1874" spans="1:2" x14ac:dyDescent="0.25">
      <c r="A1874" s="3">
        <v>41522</v>
      </c>
      <c r="B1874">
        <v>1793.7</v>
      </c>
    </row>
    <row r="1875" spans="1:2" x14ac:dyDescent="0.25">
      <c r="A1875" s="3">
        <v>41523</v>
      </c>
      <c r="B1875">
        <v>1794.65</v>
      </c>
    </row>
    <row r="1876" spans="1:2" x14ac:dyDescent="0.25">
      <c r="A1876" s="3">
        <v>41526</v>
      </c>
      <c r="B1876">
        <v>1796.65</v>
      </c>
    </row>
    <row r="1877" spans="1:2" x14ac:dyDescent="0.25">
      <c r="A1877" s="3">
        <v>41527</v>
      </c>
      <c r="B1877">
        <v>1797.04</v>
      </c>
    </row>
    <row r="1878" spans="1:2" x14ac:dyDescent="0.25">
      <c r="A1878" s="3">
        <v>41528</v>
      </c>
      <c r="B1878">
        <v>1797.83</v>
      </c>
    </row>
    <row r="1879" spans="1:2" x14ac:dyDescent="0.25">
      <c r="A1879" s="3">
        <v>41529</v>
      </c>
      <c r="B1879">
        <v>1797.95</v>
      </c>
    </row>
    <row r="1880" spans="1:2" x14ac:dyDescent="0.25">
      <c r="A1880" s="3">
        <v>41530</v>
      </c>
      <c r="B1880">
        <v>1796.98</v>
      </c>
    </row>
    <row r="1881" spans="1:2" x14ac:dyDescent="0.25">
      <c r="A1881" s="3">
        <v>41533</v>
      </c>
      <c r="B1881">
        <v>1799.04</v>
      </c>
    </row>
    <row r="1882" spans="1:2" x14ac:dyDescent="0.25">
      <c r="A1882" s="3">
        <v>41534</v>
      </c>
      <c r="B1882">
        <v>1798.97</v>
      </c>
    </row>
    <row r="1883" spans="1:2" x14ac:dyDescent="0.25">
      <c r="A1883" s="3">
        <v>41535</v>
      </c>
      <c r="B1883">
        <v>1799.01</v>
      </c>
    </row>
    <row r="1884" spans="1:2" x14ac:dyDescent="0.25">
      <c r="A1884" s="3">
        <v>41536</v>
      </c>
      <c r="B1884">
        <v>1803.13</v>
      </c>
    </row>
    <row r="1885" spans="1:2" x14ac:dyDescent="0.25">
      <c r="A1885" s="3">
        <v>41537</v>
      </c>
      <c r="B1885">
        <v>1802.3</v>
      </c>
    </row>
    <row r="1886" spans="1:2" x14ac:dyDescent="0.25">
      <c r="A1886" s="3">
        <v>41540</v>
      </c>
      <c r="B1886">
        <v>1802.1</v>
      </c>
    </row>
    <row r="1887" spans="1:2" x14ac:dyDescent="0.25">
      <c r="A1887" s="3">
        <v>41541</v>
      </c>
      <c r="B1887">
        <v>1801.97</v>
      </c>
    </row>
    <row r="1888" spans="1:2" x14ac:dyDescent="0.25">
      <c r="A1888" s="3">
        <v>41542</v>
      </c>
      <c r="B1888">
        <v>1802.27</v>
      </c>
    </row>
    <row r="1889" spans="1:2" x14ac:dyDescent="0.25">
      <c r="A1889" s="3">
        <v>41543</v>
      </c>
      <c r="B1889">
        <v>1801.67</v>
      </c>
    </row>
    <row r="1890" spans="1:2" x14ac:dyDescent="0.25">
      <c r="A1890" s="3">
        <v>41544</v>
      </c>
      <c r="B1890">
        <v>1802.9</v>
      </c>
    </row>
    <row r="1891" spans="1:2" x14ac:dyDescent="0.25">
      <c r="A1891" s="3">
        <v>41547</v>
      </c>
      <c r="B1891">
        <v>1880.9</v>
      </c>
    </row>
    <row r="1892" spans="1:2" x14ac:dyDescent="0.25">
      <c r="A1892" s="3">
        <v>41548</v>
      </c>
      <c r="B1892">
        <v>1880.76</v>
      </c>
    </row>
    <row r="1893" spans="1:2" x14ac:dyDescent="0.25">
      <c r="A1893" s="3">
        <v>41549</v>
      </c>
      <c r="B1893">
        <v>1882.07</v>
      </c>
    </row>
    <row r="1894" spans="1:2" x14ac:dyDescent="0.25">
      <c r="A1894" s="3">
        <v>41550</v>
      </c>
      <c r="B1894">
        <v>1882.7</v>
      </c>
    </row>
    <row r="1895" spans="1:2" x14ac:dyDescent="0.25">
      <c r="A1895" s="3">
        <v>41551</v>
      </c>
      <c r="B1895">
        <v>1882.14</v>
      </c>
    </row>
    <row r="1896" spans="1:2" x14ac:dyDescent="0.25">
      <c r="A1896" s="3">
        <v>41554</v>
      </c>
      <c r="B1896">
        <v>1881.63</v>
      </c>
    </row>
    <row r="1897" spans="1:2" x14ac:dyDescent="0.25">
      <c r="A1897" s="3">
        <v>41555</v>
      </c>
      <c r="B1897">
        <v>1882.21</v>
      </c>
    </row>
    <row r="1898" spans="1:2" x14ac:dyDescent="0.25">
      <c r="A1898" s="3">
        <v>41556</v>
      </c>
      <c r="B1898">
        <v>1880.37</v>
      </c>
    </row>
    <row r="1899" spans="1:2" x14ac:dyDescent="0.25">
      <c r="A1899" s="3">
        <v>41557</v>
      </c>
      <c r="B1899">
        <v>1880.54</v>
      </c>
    </row>
    <row r="1900" spans="1:2" x14ac:dyDescent="0.25">
      <c r="A1900" s="3">
        <v>41558</v>
      </c>
      <c r="B1900">
        <v>1881.36</v>
      </c>
    </row>
    <row r="1901" spans="1:2" x14ac:dyDescent="0.25">
      <c r="A1901" s="3">
        <v>41561</v>
      </c>
      <c r="B1901">
        <v>1881.93</v>
      </c>
    </row>
    <row r="1902" spans="1:2" x14ac:dyDescent="0.25">
      <c r="A1902" s="3">
        <v>41562</v>
      </c>
      <c r="B1902">
        <v>1880.29</v>
      </c>
    </row>
    <row r="1903" spans="1:2" x14ac:dyDescent="0.25">
      <c r="A1903" s="3">
        <v>41563</v>
      </c>
      <c r="B1903">
        <v>1880.03</v>
      </c>
    </row>
    <row r="1904" spans="1:2" x14ac:dyDescent="0.25">
      <c r="A1904" s="3">
        <v>41564</v>
      </c>
      <c r="B1904">
        <v>1883.92</v>
      </c>
    </row>
    <row r="1905" spans="1:2" x14ac:dyDescent="0.25">
      <c r="A1905" s="3">
        <v>41565</v>
      </c>
      <c r="B1905">
        <v>1884.64</v>
      </c>
    </row>
    <row r="1906" spans="1:2" x14ac:dyDescent="0.25">
      <c r="A1906" s="3">
        <v>41568</v>
      </c>
      <c r="B1906">
        <v>1884.19</v>
      </c>
    </row>
    <row r="1907" spans="1:2" x14ac:dyDescent="0.25">
      <c r="A1907" s="3">
        <v>41569</v>
      </c>
      <c r="B1907">
        <v>1886.29</v>
      </c>
    </row>
    <row r="1908" spans="1:2" x14ac:dyDescent="0.25">
      <c r="A1908" s="3">
        <v>41570</v>
      </c>
      <c r="B1908">
        <v>1886.29</v>
      </c>
    </row>
    <row r="1909" spans="1:2" x14ac:dyDescent="0.25">
      <c r="A1909" s="3">
        <v>41571</v>
      </c>
      <c r="B1909">
        <v>1886.64</v>
      </c>
    </row>
    <row r="1910" spans="1:2" x14ac:dyDescent="0.25">
      <c r="A1910" s="3">
        <v>41572</v>
      </c>
      <c r="B1910">
        <v>1886.46</v>
      </c>
    </row>
    <row r="1911" spans="1:2" x14ac:dyDescent="0.25">
      <c r="A1911" s="3">
        <v>41575</v>
      </c>
      <c r="B1911">
        <v>1886.22</v>
      </c>
    </row>
    <row r="1912" spans="1:2" x14ac:dyDescent="0.25">
      <c r="A1912" s="3">
        <v>41576</v>
      </c>
      <c r="B1912">
        <v>1885.71</v>
      </c>
    </row>
    <row r="1913" spans="1:2" x14ac:dyDescent="0.25">
      <c r="A1913" s="3">
        <v>41577</v>
      </c>
      <c r="B1913">
        <v>1885.74</v>
      </c>
    </row>
    <row r="1914" spans="1:2" x14ac:dyDescent="0.25">
      <c r="A1914" s="3">
        <v>41578</v>
      </c>
      <c r="B1914">
        <v>1882.21</v>
      </c>
    </row>
    <row r="1915" spans="1:2" x14ac:dyDescent="0.25">
      <c r="A1915" s="3">
        <v>41579</v>
      </c>
      <c r="B1915">
        <v>1879.79</v>
      </c>
    </row>
    <row r="1916" spans="1:2" x14ac:dyDescent="0.25">
      <c r="A1916" s="3">
        <v>41582</v>
      </c>
      <c r="B1916">
        <v>1880.4</v>
      </c>
    </row>
    <row r="1917" spans="1:2" x14ac:dyDescent="0.25">
      <c r="A1917" s="3">
        <v>41583</v>
      </c>
      <c r="B1917">
        <v>1879.73</v>
      </c>
    </row>
    <row r="1918" spans="1:2" x14ac:dyDescent="0.25">
      <c r="A1918" s="3">
        <v>41584</v>
      </c>
      <c r="B1918">
        <v>1880.88</v>
      </c>
    </row>
    <row r="1919" spans="1:2" x14ac:dyDescent="0.25">
      <c r="A1919" s="3">
        <v>41585</v>
      </c>
      <c r="B1919">
        <v>1877.79</v>
      </c>
    </row>
    <row r="1920" spans="1:2" x14ac:dyDescent="0.25">
      <c r="A1920" s="3">
        <v>41586</v>
      </c>
      <c r="B1920">
        <v>1876.9</v>
      </c>
    </row>
    <row r="1921" spans="1:2" x14ac:dyDescent="0.25">
      <c r="A1921" s="3">
        <v>41589</v>
      </c>
      <c r="B1921">
        <v>1878.04</v>
      </c>
    </row>
    <row r="1922" spans="1:2" x14ac:dyDescent="0.25">
      <c r="A1922" s="3">
        <v>41590</v>
      </c>
      <c r="B1922">
        <v>1878.51</v>
      </c>
    </row>
    <row r="1923" spans="1:2" x14ac:dyDescent="0.25">
      <c r="A1923" s="3">
        <v>41591</v>
      </c>
      <c r="B1923">
        <v>1877.89</v>
      </c>
    </row>
    <row r="1924" spans="1:2" x14ac:dyDescent="0.25">
      <c r="A1924" s="3">
        <v>41592</v>
      </c>
      <c r="B1924">
        <v>1879.12</v>
      </c>
    </row>
    <row r="1925" spans="1:2" x14ac:dyDescent="0.25">
      <c r="A1925" s="3">
        <v>41593</v>
      </c>
      <c r="B1925">
        <v>1879.51</v>
      </c>
    </row>
    <row r="1926" spans="1:2" x14ac:dyDescent="0.25">
      <c r="A1926" s="3">
        <v>41596</v>
      </c>
      <c r="B1926">
        <v>1880.65</v>
      </c>
    </row>
    <row r="1927" spans="1:2" x14ac:dyDescent="0.25">
      <c r="A1927" s="3">
        <v>41597</v>
      </c>
      <c r="B1927">
        <v>1880.68</v>
      </c>
    </row>
    <row r="1928" spans="1:2" x14ac:dyDescent="0.25">
      <c r="A1928" s="3">
        <v>41598</v>
      </c>
      <c r="B1928">
        <v>1879.48</v>
      </c>
    </row>
    <row r="1929" spans="1:2" x14ac:dyDescent="0.25">
      <c r="A1929" s="3">
        <v>41599</v>
      </c>
      <c r="B1929">
        <v>1879.12</v>
      </c>
    </row>
    <row r="1930" spans="1:2" x14ac:dyDescent="0.25">
      <c r="A1930" s="3">
        <v>41600</v>
      </c>
      <c r="B1930">
        <v>1880.33</v>
      </c>
    </row>
    <row r="1931" spans="1:2" x14ac:dyDescent="0.25">
      <c r="A1931" s="3">
        <v>41603</v>
      </c>
      <c r="B1931">
        <v>1879.91</v>
      </c>
    </row>
    <row r="1932" spans="1:2" x14ac:dyDescent="0.25">
      <c r="A1932" s="3">
        <v>41604</v>
      </c>
      <c r="B1932">
        <v>1880.98</v>
      </c>
    </row>
    <row r="1933" spans="1:2" x14ac:dyDescent="0.25">
      <c r="A1933" s="3">
        <v>41605</v>
      </c>
      <c r="B1933">
        <v>1881.28</v>
      </c>
    </row>
    <row r="1934" spans="1:2" x14ac:dyDescent="0.25">
      <c r="A1934" s="3">
        <v>41607</v>
      </c>
      <c r="B1934">
        <v>1882.27</v>
      </c>
    </row>
    <row r="1935" spans="1:2" x14ac:dyDescent="0.25">
      <c r="A1935" s="3">
        <v>41610</v>
      </c>
      <c r="B1935">
        <v>1880.98</v>
      </c>
    </row>
    <row r="1936" spans="1:2" x14ac:dyDescent="0.25">
      <c r="A1936" s="3">
        <v>41611</v>
      </c>
      <c r="B1936">
        <v>1881.71</v>
      </c>
    </row>
    <row r="1937" spans="1:2" x14ac:dyDescent="0.25">
      <c r="A1937" s="3">
        <v>41612</v>
      </c>
      <c r="B1937">
        <v>1880.82</v>
      </c>
    </row>
    <row r="1938" spans="1:2" x14ac:dyDescent="0.25">
      <c r="A1938" s="3">
        <v>41613</v>
      </c>
      <c r="B1938">
        <v>1882.86</v>
      </c>
    </row>
    <row r="1939" spans="1:2" x14ac:dyDescent="0.25">
      <c r="A1939" s="3">
        <v>41614</v>
      </c>
      <c r="B1939">
        <v>1883.55</v>
      </c>
    </row>
    <row r="1940" spans="1:2" x14ac:dyDescent="0.25">
      <c r="A1940" s="3">
        <v>41617</v>
      </c>
      <c r="B1940">
        <v>1884.3</v>
      </c>
    </row>
    <row r="1941" spans="1:2" x14ac:dyDescent="0.25">
      <c r="A1941" s="3">
        <v>41618</v>
      </c>
      <c r="B1941">
        <v>1885.48</v>
      </c>
    </row>
    <row r="1942" spans="1:2" x14ac:dyDescent="0.25">
      <c r="A1942" s="3">
        <v>41619</v>
      </c>
      <c r="B1942">
        <v>1885.65</v>
      </c>
    </row>
    <row r="1943" spans="1:2" x14ac:dyDescent="0.25">
      <c r="A1943" s="3">
        <v>41620</v>
      </c>
      <c r="B1943">
        <v>1884.64</v>
      </c>
    </row>
    <row r="1944" spans="1:2" x14ac:dyDescent="0.25">
      <c r="A1944" s="3">
        <v>41621</v>
      </c>
      <c r="B1944">
        <v>1884.18</v>
      </c>
    </row>
    <row r="1945" spans="1:2" x14ac:dyDescent="0.25">
      <c r="A1945" s="3">
        <v>41624</v>
      </c>
      <c r="B1945">
        <v>1884.7</v>
      </c>
    </row>
    <row r="1946" spans="1:2" x14ac:dyDescent="0.25">
      <c r="A1946" s="3">
        <v>41625</v>
      </c>
      <c r="B1946">
        <v>1884.05</v>
      </c>
    </row>
    <row r="1947" spans="1:2" x14ac:dyDescent="0.25">
      <c r="A1947" s="3">
        <v>41626</v>
      </c>
      <c r="B1947">
        <v>1884.83</v>
      </c>
    </row>
    <row r="1948" spans="1:2" x14ac:dyDescent="0.25">
      <c r="A1948" s="3">
        <v>41627</v>
      </c>
      <c r="B1948">
        <v>1882.84</v>
      </c>
    </row>
    <row r="1949" spans="1:2" x14ac:dyDescent="0.25">
      <c r="A1949" s="3">
        <v>41628</v>
      </c>
      <c r="B1949">
        <v>1882.94</v>
      </c>
    </row>
    <row r="1950" spans="1:2" x14ac:dyDescent="0.25">
      <c r="A1950" s="3">
        <v>41631</v>
      </c>
      <c r="B1950">
        <v>1883.72</v>
      </c>
    </row>
    <row r="1951" spans="1:2" x14ac:dyDescent="0.25">
      <c r="A1951" s="3">
        <v>41632</v>
      </c>
      <c r="B1951">
        <v>1882.93</v>
      </c>
    </row>
    <row r="1952" spans="1:2" x14ac:dyDescent="0.25">
      <c r="A1952" s="3">
        <v>41634</v>
      </c>
      <c r="B1952">
        <v>1883.43</v>
      </c>
    </row>
    <row r="1953" spans="1:2" x14ac:dyDescent="0.25">
      <c r="A1953" s="3">
        <v>41635</v>
      </c>
      <c r="B1953">
        <v>1885.22</v>
      </c>
    </row>
    <row r="1954" spans="1:2" x14ac:dyDescent="0.25">
      <c r="A1954" s="3">
        <v>41638</v>
      </c>
      <c r="B1954">
        <v>1886.03</v>
      </c>
    </row>
    <row r="1955" spans="1:2" x14ac:dyDescent="0.25">
      <c r="A1955" s="3">
        <v>41639</v>
      </c>
      <c r="B1955">
        <v>1998.03</v>
      </c>
    </row>
    <row r="1956" spans="1:2" x14ac:dyDescent="0.25">
      <c r="A1956" s="3">
        <v>41641</v>
      </c>
      <c r="B1956">
        <v>1995.31</v>
      </c>
    </row>
    <row r="1957" spans="1:2" x14ac:dyDescent="0.25">
      <c r="A1957" s="3">
        <v>41642</v>
      </c>
      <c r="B1957">
        <v>1994.48</v>
      </c>
    </row>
    <row r="1958" spans="1:2" x14ac:dyDescent="0.25">
      <c r="A1958" s="3">
        <v>41645</v>
      </c>
      <c r="B1958">
        <v>1995.01</v>
      </c>
    </row>
    <row r="1959" spans="1:2" x14ac:dyDescent="0.25">
      <c r="A1959" s="3">
        <v>41646</v>
      </c>
      <c r="B1959">
        <v>1994.19</v>
      </c>
    </row>
    <row r="1960" spans="1:2" x14ac:dyDescent="0.25">
      <c r="A1960" s="3">
        <v>41647</v>
      </c>
      <c r="B1960">
        <v>1994.14</v>
      </c>
    </row>
    <row r="1961" spans="1:2" x14ac:dyDescent="0.25">
      <c r="A1961" s="3">
        <v>41648</v>
      </c>
      <c r="B1961">
        <v>1993.73</v>
      </c>
    </row>
    <row r="1962" spans="1:2" x14ac:dyDescent="0.25">
      <c r="A1962" s="3">
        <v>41649</v>
      </c>
      <c r="B1962">
        <v>1995.72</v>
      </c>
    </row>
    <row r="1963" spans="1:2" x14ac:dyDescent="0.25">
      <c r="A1963" s="3">
        <v>41652</v>
      </c>
      <c r="B1963">
        <v>1995.4</v>
      </c>
    </row>
    <row r="1964" spans="1:2" x14ac:dyDescent="0.25">
      <c r="A1964" s="3">
        <v>41653</v>
      </c>
      <c r="B1964">
        <v>1996.1</v>
      </c>
    </row>
    <row r="1965" spans="1:2" x14ac:dyDescent="0.25">
      <c r="A1965" s="3">
        <v>41654</v>
      </c>
      <c r="B1965">
        <v>1993.91</v>
      </c>
    </row>
    <row r="1966" spans="1:2" x14ac:dyDescent="0.25">
      <c r="A1966" s="3">
        <v>41655</v>
      </c>
      <c r="B1966">
        <v>1993.85</v>
      </c>
    </row>
    <row r="1967" spans="1:2" x14ac:dyDescent="0.25">
      <c r="A1967" s="3">
        <v>41656</v>
      </c>
      <c r="B1967">
        <v>1993.03</v>
      </c>
    </row>
    <row r="1968" spans="1:2" x14ac:dyDescent="0.25">
      <c r="A1968" s="3">
        <v>41660</v>
      </c>
      <c r="B1968">
        <v>1992.79</v>
      </c>
    </row>
    <row r="1969" spans="1:2" x14ac:dyDescent="0.25">
      <c r="A1969" s="3">
        <v>41661</v>
      </c>
      <c r="B1969">
        <v>1993.42</v>
      </c>
    </row>
    <row r="1970" spans="1:2" x14ac:dyDescent="0.25">
      <c r="A1970" s="3">
        <v>41662</v>
      </c>
      <c r="B1970">
        <v>1995.76</v>
      </c>
    </row>
    <row r="1971" spans="1:2" x14ac:dyDescent="0.25">
      <c r="A1971" s="3">
        <v>41663</v>
      </c>
      <c r="B1971">
        <v>1995.63</v>
      </c>
    </row>
    <row r="1972" spans="1:2" x14ac:dyDescent="0.25">
      <c r="A1972" s="3">
        <v>41666</v>
      </c>
      <c r="B1972">
        <v>1995.49</v>
      </c>
    </row>
    <row r="1973" spans="1:2" x14ac:dyDescent="0.25">
      <c r="A1973" s="3">
        <v>41667</v>
      </c>
      <c r="B1973">
        <v>1995.34</v>
      </c>
    </row>
    <row r="1974" spans="1:2" x14ac:dyDescent="0.25">
      <c r="A1974" s="3">
        <v>41668</v>
      </c>
      <c r="B1974">
        <v>1994.86</v>
      </c>
    </row>
    <row r="1975" spans="1:2" x14ac:dyDescent="0.25">
      <c r="A1975" s="3">
        <v>41669</v>
      </c>
      <c r="B1975">
        <v>1993.12</v>
      </c>
    </row>
    <row r="1976" spans="1:2" x14ac:dyDescent="0.25">
      <c r="A1976" s="3">
        <v>41670</v>
      </c>
      <c r="B1976">
        <v>1991.4</v>
      </c>
    </row>
    <row r="1977" spans="1:2" x14ac:dyDescent="0.25">
      <c r="A1977" s="3">
        <v>41673</v>
      </c>
      <c r="B1977">
        <v>1992.12</v>
      </c>
    </row>
    <row r="1978" spans="1:2" x14ac:dyDescent="0.25">
      <c r="A1978" s="3">
        <v>41674</v>
      </c>
      <c r="B1978">
        <v>1992.04</v>
      </c>
    </row>
    <row r="1979" spans="1:2" x14ac:dyDescent="0.25">
      <c r="A1979" s="3">
        <v>41675</v>
      </c>
      <c r="B1979">
        <v>1992.56</v>
      </c>
    </row>
    <row r="1980" spans="1:2" x14ac:dyDescent="0.25">
      <c r="A1980" s="3">
        <v>41676</v>
      </c>
      <c r="B1980">
        <v>1994.07</v>
      </c>
    </row>
    <row r="1981" spans="1:2" x14ac:dyDescent="0.25">
      <c r="A1981" s="3">
        <v>41677</v>
      </c>
      <c r="B1981">
        <v>1994.51</v>
      </c>
    </row>
    <row r="1982" spans="1:2" x14ac:dyDescent="0.25">
      <c r="A1982" s="3">
        <v>41680</v>
      </c>
      <c r="B1982">
        <v>1995.1</v>
      </c>
    </row>
    <row r="1983" spans="1:2" x14ac:dyDescent="0.25">
      <c r="A1983" s="3">
        <v>41681</v>
      </c>
      <c r="B1983">
        <v>1995.92</v>
      </c>
    </row>
    <row r="1984" spans="1:2" x14ac:dyDescent="0.25">
      <c r="A1984" s="3">
        <v>41682</v>
      </c>
      <c r="B1984">
        <v>1994.2</v>
      </c>
    </row>
    <row r="1985" spans="1:2" x14ac:dyDescent="0.25">
      <c r="A1985" s="3">
        <v>41683</v>
      </c>
      <c r="B1985">
        <v>1995.8</v>
      </c>
    </row>
    <row r="1986" spans="1:2" x14ac:dyDescent="0.25">
      <c r="A1986" s="3">
        <v>41684</v>
      </c>
      <c r="B1986">
        <v>1996.4</v>
      </c>
    </row>
    <row r="1987" spans="1:2" x14ac:dyDescent="0.25">
      <c r="A1987" s="3">
        <v>41688</v>
      </c>
      <c r="B1987">
        <v>1997.72</v>
      </c>
    </row>
    <row r="1988" spans="1:2" x14ac:dyDescent="0.25">
      <c r="A1988" s="3">
        <v>41689</v>
      </c>
      <c r="B1988">
        <v>1997.79</v>
      </c>
    </row>
    <row r="1989" spans="1:2" x14ac:dyDescent="0.25">
      <c r="A1989" s="3">
        <v>41690</v>
      </c>
      <c r="B1989">
        <v>1996.8</v>
      </c>
    </row>
    <row r="1990" spans="1:2" x14ac:dyDescent="0.25">
      <c r="A1990" s="3">
        <v>41691</v>
      </c>
      <c r="B1990">
        <v>1997.49</v>
      </c>
    </row>
    <row r="1991" spans="1:2" x14ac:dyDescent="0.25">
      <c r="A1991" s="3">
        <v>41694</v>
      </c>
      <c r="B1991">
        <v>1997.16</v>
      </c>
    </row>
    <row r="1992" spans="1:2" x14ac:dyDescent="0.25">
      <c r="A1992" s="3">
        <v>41695</v>
      </c>
      <c r="B1992">
        <v>1997.38</v>
      </c>
    </row>
    <row r="1993" spans="1:2" x14ac:dyDescent="0.25">
      <c r="A1993" s="3">
        <v>41696</v>
      </c>
      <c r="B1993">
        <v>1995.83</v>
      </c>
    </row>
    <row r="1994" spans="1:2" x14ac:dyDescent="0.25">
      <c r="A1994" s="3">
        <v>41697</v>
      </c>
      <c r="B1994">
        <v>1996.16</v>
      </c>
    </row>
    <row r="1995" spans="1:2" x14ac:dyDescent="0.25">
      <c r="A1995" s="3">
        <v>41698</v>
      </c>
      <c r="B1995">
        <v>1999.06</v>
      </c>
    </row>
    <row r="1996" spans="1:2" x14ac:dyDescent="0.25">
      <c r="A1996" s="3">
        <v>41701</v>
      </c>
      <c r="B1996">
        <v>1998.19</v>
      </c>
    </row>
    <row r="1997" spans="1:2" x14ac:dyDescent="0.25">
      <c r="A1997" s="3">
        <v>41702</v>
      </c>
      <c r="B1997">
        <v>1997.51</v>
      </c>
    </row>
    <row r="1998" spans="1:2" x14ac:dyDescent="0.25">
      <c r="A1998" s="3">
        <v>41703</v>
      </c>
      <c r="B1998">
        <v>1997.57</v>
      </c>
    </row>
    <row r="1999" spans="1:2" x14ac:dyDescent="0.25">
      <c r="A1999" s="3">
        <v>41704</v>
      </c>
      <c r="B1999">
        <v>1999.81</v>
      </c>
    </row>
    <row r="2000" spans="1:2" x14ac:dyDescent="0.25">
      <c r="A2000" s="3">
        <v>41705</v>
      </c>
      <c r="B2000">
        <v>2000.24</v>
      </c>
    </row>
    <row r="2001" spans="1:2" x14ac:dyDescent="0.25">
      <c r="A2001" s="3">
        <v>41708</v>
      </c>
      <c r="B2001">
        <v>2000.42</v>
      </c>
    </row>
    <row r="2002" spans="1:2" x14ac:dyDescent="0.25">
      <c r="A2002" s="3">
        <v>41709</v>
      </c>
      <c r="B2002">
        <v>2000.15</v>
      </c>
    </row>
    <row r="2003" spans="1:2" x14ac:dyDescent="0.25">
      <c r="A2003" s="3">
        <v>41710</v>
      </c>
      <c r="B2003">
        <v>2000.85</v>
      </c>
    </row>
    <row r="2004" spans="1:2" x14ac:dyDescent="0.25">
      <c r="A2004" s="3">
        <v>41711</v>
      </c>
      <c r="B2004">
        <v>2001.55</v>
      </c>
    </row>
    <row r="2005" spans="1:2" x14ac:dyDescent="0.25">
      <c r="A2005" s="3">
        <v>41712</v>
      </c>
      <c r="B2005">
        <v>2001.41</v>
      </c>
    </row>
    <row r="2006" spans="1:2" x14ac:dyDescent="0.25">
      <c r="A2006" s="3">
        <v>41715</v>
      </c>
      <c r="B2006">
        <v>2001.56</v>
      </c>
    </row>
    <row r="2007" spans="1:2" x14ac:dyDescent="0.25">
      <c r="A2007" s="3">
        <v>41716</v>
      </c>
      <c r="B2007">
        <v>2001.27</v>
      </c>
    </row>
    <row r="2008" spans="1:2" x14ac:dyDescent="0.25">
      <c r="A2008" s="3">
        <v>41717</v>
      </c>
      <c r="B2008">
        <v>2001.21</v>
      </c>
    </row>
    <row r="2009" spans="1:2" x14ac:dyDescent="0.25">
      <c r="A2009" s="3">
        <v>41718</v>
      </c>
      <c r="B2009">
        <v>1998.33</v>
      </c>
    </row>
    <row r="2010" spans="1:2" x14ac:dyDescent="0.25">
      <c r="A2010" s="3">
        <v>41719</v>
      </c>
      <c r="B2010">
        <v>1998.38</v>
      </c>
    </row>
    <row r="2011" spans="1:2" x14ac:dyDescent="0.25">
      <c r="A2011" s="3">
        <v>41722</v>
      </c>
      <c r="B2011">
        <v>1998.45</v>
      </c>
    </row>
    <row r="2012" spans="1:2" x14ac:dyDescent="0.25">
      <c r="A2012" s="3">
        <v>41723</v>
      </c>
      <c r="B2012">
        <v>1998.39</v>
      </c>
    </row>
    <row r="2013" spans="1:2" x14ac:dyDescent="0.25">
      <c r="A2013" s="3">
        <v>41724</v>
      </c>
      <c r="B2013">
        <v>1998.74</v>
      </c>
    </row>
    <row r="2014" spans="1:2" x14ac:dyDescent="0.25">
      <c r="A2014" s="3">
        <v>41725</v>
      </c>
      <c r="B2014">
        <v>1997.92</v>
      </c>
    </row>
    <row r="2015" spans="1:2" x14ac:dyDescent="0.25">
      <c r="A2015" s="3">
        <v>41726</v>
      </c>
      <c r="B2015">
        <v>1998.18</v>
      </c>
    </row>
    <row r="2016" spans="1:2" x14ac:dyDescent="0.25">
      <c r="A2016" s="3">
        <v>41729</v>
      </c>
      <c r="B2016">
        <v>2061.14</v>
      </c>
    </row>
    <row r="2017" spans="1:2" x14ac:dyDescent="0.25">
      <c r="A2017" s="3">
        <v>41730</v>
      </c>
      <c r="B2017">
        <v>2061.3200000000002</v>
      </c>
    </row>
    <row r="2018" spans="1:2" x14ac:dyDescent="0.25">
      <c r="A2018" s="3">
        <v>41731</v>
      </c>
      <c r="B2018">
        <v>2060.71</v>
      </c>
    </row>
    <row r="2019" spans="1:2" x14ac:dyDescent="0.25">
      <c r="A2019" s="3">
        <v>41732</v>
      </c>
      <c r="B2019">
        <v>2059.4899999999998</v>
      </c>
    </row>
    <row r="2020" spans="1:2" x14ac:dyDescent="0.25">
      <c r="A2020" s="3">
        <v>41733</v>
      </c>
      <c r="B2020">
        <v>2059.12</v>
      </c>
    </row>
    <row r="2021" spans="1:2" x14ac:dyDescent="0.25">
      <c r="A2021" s="3">
        <v>41736</v>
      </c>
      <c r="B2021">
        <v>2060.1999999999998</v>
      </c>
    </row>
    <row r="2022" spans="1:2" x14ac:dyDescent="0.25">
      <c r="A2022" s="3">
        <v>41737</v>
      </c>
      <c r="B2022">
        <v>2061.66</v>
      </c>
    </row>
    <row r="2023" spans="1:2" x14ac:dyDescent="0.25">
      <c r="A2023" s="3">
        <v>41738</v>
      </c>
      <c r="B2023">
        <v>2062.33</v>
      </c>
    </row>
    <row r="2024" spans="1:2" x14ac:dyDescent="0.25">
      <c r="A2024" s="3">
        <v>41739</v>
      </c>
      <c r="B2024">
        <v>2063.6999999999998</v>
      </c>
    </row>
    <row r="2025" spans="1:2" x14ac:dyDescent="0.25">
      <c r="A2025" s="3">
        <v>41740</v>
      </c>
      <c r="B2025">
        <v>2063.75</v>
      </c>
    </row>
    <row r="2026" spans="1:2" x14ac:dyDescent="0.25">
      <c r="A2026" s="3">
        <v>41743</v>
      </c>
      <c r="B2026">
        <v>2062.19</v>
      </c>
    </row>
    <row r="2027" spans="1:2" x14ac:dyDescent="0.25">
      <c r="A2027" s="3">
        <v>41744</v>
      </c>
      <c r="B2027">
        <v>2062.27</v>
      </c>
    </row>
    <row r="2028" spans="1:2" x14ac:dyDescent="0.25">
      <c r="A2028" s="3">
        <v>41745</v>
      </c>
      <c r="B2028">
        <v>2061.9499999999998</v>
      </c>
    </row>
    <row r="2029" spans="1:2" x14ac:dyDescent="0.25">
      <c r="A2029" s="3">
        <v>41746</v>
      </c>
      <c r="B2029">
        <v>2062.5700000000002</v>
      </c>
    </row>
    <row r="2030" spans="1:2" x14ac:dyDescent="0.25">
      <c r="A2030" s="3">
        <v>41750</v>
      </c>
      <c r="B2030">
        <v>2061.87</v>
      </c>
    </row>
    <row r="2031" spans="1:2" x14ac:dyDescent="0.25">
      <c r="A2031" s="3">
        <v>41751</v>
      </c>
      <c r="B2031">
        <v>2061.7600000000002</v>
      </c>
    </row>
    <row r="2032" spans="1:2" x14ac:dyDescent="0.25">
      <c r="A2032" s="3">
        <v>41752</v>
      </c>
      <c r="B2032">
        <v>2062.33</v>
      </c>
    </row>
    <row r="2033" spans="1:2" x14ac:dyDescent="0.25">
      <c r="A2033" s="3">
        <v>41753</v>
      </c>
      <c r="B2033">
        <v>2062.12</v>
      </c>
    </row>
    <row r="2034" spans="1:2" x14ac:dyDescent="0.25">
      <c r="A2034" s="3">
        <v>41754</v>
      </c>
      <c r="B2034">
        <v>2062.54</v>
      </c>
    </row>
    <row r="2035" spans="1:2" x14ac:dyDescent="0.25">
      <c r="A2035" s="3">
        <v>41757</v>
      </c>
      <c r="B2035">
        <v>2062.66</v>
      </c>
    </row>
    <row r="2036" spans="1:2" x14ac:dyDescent="0.25">
      <c r="A2036" s="3">
        <v>41758</v>
      </c>
      <c r="B2036">
        <v>2062.14</v>
      </c>
    </row>
    <row r="2037" spans="1:2" x14ac:dyDescent="0.25">
      <c r="A2037" s="3">
        <v>41759</v>
      </c>
      <c r="B2037">
        <v>2063.17</v>
      </c>
    </row>
    <row r="2038" spans="1:2" x14ac:dyDescent="0.25">
      <c r="A2038" s="3">
        <v>41760</v>
      </c>
      <c r="B2038">
        <v>2063.1999999999998</v>
      </c>
    </row>
    <row r="2039" spans="1:2" x14ac:dyDescent="0.25">
      <c r="A2039" s="3">
        <v>41761</v>
      </c>
      <c r="B2039">
        <v>2063.17</v>
      </c>
    </row>
    <row r="2040" spans="1:2" x14ac:dyDescent="0.25">
      <c r="A2040" s="3">
        <v>41764</v>
      </c>
      <c r="B2040">
        <v>2063.4499999999998</v>
      </c>
    </row>
    <row r="2041" spans="1:2" x14ac:dyDescent="0.25">
      <c r="A2041" s="3">
        <v>41765</v>
      </c>
      <c r="B2041">
        <v>2064.9299999999998</v>
      </c>
    </row>
    <row r="2042" spans="1:2" x14ac:dyDescent="0.25">
      <c r="A2042" s="3">
        <v>41766</v>
      </c>
      <c r="B2042">
        <v>2064.64</v>
      </c>
    </row>
    <row r="2043" spans="1:2" x14ac:dyDescent="0.25">
      <c r="A2043" s="3">
        <v>41767</v>
      </c>
      <c r="B2043">
        <v>2063.39</v>
      </c>
    </row>
    <row r="2044" spans="1:2" x14ac:dyDescent="0.25">
      <c r="A2044" s="3">
        <v>41768</v>
      </c>
      <c r="B2044">
        <v>2060.86</v>
      </c>
    </row>
    <row r="2045" spans="1:2" x14ac:dyDescent="0.25">
      <c r="A2045" s="3">
        <v>41771</v>
      </c>
      <c r="B2045">
        <v>2060.89</v>
      </c>
    </row>
    <row r="2046" spans="1:2" x14ac:dyDescent="0.25">
      <c r="A2046" s="3">
        <v>41772</v>
      </c>
      <c r="B2046">
        <v>2059.79</v>
      </c>
    </row>
    <row r="2047" spans="1:2" x14ac:dyDescent="0.25">
      <c r="A2047" s="3">
        <v>41773</v>
      </c>
      <c r="B2047">
        <v>2059.8200000000002</v>
      </c>
    </row>
    <row r="2048" spans="1:2" x14ac:dyDescent="0.25">
      <c r="A2048" s="3">
        <v>41774</v>
      </c>
      <c r="B2048">
        <v>2059.94</v>
      </c>
    </row>
    <row r="2049" spans="1:2" x14ac:dyDescent="0.25">
      <c r="A2049" s="3">
        <v>41775</v>
      </c>
      <c r="B2049">
        <v>2059.75</v>
      </c>
    </row>
    <row r="2050" spans="1:2" x14ac:dyDescent="0.25">
      <c r="A2050" s="3">
        <v>41778</v>
      </c>
      <c r="B2050">
        <v>2060.06</v>
      </c>
    </row>
    <row r="2051" spans="1:2" x14ac:dyDescent="0.25">
      <c r="A2051" s="3">
        <v>41779</v>
      </c>
      <c r="B2051">
        <v>2059.44</v>
      </c>
    </row>
    <row r="2052" spans="1:2" x14ac:dyDescent="0.25">
      <c r="A2052" s="3">
        <v>41780</v>
      </c>
      <c r="B2052">
        <v>2058.73</v>
      </c>
    </row>
    <row r="2053" spans="1:2" x14ac:dyDescent="0.25">
      <c r="A2053" s="3">
        <v>41781</v>
      </c>
      <c r="B2053">
        <v>2058.56</v>
      </c>
    </row>
    <row r="2054" spans="1:2" x14ac:dyDescent="0.25">
      <c r="A2054" s="3">
        <v>41782</v>
      </c>
      <c r="B2054">
        <v>2057.9699999999998</v>
      </c>
    </row>
    <row r="2055" spans="1:2" x14ac:dyDescent="0.25">
      <c r="A2055" s="3">
        <v>41786</v>
      </c>
      <c r="B2055">
        <v>2057.54</v>
      </c>
    </row>
    <row r="2056" spans="1:2" x14ac:dyDescent="0.25">
      <c r="A2056" s="3">
        <v>41787</v>
      </c>
      <c r="B2056">
        <v>2057.0100000000002</v>
      </c>
    </row>
    <row r="2057" spans="1:2" x14ac:dyDescent="0.25">
      <c r="A2057" s="3">
        <v>41788</v>
      </c>
      <c r="B2057">
        <v>2057.54</v>
      </c>
    </row>
    <row r="2058" spans="1:2" x14ac:dyDescent="0.25">
      <c r="A2058" s="3">
        <v>41789</v>
      </c>
      <c r="B2058">
        <v>2058.23</v>
      </c>
    </row>
    <row r="2059" spans="1:2" x14ac:dyDescent="0.25">
      <c r="A2059" s="3">
        <v>41792</v>
      </c>
      <c r="B2059">
        <v>2057.2800000000002</v>
      </c>
    </row>
    <row r="2060" spans="1:2" x14ac:dyDescent="0.25">
      <c r="A2060" s="3">
        <v>41793</v>
      </c>
      <c r="B2060">
        <v>2057.5300000000002</v>
      </c>
    </row>
    <row r="2061" spans="1:2" x14ac:dyDescent="0.25">
      <c r="A2061" s="3">
        <v>41794</v>
      </c>
      <c r="B2061">
        <v>2057.58</v>
      </c>
    </row>
    <row r="2062" spans="1:2" x14ac:dyDescent="0.25">
      <c r="A2062" s="3">
        <v>41795</v>
      </c>
      <c r="B2062">
        <v>2057.54</v>
      </c>
    </row>
    <row r="2063" spans="1:2" x14ac:dyDescent="0.25">
      <c r="A2063" s="3">
        <v>41796</v>
      </c>
      <c r="B2063">
        <v>2058.14</v>
      </c>
    </row>
    <row r="2064" spans="1:2" x14ac:dyDescent="0.25">
      <c r="A2064" s="3">
        <v>41799</v>
      </c>
      <c r="B2064">
        <v>2057.15</v>
      </c>
    </row>
    <row r="2065" spans="1:2" x14ac:dyDescent="0.25">
      <c r="A2065" s="3">
        <v>41800</v>
      </c>
      <c r="B2065">
        <v>2056.09</v>
      </c>
    </row>
    <row r="2066" spans="1:2" x14ac:dyDescent="0.25">
      <c r="A2066" s="3">
        <v>41801</v>
      </c>
      <c r="B2066">
        <v>2055.9</v>
      </c>
    </row>
    <row r="2067" spans="1:2" x14ac:dyDescent="0.25">
      <c r="A2067" s="3">
        <v>41802</v>
      </c>
      <c r="B2067">
        <v>2056.4299999999998</v>
      </c>
    </row>
    <row r="2068" spans="1:2" x14ac:dyDescent="0.25">
      <c r="A2068" s="3">
        <v>41803</v>
      </c>
      <c r="B2068">
        <v>2056.02</v>
      </c>
    </row>
    <row r="2069" spans="1:2" x14ac:dyDescent="0.25">
      <c r="A2069" s="3">
        <v>41806</v>
      </c>
      <c r="B2069">
        <v>2056.9899999999998</v>
      </c>
    </row>
    <row r="2070" spans="1:2" x14ac:dyDescent="0.25">
      <c r="A2070" s="3">
        <v>41807</v>
      </c>
      <c r="B2070">
        <v>2056.2800000000002</v>
      </c>
    </row>
    <row r="2071" spans="1:2" x14ac:dyDescent="0.25">
      <c r="A2071" s="3">
        <v>41808</v>
      </c>
      <c r="B2071">
        <v>2056.85</v>
      </c>
    </row>
    <row r="2072" spans="1:2" x14ac:dyDescent="0.25">
      <c r="A2072" s="3">
        <v>41809</v>
      </c>
      <c r="B2072">
        <v>2058.4299999999998</v>
      </c>
    </row>
    <row r="2073" spans="1:2" x14ac:dyDescent="0.25">
      <c r="A2073" s="3">
        <v>41810</v>
      </c>
      <c r="B2073">
        <v>2057.09</v>
      </c>
    </row>
    <row r="2074" spans="1:2" x14ac:dyDescent="0.25">
      <c r="A2074" s="3">
        <v>41813</v>
      </c>
      <c r="B2074">
        <v>2057.5300000000002</v>
      </c>
    </row>
    <row r="2075" spans="1:2" x14ac:dyDescent="0.25">
      <c r="A2075" s="3">
        <v>41814</v>
      </c>
      <c r="B2075">
        <v>2057.5</v>
      </c>
    </row>
    <row r="2076" spans="1:2" x14ac:dyDescent="0.25">
      <c r="A2076" s="3">
        <v>41815</v>
      </c>
      <c r="B2076">
        <v>2058.36</v>
      </c>
    </row>
    <row r="2077" spans="1:2" x14ac:dyDescent="0.25">
      <c r="A2077" s="3">
        <v>41816</v>
      </c>
      <c r="B2077">
        <v>2057.44</v>
      </c>
    </row>
    <row r="2078" spans="1:2" x14ac:dyDescent="0.25">
      <c r="A2078" s="3">
        <v>41817</v>
      </c>
      <c r="B2078">
        <v>2058.61</v>
      </c>
    </row>
    <row r="2079" spans="1:2" x14ac:dyDescent="0.25">
      <c r="A2079" s="3">
        <v>41820</v>
      </c>
      <c r="B2079">
        <v>2156.4699999999998</v>
      </c>
    </row>
    <row r="2080" spans="1:2" x14ac:dyDescent="0.25">
      <c r="A2080" s="3">
        <v>41821</v>
      </c>
      <c r="B2080">
        <v>2156.3000000000002</v>
      </c>
    </row>
    <row r="2081" spans="1:2" x14ac:dyDescent="0.25">
      <c r="A2081" s="3">
        <v>41822</v>
      </c>
      <c r="B2081">
        <v>2155.71</v>
      </c>
    </row>
    <row r="2082" spans="1:2" x14ac:dyDescent="0.25">
      <c r="A2082" s="3">
        <v>41823</v>
      </c>
      <c r="B2082">
        <v>2154.5300000000002</v>
      </c>
    </row>
    <row r="2083" spans="1:2" x14ac:dyDescent="0.25">
      <c r="A2083" s="3">
        <v>41827</v>
      </c>
      <c r="B2083">
        <v>2154.2199999999998</v>
      </c>
    </row>
    <row r="2084" spans="1:2" x14ac:dyDescent="0.25">
      <c r="A2084" s="3">
        <v>41828</v>
      </c>
      <c r="B2084">
        <v>2154.66</v>
      </c>
    </row>
    <row r="2085" spans="1:2" x14ac:dyDescent="0.25">
      <c r="A2085" s="3">
        <v>41829</v>
      </c>
      <c r="B2085">
        <v>2155.3000000000002</v>
      </c>
    </row>
    <row r="2086" spans="1:2" x14ac:dyDescent="0.25">
      <c r="A2086" s="3">
        <v>41830</v>
      </c>
      <c r="B2086">
        <v>2154.35</v>
      </c>
    </row>
    <row r="2087" spans="1:2" x14ac:dyDescent="0.25">
      <c r="A2087" s="3">
        <v>41831</v>
      </c>
      <c r="B2087">
        <v>2154.2800000000002</v>
      </c>
    </row>
    <row r="2088" spans="1:2" x14ac:dyDescent="0.25">
      <c r="A2088" s="3">
        <v>41834</v>
      </c>
      <c r="B2088">
        <v>2154.91</v>
      </c>
    </row>
    <row r="2089" spans="1:2" x14ac:dyDescent="0.25">
      <c r="A2089" s="3">
        <v>41835</v>
      </c>
      <c r="B2089">
        <v>2153.63</v>
      </c>
    </row>
    <row r="2090" spans="1:2" x14ac:dyDescent="0.25">
      <c r="A2090" s="3">
        <v>41836</v>
      </c>
      <c r="B2090">
        <v>2152.87</v>
      </c>
    </row>
    <row r="2091" spans="1:2" x14ac:dyDescent="0.25">
      <c r="A2091" s="3">
        <v>41837</v>
      </c>
      <c r="B2091">
        <v>2152.41</v>
      </c>
    </row>
    <row r="2092" spans="1:2" x14ac:dyDescent="0.25">
      <c r="A2092" s="3">
        <v>41838</v>
      </c>
      <c r="B2092">
        <v>2152.1999999999998</v>
      </c>
    </row>
    <row r="2093" spans="1:2" x14ac:dyDescent="0.25">
      <c r="A2093" s="3">
        <v>41841</v>
      </c>
      <c r="B2093">
        <v>2152.4499999999998</v>
      </c>
    </row>
    <row r="2094" spans="1:2" x14ac:dyDescent="0.25">
      <c r="A2094" s="3">
        <v>41842</v>
      </c>
      <c r="B2094">
        <v>2151.2800000000002</v>
      </c>
    </row>
    <row r="2095" spans="1:2" x14ac:dyDescent="0.25">
      <c r="A2095" s="3">
        <v>41843</v>
      </c>
      <c r="B2095">
        <v>2151.2399999999998</v>
      </c>
    </row>
    <row r="2096" spans="1:2" x14ac:dyDescent="0.25">
      <c r="A2096" s="3">
        <v>41844</v>
      </c>
      <c r="B2096">
        <v>2151.2399999999998</v>
      </c>
    </row>
    <row r="2097" spans="1:2" x14ac:dyDescent="0.25">
      <c r="A2097" s="3">
        <v>41845</v>
      </c>
      <c r="B2097">
        <v>2150.41</v>
      </c>
    </row>
    <row r="2098" spans="1:2" x14ac:dyDescent="0.25">
      <c r="A2098" s="3">
        <v>41848</v>
      </c>
      <c r="B2098">
        <v>2150.5700000000002</v>
      </c>
    </row>
    <row r="2099" spans="1:2" x14ac:dyDescent="0.25">
      <c r="A2099" s="3">
        <v>41849</v>
      </c>
      <c r="B2099">
        <v>2149.83</v>
      </c>
    </row>
    <row r="2100" spans="1:2" x14ac:dyDescent="0.25">
      <c r="A2100" s="3">
        <v>41850</v>
      </c>
      <c r="B2100">
        <v>2148.91</v>
      </c>
    </row>
    <row r="2101" spans="1:2" x14ac:dyDescent="0.25">
      <c r="A2101" s="3">
        <v>41851</v>
      </c>
      <c r="B2101">
        <v>2148.85</v>
      </c>
    </row>
    <row r="2102" spans="1:2" x14ac:dyDescent="0.25">
      <c r="A2102" s="3">
        <v>41852</v>
      </c>
      <c r="B2102">
        <v>2150.1999999999998</v>
      </c>
    </row>
    <row r="2103" spans="1:2" x14ac:dyDescent="0.25">
      <c r="A2103" s="3">
        <v>41855</v>
      </c>
      <c r="B2103">
        <v>2149.9899999999998</v>
      </c>
    </row>
    <row r="2104" spans="1:2" x14ac:dyDescent="0.25">
      <c r="A2104" s="3">
        <v>41856</v>
      </c>
      <c r="B2104">
        <v>2148.86</v>
      </c>
    </row>
    <row r="2105" spans="1:2" x14ac:dyDescent="0.25">
      <c r="A2105" s="3">
        <v>41857</v>
      </c>
      <c r="B2105">
        <v>2148.54</v>
      </c>
    </row>
    <row r="2106" spans="1:2" x14ac:dyDescent="0.25">
      <c r="A2106" s="3">
        <v>41858</v>
      </c>
      <c r="B2106">
        <v>2148.38</v>
      </c>
    </row>
    <row r="2107" spans="1:2" x14ac:dyDescent="0.25">
      <c r="A2107" s="3">
        <v>41859</v>
      </c>
      <c r="B2107">
        <v>2149.7199999999998</v>
      </c>
    </row>
    <row r="2108" spans="1:2" x14ac:dyDescent="0.25">
      <c r="A2108" s="3">
        <v>41862</v>
      </c>
      <c r="B2108">
        <v>2149.11</v>
      </c>
    </row>
    <row r="2109" spans="1:2" x14ac:dyDescent="0.25">
      <c r="A2109" s="3">
        <v>41863</v>
      </c>
      <c r="B2109">
        <v>2148.4699999999998</v>
      </c>
    </row>
    <row r="2110" spans="1:2" x14ac:dyDescent="0.25">
      <c r="A2110" s="3">
        <v>41864</v>
      </c>
      <c r="B2110">
        <v>2148.91</v>
      </c>
    </row>
    <row r="2111" spans="1:2" x14ac:dyDescent="0.25">
      <c r="A2111" s="3">
        <v>41865</v>
      </c>
      <c r="B2111">
        <v>2148.91</v>
      </c>
    </row>
    <row r="2112" spans="1:2" x14ac:dyDescent="0.25">
      <c r="A2112" s="3">
        <v>41866</v>
      </c>
      <c r="B2112">
        <v>2148.94</v>
      </c>
    </row>
    <row r="2113" spans="1:2" x14ac:dyDescent="0.25">
      <c r="A2113" s="3">
        <v>41869</v>
      </c>
      <c r="B2113">
        <v>2148.6</v>
      </c>
    </row>
    <row r="2114" spans="1:2" x14ac:dyDescent="0.25">
      <c r="A2114" s="3">
        <v>41870</v>
      </c>
      <c r="B2114">
        <v>2147.4499999999998</v>
      </c>
    </row>
    <row r="2115" spans="1:2" x14ac:dyDescent="0.25">
      <c r="A2115" s="3">
        <v>41871</v>
      </c>
      <c r="B2115">
        <v>2146.75</v>
      </c>
    </row>
    <row r="2116" spans="1:2" x14ac:dyDescent="0.25">
      <c r="A2116" s="3">
        <v>41872</v>
      </c>
      <c r="B2116">
        <v>2146.63</v>
      </c>
    </row>
    <row r="2117" spans="1:2" x14ac:dyDescent="0.25">
      <c r="A2117" s="3">
        <v>41873</v>
      </c>
      <c r="B2117">
        <v>2145.34</v>
      </c>
    </row>
    <row r="2118" spans="1:2" x14ac:dyDescent="0.25">
      <c r="A2118" s="3">
        <v>41876</v>
      </c>
      <c r="B2118">
        <v>2144.61</v>
      </c>
    </row>
    <row r="2119" spans="1:2" x14ac:dyDescent="0.25">
      <c r="A2119" s="3">
        <v>41877</v>
      </c>
      <c r="B2119">
        <v>2144.75</v>
      </c>
    </row>
    <row r="2120" spans="1:2" x14ac:dyDescent="0.25">
      <c r="A2120" s="3">
        <v>41878</v>
      </c>
      <c r="B2120">
        <v>2144.79</v>
      </c>
    </row>
    <row r="2121" spans="1:2" x14ac:dyDescent="0.25">
      <c r="A2121" s="3">
        <v>41879</v>
      </c>
      <c r="B2121">
        <v>2144.1999999999998</v>
      </c>
    </row>
    <row r="2122" spans="1:2" x14ac:dyDescent="0.25">
      <c r="A2122" s="3">
        <v>41880</v>
      </c>
      <c r="B2122">
        <v>2144.17</v>
      </c>
    </row>
    <row r="2123" spans="1:2" x14ac:dyDescent="0.25">
      <c r="A2123" s="3">
        <v>41884</v>
      </c>
      <c r="B2123">
        <v>2142.84</v>
      </c>
    </row>
    <row r="2124" spans="1:2" x14ac:dyDescent="0.25">
      <c r="A2124" s="3">
        <v>41885</v>
      </c>
      <c r="B2124">
        <v>2143.2199999999998</v>
      </c>
    </row>
    <row r="2125" spans="1:2" x14ac:dyDescent="0.25">
      <c r="A2125" s="3">
        <v>41886</v>
      </c>
      <c r="B2125">
        <v>2139.34</v>
      </c>
    </row>
    <row r="2126" spans="1:2" x14ac:dyDescent="0.25">
      <c r="A2126" s="3">
        <v>41887</v>
      </c>
      <c r="B2126">
        <v>2139.06</v>
      </c>
    </row>
    <row r="2127" spans="1:2" x14ac:dyDescent="0.25">
      <c r="A2127" s="3">
        <v>41890</v>
      </c>
      <c r="B2127">
        <v>2138.5300000000002</v>
      </c>
    </row>
    <row r="2128" spans="1:2" x14ac:dyDescent="0.25">
      <c r="A2128" s="3">
        <v>41891</v>
      </c>
      <c r="B2128">
        <v>2137.5100000000002</v>
      </c>
    </row>
    <row r="2129" spans="1:2" x14ac:dyDescent="0.25">
      <c r="A2129" s="3">
        <v>41892</v>
      </c>
      <c r="B2129">
        <v>2137.4899999999998</v>
      </c>
    </row>
    <row r="2130" spans="1:2" x14ac:dyDescent="0.25">
      <c r="A2130" s="3">
        <v>41893</v>
      </c>
      <c r="B2130">
        <v>2138.08</v>
      </c>
    </row>
    <row r="2131" spans="1:2" x14ac:dyDescent="0.25">
      <c r="A2131" s="3">
        <v>41894</v>
      </c>
      <c r="B2131">
        <v>2137.86</v>
      </c>
    </row>
    <row r="2132" spans="1:2" x14ac:dyDescent="0.25">
      <c r="A2132" s="3">
        <v>41897</v>
      </c>
      <c r="B2132">
        <v>2137.85</v>
      </c>
    </row>
    <row r="2133" spans="1:2" x14ac:dyDescent="0.25">
      <c r="A2133" s="3">
        <v>41898</v>
      </c>
      <c r="B2133">
        <v>2137.92</v>
      </c>
    </row>
    <row r="2134" spans="1:2" x14ac:dyDescent="0.25">
      <c r="A2134" s="3">
        <v>41899</v>
      </c>
      <c r="B2134">
        <v>2138.46</v>
      </c>
    </row>
    <row r="2135" spans="1:2" x14ac:dyDescent="0.25">
      <c r="A2135" s="3">
        <v>41900</v>
      </c>
      <c r="B2135">
        <v>2137.58</v>
      </c>
    </row>
    <row r="2136" spans="1:2" x14ac:dyDescent="0.25">
      <c r="A2136" s="3">
        <v>41901</v>
      </c>
      <c r="B2136">
        <v>2135.58</v>
      </c>
    </row>
    <row r="2137" spans="1:2" x14ac:dyDescent="0.25">
      <c r="A2137" s="3">
        <v>41904</v>
      </c>
      <c r="B2137">
        <v>2135.08</v>
      </c>
    </row>
    <row r="2138" spans="1:2" x14ac:dyDescent="0.25">
      <c r="A2138" s="3">
        <v>41905</v>
      </c>
      <c r="B2138">
        <v>2135.9899999999998</v>
      </c>
    </row>
    <row r="2139" spans="1:2" x14ac:dyDescent="0.25">
      <c r="A2139" s="3">
        <v>41906</v>
      </c>
      <c r="B2139">
        <v>2134.5500000000002</v>
      </c>
    </row>
    <row r="2140" spans="1:2" x14ac:dyDescent="0.25">
      <c r="A2140" s="3">
        <v>41907</v>
      </c>
      <c r="B2140">
        <v>2133.2800000000002</v>
      </c>
    </row>
    <row r="2141" spans="1:2" x14ac:dyDescent="0.25">
      <c r="A2141" s="3">
        <v>41908</v>
      </c>
      <c r="B2141">
        <v>2131.92</v>
      </c>
    </row>
    <row r="2142" spans="1:2" x14ac:dyDescent="0.25">
      <c r="A2142" s="3">
        <v>41911</v>
      </c>
      <c r="B2142">
        <v>2131.6</v>
      </c>
    </row>
    <row r="2143" spans="1:2" x14ac:dyDescent="0.25">
      <c r="A2143" s="3">
        <v>41912</v>
      </c>
      <c r="B2143">
        <v>2167.3000000000002</v>
      </c>
    </row>
    <row r="2144" spans="1:2" x14ac:dyDescent="0.25">
      <c r="A2144" s="3">
        <v>41913</v>
      </c>
      <c r="B2144">
        <v>2166.38</v>
      </c>
    </row>
    <row r="2145" spans="1:2" x14ac:dyDescent="0.25">
      <c r="A2145" s="3">
        <v>41914</v>
      </c>
      <c r="B2145">
        <v>2167.69</v>
      </c>
    </row>
    <row r="2146" spans="1:2" x14ac:dyDescent="0.25">
      <c r="A2146" s="3">
        <v>41915</v>
      </c>
      <c r="B2146">
        <v>2164.0100000000002</v>
      </c>
    </row>
    <row r="2147" spans="1:2" x14ac:dyDescent="0.25">
      <c r="A2147" s="3">
        <v>41918</v>
      </c>
      <c r="B2147">
        <v>2165.58</v>
      </c>
    </row>
    <row r="2148" spans="1:2" x14ac:dyDescent="0.25">
      <c r="A2148" s="3">
        <v>41919</v>
      </c>
      <c r="B2148">
        <v>2167.19</v>
      </c>
    </row>
    <row r="2149" spans="1:2" x14ac:dyDescent="0.25">
      <c r="A2149" s="3">
        <v>41920</v>
      </c>
      <c r="B2149">
        <v>2168.4</v>
      </c>
    </row>
    <row r="2150" spans="1:2" x14ac:dyDescent="0.25">
      <c r="A2150" s="3">
        <v>41921</v>
      </c>
      <c r="B2150">
        <v>2169.25</v>
      </c>
    </row>
    <row r="2151" spans="1:2" x14ac:dyDescent="0.25">
      <c r="A2151" s="3">
        <v>41922</v>
      </c>
      <c r="B2151">
        <v>2166.92</v>
      </c>
    </row>
    <row r="2152" spans="1:2" x14ac:dyDescent="0.25">
      <c r="A2152" s="3">
        <v>41925</v>
      </c>
      <c r="B2152">
        <v>2168.2800000000002</v>
      </c>
    </row>
    <row r="2153" spans="1:2" x14ac:dyDescent="0.25">
      <c r="A2153" s="3">
        <v>41926</v>
      </c>
      <c r="B2153">
        <v>2167.75</v>
      </c>
    </row>
    <row r="2154" spans="1:2" x14ac:dyDescent="0.25">
      <c r="A2154" s="3">
        <v>41927</v>
      </c>
      <c r="B2154">
        <v>2169.94</v>
      </c>
    </row>
    <row r="2155" spans="1:2" x14ac:dyDescent="0.25">
      <c r="A2155" s="3">
        <v>41928</v>
      </c>
      <c r="B2155">
        <v>2170.4899999999998</v>
      </c>
    </row>
    <row r="2156" spans="1:2" x14ac:dyDescent="0.25">
      <c r="A2156" s="3">
        <v>41929</v>
      </c>
      <c r="B2156">
        <v>2170.29</v>
      </c>
    </row>
    <row r="2157" spans="1:2" x14ac:dyDescent="0.25">
      <c r="A2157" s="3">
        <v>41932</v>
      </c>
      <c r="B2157">
        <v>2170.65</v>
      </c>
    </row>
    <row r="2158" spans="1:2" x14ac:dyDescent="0.25">
      <c r="A2158" s="3">
        <v>41933</v>
      </c>
      <c r="B2158">
        <v>2169.52</v>
      </c>
    </row>
    <row r="2159" spans="1:2" x14ac:dyDescent="0.25">
      <c r="A2159" s="3">
        <v>41934</v>
      </c>
      <c r="B2159">
        <v>2167.9299999999998</v>
      </c>
    </row>
    <row r="2160" spans="1:2" x14ac:dyDescent="0.25">
      <c r="A2160" s="3">
        <v>41935</v>
      </c>
      <c r="B2160">
        <v>2167.4</v>
      </c>
    </row>
    <row r="2161" spans="1:2" x14ac:dyDescent="0.25">
      <c r="A2161" s="3">
        <v>41936</v>
      </c>
      <c r="B2161">
        <v>2168.0100000000002</v>
      </c>
    </row>
    <row r="2162" spans="1:2" x14ac:dyDescent="0.25">
      <c r="A2162" s="3">
        <v>41939</v>
      </c>
      <c r="B2162">
        <v>2168.9899999999998</v>
      </c>
    </row>
    <row r="2163" spans="1:2" x14ac:dyDescent="0.25">
      <c r="A2163" s="3">
        <v>41940</v>
      </c>
      <c r="B2163">
        <v>2169.9499999999998</v>
      </c>
    </row>
    <row r="2164" spans="1:2" x14ac:dyDescent="0.25">
      <c r="A2164" s="3">
        <v>41941</v>
      </c>
      <c r="B2164">
        <v>2170.37</v>
      </c>
    </row>
    <row r="2165" spans="1:2" x14ac:dyDescent="0.25">
      <c r="A2165" s="3">
        <v>41942</v>
      </c>
      <c r="B2165">
        <v>2166.9</v>
      </c>
    </row>
    <row r="2166" spans="1:2" x14ac:dyDescent="0.25">
      <c r="A2166" s="3">
        <v>41943</v>
      </c>
      <c r="B2166">
        <v>2164.73</v>
      </c>
    </row>
    <row r="2167" spans="1:2" x14ac:dyDescent="0.25">
      <c r="A2167" s="3">
        <v>41946</v>
      </c>
      <c r="B2167">
        <v>2163.4899999999998</v>
      </c>
    </row>
    <row r="2168" spans="1:2" x14ac:dyDescent="0.25">
      <c r="A2168" s="3">
        <v>41947</v>
      </c>
      <c r="B2168">
        <v>2165.5500000000002</v>
      </c>
    </row>
    <row r="2169" spans="1:2" x14ac:dyDescent="0.25">
      <c r="A2169" s="3">
        <v>41948</v>
      </c>
      <c r="B2169">
        <v>2163.4299999999998</v>
      </c>
    </row>
    <row r="2170" spans="1:2" x14ac:dyDescent="0.25">
      <c r="A2170" s="3">
        <v>41949</v>
      </c>
      <c r="B2170">
        <v>2162.1</v>
      </c>
    </row>
    <row r="2171" spans="1:2" x14ac:dyDescent="0.25">
      <c r="A2171" s="3">
        <v>41950</v>
      </c>
      <c r="B2171">
        <v>2161.52</v>
      </c>
    </row>
    <row r="2172" spans="1:2" x14ac:dyDescent="0.25">
      <c r="A2172" s="3">
        <v>41953</v>
      </c>
      <c r="B2172">
        <v>2162.3000000000002</v>
      </c>
    </row>
    <row r="2173" spans="1:2" x14ac:dyDescent="0.25">
      <c r="A2173" s="3">
        <v>41954</v>
      </c>
      <c r="B2173">
        <v>2161.89</v>
      </c>
    </row>
    <row r="2174" spans="1:2" x14ac:dyDescent="0.25">
      <c r="A2174" s="3">
        <v>41955</v>
      </c>
      <c r="B2174">
        <v>2163.12</v>
      </c>
    </row>
    <row r="2175" spans="1:2" x14ac:dyDescent="0.25">
      <c r="A2175" s="3">
        <v>41956</v>
      </c>
      <c r="B2175">
        <v>2162.91</v>
      </c>
    </row>
    <row r="2176" spans="1:2" x14ac:dyDescent="0.25">
      <c r="A2176" s="3">
        <v>41957</v>
      </c>
      <c r="B2176">
        <v>2162.87</v>
      </c>
    </row>
    <row r="2177" spans="1:2" x14ac:dyDescent="0.25">
      <c r="A2177" s="3">
        <v>41960</v>
      </c>
      <c r="B2177">
        <v>2162.3200000000002</v>
      </c>
    </row>
    <row r="2178" spans="1:2" x14ac:dyDescent="0.25">
      <c r="A2178" s="3">
        <v>41961</v>
      </c>
      <c r="B2178">
        <v>2164.0700000000002</v>
      </c>
    </row>
    <row r="2179" spans="1:2" x14ac:dyDescent="0.25">
      <c r="A2179" s="3">
        <v>41962</v>
      </c>
      <c r="B2179">
        <v>2164.15</v>
      </c>
    </row>
    <row r="2180" spans="1:2" x14ac:dyDescent="0.25">
      <c r="A2180" s="3">
        <v>41963</v>
      </c>
      <c r="B2180">
        <v>2164.1999999999998</v>
      </c>
    </row>
    <row r="2181" spans="1:2" x14ac:dyDescent="0.25">
      <c r="A2181" s="3">
        <v>41964</v>
      </c>
      <c r="B2181">
        <v>2161.37</v>
      </c>
    </row>
    <row r="2182" spans="1:2" x14ac:dyDescent="0.25">
      <c r="A2182" s="3">
        <v>41967</v>
      </c>
      <c r="B2182">
        <v>2161.81</v>
      </c>
    </row>
    <row r="2183" spans="1:2" x14ac:dyDescent="0.25">
      <c r="A2183" s="3">
        <v>41968</v>
      </c>
      <c r="B2183">
        <v>2162.89</v>
      </c>
    </row>
    <row r="2184" spans="1:2" x14ac:dyDescent="0.25">
      <c r="A2184" s="3">
        <v>41969</v>
      </c>
      <c r="B2184">
        <v>2164</v>
      </c>
    </row>
    <row r="2185" spans="1:2" x14ac:dyDescent="0.25">
      <c r="A2185" s="3">
        <v>41971</v>
      </c>
      <c r="B2185">
        <v>2162.29</v>
      </c>
    </row>
    <row r="2186" spans="1:2" x14ac:dyDescent="0.25">
      <c r="A2186" s="3">
        <v>41974</v>
      </c>
      <c r="B2186">
        <v>2162.5700000000002</v>
      </c>
    </row>
    <row r="2187" spans="1:2" x14ac:dyDescent="0.25">
      <c r="A2187" s="3">
        <v>41975</v>
      </c>
      <c r="B2187">
        <v>2160.69</v>
      </c>
    </row>
    <row r="2188" spans="1:2" x14ac:dyDescent="0.25">
      <c r="A2188" s="3">
        <v>41976</v>
      </c>
      <c r="B2188">
        <v>2158.88</v>
      </c>
    </row>
    <row r="2189" spans="1:2" x14ac:dyDescent="0.25">
      <c r="A2189" s="3">
        <v>41977</v>
      </c>
      <c r="B2189">
        <v>2161.46</v>
      </c>
    </row>
    <row r="2190" spans="1:2" x14ac:dyDescent="0.25">
      <c r="A2190" s="3">
        <v>41978</v>
      </c>
      <c r="B2190">
        <v>2157.96</v>
      </c>
    </row>
    <row r="2191" spans="1:2" x14ac:dyDescent="0.25">
      <c r="A2191" s="3">
        <v>41981</v>
      </c>
      <c r="B2191">
        <v>2157.84</v>
      </c>
    </row>
    <row r="2192" spans="1:2" x14ac:dyDescent="0.25">
      <c r="A2192" s="3">
        <v>41982</v>
      </c>
      <c r="B2192">
        <v>2161.06</v>
      </c>
    </row>
    <row r="2193" spans="1:2" x14ac:dyDescent="0.25">
      <c r="A2193" s="3">
        <v>41983</v>
      </c>
      <c r="B2193">
        <v>2160.8200000000002</v>
      </c>
    </row>
    <row r="2194" spans="1:2" x14ac:dyDescent="0.25">
      <c r="A2194" s="3">
        <v>41984</v>
      </c>
      <c r="B2194">
        <v>2159.92</v>
      </c>
    </row>
    <row r="2195" spans="1:2" x14ac:dyDescent="0.25">
      <c r="A2195" s="3">
        <v>41985</v>
      </c>
      <c r="B2195">
        <v>2161.73</v>
      </c>
    </row>
    <row r="2196" spans="1:2" x14ac:dyDescent="0.25">
      <c r="A2196" s="3">
        <v>41988</v>
      </c>
      <c r="B2196">
        <v>2160.62</v>
      </c>
    </row>
    <row r="2197" spans="1:2" x14ac:dyDescent="0.25">
      <c r="A2197" s="3">
        <v>41989</v>
      </c>
      <c r="B2197">
        <v>2162.75</v>
      </c>
    </row>
    <row r="2198" spans="1:2" x14ac:dyDescent="0.25">
      <c r="A2198" s="3">
        <v>41990</v>
      </c>
      <c r="B2198">
        <v>2159.98</v>
      </c>
    </row>
    <row r="2199" spans="1:2" x14ac:dyDescent="0.25">
      <c r="A2199" s="3">
        <v>41991</v>
      </c>
      <c r="B2199">
        <v>2157.33</v>
      </c>
    </row>
    <row r="2200" spans="1:2" x14ac:dyDescent="0.25">
      <c r="A2200" s="3">
        <v>41992</v>
      </c>
      <c r="B2200">
        <v>2156.9499999999998</v>
      </c>
    </row>
    <row r="2201" spans="1:2" x14ac:dyDescent="0.25">
      <c r="A2201" s="3">
        <v>41995</v>
      </c>
      <c r="B2201">
        <v>2156.77</v>
      </c>
    </row>
    <row r="2202" spans="1:2" x14ac:dyDescent="0.25">
      <c r="A2202" s="3">
        <v>41996</v>
      </c>
      <c r="B2202">
        <v>2154.67</v>
      </c>
    </row>
    <row r="2203" spans="1:2" x14ac:dyDescent="0.25">
      <c r="A2203" s="3">
        <v>41997</v>
      </c>
      <c r="B2203">
        <v>2155.0100000000002</v>
      </c>
    </row>
    <row r="2204" spans="1:2" x14ac:dyDescent="0.25">
      <c r="A2204" s="3">
        <v>41999</v>
      </c>
      <c r="B2204">
        <v>2154.61</v>
      </c>
    </row>
    <row r="2205" spans="1:2" x14ac:dyDescent="0.25">
      <c r="A2205" s="3">
        <v>42002</v>
      </c>
      <c r="B2205">
        <v>2154.84</v>
      </c>
    </row>
    <row r="2206" spans="1:2" x14ac:dyDescent="0.25">
      <c r="A2206" s="3">
        <v>42003</v>
      </c>
      <c r="B2206">
        <v>2154.62</v>
      </c>
    </row>
    <row r="2207" spans="1:2" x14ac:dyDescent="0.25">
      <c r="A2207" s="3">
        <v>42004</v>
      </c>
      <c r="B2207">
        <v>2217.33</v>
      </c>
    </row>
    <row r="2208" spans="1:2" x14ac:dyDescent="0.25">
      <c r="A2208" s="3">
        <v>42006</v>
      </c>
      <c r="B2208">
        <v>2215.25</v>
      </c>
    </row>
    <row r="2209" spans="1:2" x14ac:dyDescent="0.25">
      <c r="A2209" s="3">
        <v>42009</v>
      </c>
      <c r="B2209">
        <v>2212.7600000000002</v>
      </c>
    </row>
    <row r="2210" spans="1:2" x14ac:dyDescent="0.25">
      <c r="A2210" s="3">
        <v>42010</v>
      </c>
      <c r="B2210">
        <v>2212.3000000000002</v>
      </c>
    </row>
    <row r="2211" spans="1:2" x14ac:dyDescent="0.25">
      <c r="A2211" s="3">
        <v>42011</v>
      </c>
      <c r="B2211">
        <v>2209.2600000000002</v>
      </c>
    </row>
    <row r="2212" spans="1:2" x14ac:dyDescent="0.25">
      <c r="A2212" s="3">
        <v>42012</v>
      </c>
      <c r="B2212">
        <v>2209.12</v>
      </c>
    </row>
    <row r="2213" spans="1:2" x14ac:dyDescent="0.25">
      <c r="A2213" s="3">
        <v>42013</v>
      </c>
      <c r="B2213">
        <v>2210.35</v>
      </c>
    </row>
    <row r="2214" spans="1:2" x14ac:dyDescent="0.25">
      <c r="A2214" s="3">
        <v>42016</v>
      </c>
      <c r="B2214">
        <v>2209.88</v>
      </c>
    </row>
    <row r="2215" spans="1:2" x14ac:dyDescent="0.25">
      <c r="A2215" s="3">
        <v>42017</v>
      </c>
      <c r="B2215">
        <v>2209.0700000000002</v>
      </c>
    </row>
    <row r="2216" spans="1:2" x14ac:dyDescent="0.25">
      <c r="A2216" s="3">
        <v>42018</v>
      </c>
      <c r="B2216">
        <v>2209.3200000000002</v>
      </c>
    </row>
    <row r="2217" spans="1:2" x14ac:dyDescent="0.25">
      <c r="A2217" s="3">
        <v>42019</v>
      </c>
      <c r="B2217">
        <v>2204.5500000000002</v>
      </c>
    </row>
    <row r="2218" spans="1:2" x14ac:dyDescent="0.25">
      <c r="A2218" s="3">
        <v>42020</v>
      </c>
      <c r="B2218">
        <v>2202.27</v>
      </c>
    </row>
    <row r="2219" spans="1:2" x14ac:dyDescent="0.25">
      <c r="A2219" s="3">
        <v>42024</v>
      </c>
      <c r="B2219">
        <v>2204.12</v>
      </c>
    </row>
    <row r="2220" spans="1:2" x14ac:dyDescent="0.25">
      <c r="A2220" s="3">
        <v>42025</v>
      </c>
      <c r="B2220">
        <v>2204.33</v>
      </c>
    </row>
    <row r="2221" spans="1:2" x14ac:dyDescent="0.25">
      <c r="A2221" s="3">
        <v>42026</v>
      </c>
      <c r="B2221">
        <v>2200.1999999999998</v>
      </c>
    </row>
    <row r="2222" spans="1:2" x14ac:dyDescent="0.25">
      <c r="A2222" s="3">
        <v>42027</v>
      </c>
      <c r="B2222">
        <v>2195.89</v>
      </c>
    </row>
    <row r="2223" spans="1:2" x14ac:dyDescent="0.25">
      <c r="A2223" s="3">
        <v>42030</v>
      </c>
      <c r="B2223">
        <v>2196.0300000000002</v>
      </c>
    </row>
    <row r="2224" spans="1:2" x14ac:dyDescent="0.25">
      <c r="A2224" s="3">
        <v>42031</v>
      </c>
      <c r="B2224">
        <v>2199.79</v>
      </c>
    </row>
    <row r="2225" spans="1:2" x14ac:dyDescent="0.25">
      <c r="A2225" s="3">
        <v>42032</v>
      </c>
      <c r="B2225">
        <v>2198.31</v>
      </c>
    </row>
    <row r="2226" spans="1:2" x14ac:dyDescent="0.25">
      <c r="A2226" s="3">
        <v>42033</v>
      </c>
      <c r="B2226">
        <v>2197.85</v>
      </c>
    </row>
    <row r="2227" spans="1:2" x14ac:dyDescent="0.25">
      <c r="A2227" s="3">
        <v>42034</v>
      </c>
      <c r="B2227">
        <v>2196.44</v>
      </c>
    </row>
    <row r="2228" spans="1:2" x14ac:dyDescent="0.25">
      <c r="A2228" s="3">
        <v>42037</v>
      </c>
      <c r="B2228">
        <v>2197.92</v>
      </c>
    </row>
    <row r="2229" spans="1:2" x14ac:dyDescent="0.25">
      <c r="A2229" s="3">
        <v>42038</v>
      </c>
      <c r="B2229">
        <v>2200.39</v>
      </c>
    </row>
    <row r="2230" spans="1:2" x14ac:dyDescent="0.25">
      <c r="A2230" s="3">
        <v>42039</v>
      </c>
      <c r="B2230">
        <v>2200.0100000000002</v>
      </c>
    </row>
    <row r="2231" spans="1:2" x14ac:dyDescent="0.25">
      <c r="A2231" s="3">
        <v>42040</v>
      </c>
      <c r="B2231">
        <v>2200.3200000000002</v>
      </c>
    </row>
    <row r="2232" spans="1:2" x14ac:dyDescent="0.25">
      <c r="A2232" s="3">
        <v>42041</v>
      </c>
      <c r="B2232">
        <v>2198.17</v>
      </c>
    </row>
    <row r="2233" spans="1:2" x14ac:dyDescent="0.25">
      <c r="A2233" s="3">
        <v>42044</v>
      </c>
      <c r="B2233">
        <v>2197.94</v>
      </c>
    </row>
    <row r="2234" spans="1:2" x14ac:dyDescent="0.25">
      <c r="A2234" s="3">
        <v>42045</v>
      </c>
      <c r="B2234">
        <v>2197.6</v>
      </c>
    </row>
    <row r="2235" spans="1:2" x14ac:dyDescent="0.25">
      <c r="A2235" s="3">
        <v>42046</v>
      </c>
      <c r="B2235">
        <v>2197</v>
      </c>
    </row>
    <row r="2236" spans="1:2" x14ac:dyDescent="0.25">
      <c r="A2236" s="3">
        <v>42047</v>
      </c>
      <c r="B2236">
        <v>2198.8000000000002</v>
      </c>
    </row>
    <row r="2237" spans="1:2" x14ac:dyDescent="0.25">
      <c r="A2237" s="3">
        <v>42048</v>
      </c>
      <c r="B2237">
        <v>2199.66</v>
      </c>
    </row>
    <row r="2238" spans="1:2" x14ac:dyDescent="0.25">
      <c r="A2238" s="3">
        <v>42052</v>
      </c>
      <c r="B2238">
        <v>2199.5300000000002</v>
      </c>
    </row>
    <row r="2239" spans="1:2" x14ac:dyDescent="0.25">
      <c r="A2239" s="3">
        <v>42053</v>
      </c>
      <c r="B2239">
        <v>2198.7600000000002</v>
      </c>
    </row>
    <row r="2240" spans="1:2" x14ac:dyDescent="0.25">
      <c r="A2240" s="3">
        <v>42054</v>
      </c>
      <c r="B2240">
        <v>2199.4299999999998</v>
      </c>
    </row>
    <row r="2241" spans="1:2" x14ac:dyDescent="0.25">
      <c r="A2241" s="3">
        <v>42055</v>
      </c>
      <c r="B2241">
        <v>2198.85</v>
      </c>
    </row>
    <row r="2242" spans="1:2" x14ac:dyDescent="0.25">
      <c r="A2242" s="3">
        <v>42058</v>
      </c>
      <c r="B2242">
        <v>2198.59</v>
      </c>
    </row>
    <row r="2243" spans="1:2" x14ac:dyDescent="0.25">
      <c r="A2243" s="3">
        <v>42059</v>
      </c>
      <c r="B2243">
        <v>2198.1999999999998</v>
      </c>
    </row>
    <row r="2244" spans="1:2" x14ac:dyDescent="0.25">
      <c r="A2244" s="3">
        <v>42060</v>
      </c>
      <c r="B2244">
        <v>2198.84</v>
      </c>
    </row>
    <row r="2245" spans="1:2" x14ac:dyDescent="0.25">
      <c r="A2245" s="3">
        <v>42061</v>
      </c>
      <c r="B2245">
        <v>2195.17</v>
      </c>
    </row>
    <row r="2246" spans="1:2" x14ac:dyDescent="0.25">
      <c r="A2246" s="3">
        <v>42062</v>
      </c>
      <c r="B2246">
        <v>2195.34</v>
      </c>
    </row>
    <row r="2247" spans="1:2" x14ac:dyDescent="0.25">
      <c r="A2247" s="3">
        <v>42065</v>
      </c>
      <c r="B2247">
        <v>2194.67</v>
      </c>
    </row>
    <row r="2248" spans="1:2" x14ac:dyDescent="0.25">
      <c r="A2248" s="3">
        <v>42066</v>
      </c>
      <c r="B2248">
        <v>2194.48</v>
      </c>
    </row>
    <row r="2249" spans="1:2" x14ac:dyDescent="0.25">
      <c r="A2249" s="3">
        <v>42067</v>
      </c>
      <c r="B2249">
        <v>2191.4699999999998</v>
      </c>
    </row>
    <row r="2250" spans="1:2" x14ac:dyDescent="0.25">
      <c r="A2250" s="3">
        <v>42068</v>
      </c>
      <c r="B2250">
        <v>2190.44</v>
      </c>
    </row>
    <row r="2251" spans="1:2" x14ac:dyDescent="0.25">
      <c r="A2251" s="3">
        <v>42069</v>
      </c>
      <c r="B2251">
        <v>2186.0500000000002</v>
      </c>
    </row>
    <row r="2252" spans="1:2" x14ac:dyDescent="0.25">
      <c r="A2252" s="3">
        <v>42072</v>
      </c>
      <c r="B2252">
        <v>2185.67</v>
      </c>
    </row>
    <row r="2253" spans="1:2" x14ac:dyDescent="0.25">
      <c r="A2253" s="3">
        <v>42073</v>
      </c>
      <c r="B2253">
        <v>2182.21</v>
      </c>
    </row>
    <row r="2254" spans="1:2" x14ac:dyDescent="0.25">
      <c r="A2254" s="3">
        <v>42074</v>
      </c>
      <c r="B2254">
        <v>2178.8000000000002</v>
      </c>
    </row>
    <row r="2255" spans="1:2" x14ac:dyDescent="0.25">
      <c r="A2255" s="3">
        <v>42075</v>
      </c>
      <c r="B2255">
        <v>2179.88</v>
      </c>
    </row>
    <row r="2256" spans="1:2" x14ac:dyDescent="0.25">
      <c r="A2256" s="3">
        <v>42076</v>
      </c>
      <c r="B2256">
        <v>2177.2199999999998</v>
      </c>
    </row>
    <row r="2257" spans="1:2" x14ac:dyDescent="0.25">
      <c r="A2257" s="3">
        <v>42079</v>
      </c>
      <c r="B2257">
        <v>2178.71</v>
      </c>
    </row>
    <row r="2258" spans="1:2" x14ac:dyDescent="0.25">
      <c r="A2258" s="3">
        <v>42080</v>
      </c>
      <c r="B2258">
        <v>2179.17</v>
      </c>
    </row>
    <row r="2259" spans="1:2" x14ac:dyDescent="0.25">
      <c r="A2259" s="3">
        <v>42081</v>
      </c>
      <c r="B2259">
        <v>2180.06</v>
      </c>
    </row>
    <row r="2260" spans="1:2" x14ac:dyDescent="0.25">
      <c r="A2260" s="3">
        <v>42082</v>
      </c>
      <c r="B2260">
        <v>2179.61</v>
      </c>
    </row>
    <row r="2261" spans="1:2" x14ac:dyDescent="0.25">
      <c r="A2261" s="3">
        <v>42083</v>
      </c>
      <c r="B2261">
        <v>2184.21</v>
      </c>
    </row>
    <row r="2262" spans="1:2" x14ac:dyDescent="0.25">
      <c r="A2262" s="3">
        <v>42086</v>
      </c>
      <c r="B2262">
        <v>2187.56</v>
      </c>
    </row>
    <row r="2263" spans="1:2" x14ac:dyDescent="0.25">
      <c r="A2263" s="3">
        <v>42087</v>
      </c>
      <c r="B2263">
        <v>2187.02</v>
      </c>
    </row>
    <row r="2264" spans="1:2" x14ac:dyDescent="0.25">
      <c r="A2264" s="3">
        <v>42088</v>
      </c>
      <c r="B2264">
        <v>2189.0100000000002</v>
      </c>
    </row>
    <row r="2265" spans="1:2" x14ac:dyDescent="0.25">
      <c r="A2265" s="3">
        <v>42089</v>
      </c>
      <c r="B2265">
        <v>2187.21</v>
      </c>
    </row>
    <row r="2266" spans="1:2" x14ac:dyDescent="0.25">
      <c r="A2266" s="3">
        <v>42090</v>
      </c>
      <c r="B2266">
        <v>2186.4499999999998</v>
      </c>
    </row>
    <row r="2267" spans="1:2" x14ac:dyDescent="0.25">
      <c r="A2267" s="3">
        <v>42093</v>
      </c>
      <c r="B2267">
        <v>2184.73</v>
      </c>
    </row>
    <row r="2268" spans="1:2" x14ac:dyDescent="0.25">
      <c r="A2268" s="3">
        <v>42094</v>
      </c>
      <c r="B2268">
        <v>2256.5</v>
      </c>
    </row>
    <row r="2269" spans="1:2" x14ac:dyDescent="0.25">
      <c r="A2269" s="3">
        <v>42095</v>
      </c>
      <c r="B2269">
        <v>2256.91</v>
      </c>
    </row>
    <row r="2270" spans="1:2" x14ac:dyDescent="0.25">
      <c r="A2270" s="3">
        <v>42096</v>
      </c>
      <c r="B2270">
        <v>2260.0700000000002</v>
      </c>
    </row>
    <row r="2271" spans="1:2" x14ac:dyDescent="0.25">
      <c r="A2271" s="3">
        <v>42100</v>
      </c>
      <c r="B2271">
        <v>2264.3200000000002</v>
      </c>
    </row>
    <row r="2272" spans="1:2" x14ac:dyDescent="0.25">
      <c r="A2272" s="3">
        <v>42101</v>
      </c>
      <c r="B2272">
        <v>2259.6799999999998</v>
      </c>
    </row>
    <row r="2273" spans="1:2" x14ac:dyDescent="0.25">
      <c r="A2273" s="3">
        <v>42102</v>
      </c>
      <c r="B2273">
        <v>2258.0500000000002</v>
      </c>
    </row>
    <row r="2274" spans="1:2" x14ac:dyDescent="0.25">
      <c r="A2274" s="3">
        <v>42103</v>
      </c>
      <c r="B2274">
        <v>2254.89</v>
      </c>
    </row>
    <row r="2275" spans="1:2" x14ac:dyDescent="0.25">
      <c r="A2275" s="3">
        <v>42104</v>
      </c>
      <c r="B2275">
        <v>2253.41</v>
      </c>
    </row>
    <row r="2276" spans="1:2" x14ac:dyDescent="0.25">
      <c r="A2276" s="3">
        <v>42107</v>
      </c>
      <c r="B2276">
        <v>2251.85</v>
      </c>
    </row>
    <row r="2277" spans="1:2" x14ac:dyDescent="0.25">
      <c r="A2277" s="3">
        <v>42108</v>
      </c>
      <c r="B2277">
        <v>2255.33</v>
      </c>
    </row>
    <row r="2278" spans="1:2" x14ac:dyDescent="0.25">
      <c r="A2278" s="3">
        <v>42109</v>
      </c>
      <c r="B2278">
        <v>2253.0700000000002</v>
      </c>
    </row>
    <row r="2279" spans="1:2" x14ac:dyDescent="0.25">
      <c r="A2279" s="3">
        <v>42110</v>
      </c>
      <c r="B2279">
        <v>2255.8200000000002</v>
      </c>
    </row>
    <row r="2280" spans="1:2" x14ac:dyDescent="0.25">
      <c r="A2280" s="3">
        <v>42111</v>
      </c>
      <c r="B2280">
        <v>2257.8000000000002</v>
      </c>
    </row>
    <row r="2281" spans="1:2" x14ac:dyDescent="0.25">
      <c r="A2281" s="3">
        <v>42114</v>
      </c>
      <c r="B2281">
        <v>2257.17</v>
      </c>
    </row>
    <row r="2282" spans="1:2" x14ac:dyDescent="0.25">
      <c r="A2282" s="3">
        <v>42115</v>
      </c>
      <c r="B2282">
        <v>2256.89</v>
      </c>
    </row>
    <row r="2283" spans="1:2" x14ac:dyDescent="0.25">
      <c r="A2283" s="3">
        <v>42116</v>
      </c>
      <c r="B2283">
        <v>2256.61</v>
      </c>
    </row>
    <row r="2284" spans="1:2" x14ac:dyDescent="0.25">
      <c r="A2284" s="3">
        <v>42117</v>
      </c>
      <c r="B2284">
        <v>2258.63</v>
      </c>
    </row>
    <row r="2285" spans="1:2" x14ac:dyDescent="0.25">
      <c r="A2285" s="3">
        <v>42118</v>
      </c>
      <c r="B2285">
        <v>2260.52</v>
      </c>
    </row>
    <row r="2286" spans="1:2" x14ac:dyDescent="0.25">
      <c r="A2286" s="3">
        <v>42121</v>
      </c>
      <c r="B2286">
        <v>2261.14</v>
      </c>
    </row>
    <row r="2287" spans="1:2" x14ac:dyDescent="0.25">
      <c r="A2287" s="3">
        <v>42122</v>
      </c>
      <c r="B2287">
        <v>2264</v>
      </c>
    </row>
    <row r="2288" spans="1:2" x14ac:dyDescent="0.25">
      <c r="A2288" s="3">
        <v>42123</v>
      </c>
      <c r="B2288">
        <v>2268.58</v>
      </c>
    </row>
    <row r="2289" spans="1:2" x14ac:dyDescent="0.25">
      <c r="A2289" s="3">
        <v>42124</v>
      </c>
      <c r="B2289">
        <v>2270.0300000000002</v>
      </c>
    </row>
    <row r="2290" spans="1:2" x14ac:dyDescent="0.25">
      <c r="A2290" s="3">
        <v>42125</v>
      </c>
      <c r="B2290">
        <v>2270.1</v>
      </c>
    </row>
    <row r="2291" spans="1:2" x14ac:dyDescent="0.25">
      <c r="A2291" s="3">
        <v>42128</v>
      </c>
      <c r="B2291">
        <v>2268.44</v>
      </c>
    </row>
    <row r="2292" spans="1:2" x14ac:dyDescent="0.25">
      <c r="A2292" s="3">
        <v>42129</v>
      </c>
      <c r="B2292">
        <v>2269.35</v>
      </c>
    </row>
    <row r="2293" spans="1:2" x14ac:dyDescent="0.25">
      <c r="A2293" s="3">
        <v>42130</v>
      </c>
      <c r="B2293">
        <v>2273.85</v>
      </c>
    </row>
    <row r="2294" spans="1:2" x14ac:dyDescent="0.25">
      <c r="A2294" s="3">
        <v>42131</v>
      </c>
      <c r="B2294">
        <v>2271.2399999999998</v>
      </c>
    </row>
    <row r="2295" spans="1:2" x14ac:dyDescent="0.25">
      <c r="A2295" s="3">
        <v>42132</v>
      </c>
      <c r="B2295">
        <v>2270.4899999999998</v>
      </c>
    </row>
    <row r="2296" spans="1:2" x14ac:dyDescent="0.25">
      <c r="A2296" s="3">
        <v>42135</v>
      </c>
      <c r="B2296">
        <v>2268.9499999999998</v>
      </c>
    </row>
    <row r="2297" spans="1:2" x14ac:dyDescent="0.25">
      <c r="A2297" s="3">
        <v>42136</v>
      </c>
      <c r="B2297">
        <v>2271.59</v>
      </c>
    </row>
    <row r="2298" spans="1:2" x14ac:dyDescent="0.25">
      <c r="A2298" s="3">
        <v>42137</v>
      </c>
      <c r="B2298">
        <v>2274.58</v>
      </c>
    </row>
    <row r="2299" spans="1:2" x14ac:dyDescent="0.25">
      <c r="A2299" s="3">
        <v>42138</v>
      </c>
      <c r="B2299">
        <v>2275.31</v>
      </c>
    </row>
    <row r="2300" spans="1:2" x14ac:dyDescent="0.25">
      <c r="A2300" s="3">
        <v>42139</v>
      </c>
      <c r="B2300">
        <v>2276.9</v>
      </c>
    </row>
    <row r="2301" spans="1:2" x14ac:dyDescent="0.25">
      <c r="A2301" s="3">
        <v>42142</v>
      </c>
      <c r="B2301">
        <v>2274.69</v>
      </c>
    </row>
    <row r="2302" spans="1:2" x14ac:dyDescent="0.25">
      <c r="A2302" s="3">
        <v>42143</v>
      </c>
      <c r="B2302">
        <v>2268.21</v>
      </c>
    </row>
    <row r="2303" spans="1:2" x14ac:dyDescent="0.25">
      <c r="A2303" s="3">
        <v>42144</v>
      </c>
      <c r="B2303">
        <v>2267.6</v>
      </c>
    </row>
    <row r="2304" spans="1:2" x14ac:dyDescent="0.25">
      <c r="A2304" s="3">
        <v>42145</v>
      </c>
      <c r="B2304">
        <v>2268.2600000000002</v>
      </c>
    </row>
    <row r="2305" spans="1:2" x14ac:dyDescent="0.25">
      <c r="A2305" s="3">
        <v>42146</v>
      </c>
      <c r="B2305">
        <v>2265.42</v>
      </c>
    </row>
    <row r="2306" spans="1:2" x14ac:dyDescent="0.25">
      <c r="A2306" s="3">
        <v>42150</v>
      </c>
      <c r="B2306">
        <v>2261.84</v>
      </c>
    </row>
    <row r="2307" spans="1:2" x14ac:dyDescent="0.25">
      <c r="A2307" s="3">
        <v>42151</v>
      </c>
      <c r="B2307">
        <v>2261.13</v>
      </c>
    </row>
    <row r="2308" spans="1:2" x14ac:dyDescent="0.25">
      <c r="A2308" s="3">
        <v>42152</v>
      </c>
      <c r="B2308">
        <v>2262.0700000000002</v>
      </c>
    </row>
    <row r="2309" spans="1:2" x14ac:dyDescent="0.25">
      <c r="A2309" s="3">
        <v>42153</v>
      </c>
      <c r="B2309">
        <v>2263.1799999999998</v>
      </c>
    </row>
    <row r="2310" spans="1:2" x14ac:dyDescent="0.25">
      <c r="A2310" s="3">
        <v>42156</v>
      </c>
      <c r="B2310">
        <v>2261.41</v>
      </c>
    </row>
    <row r="2311" spans="1:2" x14ac:dyDescent="0.25">
      <c r="A2311" s="3">
        <v>42157</v>
      </c>
      <c r="B2311">
        <v>2267.69</v>
      </c>
    </row>
    <row r="2312" spans="1:2" x14ac:dyDescent="0.25">
      <c r="A2312" s="3">
        <v>42158</v>
      </c>
      <c r="B2312">
        <v>2271.3000000000002</v>
      </c>
    </row>
    <row r="2313" spans="1:2" x14ac:dyDescent="0.25">
      <c r="A2313" s="3">
        <v>42159</v>
      </c>
      <c r="B2313">
        <v>2271.6</v>
      </c>
    </row>
    <row r="2314" spans="1:2" x14ac:dyDescent="0.25">
      <c r="A2314" s="3">
        <v>42160</v>
      </c>
      <c r="B2314">
        <v>2266.89</v>
      </c>
    </row>
    <row r="2315" spans="1:2" x14ac:dyDescent="0.25">
      <c r="A2315" s="3">
        <v>42163</v>
      </c>
      <c r="B2315">
        <v>2269.4</v>
      </c>
    </row>
    <row r="2316" spans="1:2" x14ac:dyDescent="0.25">
      <c r="A2316" s="3">
        <v>42164</v>
      </c>
      <c r="B2316">
        <v>2270.58</v>
      </c>
    </row>
    <row r="2317" spans="1:2" x14ac:dyDescent="0.25">
      <c r="A2317" s="3">
        <v>42165</v>
      </c>
      <c r="B2317">
        <v>2272.5300000000002</v>
      </c>
    </row>
    <row r="2318" spans="1:2" x14ac:dyDescent="0.25">
      <c r="A2318" s="3">
        <v>42166</v>
      </c>
      <c r="B2318">
        <v>2270.64</v>
      </c>
    </row>
    <row r="2319" spans="1:2" x14ac:dyDescent="0.25">
      <c r="A2319" s="3">
        <v>42167</v>
      </c>
      <c r="B2319">
        <v>2271.67</v>
      </c>
    </row>
    <row r="2320" spans="1:2" x14ac:dyDescent="0.25">
      <c r="A2320" s="3">
        <v>42170</v>
      </c>
      <c r="B2320">
        <v>2271.2800000000002</v>
      </c>
    </row>
    <row r="2321" spans="1:2" x14ac:dyDescent="0.25">
      <c r="A2321" s="3">
        <v>42171</v>
      </c>
      <c r="B2321">
        <v>2270.89</v>
      </c>
    </row>
    <row r="2322" spans="1:2" x14ac:dyDescent="0.25">
      <c r="A2322" s="3">
        <v>42172</v>
      </c>
      <c r="B2322">
        <v>2270.87</v>
      </c>
    </row>
    <row r="2323" spans="1:2" x14ac:dyDescent="0.25">
      <c r="A2323" s="3">
        <v>42173</v>
      </c>
      <c r="B2323">
        <v>2275.69</v>
      </c>
    </row>
    <row r="2324" spans="1:2" x14ac:dyDescent="0.25">
      <c r="A2324" s="3">
        <v>42174</v>
      </c>
      <c r="B2324">
        <v>2273.71</v>
      </c>
    </row>
    <row r="2325" spans="1:2" x14ac:dyDescent="0.25">
      <c r="A2325" s="3">
        <v>42177</v>
      </c>
      <c r="B2325">
        <v>2275.34</v>
      </c>
    </row>
    <row r="2326" spans="1:2" x14ac:dyDescent="0.25">
      <c r="A2326" s="3">
        <v>42178</v>
      </c>
      <c r="B2326">
        <v>2269.6799999999998</v>
      </c>
    </row>
    <row r="2327" spans="1:2" x14ac:dyDescent="0.25">
      <c r="A2327" s="3">
        <v>42179</v>
      </c>
      <c r="B2327">
        <v>2269.64</v>
      </c>
    </row>
    <row r="2328" spans="1:2" x14ac:dyDescent="0.25">
      <c r="A2328" s="3">
        <v>42180</v>
      </c>
      <c r="B2328">
        <v>2269.92</v>
      </c>
    </row>
    <row r="2329" spans="1:2" x14ac:dyDescent="0.25">
      <c r="A2329" s="3">
        <v>42181</v>
      </c>
      <c r="B2329">
        <v>2268.4499999999998</v>
      </c>
    </row>
    <row r="2330" spans="1:2" x14ac:dyDescent="0.25">
      <c r="A2330" s="3">
        <v>42184</v>
      </c>
      <c r="B2330">
        <v>2268.75</v>
      </c>
    </row>
    <row r="2331" spans="1:2" x14ac:dyDescent="0.25">
      <c r="A2331" s="3">
        <v>42185</v>
      </c>
      <c r="B2331">
        <v>2364.16</v>
      </c>
    </row>
    <row r="2332" spans="1:2" x14ac:dyDescent="0.25">
      <c r="A2332" s="3">
        <v>42186</v>
      </c>
      <c r="B2332">
        <v>2362.92</v>
      </c>
    </row>
    <row r="2333" spans="1:2" x14ac:dyDescent="0.25">
      <c r="A2333" s="3">
        <v>42187</v>
      </c>
      <c r="B2333">
        <v>2362.87</v>
      </c>
    </row>
    <row r="2334" spans="1:2" x14ac:dyDescent="0.25">
      <c r="A2334" s="3">
        <v>42191</v>
      </c>
      <c r="B2334">
        <v>2361.91</v>
      </c>
    </row>
    <row r="2335" spans="1:2" x14ac:dyDescent="0.25">
      <c r="A2335" s="3">
        <v>42192</v>
      </c>
      <c r="B2335">
        <v>2357.81</v>
      </c>
    </row>
    <row r="2336" spans="1:2" x14ac:dyDescent="0.25">
      <c r="A2336" s="3">
        <v>42193</v>
      </c>
      <c r="B2336">
        <v>2361.12</v>
      </c>
    </row>
    <row r="2337" spans="1:2" x14ac:dyDescent="0.25">
      <c r="A2337" s="3">
        <v>42194</v>
      </c>
      <c r="B2337">
        <v>2360.64</v>
      </c>
    </row>
    <row r="2338" spans="1:2" x14ac:dyDescent="0.25">
      <c r="A2338" s="3">
        <v>42195</v>
      </c>
      <c r="B2338">
        <v>2364.15</v>
      </c>
    </row>
    <row r="2339" spans="1:2" x14ac:dyDescent="0.25">
      <c r="A2339" s="3">
        <v>42198</v>
      </c>
      <c r="B2339">
        <v>2359.89</v>
      </c>
    </row>
    <row r="2340" spans="1:2" x14ac:dyDescent="0.25">
      <c r="A2340" s="3">
        <v>42199</v>
      </c>
      <c r="B2340">
        <v>2359.79</v>
      </c>
    </row>
    <row r="2341" spans="1:2" x14ac:dyDescent="0.25">
      <c r="A2341" s="3">
        <v>42200</v>
      </c>
      <c r="B2341">
        <v>2358.62</v>
      </c>
    </row>
    <row r="2342" spans="1:2" x14ac:dyDescent="0.25">
      <c r="A2342" s="3">
        <v>42201</v>
      </c>
      <c r="B2342">
        <v>2357.23</v>
      </c>
    </row>
    <row r="2343" spans="1:2" x14ac:dyDescent="0.25">
      <c r="A2343" s="3">
        <v>42202</v>
      </c>
      <c r="B2343">
        <v>2355.89</v>
      </c>
    </row>
    <row r="2344" spans="1:2" x14ac:dyDescent="0.25">
      <c r="A2344" s="3">
        <v>42205</v>
      </c>
      <c r="B2344">
        <v>2356.06</v>
      </c>
    </row>
    <row r="2345" spans="1:2" x14ac:dyDescent="0.25">
      <c r="A2345" s="3">
        <v>42206</v>
      </c>
      <c r="B2345">
        <v>2357.9699999999998</v>
      </c>
    </row>
    <row r="2346" spans="1:2" x14ac:dyDescent="0.25">
      <c r="A2346" s="3">
        <v>42207</v>
      </c>
      <c r="B2346">
        <v>2356.86</v>
      </c>
    </row>
    <row r="2347" spans="1:2" x14ac:dyDescent="0.25">
      <c r="A2347" s="3">
        <v>42208</v>
      </c>
      <c r="B2347">
        <v>2358.91</v>
      </c>
    </row>
    <row r="2348" spans="1:2" x14ac:dyDescent="0.25">
      <c r="A2348" s="3">
        <v>42209</v>
      </c>
      <c r="B2348">
        <v>2358.38</v>
      </c>
    </row>
    <row r="2349" spans="1:2" x14ac:dyDescent="0.25">
      <c r="A2349" s="3">
        <v>42212</v>
      </c>
      <c r="B2349">
        <v>2362.0700000000002</v>
      </c>
    </row>
    <row r="2350" spans="1:2" x14ac:dyDescent="0.25">
      <c r="A2350" s="3">
        <v>42213</v>
      </c>
      <c r="B2350">
        <v>2360.38</v>
      </c>
    </row>
    <row r="2351" spans="1:2" x14ac:dyDescent="0.25">
      <c r="A2351" s="3">
        <v>42214</v>
      </c>
      <c r="B2351">
        <v>2360.38</v>
      </c>
    </row>
    <row r="2352" spans="1:2" x14ac:dyDescent="0.25">
      <c r="A2352" s="3">
        <v>42215</v>
      </c>
      <c r="B2352">
        <v>2357.4299999999998</v>
      </c>
    </row>
    <row r="2353" spans="1:2" x14ac:dyDescent="0.25">
      <c r="A2353" s="3">
        <v>42216</v>
      </c>
      <c r="B2353">
        <v>2360.84</v>
      </c>
    </row>
    <row r="2354" spans="1:2" x14ac:dyDescent="0.25">
      <c r="A2354" s="3">
        <v>42219</v>
      </c>
      <c r="B2354">
        <v>2358.7399999999998</v>
      </c>
    </row>
    <row r="2355" spans="1:2" x14ac:dyDescent="0.25">
      <c r="A2355" s="3">
        <v>42220</v>
      </c>
      <c r="B2355">
        <v>2358.59</v>
      </c>
    </row>
    <row r="2356" spans="1:2" x14ac:dyDescent="0.25">
      <c r="A2356" s="3">
        <v>42221</v>
      </c>
      <c r="B2356">
        <v>2356</v>
      </c>
    </row>
    <row r="2357" spans="1:2" x14ac:dyDescent="0.25">
      <c r="A2357" s="3">
        <v>42222</v>
      </c>
      <c r="B2357">
        <v>2357.04</v>
      </c>
    </row>
    <row r="2358" spans="1:2" x14ac:dyDescent="0.25">
      <c r="A2358" s="3">
        <v>42223</v>
      </c>
      <c r="B2358">
        <v>2357.7800000000002</v>
      </c>
    </row>
    <row r="2359" spans="1:2" x14ac:dyDescent="0.25">
      <c r="A2359" s="3">
        <v>42226</v>
      </c>
      <c r="B2359">
        <v>2358.9699999999998</v>
      </c>
    </row>
    <row r="2360" spans="1:2" x14ac:dyDescent="0.25">
      <c r="A2360" s="3">
        <v>42227</v>
      </c>
      <c r="B2360">
        <v>2360.59</v>
      </c>
    </row>
    <row r="2361" spans="1:2" x14ac:dyDescent="0.25">
      <c r="A2361" s="3">
        <v>42228</v>
      </c>
      <c r="B2361">
        <v>2364.54</v>
      </c>
    </row>
    <row r="2362" spans="1:2" x14ac:dyDescent="0.25">
      <c r="A2362" s="3">
        <v>42229</v>
      </c>
      <c r="B2362">
        <v>2362.81</v>
      </c>
    </row>
    <row r="2363" spans="1:2" x14ac:dyDescent="0.25">
      <c r="A2363" s="3">
        <v>42230</v>
      </c>
      <c r="B2363">
        <v>2362.4699999999998</v>
      </c>
    </row>
    <row r="2364" spans="1:2" x14ac:dyDescent="0.25">
      <c r="A2364" s="3">
        <v>42233</v>
      </c>
      <c r="B2364">
        <v>2361.5100000000002</v>
      </c>
    </row>
    <row r="2365" spans="1:2" x14ac:dyDescent="0.25">
      <c r="A2365" s="3">
        <v>42234</v>
      </c>
      <c r="B2365">
        <v>2360.48</v>
      </c>
    </row>
    <row r="2366" spans="1:2" x14ac:dyDescent="0.25">
      <c r="A2366" s="3">
        <v>42235</v>
      </c>
      <c r="B2366">
        <v>2360.98</v>
      </c>
    </row>
    <row r="2367" spans="1:2" x14ac:dyDescent="0.25">
      <c r="A2367" s="3">
        <v>42236</v>
      </c>
      <c r="B2367">
        <v>2364.7800000000002</v>
      </c>
    </row>
    <row r="2368" spans="1:2" x14ac:dyDescent="0.25">
      <c r="A2368" s="3">
        <v>42237</v>
      </c>
      <c r="B2368">
        <v>2367.8000000000002</v>
      </c>
    </row>
    <row r="2369" spans="1:2" x14ac:dyDescent="0.25">
      <c r="A2369" s="3">
        <v>42240</v>
      </c>
      <c r="B2369">
        <v>2374.54</v>
      </c>
    </row>
    <row r="2370" spans="1:2" x14ac:dyDescent="0.25">
      <c r="A2370" s="3">
        <v>42241</v>
      </c>
      <c r="B2370">
        <v>2370.12</v>
      </c>
    </row>
    <row r="2371" spans="1:2" x14ac:dyDescent="0.25">
      <c r="A2371" s="3">
        <v>42242</v>
      </c>
      <c r="B2371">
        <v>2369.5700000000002</v>
      </c>
    </row>
    <row r="2372" spans="1:2" x14ac:dyDescent="0.25">
      <c r="A2372" s="3">
        <v>42243</v>
      </c>
      <c r="B2372">
        <v>2364.48</v>
      </c>
    </row>
    <row r="2373" spans="1:2" x14ac:dyDescent="0.25">
      <c r="A2373" s="3">
        <v>42244</v>
      </c>
      <c r="B2373">
        <v>2364.62</v>
      </c>
    </row>
    <row r="2374" spans="1:2" x14ac:dyDescent="0.25">
      <c r="A2374" s="3">
        <v>42247</v>
      </c>
      <c r="B2374">
        <v>2364.0500000000002</v>
      </c>
    </row>
    <row r="2375" spans="1:2" x14ac:dyDescent="0.25">
      <c r="A2375" s="3">
        <v>42248</v>
      </c>
      <c r="B2375">
        <v>2365.3000000000002</v>
      </c>
    </row>
    <row r="2376" spans="1:2" x14ac:dyDescent="0.25">
      <c r="A2376" s="3">
        <v>42249</v>
      </c>
      <c r="B2376">
        <v>2364.44</v>
      </c>
    </row>
    <row r="2377" spans="1:2" x14ac:dyDescent="0.25">
      <c r="A2377" s="3">
        <v>42250</v>
      </c>
      <c r="B2377">
        <v>2360.89</v>
      </c>
    </row>
    <row r="2378" spans="1:2" x14ac:dyDescent="0.25">
      <c r="A2378" s="3">
        <v>42251</v>
      </c>
      <c r="B2378">
        <v>2361.16</v>
      </c>
    </row>
    <row r="2379" spans="1:2" x14ac:dyDescent="0.25">
      <c r="A2379" s="3">
        <v>42255</v>
      </c>
      <c r="B2379">
        <v>2363.37</v>
      </c>
    </row>
    <row r="2380" spans="1:2" x14ac:dyDescent="0.25">
      <c r="A2380" s="3">
        <v>42256</v>
      </c>
      <c r="B2380">
        <v>2362.96</v>
      </c>
    </row>
    <row r="2381" spans="1:2" x14ac:dyDescent="0.25">
      <c r="A2381" s="3">
        <v>42257</v>
      </c>
      <c r="B2381">
        <v>2364.4899999999998</v>
      </c>
    </row>
    <row r="2382" spans="1:2" x14ac:dyDescent="0.25">
      <c r="A2382" s="3">
        <v>42258</v>
      </c>
      <c r="B2382">
        <v>2366.14</v>
      </c>
    </row>
    <row r="2383" spans="1:2" x14ac:dyDescent="0.25">
      <c r="A2383" s="3">
        <v>42261</v>
      </c>
      <c r="B2383">
        <v>2366.4299999999998</v>
      </c>
    </row>
    <row r="2384" spans="1:2" x14ac:dyDescent="0.25">
      <c r="A2384" s="3">
        <v>42262</v>
      </c>
      <c r="B2384">
        <v>2365.8200000000002</v>
      </c>
    </row>
    <row r="2385" spans="1:2" x14ac:dyDescent="0.25">
      <c r="A2385" s="3">
        <v>42263</v>
      </c>
      <c r="B2385">
        <v>2366.77</v>
      </c>
    </row>
    <row r="2386" spans="1:2" x14ac:dyDescent="0.25">
      <c r="A2386" s="3">
        <v>42264</v>
      </c>
      <c r="B2386">
        <v>2367.2399999999998</v>
      </c>
    </row>
    <row r="2387" spans="1:2" x14ac:dyDescent="0.25">
      <c r="A2387" s="3">
        <v>42265</v>
      </c>
      <c r="B2387">
        <v>2369.06</v>
      </c>
    </row>
    <row r="2388" spans="1:2" x14ac:dyDescent="0.25">
      <c r="A2388" s="3">
        <v>42268</v>
      </c>
      <c r="B2388">
        <v>2363.96</v>
      </c>
    </row>
    <row r="2389" spans="1:2" x14ac:dyDescent="0.25">
      <c r="A2389" s="3">
        <v>42269</v>
      </c>
      <c r="B2389">
        <v>2361.9899999999998</v>
      </c>
    </row>
    <row r="2390" spans="1:2" x14ac:dyDescent="0.25">
      <c r="A2390" s="3">
        <v>42270</v>
      </c>
      <c r="B2390">
        <v>2362.0100000000002</v>
      </c>
    </row>
    <row r="2391" spans="1:2" x14ac:dyDescent="0.25">
      <c r="A2391" s="3">
        <v>42271</v>
      </c>
      <c r="B2391">
        <v>2365.77</v>
      </c>
    </row>
    <row r="2392" spans="1:2" x14ac:dyDescent="0.25">
      <c r="A2392" s="3">
        <v>42272</v>
      </c>
      <c r="B2392">
        <v>2362.71</v>
      </c>
    </row>
    <row r="2393" spans="1:2" x14ac:dyDescent="0.25">
      <c r="A2393" s="3">
        <v>42275</v>
      </c>
      <c r="B2393">
        <v>2363.5700000000002</v>
      </c>
    </row>
    <row r="2394" spans="1:2" x14ac:dyDescent="0.25">
      <c r="A2394" s="3">
        <v>42276</v>
      </c>
      <c r="B2394">
        <v>2363.8000000000002</v>
      </c>
    </row>
    <row r="2395" spans="1:2" x14ac:dyDescent="0.25">
      <c r="A2395" s="3">
        <v>42277</v>
      </c>
      <c r="B2395">
        <v>2346.79</v>
      </c>
    </row>
    <row r="2396" spans="1:2" x14ac:dyDescent="0.25">
      <c r="A2396" s="3">
        <v>42278</v>
      </c>
      <c r="B2396">
        <v>2347.94</v>
      </c>
    </row>
    <row r="2397" spans="1:2" x14ac:dyDescent="0.25">
      <c r="A2397" s="3">
        <v>42279</v>
      </c>
      <c r="B2397">
        <v>2349.85</v>
      </c>
    </row>
    <row r="2398" spans="1:2" x14ac:dyDescent="0.25">
      <c r="A2398" s="3">
        <v>42282</v>
      </c>
      <c r="B2398">
        <v>2348.2399999999998</v>
      </c>
    </row>
    <row r="2399" spans="1:2" x14ac:dyDescent="0.25">
      <c r="A2399" s="3">
        <v>42283</v>
      </c>
      <c r="B2399">
        <v>2349.75</v>
      </c>
    </row>
    <row r="2400" spans="1:2" x14ac:dyDescent="0.25">
      <c r="A2400" s="3">
        <v>42284</v>
      </c>
      <c r="B2400">
        <v>2349.4</v>
      </c>
    </row>
    <row r="2401" spans="1:2" x14ac:dyDescent="0.25">
      <c r="A2401" s="3">
        <v>42285</v>
      </c>
      <c r="B2401">
        <v>2350.38</v>
      </c>
    </row>
    <row r="2402" spans="1:2" x14ac:dyDescent="0.25">
      <c r="A2402" s="3">
        <v>42286</v>
      </c>
      <c r="B2402">
        <v>2352.65</v>
      </c>
    </row>
    <row r="2403" spans="1:2" x14ac:dyDescent="0.25">
      <c r="A2403" s="3">
        <v>42289</v>
      </c>
      <c r="B2403">
        <v>2353.2199999999998</v>
      </c>
    </row>
    <row r="2404" spans="1:2" x14ac:dyDescent="0.25">
      <c r="A2404" s="3">
        <v>42290</v>
      </c>
      <c r="B2404">
        <v>2352.9299999999998</v>
      </c>
    </row>
    <row r="2405" spans="1:2" x14ac:dyDescent="0.25">
      <c r="A2405" s="3">
        <v>42291</v>
      </c>
      <c r="B2405">
        <v>2354.8200000000002</v>
      </c>
    </row>
    <row r="2406" spans="1:2" x14ac:dyDescent="0.25">
      <c r="A2406" s="3">
        <v>42292</v>
      </c>
      <c r="B2406">
        <v>2353.66</v>
      </c>
    </row>
    <row r="2407" spans="1:2" x14ac:dyDescent="0.25">
      <c r="A2407" s="3">
        <v>42293</v>
      </c>
      <c r="B2407">
        <v>2353.31</v>
      </c>
    </row>
    <row r="2408" spans="1:2" x14ac:dyDescent="0.25">
      <c r="A2408" s="3">
        <v>42296</v>
      </c>
      <c r="B2408">
        <v>2351.5700000000002</v>
      </c>
    </row>
    <row r="2409" spans="1:2" x14ac:dyDescent="0.25">
      <c r="A2409" s="3">
        <v>42297</v>
      </c>
      <c r="B2409">
        <v>2352.39</v>
      </c>
    </row>
    <row r="2410" spans="1:2" x14ac:dyDescent="0.25">
      <c r="A2410" s="3">
        <v>42298</v>
      </c>
      <c r="B2410">
        <v>2352.59</v>
      </c>
    </row>
    <row r="2411" spans="1:2" x14ac:dyDescent="0.25">
      <c r="A2411" s="3">
        <v>42299</v>
      </c>
      <c r="B2411">
        <v>2347.4899999999998</v>
      </c>
    </row>
    <row r="2412" spans="1:2" x14ac:dyDescent="0.25">
      <c r="A2412" s="3">
        <v>42300</v>
      </c>
      <c r="B2412">
        <v>2344.08</v>
      </c>
    </row>
    <row r="2413" spans="1:2" x14ac:dyDescent="0.25">
      <c r="A2413" s="3">
        <v>42303</v>
      </c>
      <c r="B2413">
        <v>2344.56</v>
      </c>
    </row>
    <row r="2414" spans="1:2" x14ac:dyDescent="0.25">
      <c r="A2414" s="3">
        <v>42304</v>
      </c>
      <c r="B2414">
        <v>2344.48</v>
      </c>
    </row>
    <row r="2415" spans="1:2" x14ac:dyDescent="0.25">
      <c r="A2415" s="3">
        <v>42305</v>
      </c>
      <c r="B2415">
        <v>2344.7800000000002</v>
      </c>
    </row>
    <row r="2416" spans="1:2" x14ac:dyDescent="0.25">
      <c r="A2416" s="3">
        <v>42306</v>
      </c>
      <c r="B2416">
        <v>2341.88</v>
      </c>
    </row>
    <row r="2417" spans="1:2" x14ac:dyDescent="0.25">
      <c r="A2417" s="3">
        <v>42307</v>
      </c>
      <c r="B2417">
        <v>2344.4699999999998</v>
      </c>
    </row>
    <row r="2418" spans="1:2" x14ac:dyDescent="0.25">
      <c r="A2418" s="3">
        <v>42310</v>
      </c>
      <c r="B2418">
        <v>2344.19</v>
      </c>
    </row>
    <row r="2419" spans="1:2" x14ac:dyDescent="0.25">
      <c r="A2419" s="3">
        <v>42311</v>
      </c>
      <c r="B2419">
        <v>2342.0500000000002</v>
      </c>
    </row>
    <row r="2420" spans="1:2" x14ac:dyDescent="0.25">
      <c r="A2420" s="3">
        <v>42312</v>
      </c>
      <c r="B2420">
        <v>2339.64</v>
      </c>
    </row>
    <row r="2421" spans="1:2" x14ac:dyDescent="0.25">
      <c r="A2421" s="3">
        <v>42313</v>
      </c>
      <c r="B2421">
        <v>2339.4699999999998</v>
      </c>
    </row>
    <row r="2422" spans="1:2" x14ac:dyDescent="0.25">
      <c r="A2422" s="3">
        <v>42314</v>
      </c>
      <c r="B2422">
        <v>2335.81</v>
      </c>
    </row>
    <row r="2423" spans="1:2" x14ac:dyDescent="0.25">
      <c r="A2423" s="3">
        <v>42317</v>
      </c>
      <c r="B2423">
        <v>2335.9899999999998</v>
      </c>
    </row>
    <row r="2424" spans="1:2" x14ac:dyDescent="0.25">
      <c r="A2424" s="3">
        <v>42318</v>
      </c>
      <c r="B2424">
        <v>2334.62</v>
      </c>
    </row>
    <row r="2425" spans="1:2" x14ac:dyDescent="0.25">
      <c r="A2425" s="3">
        <v>42319</v>
      </c>
      <c r="B2425">
        <v>2335.73</v>
      </c>
    </row>
    <row r="2426" spans="1:2" x14ac:dyDescent="0.25">
      <c r="A2426" s="3">
        <v>42320</v>
      </c>
      <c r="B2426">
        <v>2336.4699999999998</v>
      </c>
    </row>
    <row r="2427" spans="1:2" x14ac:dyDescent="0.25">
      <c r="A2427" s="3">
        <v>42321</v>
      </c>
      <c r="B2427">
        <v>2335.86</v>
      </c>
    </row>
    <row r="2428" spans="1:2" x14ac:dyDescent="0.25">
      <c r="A2428" s="3">
        <v>42324</v>
      </c>
      <c r="B2428">
        <v>2335.44</v>
      </c>
    </row>
    <row r="2429" spans="1:2" x14ac:dyDescent="0.25">
      <c r="A2429" s="3">
        <v>42325</v>
      </c>
      <c r="B2429">
        <v>2333.8000000000002</v>
      </c>
    </row>
    <row r="2430" spans="1:2" x14ac:dyDescent="0.25">
      <c r="A2430" s="3">
        <v>42326</v>
      </c>
      <c r="B2430">
        <v>2333.65</v>
      </c>
    </row>
    <row r="2431" spans="1:2" x14ac:dyDescent="0.25">
      <c r="A2431" s="3">
        <v>42327</v>
      </c>
      <c r="B2431">
        <v>2336.33</v>
      </c>
    </row>
    <row r="2432" spans="1:2" x14ac:dyDescent="0.25">
      <c r="A2432" s="3">
        <v>42328</v>
      </c>
      <c r="B2432">
        <v>2334.56</v>
      </c>
    </row>
    <row r="2433" spans="1:2" x14ac:dyDescent="0.25">
      <c r="A2433" s="3">
        <v>42331</v>
      </c>
      <c r="B2433">
        <v>2333</v>
      </c>
    </row>
    <row r="2434" spans="1:2" x14ac:dyDescent="0.25">
      <c r="A2434" s="3">
        <v>42332</v>
      </c>
      <c r="B2434">
        <v>2333.5300000000002</v>
      </c>
    </row>
    <row r="2435" spans="1:2" x14ac:dyDescent="0.25">
      <c r="A2435" s="3">
        <v>42333</v>
      </c>
      <c r="B2435">
        <v>2332.52</v>
      </c>
    </row>
    <row r="2436" spans="1:2" x14ac:dyDescent="0.25">
      <c r="A2436" s="3">
        <v>42335</v>
      </c>
      <c r="B2436">
        <v>2332.25</v>
      </c>
    </row>
    <row r="2437" spans="1:2" x14ac:dyDescent="0.25">
      <c r="A2437" s="3">
        <v>42338</v>
      </c>
      <c r="B2437">
        <v>2331.44</v>
      </c>
    </row>
    <row r="2438" spans="1:2" x14ac:dyDescent="0.25">
      <c r="A2438" s="3">
        <v>42339</v>
      </c>
      <c r="B2438">
        <v>2332.7600000000002</v>
      </c>
    </row>
    <row r="2439" spans="1:2" x14ac:dyDescent="0.25">
      <c r="A2439" s="3">
        <v>42340</v>
      </c>
      <c r="B2439">
        <v>2331.6999999999998</v>
      </c>
    </row>
    <row r="2440" spans="1:2" x14ac:dyDescent="0.25">
      <c r="A2440" s="3">
        <v>42341</v>
      </c>
      <c r="B2440">
        <v>2339.06</v>
      </c>
    </row>
    <row r="2441" spans="1:2" x14ac:dyDescent="0.25">
      <c r="A2441" s="3">
        <v>42342</v>
      </c>
      <c r="B2441">
        <v>2340.25</v>
      </c>
    </row>
    <row r="2442" spans="1:2" x14ac:dyDescent="0.25">
      <c r="A2442" s="3">
        <v>42345</v>
      </c>
      <c r="B2442">
        <v>2339.11</v>
      </c>
    </row>
    <row r="2443" spans="1:2" x14ac:dyDescent="0.25">
      <c r="A2443" s="3">
        <v>42346</v>
      </c>
      <c r="B2443">
        <v>2339.36</v>
      </c>
    </row>
    <row r="2444" spans="1:2" x14ac:dyDescent="0.25">
      <c r="A2444" s="3">
        <v>42347</v>
      </c>
      <c r="B2444">
        <v>2342.08</v>
      </c>
    </row>
    <row r="2445" spans="1:2" x14ac:dyDescent="0.25">
      <c r="A2445" s="3">
        <v>42348</v>
      </c>
      <c r="B2445">
        <v>2341.5</v>
      </c>
    </row>
    <row r="2446" spans="1:2" x14ac:dyDescent="0.25">
      <c r="A2446" s="3">
        <v>42349</v>
      </c>
      <c r="B2446">
        <v>2342.96</v>
      </c>
    </row>
    <row r="2447" spans="1:2" x14ac:dyDescent="0.25">
      <c r="A2447" s="3">
        <v>42352</v>
      </c>
      <c r="B2447">
        <v>2343.66</v>
      </c>
    </row>
    <row r="2448" spans="1:2" x14ac:dyDescent="0.25">
      <c r="A2448" s="3">
        <v>42353</v>
      </c>
      <c r="B2448">
        <v>2340.66</v>
      </c>
    </row>
    <row r="2449" spans="1:2" x14ac:dyDescent="0.25">
      <c r="A2449" s="3">
        <v>42354</v>
      </c>
      <c r="B2449">
        <v>2341.19</v>
      </c>
    </row>
    <row r="2450" spans="1:2" x14ac:dyDescent="0.25">
      <c r="A2450" s="3">
        <v>42355</v>
      </c>
      <c r="B2450">
        <v>2338.04</v>
      </c>
    </row>
    <row r="2451" spans="1:2" x14ac:dyDescent="0.25">
      <c r="A2451" s="3">
        <v>42356</v>
      </c>
      <c r="B2451">
        <v>2338.44</v>
      </c>
    </row>
    <row r="2452" spans="1:2" x14ac:dyDescent="0.25">
      <c r="A2452" s="3">
        <v>42359</v>
      </c>
      <c r="B2452">
        <v>2340.3000000000002</v>
      </c>
    </row>
    <row r="2453" spans="1:2" x14ac:dyDescent="0.25">
      <c r="A2453" s="3">
        <v>42360</v>
      </c>
      <c r="B2453">
        <v>2341.5700000000002</v>
      </c>
    </row>
    <row r="2454" spans="1:2" x14ac:dyDescent="0.25">
      <c r="A2454" s="3">
        <v>42361</v>
      </c>
      <c r="B2454">
        <v>2339.39</v>
      </c>
    </row>
    <row r="2455" spans="1:2" x14ac:dyDescent="0.25">
      <c r="A2455" s="3">
        <v>42362</v>
      </c>
      <c r="B2455">
        <v>2341.65</v>
      </c>
    </row>
    <row r="2456" spans="1:2" x14ac:dyDescent="0.25">
      <c r="A2456" s="3">
        <v>42366</v>
      </c>
      <c r="B2456">
        <v>2341.9299999999998</v>
      </c>
    </row>
    <row r="2457" spans="1:2" x14ac:dyDescent="0.25">
      <c r="A2457" s="3">
        <v>42367</v>
      </c>
      <c r="B2457">
        <v>2340.12</v>
      </c>
    </row>
    <row r="2458" spans="1:2" x14ac:dyDescent="0.25">
      <c r="A2458" s="3">
        <v>42368</v>
      </c>
      <c r="B2458">
        <v>2340.3200000000002</v>
      </c>
    </row>
    <row r="2459" spans="1:2" x14ac:dyDescent="0.25">
      <c r="A2459" s="3">
        <v>42369</v>
      </c>
      <c r="B2459">
        <v>2382.67</v>
      </c>
    </row>
    <row r="2460" spans="1:2" x14ac:dyDescent="0.25">
      <c r="A2460" s="3">
        <v>42373</v>
      </c>
      <c r="B2460">
        <v>2380.87</v>
      </c>
    </row>
    <row r="2461" spans="1:2" x14ac:dyDescent="0.25">
      <c r="A2461" s="3">
        <v>42374</v>
      </c>
      <c r="B2461">
        <v>2378.54</v>
      </c>
    </row>
    <row r="2462" spans="1:2" x14ac:dyDescent="0.25">
      <c r="A2462" s="3">
        <v>42375</v>
      </c>
      <c r="B2462">
        <v>2379.14</v>
      </c>
    </row>
    <row r="2463" spans="1:2" x14ac:dyDescent="0.25">
      <c r="A2463" s="3">
        <v>42376</v>
      </c>
      <c r="B2463">
        <v>2381.2199999999998</v>
      </c>
    </row>
    <row r="2464" spans="1:2" x14ac:dyDescent="0.25">
      <c r="A2464" s="3">
        <v>42377</v>
      </c>
      <c r="B2464">
        <v>2383.02</v>
      </c>
    </row>
    <row r="2465" spans="1:2" x14ac:dyDescent="0.25">
      <c r="A2465" s="3">
        <v>42380</v>
      </c>
      <c r="B2465">
        <v>2381.67</v>
      </c>
    </row>
    <row r="2466" spans="1:2" x14ac:dyDescent="0.25">
      <c r="A2466" s="3">
        <v>42381</v>
      </c>
      <c r="B2466">
        <v>2380.65</v>
      </c>
    </row>
    <row r="2467" spans="1:2" x14ac:dyDescent="0.25">
      <c r="A2467" s="3">
        <v>42382</v>
      </c>
      <c r="B2467">
        <v>2381.44</v>
      </c>
    </row>
    <row r="2468" spans="1:2" x14ac:dyDescent="0.25">
      <c r="A2468" s="3">
        <v>42383</v>
      </c>
      <c r="B2468">
        <v>2381.0300000000002</v>
      </c>
    </row>
    <row r="2469" spans="1:2" x14ac:dyDescent="0.25">
      <c r="A2469" s="3">
        <v>42384</v>
      </c>
      <c r="B2469">
        <v>2383.7399999999998</v>
      </c>
    </row>
    <row r="2470" spans="1:2" x14ac:dyDescent="0.25">
      <c r="A2470" s="3">
        <v>42388</v>
      </c>
      <c r="B2470">
        <v>2382.12</v>
      </c>
    </row>
    <row r="2471" spans="1:2" x14ac:dyDescent="0.25">
      <c r="A2471" s="3">
        <v>42389</v>
      </c>
      <c r="B2471">
        <v>2382.02</v>
      </c>
    </row>
    <row r="2472" spans="1:2" x14ac:dyDescent="0.25">
      <c r="A2472" s="3">
        <v>42390</v>
      </c>
      <c r="B2472">
        <v>2380.14</v>
      </c>
    </row>
    <row r="2473" spans="1:2" x14ac:dyDescent="0.25">
      <c r="A2473" s="3">
        <v>42391</v>
      </c>
      <c r="B2473">
        <v>2380.6</v>
      </c>
    </row>
    <row r="2474" spans="1:2" x14ac:dyDescent="0.25">
      <c r="A2474" s="3">
        <v>42394</v>
      </c>
      <c r="B2474">
        <v>2380.63</v>
      </c>
    </row>
    <row r="2475" spans="1:2" x14ac:dyDescent="0.25">
      <c r="A2475" s="3">
        <v>42395</v>
      </c>
      <c r="B2475">
        <v>2381.1999999999998</v>
      </c>
    </row>
    <row r="2476" spans="1:2" x14ac:dyDescent="0.25">
      <c r="A2476" s="3">
        <v>42396</v>
      </c>
      <c r="B2476">
        <v>2381.75</v>
      </c>
    </row>
    <row r="2477" spans="1:2" x14ac:dyDescent="0.25">
      <c r="A2477" s="3">
        <v>42397</v>
      </c>
      <c r="B2477">
        <v>2383.83</v>
      </c>
    </row>
    <row r="2478" spans="1:2" x14ac:dyDescent="0.25">
      <c r="A2478" s="3">
        <v>42398</v>
      </c>
      <c r="B2478">
        <v>2380.3200000000002</v>
      </c>
    </row>
    <row r="2479" spans="1:2" x14ac:dyDescent="0.25">
      <c r="A2479" s="3">
        <v>42401</v>
      </c>
      <c r="B2479">
        <v>2382.46</v>
      </c>
    </row>
    <row r="2480" spans="1:2" x14ac:dyDescent="0.25">
      <c r="A2480" s="3">
        <v>42402</v>
      </c>
      <c r="B2480">
        <v>2382.59</v>
      </c>
    </row>
    <row r="2481" spans="1:2" x14ac:dyDescent="0.25">
      <c r="A2481" s="3">
        <v>42403</v>
      </c>
      <c r="B2481">
        <v>2387.04</v>
      </c>
    </row>
    <row r="2482" spans="1:2" x14ac:dyDescent="0.25">
      <c r="A2482" s="3">
        <v>42404</v>
      </c>
      <c r="B2482">
        <v>2390.4299999999998</v>
      </c>
    </row>
    <row r="2483" spans="1:2" x14ac:dyDescent="0.25">
      <c r="A2483" s="3">
        <v>42405</v>
      </c>
      <c r="B2483">
        <v>2389.34</v>
      </c>
    </row>
    <row r="2484" spans="1:2" x14ac:dyDescent="0.25">
      <c r="A2484" s="3">
        <v>42408</v>
      </c>
      <c r="B2484">
        <v>2389.2800000000002</v>
      </c>
    </row>
    <row r="2485" spans="1:2" x14ac:dyDescent="0.25">
      <c r="A2485" s="3">
        <v>42409</v>
      </c>
      <c r="B2485">
        <v>2393.7600000000002</v>
      </c>
    </row>
    <row r="2486" spans="1:2" x14ac:dyDescent="0.25">
      <c r="A2486" s="3">
        <v>42410</v>
      </c>
      <c r="B2486">
        <v>2390.69</v>
      </c>
    </row>
    <row r="2487" spans="1:2" x14ac:dyDescent="0.25">
      <c r="A2487" s="3">
        <v>42411</v>
      </c>
      <c r="B2487">
        <v>2394.62</v>
      </c>
    </row>
    <row r="2488" spans="1:2" x14ac:dyDescent="0.25">
      <c r="A2488" s="3">
        <v>42412</v>
      </c>
      <c r="B2488">
        <v>2392</v>
      </c>
    </row>
    <row r="2489" spans="1:2" x14ac:dyDescent="0.25">
      <c r="A2489" s="3">
        <v>42416</v>
      </c>
      <c r="B2489">
        <v>2389.1</v>
      </c>
    </row>
    <row r="2490" spans="1:2" x14ac:dyDescent="0.25">
      <c r="A2490" s="3">
        <v>42417</v>
      </c>
      <c r="B2490">
        <v>2388.96</v>
      </c>
    </row>
    <row r="2491" spans="1:2" x14ac:dyDescent="0.25">
      <c r="A2491" s="3">
        <v>42418</v>
      </c>
      <c r="B2491">
        <v>2388.12</v>
      </c>
    </row>
    <row r="2492" spans="1:2" x14ac:dyDescent="0.25">
      <c r="A2492" s="3">
        <v>42419</v>
      </c>
      <c r="B2492">
        <v>2388.0700000000002</v>
      </c>
    </row>
    <row r="2493" spans="1:2" x14ac:dyDescent="0.25">
      <c r="A2493" s="3">
        <v>42422</v>
      </c>
      <c r="B2493">
        <v>2386.02</v>
      </c>
    </row>
    <row r="2494" spans="1:2" x14ac:dyDescent="0.25">
      <c r="A2494" s="3">
        <v>42423</v>
      </c>
      <c r="B2494">
        <v>2385.87</v>
      </c>
    </row>
    <row r="2495" spans="1:2" x14ac:dyDescent="0.25">
      <c r="A2495" s="3">
        <v>42424</v>
      </c>
      <c r="B2495">
        <v>2385.4899999999998</v>
      </c>
    </row>
    <row r="2496" spans="1:2" x14ac:dyDescent="0.25">
      <c r="A2496" s="3">
        <v>42425</v>
      </c>
      <c r="B2496">
        <v>2385.83</v>
      </c>
    </row>
    <row r="2497" spans="1:2" x14ac:dyDescent="0.25">
      <c r="A2497" s="3">
        <v>42426</v>
      </c>
      <c r="B2497">
        <v>2382.8000000000002</v>
      </c>
    </row>
    <row r="2498" spans="1:2" x14ac:dyDescent="0.25">
      <c r="A2498" s="3">
        <v>42429</v>
      </c>
      <c r="B2498">
        <v>2381.36</v>
      </c>
    </row>
    <row r="2499" spans="1:2" x14ac:dyDescent="0.25">
      <c r="A2499" s="3">
        <v>42430</v>
      </c>
      <c r="B2499">
        <v>2381.1799999999998</v>
      </c>
    </row>
    <row r="2500" spans="1:2" x14ac:dyDescent="0.25">
      <c r="A2500" s="3">
        <v>42431</v>
      </c>
      <c r="B2500">
        <v>2380.75</v>
      </c>
    </row>
    <row r="2501" spans="1:2" x14ac:dyDescent="0.25">
      <c r="A2501" s="3">
        <v>42432</v>
      </c>
      <c r="B2501">
        <v>2383.84</v>
      </c>
    </row>
    <row r="2502" spans="1:2" x14ac:dyDescent="0.25">
      <c r="A2502" s="3">
        <v>42433</v>
      </c>
      <c r="B2502">
        <v>2386.0100000000002</v>
      </c>
    </row>
    <row r="2503" spans="1:2" x14ac:dyDescent="0.25">
      <c r="A2503" s="3">
        <v>42436</v>
      </c>
      <c r="B2503">
        <v>2385.46</v>
      </c>
    </row>
    <row r="2504" spans="1:2" x14ac:dyDescent="0.25">
      <c r="A2504" s="3">
        <v>42437</v>
      </c>
      <c r="B2504">
        <v>2387.27</v>
      </c>
    </row>
    <row r="2505" spans="1:2" x14ac:dyDescent="0.25">
      <c r="A2505" s="3">
        <v>42438</v>
      </c>
      <c r="B2505">
        <v>2386.3000000000002</v>
      </c>
    </row>
    <row r="2506" spans="1:2" x14ac:dyDescent="0.25">
      <c r="A2506" s="3">
        <v>42439</v>
      </c>
      <c r="B2506">
        <v>2389.92</v>
      </c>
    </row>
    <row r="2507" spans="1:2" x14ac:dyDescent="0.25">
      <c r="A2507" s="3">
        <v>42440</v>
      </c>
      <c r="B2507">
        <v>2390.58</v>
      </c>
    </row>
    <row r="2508" spans="1:2" x14ac:dyDescent="0.25">
      <c r="A2508" s="3">
        <v>42443</v>
      </c>
      <c r="B2508">
        <v>2389.04</v>
      </c>
    </row>
    <row r="2509" spans="1:2" x14ac:dyDescent="0.25">
      <c r="A2509" s="3">
        <v>42444</v>
      </c>
      <c r="B2509">
        <v>2388.8200000000002</v>
      </c>
    </row>
    <row r="2510" spans="1:2" x14ac:dyDescent="0.25">
      <c r="A2510" s="3">
        <v>42445</v>
      </c>
      <c r="B2510">
        <v>2387.64</v>
      </c>
    </row>
    <row r="2511" spans="1:2" x14ac:dyDescent="0.25">
      <c r="A2511" s="3">
        <v>42446</v>
      </c>
      <c r="B2511">
        <v>2395.08</v>
      </c>
    </row>
    <row r="2512" spans="1:2" x14ac:dyDescent="0.25">
      <c r="A2512" s="3">
        <v>42447</v>
      </c>
      <c r="B2512">
        <v>2394.44</v>
      </c>
    </row>
    <row r="2513" spans="1:2" x14ac:dyDescent="0.25">
      <c r="A2513" s="3">
        <v>42450</v>
      </c>
      <c r="B2513">
        <v>2393.37</v>
      </c>
    </row>
    <row r="2514" spans="1:2" x14ac:dyDescent="0.25">
      <c r="A2514" s="3">
        <v>42451</v>
      </c>
      <c r="B2514">
        <v>2392.2600000000002</v>
      </c>
    </row>
    <row r="2515" spans="1:2" x14ac:dyDescent="0.25">
      <c r="A2515" s="3">
        <v>42452</v>
      </c>
      <c r="B2515">
        <v>2390.5300000000002</v>
      </c>
    </row>
    <row r="2516" spans="1:2" x14ac:dyDescent="0.25">
      <c r="A2516" s="3">
        <v>42453</v>
      </c>
      <c r="B2516">
        <v>2390.2399999999998</v>
      </c>
    </row>
    <row r="2517" spans="1:2" x14ac:dyDescent="0.25">
      <c r="A2517" s="3">
        <v>42457</v>
      </c>
      <c r="B2517">
        <v>2391.85</v>
      </c>
    </row>
    <row r="2518" spans="1:2" x14ac:dyDescent="0.25">
      <c r="A2518" s="3">
        <v>42458</v>
      </c>
      <c r="B2518">
        <v>2391.1</v>
      </c>
    </row>
    <row r="2519" spans="1:2" x14ac:dyDescent="0.25">
      <c r="A2519" s="3">
        <v>42459</v>
      </c>
      <c r="B2519">
        <v>2396.21</v>
      </c>
    </row>
    <row r="2520" spans="1:2" x14ac:dyDescent="0.25">
      <c r="A2520" s="3">
        <v>42460</v>
      </c>
      <c r="B2520">
        <v>2399.98</v>
      </c>
    </row>
    <row r="2521" spans="1:2" x14ac:dyDescent="0.25">
      <c r="A2521" s="3">
        <v>42461</v>
      </c>
      <c r="B2521">
        <v>2398.3200000000002</v>
      </c>
    </row>
    <row r="2522" spans="1:2" x14ac:dyDescent="0.25">
      <c r="A2522" s="3">
        <v>42464</v>
      </c>
      <c r="B2522">
        <v>2399.37</v>
      </c>
    </row>
    <row r="2523" spans="1:2" x14ac:dyDescent="0.25">
      <c r="A2523" s="3">
        <v>42465</v>
      </c>
      <c r="B2523">
        <v>2398.83</v>
      </c>
    </row>
    <row r="2524" spans="1:2" x14ac:dyDescent="0.25">
      <c r="A2524" s="3">
        <v>42466</v>
      </c>
      <c r="B2524">
        <v>2398.7800000000002</v>
      </c>
    </row>
    <row r="2525" spans="1:2" x14ac:dyDescent="0.25">
      <c r="A2525" s="3">
        <v>42467</v>
      </c>
      <c r="B2525">
        <v>2398.9499999999998</v>
      </c>
    </row>
    <row r="2526" spans="1:2" x14ac:dyDescent="0.25">
      <c r="A2526" s="3">
        <v>42468</v>
      </c>
      <c r="B2526">
        <v>2399.7199999999998</v>
      </c>
    </row>
    <row r="2527" spans="1:2" x14ac:dyDescent="0.25">
      <c r="A2527" s="3">
        <v>42471</v>
      </c>
      <c r="B2527">
        <v>2400.9699999999998</v>
      </c>
    </row>
    <row r="2528" spans="1:2" x14ac:dyDescent="0.25">
      <c r="A2528" s="3">
        <v>42472</v>
      </c>
      <c r="B2528">
        <v>2399.23</v>
      </c>
    </row>
    <row r="2529" spans="1:2" x14ac:dyDescent="0.25">
      <c r="A2529" s="3">
        <v>42473</v>
      </c>
      <c r="B2529">
        <v>2396.92</v>
      </c>
    </row>
    <row r="2530" spans="1:2" x14ac:dyDescent="0.25">
      <c r="A2530" s="3">
        <v>42474</v>
      </c>
      <c r="B2530">
        <v>2396.41</v>
      </c>
    </row>
    <row r="2531" spans="1:2" x14ac:dyDescent="0.25">
      <c r="A2531" s="3">
        <v>42475</v>
      </c>
      <c r="B2531">
        <v>2397.3200000000002</v>
      </c>
    </row>
    <row r="2532" spans="1:2" x14ac:dyDescent="0.25">
      <c r="A2532" s="3">
        <v>42478</v>
      </c>
      <c r="B2532">
        <v>2398.31</v>
      </c>
    </row>
    <row r="2533" spans="1:2" x14ac:dyDescent="0.25">
      <c r="A2533" s="3">
        <v>42479</v>
      </c>
      <c r="B2533">
        <v>2399.79</v>
      </c>
    </row>
    <row r="2534" spans="1:2" x14ac:dyDescent="0.25">
      <c r="A2534" s="3">
        <v>42480</v>
      </c>
      <c r="B2534">
        <v>2398.75</v>
      </c>
    </row>
    <row r="2535" spans="1:2" x14ac:dyDescent="0.25">
      <c r="A2535" s="3">
        <v>42481</v>
      </c>
      <c r="B2535">
        <v>2397.48</v>
      </c>
    </row>
    <row r="2536" spans="1:2" x14ac:dyDescent="0.25">
      <c r="A2536" s="3">
        <v>42482</v>
      </c>
      <c r="B2536">
        <v>2396.2399999999998</v>
      </c>
    </row>
    <row r="2537" spans="1:2" x14ac:dyDescent="0.25">
      <c r="A2537" s="3">
        <v>42485</v>
      </c>
      <c r="B2537">
        <v>2397.11</v>
      </c>
    </row>
    <row r="2538" spans="1:2" x14ac:dyDescent="0.25">
      <c r="A2538" s="3">
        <v>42486</v>
      </c>
      <c r="B2538">
        <v>2398.25</v>
      </c>
    </row>
    <row r="2539" spans="1:2" x14ac:dyDescent="0.25">
      <c r="A2539" s="3">
        <v>42487</v>
      </c>
      <c r="B2539">
        <v>2397.9899999999998</v>
      </c>
    </row>
    <row r="2540" spans="1:2" x14ac:dyDescent="0.25">
      <c r="A2540" s="3">
        <v>42488</v>
      </c>
      <c r="B2540">
        <v>2398.34</v>
      </c>
    </row>
    <row r="2541" spans="1:2" x14ac:dyDescent="0.25">
      <c r="A2541" s="3">
        <v>42489</v>
      </c>
      <c r="B2541">
        <v>2401.9899999999998</v>
      </c>
    </row>
    <row r="2542" spans="1:2" x14ac:dyDescent="0.25">
      <c r="A2542" s="3">
        <v>42492</v>
      </c>
      <c r="B2542">
        <v>2403.52</v>
      </c>
    </row>
    <row r="2543" spans="1:2" x14ac:dyDescent="0.25">
      <c r="A2543" s="3">
        <v>42493</v>
      </c>
      <c r="B2543">
        <v>2403.1999999999998</v>
      </c>
    </row>
    <row r="2544" spans="1:2" x14ac:dyDescent="0.25">
      <c r="A2544" s="3">
        <v>42494</v>
      </c>
      <c r="B2544">
        <v>2402.4</v>
      </c>
    </row>
    <row r="2545" spans="1:2" x14ac:dyDescent="0.25">
      <c r="A2545" s="3">
        <v>42495</v>
      </c>
      <c r="B2545">
        <v>2400.09</v>
      </c>
    </row>
    <row r="2546" spans="1:2" x14ac:dyDescent="0.25">
      <c r="A2546" s="3">
        <v>42496</v>
      </c>
      <c r="B2546">
        <v>2400.41</v>
      </c>
    </row>
    <row r="2547" spans="1:2" x14ac:dyDescent="0.25">
      <c r="A2547" s="3">
        <v>42499</v>
      </c>
      <c r="B2547">
        <v>2399.63</v>
      </c>
    </row>
    <row r="2548" spans="1:2" x14ac:dyDescent="0.25">
      <c r="A2548" s="3">
        <v>42500</v>
      </c>
      <c r="B2548">
        <v>2399.7600000000002</v>
      </c>
    </row>
    <row r="2549" spans="1:2" x14ac:dyDescent="0.25">
      <c r="A2549" s="3">
        <v>42501</v>
      </c>
      <c r="B2549">
        <v>2400.7399999999998</v>
      </c>
    </row>
    <row r="2550" spans="1:2" x14ac:dyDescent="0.25">
      <c r="A2550" s="3">
        <v>42502</v>
      </c>
      <c r="B2550">
        <v>2400</v>
      </c>
    </row>
    <row r="2551" spans="1:2" x14ac:dyDescent="0.25">
      <c r="A2551" s="3">
        <v>42503</v>
      </c>
      <c r="B2551">
        <v>2396.98</v>
      </c>
    </row>
    <row r="2552" spans="1:2" x14ac:dyDescent="0.25">
      <c r="A2552" s="3">
        <v>42506</v>
      </c>
      <c r="B2552">
        <v>2397.94</v>
      </c>
    </row>
    <row r="2553" spans="1:2" x14ac:dyDescent="0.25">
      <c r="A2553" s="3">
        <v>42507</v>
      </c>
      <c r="B2553">
        <v>2398.23</v>
      </c>
    </row>
    <row r="2554" spans="1:2" x14ac:dyDescent="0.25">
      <c r="A2554" s="3">
        <v>42508</v>
      </c>
      <c r="B2554">
        <v>2396.9299999999998</v>
      </c>
    </row>
    <row r="2555" spans="1:2" x14ac:dyDescent="0.25">
      <c r="A2555" s="3">
        <v>42509</v>
      </c>
      <c r="B2555">
        <v>2394.85</v>
      </c>
    </row>
    <row r="2556" spans="1:2" x14ac:dyDescent="0.25">
      <c r="A2556" s="3">
        <v>42510</v>
      </c>
      <c r="B2556">
        <v>2394.98</v>
      </c>
    </row>
    <row r="2557" spans="1:2" x14ac:dyDescent="0.25">
      <c r="A2557" s="3">
        <v>42513</v>
      </c>
      <c r="B2557">
        <v>2394.54</v>
      </c>
    </row>
    <row r="2558" spans="1:2" x14ac:dyDescent="0.25">
      <c r="A2558" s="3">
        <v>42514</v>
      </c>
      <c r="B2558">
        <v>2393.79</v>
      </c>
    </row>
    <row r="2559" spans="1:2" x14ac:dyDescent="0.25">
      <c r="A2559" s="3">
        <v>42515</v>
      </c>
      <c r="B2559">
        <v>2393.5500000000002</v>
      </c>
    </row>
    <row r="2560" spans="1:2" x14ac:dyDescent="0.25">
      <c r="A2560" s="3">
        <v>42516</v>
      </c>
      <c r="B2560">
        <v>2394.5500000000002</v>
      </c>
    </row>
    <row r="2561" spans="1:2" x14ac:dyDescent="0.25">
      <c r="A2561" s="3">
        <v>42517</v>
      </c>
      <c r="B2561">
        <v>2393.0700000000002</v>
      </c>
    </row>
    <row r="2562" spans="1:2" x14ac:dyDescent="0.25">
      <c r="A2562" s="3">
        <v>42521</v>
      </c>
      <c r="B2562">
        <v>2393.06</v>
      </c>
    </row>
    <row r="2563" spans="1:2" x14ac:dyDescent="0.25">
      <c r="A2563" s="3">
        <v>42522</v>
      </c>
      <c r="B2563">
        <v>2393.87</v>
      </c>
    </row>
    <row r="2564" spans="1:2" x14ac:dyDescent="0.25">
      <c r="A2564" s="3">
        <v>42523</v>
      </c>
      <c r="B2564">
        <v>2393.61</v>
      </c>
    </row>
    <row r="2565" spans="1:2" x14ac:dyDescent="0.25">
      <c r="A2565" s="3">
        <v>42524</v>
      </c>
      <c r="B2565">
        <v>2398.2600000000002</v>
      </c>
    </row>
    <row r="2566" spans="1:2" x14ac:dyDescent="0.25">
      <c r="A2566" s="3">
        <v>42527</v>
      </c>
      <c r="B2566">
        <v>2399.11</v>
      </c>
    </row>
    <row r="2567" spans="1:2" x14ac:dyDescent="0.25">
      <c r="A2567" s="3">
        <v>42528</v>
      </c>
      <c r="B2567">
        <v>2399.09</v>
      </c>
    </row>
    <row r="2568" spans="1:2" x14ac:dyDescent="0.25">
      <c r="A2568" s="3">
        <v>42529</v>
      </c>
      <c r="B2568">
        <v>2400.14</v>
      </c>
    </row>
    <row r="2569" spans="1:2" x14ac:dyDescent="0.25">
      <c r="A2569" s="3">
        <v>42530</v>
      </c>
      <c r="B2569">
        <v>2398.2600000000002</v>
      </c>
    </row>
    <row r="2570" spans="1:2" x14ac:dyDescent="0.25">
      <c r="A2570" s="3">
        <v>42531</v>
      </c>
      <c r="B2570">
        <v>2397.2399999999998</v>
      </c>
    </row>
    <row r="2571" spans="1:2" x14ac:dyDescent="0.25">
      <c r="A2571" s="3">
        <v>42534</v>
      </c>
      <c r="B2571">
        <v>2397.23</v>
      </c>
    </row>
    <row r="2572" spans="1:2" x14ac:dyDescent="0.25">
      <c r="A2572" s="3">
        <v>42535</v>
      </c>
      <c r="B2572">
        <v>2394.62</v>
      </c>
    </row>
    <row r="2573" spans="1:2" x14ac:dyDescent="0.25">
      <c r="A2573" s="3">
        <v>42536</v>
      </c>
      <c r="B2573">
        <v>2395.46</v>
      </c>
    </row>
    <row r="2574" spans="1:2" x14ac:dyDescent="0.25">
      <c r="A2574" s="3">
        <v>42537</v>
      </c>
      <c r="B2574">
        <v>2392.9</v>
      </c>
    </row>
    <row r="2575" spans="1:2" x14ac:dyDescent="0.25">
      <c r="A2575" s="3">
        <v>42538</v>
      </c>
      <c r="B2575">
        <v>2395.9699999999998</v>
      </c>
    </row>
    <row r="2576" spans="1:2" x14ac:dyDescent="0.25">
      <c r="A2576" s="3">
        <v>42541</v>
      </c>
      <c r="B2576">
        <v>2398.98</v>
      </c>
    </row>
    <row r="2577" spans="1:2" x14ac:dyDescent="0.25">
      <c r="A2577" s="3">
        <v>42542</v>
      </c>
      <c r="B2577">
        <v>2397.2800000000002</v>
      </c>
    </row>
    <row r="2578" spans="1:2" x14ac:dyDescent="0.25">
      <c r="A2578" s="3">
        <v>42543</v>
      </c>
      <c r="B2578">
        <v>2397.62</v>
      </c>
    </row>
    <row r="2579" spans="1:2" x14ac:dyDescent="0.25">
      <c r="A2579" s="3">
        <v>42544</v>
      </c>
      <c r="B2579">
        <v>2399.66</v>
      </c>
    </row>
    <row r="2580" spans="1:2" x14ac:dyDescent="0.25">
      <c r="A2580" s="3">
        <v>42545</v>
      </c>
      <c r="B2580">
        <v>2391.79</v>
      </c>
    </row>
    <row r="2581" spans="1:2" x14ac:dyDescent="0.25">
      <c r="A2581" s="3">
        <v>42548</v>
      </c>
      <c r="B2581">
        <v>2387.29</v>
      </c>
    </row>
    <row r="2582" spans="1:2" x14ac:dyDescent="0.25">
      <c r="A2582" s="3">
        <v>42549</v>
      </c>
      <c r="B2582">
        <v>2389.46</v>
      </c>
    </row>
    <row r="2583" spans="1:2" x14ac:dyDescent="0.25">
      <c r="A2583" s="3">
        <v>42550</v>
      </c>
      <c r="B2583">
        <v>2391.27</v>
      </c>
    </row>
    <row r="2584" spans="1:2" x14ac:dyDescent="0.25">
      <c r="A2584" s="3">
        <v>42551</v>
      </c>
      <c r="B2584">
        <v>2456.7199999999998</v>
      </c>
    </row>
    <row r="2585" spans="1:2" x14ac:dyDescent="0.25">
      <c r="A2585" s="3">
        <v>42552</v>
      </c>
      <c r="B2585">
        <v>2457.15</v>
      </c>
    </row>
    <row r="2586" spans="1:2" x14ac:dyDescent="0.25">
      <c r="A2586" s="3">
        <v>42556</v>
      </c>
      <c r="B2586">
        <v>2456.16</v>
      </c>
    </row>
    <row r="2587" spans="1:2" x14ac:dyDescent="0.25">
      <c r="A2587" s="3">
        <v>42557</v>
      </c>
      <c r="B2587">
        <v>2454.94</v>
      </c>
    </row>
    <row r="2588" spans="1:2" x14ac:dyDescent="0.25">
      <c r="A2588" s="3">
        <v>42558</v>
      </c>
      <c r="B2588">
        <v>2455.06</v>
      </c>
    </row>
    <row r="2589" spans="1:2" x14ac:dyDescent="0.25">
      <c r="A2589" s="3">
        <v>42559</v>
      </c>
      <c r="B2589">
        <v>2454.23</v>
      </c>
    </row>
    <row r="2590" spans="1:2" x14ac:dyDescent="0.25">
      <c r="A2590" s="3">
        <v>42562</v>
      </c>
      <c r="B2590">
        <v>2454.52</v>
      </c>
    </row>
    <row r="2591" spans="1:2" x14ac:dyDescent="0.25">
      <c r="A2591" s="3">
        <v>42563</v>
      </c>
      <c r="B2591">
        <v>2455.54</v>
      </c>
    </row>
    <row r="2592" spans="1:2" x14ac:dyDescent="0.25">
      <c r="A2592" s="3">
        <v>42564</v>
      </c>
      <c r="B2592">
        <v>2456.48</v>
      </c>
    </row>
    <row r="2593" spans="1:2" x14ac:dyDescent="0.25">
      <c r="A2593" s="3">
        <v>42565</v>
      </c>
      <c r="B2593">
        <v>2456.6999999999998</v>
      </c>
    </row>
    <row r="2594" spans="1:2" x14ac:dyDescent="0.25">
      <c r="A2594" s="3">
        <v>42566</v>
      </c>
      <c r="B2594">
        <v>2455.5700000000002</v>
      </c>
    </row>
    <row r="2595" spans="1:2" x14ac:dyDescent="0.25">
      <c r="A2595" s="3">
        <v>42569</v>
      </c>
      <c r="B2595">
        <v>2455.5300000000002</v>
      </c>
    </row>
    <row r="2596" spans="1:2" x14ac:dyDescent="0.25">
      <c r="A2596" s="3">
        <v>42570</v>
      </c>
      <c r="B2596">
        <v>2453.75</v>
      </c>
    </row>
    <row r="2597" spans="1:2" x14ac:dyDescent="0.25">
      <c r="A2597" s="3">
        <v>42571</v>
      </c>
      <c r="B2597">
        <v>2453.79</v>
      </c>
    </row>
    <row r="2598" spans="1:2" x14ac:dyDescent="0.25">
      <c r="A2598" s="3">
        <v>42572</v>
      </c>
      <c r="B2598">
        <v>2453.58</v>
      </c>
    </row>
    <row r="2599" spans="1:2" x14ac:dyDescent="0.25">
      <c r="A2599" s="3">
        <v>42573</v>
      </c>
      <c r="B2599">
        <v>2452.73</v>
      </c>
    </row>
    <row r="2600" spans="1:2" x14ac:dyDescent="0.25">
      <c r="A2600" s="3">
        <v>42576</v>
      </c>
      <c r="B2600">
        <v>2452.7399999999998</v>
      </c>
    </row>
    <row r="2601" spans="1:2" x14ac:dyDescent="0.25">
      <c r="A2601" s="3">
        <v>42577</v>
      </c>
      <c r="B2601">
        <v>2453.09</v>
      </c>
    </row>
    <row r="2602" spans="1:2" x14ac:dyDescent="0.25">
      <c r="A2602" s="3">
        <v>42578</v>
      </c>
      <c r="B2602">
        <v>2453.12</v>
      </c>
    </row>
    <row r="2603" spans="1:2" x14ac:dyDescent="0.25">
      <c r="A2603" s="3">
        <v>42579</v>
      </c>
      <c r="B2603">
        <v>2455.59</v>
      </c>
    </row>
    <row r="2604" spans="1:2" x14ac:dyDescent="0.25">
      <c r="A2604" s="3">
        <v>42580</v>
      </c>
      <c r="B2604">
        <v>2458.5700000000002</v>
      </c>
    </row>
    <row r="2605" spans="1:2" x14ac:dyDescent="0.25">
      <c r="A2605" s="3">
        <v>42583</v>
      </c>
      <c r="B2605">
        <v>2458.89</v>
      </c>
    </row>
    <row r="2606" spans="1:2" x14ac:dyDescent="0.25">
      <c r="A2606" s="3">
        <v>42584</v>
      </c>
      <c r="B2606">
        <v>2460.52</v>
      </c>
    </row>
    <row r="2607" spans="1:2" x14ac:dyDescent="0.25">
      <c r="A2607" s="3">
        <v>42585</v>
      </c>
      <c r="B2607">
        <v>2459.1999999999998</v>
      </c>
    </row>
    <row r="2608" spans="1:2" x14ac:dyDescent="0.25">
      <c r="A2608" s="3">
        <v>42586</v>
      </c>
      <c r="B2608">
        <v>2458.08</v>
      </c>
    </row>
    <row r="2609" spans="1:2" x14ac:dyDescent="0.25">
      <c r="A2609" s="3">
        <v>42587</v>
      </c>
      <c r="B2609">
        <v>2456.1999999999998</v>
      </c>
    </row>
    <row r="2610" spans="1:2" x14ac:dyDescent="0.25">
      <c r="A2610" s="3">
        <v>42590</v>
      </c>
      <c r="B2610">
        <v>2456.3200000000002</v>
      </c>
    </row>
    <row r="2611" spans="1:2" x14ac:dyDescent="0.25">
      <c r="A2611" s="3">
        <v>42591</v>
      </c>
      <c r="B2611">
        <v>2457.27</v>
      </c>
    </row>
    <row r="2612" spans="1:2" x14ac:dyDescent="0.25">
      <c r="A2612" s="3">
        <v>42592</v>
      </c>
      <c r="B2612">
        <v>2458.6799999999998</v>
      </c>
    </row>
    <row r="2613" spans="1:2" x14ac:dyDescent="0.25">
      <c r="A2613" s="3">
        <v>42593</v>
      </c>
      <c r="B2613">
        <v>2459</v>
      </c>
    </row>
    <row r="2614" spans="1:2" x14ac:dyDescent="0.25">
      <c r="A2614" s="3">
        <v>42594</v>
      </c>
      <c r="B2614">
        <v>2458.92</v>
      </c>
    </row>
    <row r="2615" spans="1:2" x14ac:dyDescent="0.25">
      <c r="A2615" s="3">
        <v>42597</v>
      </c>
      <c r="B2615">
        <v>2459.27</v>
      </c>
    </row>
    <row r="2616" spans="1:2" x14ac:dyDescent="0.25">
      <c r="A2616" s="3">
        <v>42598</v>
      </c>
      <c r="B2616">
        <v>2460.9899999999998</v>
      </c>
    </row>
    <row r="2617" spans="1:2" x14ac:dyDescent="0.25">
      <c r="A2617" s="3">
        <v>42599</v>
      </c>
      <c r="B2617">
        <v>2461.39</v>
      </c>
    </row>
    <row r="2618" spans="1:2" x14ac:dyDescent="0.25">
      <c r="A2618" s="3">
        <v>42600</v>
      </c>
      <c r="B2618">
        <v>2463.0500000000002</v>
      </c>
    </row>
    <row r="2619" spans="1:2" x14ac:dyDescent="0.25">
      <c r="A2619" s="3">
        <v>42601</v>
      </c>
      <c r="B2619">
        <v>2462.69</v>
      </c>
    </row>
    <row r="2620" spans="1:2" x14ac:dyDescent="0.25">
      <c r="A2620" s="3">
        <v>42604</v>
      </c>
      <c r="B2620">
        <v>2463.0100000000002</v>
      </c>
    </row>
    <row r="2621" spans="1:2" x14ac:dyDescent="0.25">
      <c r="A2621" s="3">
        <v>42605</v>
      </c>
      <c r="B2621">
        <v>2462.91</v>
      </c>
    </row>
    <row r="2622" spans="1:2" x14ac:dyDescent="0.25">
      <c r="A2622" s="3">
        <v>42606</v>
      </c>
      <c r="B2622">
        <v>2461.1</v>
      </c>
    </row>
    <row r="2623" spans="1:2" x14ac:dyDescent="0.25">
      <c r="A2623" s="3">
        <v>42607</v>
      </c>
      <c r="B2623">
        <v>2461.83</v>
      </c>
    </row>
    <row r="2624" spans="1:2" x14ac:dyDescent="0.25">
      <c r="A2624" s="3">
        <v>42608</v>
      </c>
      <c r="B2624">
        <v>2461.89</v>
      </c>
    </row>
    <row r="2625" spans="1:2" x14ac:dyDescent="0.25">
      <c r="A2625" s="3">
        <v>42611</v>
      </c>
      <c r="B2625">
        <v>2458.61</v>
      </c>
    </row>
    <row r="2626" spans="1:2" x14ac:dyDescent="0.25">
      <c r="A2626" s="3">
        <v>42612</v>
      </c>
      <c r="B2626">
        <v>2458.15</v>
      </c>
    </row>
    <row r="2627" spans="1:2" x14ac:dyDescent="0.25">
      <c r="A2627" s="3">
        <v>42613</v>
      </c>
      <c r="B2627">
        <v>2457.8000000000002</v>
      </c>
    </row>
    <row r="2628" spans="1:2" x14ac:dyDescent="0.25">
      <c r="A2628" s="3">
        <v>42614</v>
      </c>
      <c r="B2628">
        <v>2459.59</v>
      </c>
    </row>
    <row r="2629" spans="1:2" x14ac:dyDescent="0.25">
      <c r="A2629" s="3">
        <v>42615</v>
      </c>
      <c r="B2629">
        <v>2458.83</v>
      </c>
    </row>
    <row r="2630" spans="1:2" x14ac:dyDescent="0.25">
      <c r="A2630" s="3">
        <v>42619</v>
      </c>
      <c r="B2630">
        <v>2461.21</v>
      </c>
    </row>
    <row r="2631" spans="1:2" x14ac:dyDescent="0.25">
      <c r="A2631" s="3">
        <v>42620</v>
      </c>
      <c r="B2631">
        <v>2461.19</v>
      </c>
    </row>
    <row r="2632" spans="1:2" x14ac:dyDescent="0.25">
      <c r="A2632" s="3">
        <v>42621</v>
      </c>
      <c r="B2632">
        <v>2461.96</v>
      </c>
    </row>
    <row r="2633" spans="1:2" x14ac:dyDescent="0.25">
      <c r="A2633" s="3">
        <v>42622</v>
      </c>
      <c r="B2633">
        <v>2460.04</v>
      </c>
    </row>
    <row r="2634" spans="1:2" x14ac:dyDescent="0.25">
      <c r="A2634" s="3">
        <v>42625</v>
      </c>
      <c r="B2634">
        <v>2460.2800000000002</v>
      </c>
    </row>
    <row r="2635" spans="1:2" x14ac:dyDescent="0.25">
      <c r="A2635" s="3">
        <v>42626</v>
      </c>
      <c r="B2635">
        <v>2460.56</v>
      </c>
    </row>
    <row r="2636" spans="1:2" x14ac:dyDescent="0.25">
      <c r="A2636" s="3">
        <v>42627</v>
      </c>
      <c r="B2636">
        <v>2460.66</v>
      </c>
    </row>
    <row r="2637" spans="1:2" x14ac:dyDescent="0.25">
      <c r="A2637" s="3">
        <v>42628</v>
      </c>
      <c r="B2637">
        <v>2460.63</v>
      </c>
    </row>
    <row r="2638" spans="1:2" x14ac:dyDescent="0.25">
      <c r="A2638" s="3">
        <v>42629</v>
      </c>
      <c r="B2638">
        <v>2458.37</v>
      </c>
    </row>
    <row r="2639" spans="1:2" x14ac:dyDescent="0.25">
      <c r="A2639" s="3">
        <v>42632</v>
      </c>
      <c r="B2639">
        <v>2458.9699999999998</v>
      </c>
    </row>
    <row r="2640" spans="1:2" x14ac:dyDescent="0.25">
      <c r="A2640" s="3">
        <v>42633</v>
      </c>
      <c r="B2640">
        <v>2458.46</v>
      </c>
    </row>
    <row r="2641" spans="1:2" x14ac:dyDescent="0.25">
      <c r="A2641" s="3">
        <v>42634</v>
      </c>
      <c r="B2641">
        <v>2457.75</v>
      </c>
    </row>
    <row r="2642" spans="1:2" x14ac:dyDescent="0.25">
      <c r="A2642" s="3">
        <v>42635</v>
      </c>
      <c r="B2642">
        <v>2460.6799999999998</v>
      </c>
    </row>
    <row r="2643" spans="1:2" x14ac:dyDescent="0.25">
      <c r="A2643" s="3">
        <v>42636</v>
      </c>
      <c r="B2643">
        <v>2459.84</v>
      </c>
    </row>
    <row r="2644" spans="1:2" x14ac:dyDescent="0.25">
      <c r="A2644" s="3">
        <v>42639</v>
      </c>
      <c r="B2644">
        <v>2461.1</v>
      </c>
    </row>
    <row r="2645" spans="1:2" x14ac:dyDescent="0.25">
      <c r="A2645" s="3">
        <v>42640</v>
      </c>
      <c r="B2645">
        <v>2459.35</v>
      </c>
    </row>
    <row r="2646" spans="1:2" x14ac:dyDescent="0.25">
      <c r="A2646" s="3">
        <v>42641</v>
      </c>
      <c r="B2646">
        <v>2459.19</v>
      </c>
    </row>
    <row r="2647" spans="1:2" x14ac:dyDescent="0.25">
      <c r="A2647" s="3">
        <v>42642</v>
      </c>
      <c r="B2647">
        <v>2460.17</v>
      </c>
    </row>
    <row r="2648" spans="1:2" x14ac:dyDescent="0.25">
      <c r="A2648" s="3">
        <v>42643</v>
      </c>
      <c r="B2648">
        <v>2546.85</v>
      </c>
    </row>
    <row r="2649" spans="1:2" x14ac:dyDescent="0.25">
      <c r="A2649" s="3">
        <v>42646</v>
      </c>
      <c r="B2649">
        <v>2546.09</v>
      </c>
    </row>
    <row r="2650" spans="1:2" x14ac:dyDescent="0.25">
      <c r="A2650" s="3">
        <v>42647</v>
      </c>
      <c r="B2650">
        <v>2544.36</v>
      </c>
    </row>
    <row r="2651" spans="1:2" x14ac:dyDescent="0.25">
      <c r="A2651" s="3">
        <v>42648</v>
      </c>
      <c r="B2651">
        <v>2545.3200000000002</v>
      </c>
    </row>
    <row r="2652" spans="1:2" x14ac:dyDescent="0.25">
      <c r="A2652" s="3">
        <v>42649</v>
      </c>
      <c r="B2652">
        <v>2544.29</v>
      </c>
    </row>
    <row r="2653" spans="1:2" x14ac:dyDescent="0.25">
      <c r="A2653" s="3">
        <v>42650</v>
      </c>
      <c r="B2653">
        <v>2544.21</v>
      </c>
    </row>
    <row r="2654" spans="1:2" x14ac:dyDescent="0.25">
      <c r="A2654" s="3">
        <v>42653</v>
      </c>
      <c r="B2654">
        <v>2543.6</v>
      </c>
    </row>
    <row r="2655" spans="1:2" x14ac:dyDescent="0.25">
      <c r="A2655" s="3">
        <v>42654</v>
      </c>
      <c r="B2655">
        <v>2540.69</v>
      </c>
    </row>
    <row r="2656" spans="1:2" x14ac:dyDescent="0.25">
      <c r="A2656" s="3">
        <v>42655</v>
      </c>
      <c r="B2656">
        <v>2539.46</v>
      </c>
    </row>
    <row r="2657" spans="1:2" x14ac:dyDescent="0.25">
      <c r="A2657" s="3">
        <v>42656</v>
      </c>
      <c r="B2657">
        <v>2539.91</v>
      </c>
    </row>
    <row r="2658" spans="1:2" x14ac:dyDescent="0.25">
      <c r="A2658" s="3">
        <v>42657</v>
      </c>
      <c r="B2658">
        <v>2539.31</v>
      </c>
    </row>
    <row r="2659" spans="1:2" x14ac:dyDescent="0.25">
      <c r="A2659" s="3">
        <v>42660</v>
      </c>
      <c r="B2659">
        <v>2538.94</v>
      </c>
    </row>
    <row r="2660" spans="1:2" x14ac:dyDescent="0.25">
      <c r="A2660" s="3">
        <v>42661</v>
      </c>
      <c r="B2660">
        <v>2538.81</v>
      </c>
    </row>
    <row r="2661" spans="1:2" x14ac:dyDescent="0.25">
      <c r="A2661" s="3">
        <v>42662</v>
      </c>
      <c r="B2661">
        <v>2538.69</v>
      </c>
    </row>
    <row r="2662" spans="1:2" x14ac:dyDescent="0.25">
      <c r="A2662" s="3">
        <v>42663</v>
      </c>
      <c r="B2662">
        <v>2537.44</v>
      </c>
    </row>
    <row r="2663" spans="1:2" x14ac:dyDescent="0.25">
      <c r="A2663" s="3">
        <v>42664</v>
      </c>
      <c r="B2663">
        <v>2535.89</v>
      </c>
    </row>
    <row r="2664" spans="1:2" x14ac:dyDescent="0.25">
      <c r="A2664" s="3">
        <v>42667</v>
      </c>
      <c r="B2664">
        <v>2536.27</v>
      </c>
    </row>
    <row r="2665" spans="1:2" x14ac:dyDescent="0.25">
      <c r="A2665" s="3">
        <v>42668</v>
      </c>
      <c r="B2665">
        <v>2535.52</v>
      </c>
    </row>
    <row r="2666" spans="1:2" x14ac:dyDescent="0.25">
      <c r="A2666" s="3">
        <v>42669</v>
      </c>
      <c r="B2666">
        <v>2537.25</v>
      </c>
    </row>
    <row r="2667" spans="1:2" x14ac:dyDescent="0.25">
      <c r="A2667" s="3">
        <v>42670</v>
      </c>
      <c r="B2667">
        <v>2537.02</v>
      </c>
    </row>
    <row r="2668" spans="1:2" x14ac:dyDescent="0.25">
      <c r="A2668" s="3">
        <v>42671</v>
      </c>
      <c r="B2668">
        <v>2537.21</v>
      </c>
    </row>
    <row r="2669" spans="1:2" x14ac:dyDescent="0.25">
      <c r="A2669" s="3">
        <v>42674</v>
      </c>
      <c r="B2669">
        <v>2538.19</v>
      </c>
    </row>
    <row r="2670" spans="1:2" x14ac:dyDescent="0.25">
      <c r="A2670" s="3">
        <v>42675</v>
      </c>
      <c r="B2670">
        <v>2540.34</v>
      </c>
    </row>
    <row r="2671" spans="1:2" x14ac:dyDescent="0.25">
      <c r="A2671" s="3">
        <v>42676</v>
      </c>
      <c r="B2671">
        <v>2542.4699999999998</v>
      </c>
    </row>
    <row r="2672" spans="1:2" x14ac:dyDescent="0.25">
      <c r="A2672" s="3">
        <v>42677</v>
      </c>
      <c r="B2672">
        <v>2542.12</v>
      </c>
    </row>
    <row r="2673" spans="1:2" x14ac:dyDescent="0.25">
      <c r="A2673" s="3">
        <v>42678</v>
      </c>
      <c r="B2673">
        <v>2542.9899999999998</v>
      </c>
    </row>
    <row r="2674" spans="1:2" x14ac:dyDescent="0.25">
      <c r="A2674" s="3">
        <v>42681</v>
      </c>
      <c r="B2674">
        <v>2540.46</v>
      </c>
    </row>
    <row r="2675" spans="1:2" x14ac:dyDescent="0.25">
      <c r="A2675" s="3">
        <v>42682</v>
      </c>
      <c r="B2675">
        <v>2540.83</v>
      </c>
    </row>
    <row r="2676" spans="1:2" x14ac:dyDescent="0.25">
      <c r="A2676" s="3">
        <v>42683</v>
      </c>
      <c r="B2676">
        <v>2538.2399999999998</v>
      </c>
    </row>
    <row r="2677" spans="1:2" x14ac:dyDescent="0.25">
      <c r="A2677" s="3">
        <v>42684</v>
      </c>
      <c r="B2677">
        <v>2536.35</v>
      </c>
    </row>
    <row r="2678" spans="1:2" x14ac:dyDescent="0.25">
      <c r="A2678" s="3">
        <v>42685</v>
      </c>
      <c r="B2678">
        <v>2535.8200000000002</v>
      </c>
    </row>
    <row r="2679" spans="1:2" x14ac:dyDescent="0.25">
      <c r="A2679" s="3">
        <v>42688</v>
      </c>
      <c r="B2679">
        <v>2532.17</v>
      </c>
    </row>
    <row r="2680" spans="1:2" x14ac:dyDescent="0.25">
      <c r="A2680" s="3">
        <v>42689</v>
      </c>
      <c r="B2680">
        <v>2532.21</v>
      </c>
    </row>
    <row r="2681" spans="1:2" x14ac:dyDescent="0.25">
      <c r="A2681" s="3">
        <v>42690</v>
      </c>
      <c r="B2681">
        <v>2530.7800000000002</v>
      </c>
    </row>
    <row r="2682" spans="1:2" x14ac:dyDescent="0.25">
      <c r="A2682" s="3">
        <v>42691</v>
      </c>
      <c r="B2682">
        <v>2530.81</v>
      </c>
    </row>
    <row r="2683" spans="1:2" x14ac:dyDescent="0.25">
      <c r="A2683" s="3">
        <v>42692</v>
      </c>
      <c r="B2683">
        <v>2527.86</v>
      </c>
    </row>
    <row r="2684" spans="1:2" x14ac:dyDescent="0.25">
      <c r="A2684" s="3">
        <v>42695</v>
      </c>
      <c r="B2684">
        <v>2529.4299999999998</v>
      </c>
    </row>
    <row r="2685" spans="1:2" x14ac:dyDescent="0.25">
      <c r="A2685" s="3">
        <v>42696</v>
      </c>
      <c r="B2685">
        <v>2528.5100000000002</v>
      </c>
    </row>
    <row r="2686" spans="1:2" x14ac:dyDescent="0.25">
      <c r="A2686" s="3">
        <v>42697</v>
      </c>
      <c r="B2686">
        <v>2526.92</v>
      </c>
    </row>
    <row r="2687" spans="1:2" x14ac:dyDescent="0.25">
      <c r="A2687" s="3">
        <v>42699</v>
      </c>
      <c r="B2687">
        <v>2528.92</v>
      </c>
    </row>
    <row r="2688" spans="1:2" x14ac:dyDescent="0.25">
      <c r="A2688" s="3">
        <v>42702</v>
      </c>
      <c r="B2688">
        <v>2528.4299999999998</v>
      </c>
    </row>
    <row r="2689" spans="1:2" x14ac:dyDescent="0.25">
      <c r="A2689" s="3">
        <v>42703</v>
      </c>
      <c r="B2689">
        <v>2529.4699999999998</v>
      </c>
    </row>
    <row r="2690" spans="1:2" x14ac:dyDescent="0.25">
      <c r="A2690" s="3">
        <v>42704</v>
      </c>
      <c r="B2690">
        <v>2529.02</v>
      </c>
    </row>
    <row r="2691" spans="1:2" x14ac:dyDescent="0.25">
      <c r="A2691" s="3">
        <v>42705</v>
      </c>
      <c r="B2691">
        <v>2529.31</v>
      </c>
    </row>
    <row r="2692" spans="1:2" x14ac:dyDescent="0.25">
      <c r="A2692" s="3">
        <v>42706</v>
      </c>
      <c r="B2692">
        <v>2530.6999999999998</v>
      </c>
    </row>
    <row r="2693" spans="1:2" x14ac:dyDescent="0.25">
      <c r="A2693" s="3">
        <v>42709</v>
      </c>
      <c r="B2693">
        <v>2532.46</v>
      </c>
    </row>
    <row r="2694" spans="1:2" x14ac:dyDescent="0.25">
      <c r="A2694" s="3">
        <v>42710</v>
      </c>
      <c r="B2694">
        <v>2532.69</v>
      </c>
    </row>
    <row r="2695" spans="1:2" x14ac:dyDescent="0.25">
      <c r="A2695" s="3">
        <v>42711</v>
      </c>
      <c r="B2695">
        <v>2533.4</v>
      </c>
    </row>
    <row r="2696" spans="1:2" x14ac:dyDescent="0.25">
      <c r="A2696" s="3">
        <v>42712</v>
      </c>
      <c r="B2696">
        <v>2529.29</v>
      </c>
    </row>
    <row r="2697" spans="1:2" x14ac:dyDescent="0.25">
      <c r="A2697" s="3">
        <v>42713</v>
      </c>
      <c r="B2697">
        <v>2527.42</v>
      </c>
    </row>
    <row r="2698" spans="1:2" x14ac:dyDescent="0.25">
      <c r="A2698" s="3">
        <v>42716</v>
      </c>
      <c r="B2698">
        <v>2529.48</v>
      </c>
    </row>
    <row r="2699" spans="1:2" x14ac:dyDescent="0.25">
      <c r="A2699" s="3">
        <v>42717</v>
      </c>
      <c r="B2699">
        <v>2530.36</v>
      </c>
    </row>
    <row r="2700" spans="1:2" x14ac:dyDescent="0.25">
      <c r="A2700" s="3">
        <v>42718</v>
      </c>
      <c r="B2700">
        <v>2530.73</v>
      </c>
    </row>
    <row r="2701" spans="1:2" x14ac:dyDescent="0.25">
      <c r="A2701" s="3">
        <v>42719</v>
      </c>
      <c r="B2701">
        <v>2523.77</v>
      </c>
    </row>
    <row r="2702" spans="1:2" x14ac:dyDescent="0.25">
      <c r="A2702" s="3">
        <v>42720</v>
      </c>
      <c r="B2702">
        <v>2523.58</v>
      </c>
    </row>
    <row r="2703" spans="1:2" x14ac:dyDescent="0.25">
      <c r="A2703" s="3">
        <v>42723</v>
      </c>
      <c r="B2703">
        <v>2524.23</v>
      </c>
    </row>
    <row r="2704" spans="1:2" x14ac:dyDescent="0.25">
      <c r="A2704" s="3">
        <v>42724</v>
      </c>
      <c r="B2704">
        <v>2522.61</v>
      </c>
    </row>
    <row r="2705" spans="1:2" x14ac:dyDescent="0.25">
      <c r="A2705" s="3">
        <v>42725</v>
      </c>
      <c r="B2705">
        <v>2524.11</v>
      </c>
    </row>
    <row r="2706" spans="1:2" x14ac:dyDescent="0.25">
      <c r="A2706" s="3">
        <v>42726</v>
      </c>
      <c r="B2706">
        <v>2524.56</v>
      </c>
    </row>
    <row r="2707" spans="1:2" x14ac:dyDescent="0.25">
      <c r="A2707" s="3">
        <v>42727</v>
      </c>
      <c r="B2707">
        <v>2524.58</v>
      </c>
    </row>
    <row r="2708" spans="1:2" x14ac:dyDescent="0.25">
      <c r="A2708" s="3">
        <v>42731</v>
      </c>
      <c r="B2708">
        <v>2524.4899999999998</v>
      </c>
    </row>
    <row r="2709" spans="1:2" x14ac:dyDescent="0.25">
      <c r="A2709" s="3">
        <v>42732</v>
      </c>
      <c r="B2709">
        <v>2522.79</v>
      </c>
    </row>
    <row r="2710" spans="1:2" x14ac:dyDescent="0.25">
      <c r="A2710" s="3">
        <v>42733</v>
      </c>
      <c r="B2710">
        <v>2525.34</v>
      </c>
    </row>
    <row r="2711" spans="1:2" x14ac:dyDescent="0.25">
      <c r="A2711" s="3">
        <v>42734</v>
      </c>
      <c r="B2711">
        <v>2527.08</v>
      </c>
    </row>
    <row r="2712" spans="1:2" x14ac:dyDescent="0.25">
      <c r="A2712" s="3">
        <v>42738</v>
      </c>
      <c r="B2712">
        <v>2602.3000000000002</v>
      </c>
    </row>
    <row r="2713" spans="1:2" x14ac:dyDescent="0.25">
      <c r="A2713" s="3">
        <v>42739</v>
      </c>
      <c r="B2713">
        <v>2605.0300000000002</v>
      </c>
    </row>
    <row r="2714" spans="1:2" x14ac:dyDescent="0.25">
      <c r="A2714" s="3">
        <v>42740</v>
      </c>
      <c r="B2714">
        <v>2608.8200000000002</v>
      </c>
    </row>
    <row r="2715" spans="1:2" x14ac:dyDescent="0.25">
      <c r="A2715" s="3">
        <v>42741</v>
      </c>
      <c r="B2715">
        <v>2607.9499999999998</v>
      </c>
    </row>
    <row r="2716" spans="1:2" x14ac:dyDescent="0.25">
      <c r="A2716" s="3">
        <v>42744</v>
      </c>
      <c r="B2716">
        <v>2607.0500000000002</v>
      </c>
    </row>
    <row r="2717" spans="1:2" x14ac:dyDescent="0.25">
      <c r="A2717" s="3">
        <v>42745</v>
      </c>
      <c r="B2717">
        <v>2608.1799999999998</v>
      </c>
    </row>
    <row r="2718" spans="1:2" x14ac:dyDescent="0.25">
      <c r="A2718" s="3">
        <v>42746</v>
      </c>
      <c r="B2718">
        <v>2604.52</v>
      </c>
    </row>
    <row r="2719" spans="1:2" x14ac:dyDescent="0.25">
      <c r="A2719" s="3">
        <v>42747</v>
      </c>
      <c r="B2719">
        <v>2610.15</v>
      </c>
    </row>
    <row r="2720" spans="1:2" x14ac:dyDescent="0.25">
      <c r="A2720" s="3">
        <v>42748</v>
      </c>
      <c r="B2720">
        <v>2609.25</v>
      </c>
    </row>
    <row r="2721" spans="1:2" x14ac:dyDescent="0.25">
      <c r="A2721" s="3">
        <v>42752</v>
      </c>
      <c r="B2721">
        <v>2611.62</v>
      </c>
    </row>
    <row r="2722" spans="1:2" x14ac:dyDescent="0.25">
      <c r="A2722" s="3">
        <v>42753</v>
      </c>
      <c r="B2722">
        <v>2611.56</v>
      </c>
    </row>
    <row r="2723" spans="1:2" x14ac:dyDescent="0.25">
      <c r="A2723" s="3">
        <v>42754</v>
      </c>
      <c r="B2723">
        <v>2609.17</v>
      </c>
    </row>
    <row r="2724" spans="1:2" x14ac:dyDescent="0.25">
      <c r="A2724" s="3">
        <v>42755</v>
      </c>
      <c r="B2724">
        <v>2611.06</v>
      </c>
    </row>
    <row r="2725" spans="1:2" x14ac:dyDescent="0.25">
      <c r="A2725" s="3">
        <v>42758</v>
      </c>
      <c r="B2725">
        <v>2613.35</v>
      </c>
    </row>
    <row r="2726" spans="1:2" x14ac:dyDescent="0.25">
      <c r="A2726" s="3">
        <v>42759</v>
      </c>
      <c r="B2726">
        <v>2613.64</v>
      </c>
    </row>
    <row r="2727" spans="1:2" x14ac:dyDescent="0.25">
      <c r="A2727" s="3">
        <v>42760</v>
      </c>
      <c r="B2727">
        <v>2613.4299999999998</v>
      </c>
    </row>
    <row r="2728" spans="1:2" x14ac:dyDescent="0.25">
      <c r="A2728" s="3">
        <v>42761</v>
      </c>
      <c r="B2728">
        <v>2611.31</v>
      </c>
    </row>
    <row r="2729" spans="1:2" x14ac:dyDescent="0.25">
      <c r="A2729" s="3">
        <v>42762</v>
      </c>
      <c r="B2729">
        <v>2612.29</v>
      </c>
    </row>
    <row r="2730" spans="1:2" x14ac:dyDescent="0.25">
      <c r="A2730" s="3">
        <v>42765</v>
      </c>
      <c r="B2730">
        <v>2611.87</v>
      </c>
    </row>
    <row r="2731" spans="1:2" x14ac:dyDescent="0.25">
      <c r="A2731" s="3">
        <v>42766</v>
      </c>
      <c r="B2731">
        <v>2615.71</v>
      </c>
    </row>
    <row r="2732" spans="1:2" x14ac:dyDescent="0.25">
      <c r="A2732" s="3">
        <v>42767</v>
      </c>
      <c r="B2732">
        <v>2614.4499999999998</v>
      </c>
    </row>
    <row r="2733" spans="1:2" x14ac:dyDescent="0.25">
      <c r="A2733" s="3">
        <v>42768</v>
      </c>
      <c r="B2733">
        <v>2615.73</v>
      </c>
    </row>
    <row r="2734" spans="1:2" x14ac:dyDescent="0.25">
      <c r="A2734" s="3">
        <v>42769</v>
      </c>
      <c r="B2734">
        <v>2615.2199999999998</v>
      </c>
    </row>
    <row r="2735" spans="1:2" x14ac:dyDescent="0.25">
      <c r="A2735" s="3">
        <v>42772</v>
      </c>
      <c r="B2735">
        <v>2613.6799999999998</v>
      </c>
    </row>
    <row r="2736" spans="1:2" x14ac:dyDescent="0.25">
      <c r="A2736" s="3">
        <v>42773</v>
      </c>
      <c r="B2736">
        <v>2612.1999999999998</v>
      </c>
    </row>
    <row r="2737" spans="1:2" x14ac:dyDescent="0.25">
      <c r="A2737" s="3">
        <v>42774</v>
      </c>
      <c r="B2737">
        <v>2612.96</v>
      </c>
    </row>
    <row r="2738" spans="1:2" x14ac:dyDescent="0.25">
      <c r="A2738" s="3">
        <v>42775</v>
      </c>
      <c r="B2738">
        <v>2611.71</v>
      </c>
    </row>
    <row r="2739" spans="1:2" x14ac:dyDescent="0.25">
      <c r="A2739" s="3">
        <v>42776</v>
      </c>
      <c r="B2739">
        <v>2610.5500000000002</v>
      </c>
    </row>
    <row r="2740" spans="1:2" x14ac:dyDescent="0.25">
      <c r="A2740" s="3">
        <v>42779</v>
      </c>
      <c r="B2740">
        <v>2610.0500000000002</v>
      </c>
    </row>
    <row r="2741" spans="1:2" x14ac:dyDescent="0.25">
      <c r="A2741" s="3">
        <v>42780</v>
      </c>
      <c r="B2741">
        <v>2608.8000000000002</v>
      </c>
    </row>
    <row r="2742" spans="1:2" x14ac:dyDescent="0.25">
      <c r="A2742" s="3">
        <v>42781</v>
      </c>
      <c r="B2742">
        <v>2609.15</v>
      </c>
    </row>
    <row r="2743" spans="1:2" x14ac:dyDescent="0.25">
      <c r="A2743" s="3">
        <v>42782</v>
      </c>
      <c r="B2743">
        <v>2611.96</v>
      </c>
    </row>
    <row r="2744" spans="1:2" x14ac:dyDescent="0.25">
      <c r="A2744" s="3">
        <v>42783</v>
      </c>
      <c r="B2744">
        <v>2610.64</v>
      </c>
    </row>
    <row r="2745" spans="1:2" x14ac:dyDescent="0.25">
      <c r="A2745" s="3">
        <v>42787</v>
      </c>
      <c r="B2745">
        <v>2608.14</v>
      </c>
    </row>
    <row r="2746" spans="1:2" x14ac:dyDescent="0.25">
      <c r="A2746" s="3">
        <v>42788</v>
      </c>
      <c r="B2746">
        <v>2608.34</v>
      </c>
    </row>
    <row r="2747" spans="1:2" x14ac:dyDescent="0.25">
      <c r="A2747" s="3">
        <v>42789</v>
      </c>
      <c r="B2747">
        <v>2609.94</v>
      </c>
    </row>
    <row r="2748" spans="1:2" x14ac:dyDescent="0.25">
      <c r="A2748" s="3">
        <v>42790</v>
      </c>
      <c r="B2748">
        <v>2609.12</v>
      </c>
    </row>
    <row r="2749" spans="1:2" x14ac:dyDescent="0.25">
      <c r="A2749" s="3">
        <v>42793</v>
      </c>
      <c r="B2749">
        <v>2610.2600000000002</v>
      </c>
    </row>
    <row r="2750" spans="1:2" x14ac:dyDescent="0.25">
      <c r="A2750" s="3">
        <v>42794</v>
      </c>
      <c r="B2750">
        <v>2610.67</v>
      </c>
    </row>
    <row r="2751" spans="1:2" x14ac:dyDescent="0.25">
      <c r="A2751" s="3">
        <v>42795</v>
      </c>
      <c r="B2751">
        <v>2608.41</v>
      </c>
    </row>
    <row r="2752" spans="1:2" x14ac:dyDescent="0.25">
      <c r="A2752" s="3">
        <v>42796</v>
      </c>
      <c r="B2752">
        <v>2607.4299999999998</v>
      </c>
    </row>
    <row r="2753" spans="1:2" x14ac:dyDescent="0.25">
      <c r="A2753" s="3">
        <v>42797</v>
      </c>
      <c r="B2753">
        <v>2608.34</v>
      </c>
    </row>
    <row r="2754" spans="1:2" x14ac:dyDescent="0.25">
      <c r="A2754" s="3">
        <v>42800</v>
      </c>
      <c r="B2754">
        <v>2609.36</v>
      </c>
    </row>
    <row r="2755" spans="1:2" x14ac:dyDescent="0.25">
      <c r="A2755" s="3">
        <v>42801</v>
      </c>
      <c r="B2755">
        <v>2608.77</v>
      </c>
    </row>
    <row r="2756" spans="1:2" x14ac:dyDescent="0.25">
      <c r="A2756" s="3">
        <v>42802</v>
      </c>
      <c r="B2756">
        <v>2607.9499999999998</v>
      </c>
    </row>
    <row r="2757" spans="1:2" x14ac:dyDescent="0.25">
      <c r="A2757" s="3">
        <v>42803</v>
      </c>
      <c r="B2757">
        <v>2608.5100000000002</v>
      </c>
    </row>
    <row r="2758" spans="1:2" x14ac:dyDescent="0.25">
      <c r="A2758" s="3">
        <v>42804</v>
      </c>
      <c r="B2758">
        <v>2610.67</v>
      </c>
    </row>
    <row r="2759" spans="1:2" x14ac:dyDescent="0.25">
      <c r="A2759" s="3">
        <v>42807</v>
      </c>
      <c r="B2759">
        <v>2611.21</v>
      </c>
    </row>
    <row r="2760" spans="1:2" x14ac:dyDescent="0.25">
      <c r="A2760" s="3">
        <v>42808</v>
      </c>
      <c r="B2760">
        <v>2610.42</v>
      </c>
    </row>
    <row r="2761" spans="1:2" x14ac:dyDescent="0.25">
      <c r="A2761" s="3">
        <v>42809</v>
      </c>
      <c r="B2761">
        <v>2610.15</v>
      </c>
    </row>
    <row r="2762" spans="1:2" x14ac:dyDescent="0.25">
      <c r="A2762" s="3">
        <v>42810</v>
      </c>
      <c r="B2762">
        <v>2613.5</v>
      </c>
    </row>
    <row r="2763" spans="1:2" x14ac:dyDescent="0.25">
      <c r="A2763" s="3">
        <v>42811</v>
      </c>
      <c r="B2763">
        <v>2613.6799999999998</v>
      </c>
    </row>
    <row r="2764" spans="1:2" x14ac:dyDescent="0.25">
      <c r="A2764" s="3">
        <v>42814</v>
      </c>
      <c r="B2764">
        <v>2614.06</v>
      </c>
    </row>
    <row r="2765" spans="1:2" x14ac:dyDescent="0.25">
      <c r="A2765" s="3">
        <v>42815</v>
      </c>
      <c r="B2765">
        <v>2615.8200000000002</v>
      </c>
    </row>
    <row r="2766" spans="1:2" x14ac:dyDescent="0.25">
      <c r="A2766" s="3">
        <v>42816</v>
      </c>
      <c r="B2766">
        <v>2615.54</v>
      </c>
    </row>
    <row r="2767" spans="1:2" x14ac:dyDescent="0.25">
      <c r="A2767" s="3">
        <v>42817</v>
      </c>
      <c r="B2767">
        <v>2615.1799999999998</v>
      </c>
    </row>
    <row r="2768" spans="1:2" x14ac:dyDescent="0.25">
      <c r="A2768" s="3">
        <v>42818</v>
      </c>
      <c r="B2768">
        <v>2615.59</v>
      </c>
    </row>
    <row r="2769" spans="1:2" x14ac:dyDescent="0.25">
      <c r="A2769" s="3">
        <v>42821</v>
      </c>
      <c r="B2769">
        <v>2617.91</v>
      </c>
    </row>
    <row r="2770" spans="1:2" x14ac:dyDescent="0.25">
      <c r="A2770" s="3">
        <v>42822</v>
      </c>
      <c r="B2770">
        <v>2617.41</v>
      </c>
    </row>
    <row r="2771" spans="1:2" x14ac:dyDescent="0.25">
      <c r="A2771" s="3">
        <v>42823</v>
      </c>
      <c r="B2771">
        <v>2613.96</v>
      </c>
    </row>
    <row r="2772" spans="1:2" x14ac:dyDescent="0.25">
      <c r="A2772" s="3">
        <v>42824</v>
      </c>
      <c r="B2772">
        <v>2613.71</v>
      </c>
    </row>
    <row r="2773" spans="1:2" x14ac:dyDescent="0.25">
      <c r="A2773" s="3">
        <v>42825</v>
      </c>
      <c r="B2773">
        <v>2707.71</v>
      </c>
    </row>
    <row r="2774" spans="1:2" x14ac:dyDescent="0.25">
      <c r="A2774" s="3">
        <v>42828</v>
      </c>
      <c r="B2774">
        <v>2706.46</v>
      </c>
    </row>
    <row r="2775" spans="1:2" x14ac:dyDescent="0.25">
      <c r="A2775" s="3">
        <v>42829</v>
      </c>
      <c r="B2775">
        <v>2706.64</v>
      </c>
    </row>
    <row r="2776" spans="1:2" x14ac:dyDescent="0.25">
      <c r="A2776" s="3">
        <v>42830</v>
      </c>
      <c r="B2776">
        <v>2706.72</v>
      </c>
    </row>
    <row r="2777" spans="1:2" x14ac:dyDescent="0.25">
      <c r="A2777" s="3">
        <v>42831</v>
      </c>
      <c r="B2777">
        <v>2706.56</v>
      </c>
    </row>
    <row r="2778" spans="1:2" x14ac:dyDescent="0.25">
      <c r="A2778" s="3">
        <v>42832</v>
      </c>
      <c r="B2778">
        <v>2705.18</v>
      </c>
    </row>
    <row r="2779" spans="1:2" x14ac:dyDescent="0.25">
      <c r="A2779" s="3">
        <v>42835</v>
      </c>
      <c r="B2779">
        <v>2704.71</v>
      </c>
    </row>
    <row r="2780" spans="1:2" x14ac:dyDescent="0.25">
      <c r="A2780" s="3">
        <v>42836</v>
      </c>
      <c r="B2780">
        <v>2705.65</v>
      </c>
    </row>
    <row r="2781" spans="1:2" x14ac:dyDescent="0.25">
      <c r="A2781" s="3">
        <v>42837</v>
      </c>
      <c r="B2781">
        <v>2705.49</v>
      </c>
    </row>
    <row r="2782" spans="1:2" x14ac:dyDescent="0.25">
      <c r="A2782" s="3">
        <v>42838</v>
      </c>
      <c r="B2782">
        <v>2705.8</v>
      </c>
    </row>
    <row r="2783" spans="1:2" x14ac:dyDescent="0.25">
      <c r="A2783" s="3">
        <v>42842</v>
      </c>
      <c r="B2783">
        <v>2707.07</v>
      </c>
    </row>
    <row r="2784" spans="1:2" x14ac:dyDescent="0.25">
      <c r="A2784" s="3">
        <v>42843</v>
      </c>
      <c r="B2784">
        <v>2708.25</v>
      </c>
    </row>
    <row r="2785" spans="1:2" x14ac:dyDescent="0.25">
      <c r="A2785" s="3">
        <v>42844</v>
      </c>
      <c r="B2785">
        <v>2708.71</v>
      </c>
    </row>
    <row r="2786" spans="1:2" x14ac:dyDescent="0.25">
      <c r="A2786" s="3">
        <v>42845</v>
      </c>
      <c r="B2786">
        <v>2710.24</v>
      </c>
    </row>
    <row r="2787" spans="1:2" x14ac:dyDescent="0.25">
      <c r="A2787" s="3">
        <v>42846</v>
      </c>
      <c r="B2787">
        <v>2707.9</v>
      </c>
    </row>
    <row r="2788" spans="1:2" x14ac:dyDescent="0.25">
      <c r="A2788" s="3">
        <v>42849</v>
      </c>
      <c r="B2788">
        <v>2712.82</v>
      </c>
    </row>
    <row r="2789" spans="1:2" x14ac:dyDescent="0.25">
      <c r="A2789" s="3">
        <v>42850</v>
      </c>
      <c r="B2789">
        <v>2714.62</v>
      </c>
    </row>
    <row r="2790" spans="1:2" x14ac:dyDescent="0.25">
      <c r="A2790" s="3">
        <v>42851</v>
      </c>
      <c r="B2790">
        <v>2713.19</v>
      </c>
    </row>
    <row r="2791" spans="1:2" x14ac:dyDescent="0.25">
      <c r="A2791" s="3">
        <v>42852</v>
      </c>
      <c r="B2791">
        <v>2712.95</v>
      </c>
    </row>
    <row r="2792" spans="1:2" x14ac:dyDescent="0.25">
      <c r="A2792" s="3">
        <v>42853</v>
      </c>
      <c r="B2792">
        <v>2713.68</v>
      </c>
    </row>
    <row r="2793" spans="1:2" x14ac:dyDescent="0.25">
      <c r="A2793" s="3">
        <v>42856</v>
      </c>
      <c r="B2793">
        <v>2714.55</v>
      </c>
    </row>
    <row r="2794" spans="1:2" x14ac:dyDescent="0.25">
      <c r="A2794" s="3">
        <v>42857</v>
      </c>
      <c r="B2794">
        <v>2714.07</v>
      </c>
    </row>
    <row r="2795" spans="1:2" x14ac:dyDescent="0.25">
      <c r="A2795" s="3">
        <v>42858</v>
      </c>
      <c r="B2795">
        <v>2714.12</v>
      </c>
    </row>
    <row r="2796" spans="1:2" x14ac:dyDescent="0.25">
      <c r="A2796" s="3">
        <v>42859</v>
      </c>
      <c r="B2796">
        <v>2715.1</v>
      </c>
    </row>
    <row r="2797" spans="1:2" x14ac:dyDescent="0.25">
      <c r="A2797" s="3">
        <v>42860</v>
      </c>
      <c r="B2797">
        <v>2716.37</v>
      </c>
    </row>
    <row r="2798" spans="1:2" x14ac:dyDescent="0.25">
      <c r="A2798" s="3">
        <v>42863</v>
      </c>
      <c r="B2798">
        <v>2714.75</v>
      </c>
    </row>
    <row r="2799" spans="1:2" x14ac:dyDescent="0.25">
      <c r="A2799" s="3">
        <v>42864</v>
      </c>
      <c r="B2799">
        <v>2713.56</v>
      </c>
    </row>
    <row r="2800" spans="1:2" x14ac:dyDescent="0.25">
      <c r="A2800" s="3">
        <v>42865</v>
      </c>
      <c r="B2800">
        <v>2713</v>
      </c>
    </row>
    <row r="2801" spans="1:2" x14ac:dyDescent="0.25">
      <c r="A2801" s="3">
        <v>42866</v>
      </c>
      <c r="B2801">
        <v>2712.81</v>
      </c>
    </row>
    <row r="2802" spans="1:2" x14ac:dyDescent="0.25">
      <c r="A2802" s="3">
        <v>42867</v>
      </c>
      <c r="B2802">
        <v>2714.43</v>
      </c>
    </row>
    <row r="2803" spans="1:2" x14ac:dyDescent="0.25">
      <c r="A2803" s="3">
        <v>42870</v>
      </c>
      <c r="B2803">
        <v>2716.07</v>
      </c>
    </row>
    <row r="2804" spans="1:2" x14ac:dyDescent="0.25">
      <c r="A2804" s="3">
        <v>42871</v>
      </c>
      <c r="B2804">
        <v>2719.02</v>
      </c>
    </row>
    <row r="2805" spans="1:2" x14ac:dyDescent="0.25">
      <c r="A2805" s="3">
        <v>42872</v>
      </c>
      <c r="B2805">
        <v>2720.91</v>
      </c>
    </row>
    <row r="2806" spans="1:2" x14ac:dyDescent="0.25">
      <c r="A2806" s="3">
        <v>42873</v>
      </c>
      <c r="B2806">
        <v>2720.31</v>
      </c>
    </row>
    <row r="2807" spans="1:2" x14ac:dyDescent="0.25">
      <c r="A2807" s="3">
        <v>42874</v>
      </c>
      <c r="B2807">
        <v>2722.29</v>
      </c>
    </row>
    <row r="2808" spans="1:2" x14ac:dyDescent="0.25">
      <c r="A2808" s="3">
        <v>42877</v>
      </c>
      <c r="B2808">
        <v>2723.84</v>
      </c>
    </row>
    <row r="2809" spans="1:2" x14ac:dyDescent="0.25">
      <c r="A2809" s="3">
        <v>42878</v>
      </c>
      <c r="B2809">
        <v>2723.28</v>
      </c>
    </row>
    <row r="2810" spans="1:2" x14ac:dyDescent="0.25">
      <c r="A2810" s="3">
        <v>42879</v>
      </c>
      <c r="B2810">
        <v>2721.9</v>
      </c>
    </row>
    <row r="2811" spans="1:2" x14ac:dyDescent="0.25">
      <c r="A2811" s="3">
        <v>42880</v>
      </c>
      <c r="B2811">
        <v>2722.7</v>
      </c>
    </row>
    <row r="2812" spans="1:2" x14ac:dyDescent="0.25">
      <c r="A2812" s="3">
        <v>42881</v>
      </c>
      <c r="B2812">
        <v>2721.61</v>
      </c>
    </row>
    <row r="2813" spans="1:2" x14ac:dyDescent="0.25">
      <c r="A2813" s="3">
        <v>42885</v>
      </c>
      <c r="B2813">
        <v>2721.56</v>
      </c>
    </row>
    <row r="2814" spans="1:2" x14ac:dyDescent="0.25">
      <c r="A2814" s="3">
        <v>42886</v>
      </c>
      <c r="B2814">
        <v>2723.61</v>
      </c>
    </row>
    <row r="2815" spans="1:2" x14ac:dyDescent="0.25">
      <c r="A2815" s="3">
        <v>42887</v>
      </c>
      <c r="B2815">
        <v>2722.96</v>
      </c>
    </row>
    <row r="2816" spans="1:2" x14ac:dyDescent="0.25">
      <c r="A2816" s="3">
        <v>42888</v>
      </c>
      <c r="B2816">
        <v>2724.39</v>
      </c>
    </row>
    <row r="2817" spans="1:2" x14ac:dyDescent="0.25">
      <c r="A2817" s="3">
        <v>42891</v>
      </c>
      <c r="B2817">
        <v>2723.9</v>
      </c>
    </row>
    <row r="2818" spans="1:2" x14ac:dyDescent="0.25">
      <c r="A2818" s="3">
        <v>42892</v>
      </c>
      <c r="B2818">
        <v>2724.26</v>
      </c>
    </row>
    <row r="2819" spans="1:2" x14ac:dyDescent="0.25">
      <c r="A2819" s="3">
        <v>42893</v>
      </c>
      <c r="B2819">
        <v>2724.34</v>
      </c>
    </row>
    <row r="2820" spans="1:2" x14ac:dyDescent="0.25">
      <c r="A2820" s="3">
        <v>42894</v>
      </c>
      <c r="B2820">
        <v>2723.14</v>
      </c>
    </row>
    <row r="2821" spans="1:2" x14ac:dyDescent="0.25">
      <c r="A2821" s="3">
        <v>42895</v>
      </c>
      <c r="B2821">
        <v>2721.69</v>
      </c>
    </row>
    <row r="2822" spans="1:2" x14ac:dyDescent="0.25">
      <c r="A2822" s="3">
        <v>42898</v>
      </c>
      <c r="B2822">
        <v>2722.09</v>
      </c>
    </row>
    <row r="2823" spans="1:2" x14ac:dyDescent="0.25">
      <c r="A2823" s="3">
        <v>42899</v>
      </c>
      <c r="B2823">
        <v>2722.33</v>
      </c>
    </row>
    <row r="2824" spans="1:2" x14ac:dyDescent="0.25">
      <c r="A2824" s="3">
        <v>42900</v>
      </c>
      <c r="B2824">
        <v>2724.59</v>
      </c>
    </row>
    <row r="2825" spans="1:2" x14ac:dyDescent="0.25">
      <c r="A2825" s="3">
        <v>42901</v>
      </c>
      <c r="B2825">
        <v>2720.86</v>
      </c>
    </row>
    <row r="2826" spans="1:2" x14ac:dyDescent="0.25">
      <c r="A2826" s="3">
        <v>42902</v>
      </c>
      <c r="B2826">
        <v>2722.34</v>
      </c>
    </row>
    <row r="2827" spans="1:2" x14ac:dyDescent="0.25">
      <c r="A2827" s="3">
        <v>42905</v>
      </c>
      <c r="B2827">
        <v>2721.37</v>
      </c>
    </row>
    <row r="2828" spans="1:2" x14ac:dyDescent="0.25">
      <c r="A2828" s="3">
        <v>42906</v>
      </c>
      <c r="B2828">
        <v>2719.89</v>
      </c>
    </row>
    <row r="2829" spans="1:2" x14ac:dyDescent="0.25">
      <c r="A2829" s="3">
        <v>42907</v>
      </c>
      <c r="B2829">
        <v>2720.4</v>
      </c>
    </row>
    <row r="2830" spans="1:2" x14ac:dyDescent="0.25">
      <c r="A2830" s="3">
        <v>42908</v>
      </c>
      <c r="B2830">
        <v>2720.8</v>
      </c>
    </row>
    <row r="2831" spans="1:2" x14ac:dyDescent="0.25">
      <c r="A2831" s="3">
        <v>42909</v>
      </c>
      <c r="B2831">
        <v>2722.17</v>
      </c>
    </row>
    <row r="2832" spans="1:2" x14ac:dyDescent="0.25">
      <c r="A2832" s="3">
        <v>42912</v>
      </c>
      <c r="B2832">
        <v>2722.25</v>
      </c>
    </row>
    <row r="2833" spans="1:2" x14ac:dyDescent="0.25">
      <c r="A2833" s="3">
        <v>42913</v>
      </c>
      <c r="B2833">
        <v>2724.67</v>
      </c>
    </row>
    <row r="2834" spans="1:2" x14ac:dyDescent="0.25">
      <c r="A2834" s="3">
        <v>42914</v>
      </c>
      <c r="B2834">
        <v>2727.14</v>
      </c>
    </row>
    <row r="2835" spans="1:2" x14ac:dyDescent="0.25">
      <c r="A2835" s="3">
        <v>42915</v>
      </c>
      <c r="B2835">
        <v>2729.12</v>
      </c>
    </row>
    <row r="2836" spans="1:2" x14ac:dyDescent="0.25">
      <c r="A2836" s="3">
        <v>42916</v>
      </c>
      <c r="B2836">
        <v>2822.25</v>
      </c>
    </row>
    <row r="2837" spans="1:2" x14ac:dyDescent="0.25">
      <c r="A2837" s="3">
        <v>42919</v>
      </c>
      <c r="B2837">
        <v>2821.01</v>
      </c>
    </row>
    <row r="2838" spans="1:2" x14ac:dyDescent="0.25">
      <c r="A2838" s="3">
        <v>42921</v>
      </c>
      <c r="B2838">
        <v>2819.76</v>
      </c>
    </row>
    <row r="2839" spans="1:2" x14ac:dyDescent="0.25">
      <c r="A2839" s="3">
        <v>42922</v>
      </c>
      <c r="B2839">
        <v>2822.02</v>
      </c>
    </row>
    <row r="2840" spans="1:2" x14ac:dyDescent="0.25">
      <c r="A2840" s="3">
        <v>42923</v>
      </c>
      <c r="B2840">
        <v>2821.51</v>
      </c>
    </row>
    <row r="2841" spans="1:2" x14ac:dyDescent="0.25">
      <c r="A2841" s="3">
        <v>42926</v>
      </c>
      <c r="B2841">
        <v>2821.4</v>
      </c>
    </row>
    <row r="2842" spans="1:2" x14ac:dyDescent="0.25">
      <c r="A2842" s="3">
        <v>42927</v>
      </c>
      <c r="B2842">
        <v>2822.25</v>
      </c>
    </row>
    <row r="2843" spans="1:2" x14ac:dyDescent="0.25">
      <c r="A2843" s="3">
        <v>42928</v>
      </c>
      <c r="B2843">
        <v>2822.49</v>
      </c>
    </row>
    <row r="2844" spans="1:2" x14ac:dyDescent="0.25">
      <c r="A2844" s="3">
        <v>42929</v>
      </c>
      <c r="B2844">
        <v>2822.23</v>
      </c>
    </row>
    <row r="2845" spans="1:2" x14ac:dyDescent="0.25">
      <c r="A2845" s="3">
        <v>42930</v>
      </c>
      <c r="B2845">
        <v>2823.92</v>
      </c>
    </row>
    <row r="2846" spans="1:2" x14ac:dyDescent="0.25">
      <c r="A2846" s="3">
        <v>42933</v>
      </c>
      <c r="B2846">
        <v>2824.59</v>
      </c>
    </row>
    <row r="2847" spans="1:2" x14ac:dyDescent="0.25">
      <c r="A2847" s="3">
        <v>42934</v>
      </c>
      <c r="B2847">
        <v>2827.86</v>
      </c>
    </row>
    <row r="2848" spans="1:2" x14ac:dyDescent="0.25">
      <c r="A2848" s="3">
        <v>42935</v>
      </c>
      <c r="B2848">
        <v>2826.11</v>
      </c>
    </row>
    <row r="2849" spans="1:2" x14ac:dyDescent="0.25">
      <c r="A2849" s="3">
        <v>42936</v>
      </c>
      <c r="B2849">
        <v>2829.37</v>
      </c>
    </row>
    <row r="2850" spans="1:2" x14ac:dyDescent="0.25">
      <c r="A2850" s="3">
        <v>42937</v>
      </c>
      <c r="B2850">
        <v>2830</v>
      </c>
    </row>
    <row r="2851" spans="1:2" x14ac:dyDescent="0.25">
      <c r="A2851" s="3">
        <v>42940</v>
      </c>
      <c r="B2851">
        <v>2829.75</v>
      </c>
    </row>
    <row r="2852" spans="1:2" x14ac:dyDescent="0.25">
      <c r="A2852" s="3">
        <v>42941</v>
      </c>
      <c r="B2852">
        <v>2830.28</v>
      </c>
    </row>
    <row r="2853" spans="1:2" x14ac:dyDescent="0.25">
      <c r="A2853" s="3">
        <v>42942</v>
      </c>
      <c r="B2853">
        <v>2829.35</v>
      </c>
    </row>
    <row r="2854" spans="1:2" x14ac:dyDescent="0.25">
      <c r="A2854" s="3">
        <v>42943</v>
      </c>
      <c r="B2854">
        <v>2830.51</v>
      </c>
    </row>
    <row r="2855" spans="1:2" x14ac:dyDescent="0.25">
      <c r="A2855" s="3">
        <v>42944</v>
      </c>
      <c r="B2855">
        <v>2833.01</v>
      </c>
    </row>
    <row r="2856" spans="1:2" x14ac:dyDescent="0.25">
      <c r="A2856" s="3">
        <v>42947</v>
      </c>
      <c r="B2856">
        <v>2834.78</v>
      </c>
    </row>
    <row r="2857" spans="1:2" x14ac:dyDescent="0.25">
      <c r="A2857" s="3">
        <v>42948</v>
      </c>
      <c r="B2857">
        <v>2835.46</v>
      </c>
    </row>
    <row r="2858" spans="1:2" x14ac:dyDescent="0.25">
      <c r="A2858" s="3">
        <v>42949</v>
      </c>
      <c r="B2858">
        <v>2836.76</v>
      </c>
    </row>
    <row r="2859" spans="1:2" x14ac:dyDescent="0.25">
      <c r="A2859" s="3">
        <v>42950</v>
      </c>
      <c r="B2859">
        <v>2837.22</v>
      </c>
    </row>
    <row r="2860" spans="1:2" x14ac:dyDescent="0.25">
      <c r="A2860" s="3">
        <v>42951</v>
      </c>
      <c r="B2860">
        <v>2833.25</v>
      </c>
    </row>
    <row r="2861" spans="1:2" x14ac:dyDescent="0.25">
      <c r="A2861" s="3">
        <v>42954</v>
      </c>
      <c r="B2861">
        <v>2834.47</v>
      </c>
    </row>
    <row r="2862" spans="1:2" x14ac:dyDescent="0.25">
      <c r="A2862" s="3">
        <v>42955</v>
      </c>
      <c r="B2862">
        <v>2832.64</v>
      </c>
    </row>
    <row r="2863" spans="1:2" x14ac:dyDescent="0.25">
      <c r="A2863" s="3">
        <v>42956</v>
      </c>
      <c r="B2863">
        <v>2832.81</v>
      </c>
    </row>
    <row r="2864" spans="1:2" x14ac:dyDescent="0.25">
      <c r="A2864" s="3">
        <v>42957</v>
      </c>
      <c r="B2864">
        <v>2833.07</v>
      </c>
    </row>
    <row r="2865" spans="1:2" x14ac:dyDescent="0.25">
      <c r="A2865" s="3">
        <v>42958</v>
      </c>
      <c r="B2865">
        <v>2834.24</v>
      </c>
    </row>
    <row r="2866" spans="1:2" x14ac:dyDescent="0.25">
      <c r="A2866" s="3">
        <v>42961</v>
      </c>
      <c r="B2866">
        <v>2834.02</v>
      </c>
    </row>
    <row r="2867" spans="1:2" x14ac:dyDescent="0.25">
      <c r="A2867" s="3">
        <v>42962</v>
      </c>
      <c r="B2867">
        <v>2831.8</v>
      </c>
    </row>
    <row r="2868" spans="1:2" x14ac:dyDescent="0.25">
      <c r="A2868" s="3">
        <v>42963</v>
      </c>
      <c r="B2868">
        <v>2831.51</v>
      </c>
    </row>
    <row r="2869" spans="1:2" x14ac:dyDescent="0.25">
      <c r="A2869" s="3">
        <v>42964</v>
      </c>
      <c r="B2869">
        <v>2832.72</v>
      </c>
    </row>
    <row r="2870" spans="1:2" x14ac:dyDescent="0.25">
      <c r="A2870" s="3">
        <v>42965</v>
      </c>
      <c r="B2870">
        <v>2832.9</v>
      </c>
    </row>
    <row r="2871" spans="1:2" x14ac:dyDescent="0.25">
      <c r="A2871" s="3">
        <v>42968</v>
      </c>
      <c r="B2871">
        <v>2834.99</v>
      </c>
    </row>
    <row r="2872" spans="1:2" x14ac:dyDescent="0.25">
      <c r="A2872" s="3">
        <v>42969</v>
      </c>
      <c r="B2872">
        <v>2833.28</v>
      </c>
    </row>
    <row r="2873" spans="1:2" x14ac:dyDescent="0.25">
      <c r="A2873" s="3">
        <v>42970</v>
      </c>
      <c r="B2873">
        <v>2834.62</v>
      </c>
    </row>
    <row r="2874" spans="1:2" x14ac:dyDescent="0.25">
      <c r="A2874" s="3">
        <v>42971</v>
      </c>
      <c r="B2874">
        <v>2834.36</v>
      </c>
    </row>
    <row r="2875" spans="1:2" x14ac:dyDescent="0.25">
      <c r="A2875" s="3">
        <v>42972</v>
      </c>
      <c r="B2875">
        <v>2836.52</v>
      </c>
    </row>
    <row r="2876" spans="1:2" x14ac:dyDescent="0.25">
      <c r="A2876" s="3">
        <v>42975</v>
      </c>
      <c r="B2876">
        <v>2839.03</v>
      </c>
    </row>
    <row r="2877" spans="1:2" x14ac:dyDescent="0.25">
      <c r="A2877" s="3">
        <v>42976</v>
      </c>
      <c r="B2877">
        <v>2841.16</v>
      </c>
    </row>
    <row r="2878" spans="1:2" x14ac:dyDescent="0.25">
      <c r="A2878" s="3">
        <v>42977</v>
      </c>
      <c r="B2878">
        <v>2837.77</v>
      </c>
    </row>
    <row r="2879" spans="1:2" x14ac:dyDescent="0.25">
      <c r="A2879" s="3">
        <v>42978</v>
      </c>
      <c r="B2879">
        <v>2836.82</v>
      </c>
    </row>
    <row r="2880" spans="1:2" x14ac:dyDescent="0.25">
      <c r="A2880" s="3">
        <v>42979</v>
      </c>
      <c r="B2880">
        <v>2836.77</v>
      </c>
    </row>
    <row r="2881" spans="1:2" x14ac:dyDescent="0.25">
      <c r="A2881" s="3">
        <v>42983</v>
      </c>
      <c r="B2881">
        <v>2838.23</v>
      </c>
    </row>
    <row r="2882" spans="1:2" x14ac:dyDescent="0.25">
      <c r="A2882" s="3">
        <v>42984</v>
      </c>
      <c r="B2882">
        <v>2838.72</v>
      </c>
    </row>
    <row r="2883" spans="1:2" x14ac:dyDescent="0.25">
      <c r="A2883" s="3">
        <v>42985</v>
      </c>
      <c r="B2883">
        <v>2840.88</v>
      </c>
    </row>
    <row r="2884" spans="1:2" x14ac:dyDescent="0.25">
      <c r="A2884" s="3">
        <v>42986</v>
      </c>
      <c r="B2884">
        <v>2841.45</v>
      </c>
    </row>
    <row r="2885" spans="1:2" x14ac:dyDescent="0.25">
      <c r="A2885" s="3">
        <v>42989</v>
      </c>
      <c r="B2885">
        <v>2840.3</v>
      </c>
    </row>
    <row r="2886" spans="1:2" x14ac:dyDescent="0.25">
      <c r="A2886" s="3">
        <v>42990</v>
      </c>
      <c r="B2886">
        <v>2839.59</v>
      </c>
    </row>
    <row r="2887" spans="1:2" x14ac:dyDescent="0.25">
      <c r="A2887" s="3">
        <v>42991</v>
      </c>
      <c r="B2887">
        <v>2838.36</v>
      </c>
    </row>
    <row r="2888" spans="1:2" x14ac:dyDescent="0.25">
      <c r="A2888" s="3">
        <v>42992</v>
      </c>
      <c r="B2888">
        <v>2837.3</v>
      </c>
    </row>
    <row r="2889" spans="1:2" x14ac:dyDescent="0.25">
      <c r="A2889" s="3">
        <v>42993</v>
      </c>
      <c r="B2889">
        <v>2840.44</v>
      </c>
    </row>
    <row r="2890" spans="1:2" x14ac:dyDescent="0.25">
      <c r="A2890" s="3">
        <v>42996</v>
      </c>
      <c r="B2890">
        <v>2840.01</v>
      </c>
    </row>
    <row r="2891" spans="1:2" x14ac:dyDescent="0.25">
      <c r="A2891" s="3">
        <v>42997</v>
      </c>
      <c r="B2891">
        <v>2840.73</v>
      </c>
    </row>
    <row r="2892" spans="1:2" x14ac:dyDescent="0.25">
      <c r="A2892" s="3">
        <v>42998</v>
      </c>
      <c r="B2892">
        <v>2841.41</v>
      </c>
    </row>
    <row r="2893" spans="1:2" x14ac:dyDescent="0.25">
      <c r="A2893" s="3">
        <v>42999</v>
      </c>
      <c r="B2893">
        <v>2839.04</v>
      </c>
    </row>
    <row r="2894" spans="1:2" x14ac:dyDescent="0.25">
      <c r="A2894" s="3">
        <v>43000</v>
      </c>
      <c r="B2894">
        <v>2840.42</v>
      </c>
    </row>
    <row r="2895" spans="1:2" x14ac:dyDescent="0.25">
      <c r="A2895" s="3">
        <v>43003</v>
      </c>
      <c r="B2895">
        <v>2837.37</v>
      </c>
    </row>
    <row r="2896" spans="1:2" x14ac:dyDescent="0.25">
      <c r="A2896" s="3">
        <v>43004</v>
      </c>
      <c r="B2896">
        <v>2834.15</v>
      </c>
    </row>
    <row r="2897" spans="1:2" x14ac:dyDescent="0.25">
      <c r="A2897" s="3">
        <v>43005</v>
      </c>
      <c r="B2897">
        <v>2833.04</v>
      </c>
    </row>
    <row r="2898" spans="1:2" x14ac:dyDescent="0.25">
      <c r="A2898" s="3">
        <v>43006</v>
      </c>
      <c r="B2898">
        <v>2834.68</v>
      </c>
    </row>
    <row r="2899" spans="1:2" x14ac:dyDescent="0.25">
      <c r="A2899" s="3">
        <v>43007</v>
      </c>
      <c r="B2899">
        <v>2835.7</v>
      </c>
    </row>
    <row r="2900" spans="1:2" x14ac:dyDescent="0.25">
      <c r="A2900" s="3">
        <v>43010</v>
      </c>
      <c r="B2900">
        <v>2924.49</v>
      </c>
    </row>
    <row r="2901" spans="1:2" x14ac:dyDescent="0.25">
      <c r="A2901" s="3">
        <v>43011</v>
      </c>
      <c r="B2901">
        <v>2925</v>
      </c>
    </row>
    <row r="2902" spans="1:2" x14ac:dyDescent="0.25">
      <c r="A2902" s="3">
        <v>43012</v>
      </c>
      <c r="B2902">
        <v>2925.34</v>
      </c>
    </row>
    <row r="2903" spans="1:2" x14ac:dyDescent="0.25">
      <c r="A2903" s="3">
        <v>43013</v>
      </c>
      <c r="B2903">
        <v>2923.6</v>
      </c>
    </row>
    <row r="2904" spans="1:2" x14ac:dyDescent="0.25">
      <c r="A2904" s="3">
        <v>43014</v>
      </c>
      <c r="B2904">
        <v>2923.9</v>
      </c>
    </row>
    <row r="2905" spans="1:2" x14ac:dyDescent="0.25">
      <c r="A2905" s="3">
        <v>43017</v>
      </c>
      <c r="B2905">
        <v>2924.18</v>
      </c>
    </row>
    <row r="2906" spans="1:2" x14ac:dyDescent="0.25">
      <c r="A2906" s="3">
        <v>43018</v>
      </c>
      <c r="B2906">
        <v>2926.77</v>
      </c>
    </row>
    <row r="2907" spans="1:2" x14ac:dyDescent="0.25">
      <c r="A2907" s="3">
        <v>43019</v>
      </c>
      <c r="B2907">
        <v>2927.49</v>
      </c>
    </row>
    <row r="2908" spans="1:2" x14ac:dyDescent="0.25">
      <c r="A2908" s="3">
        <v>43020</v>
      </c>
      <c r="B2908">
        <v>2927.58</v>
      </c>
    </row>
    <row r="2909" spans="1:2" x14ac:dyDescent="0.25">
      <c r="A2909" s="3">
        <v>43021</v>
      </c>
      <c r="B2909">
        <v>2927.63</v>
      </c>
    </row>
    <row r="2910" spans="1:2" x14ac:dyDescent="0.25">
      <c r="A2910" s="3">
        <v>43024</v>
      </c>
      <c r="B2910">
        <v>2926.41</v>
      </c>
    </row>
    <row r="2911" spans="1:2" x14ac:dyDescent="0.25">
      <c r="A2911" s="3">
        <v>43025</v>
      </c>
      <c r="B2911">
        <v>2924.78</v>
      </c>
    </row>
    <row r="2912" spans="1:2" x14ac:dyDescent="0.25">
      <c r="A2912" s="3">
        <v>43026</v>
      </c>
      <c r="B2912">
        <v>2925.51</v>
      </c>
    </row>
    <row r="2913" spans="1:2" x14ac:dyDescent="0.25">
      <c r="A2913" s="3">
        <v>43027</v>
      </c>
      <c r="B2913">
        <v>2927.93</v>
      </c>
    </row>
    <row r="2914" spans="1:2" x14ac:dyDescent="0.25">
      <c r="A2914" s="3">
        <v>43028</v>
      </c>
      <c r="B2914">
        <v>2925.79</v>
      </c>
    </row>
    <row r="2915" spans="1:2" x14ac:dyDescent="0.25">
      <c r="A2915" s="3">
        <v>43031</v>
      </c>
      <c r="B2915">
        <v>2924.47</v>
      </c>
    </row>
    <row r="2916" spans="1:2" x14ac:dyDescent="0.25">
      <c r="A2916" s="3">
        <v>43032</v>
      </c>
      <c r="B2916">
        <v>2924.75</v>
      </c>
    </row>
    <row r="2917" spans="1:2" x14ac:dyDescent="0.25">
      <c r="A2917" s="3">
        <v>43033</v>
      </c>
      <c r="B2917">
        <v>2926.37</v>
      </c>
    </row>
    <row r="2918" spans="1:2" x14ac:dyDescent="0.25">
      <c r="A2918" s="3">
        <v>43034</v>
      </c>
      <c r="B2918">
        <v>2922.95</v>
      </c>
    </row>
    <row r="2919" spans="1:2" x14ac:dyDescent="0.25">
      <c r="A2919" s="3">
        <v>43035</v>
      </c>
      <c r="B2919">
        <v>2919.21</v>
      </c>
    </row>
    <row r="2920" spans="1:2" x14ac:dyDescent="0.25">
      <c r="A2920" s="3">
        <v>43038</v>
      </c>
      <c r="B2920">
        <v>2920.76</v>
      </c>
    </row>
    <row r="2921" spans="1:2" x14ac:dyDescent="0.25">
      <c r="A2921" s="3">
        <v>43039</v>
      </c>
      <c r="B2921">
        <v>2921.26</v>
      </c>
    </row>
    <row r="2922" spans="1:2" x14ac:dyDescent="0.25">
      <c r="A2922" s="3">
        <v>43040</v>
      </c>
      <c r="B2922">
        <v>2920.24</v>
      </c>
    </row>
    <row r="2923" spans="1:2" x14ac:dyDescent="0.25">
      <c r="A2923" s="3">
        <v>43041</v>
      </c>
      <c r="B2923">
        <v>2921.67</v>
      </c>
    </row>
    <row r="2924" spans="1:2" x14ac:dyDescent="0.25">
      <c r="A2924" s="3">
        <v>43042</v>
      </c>
      <c r="B2924">
        <v>2919.86</v>
      </c>
    </row>
    <row r="2925" spans="1:2" x14ac:dyDescent="0.25">
      <c r="A2925" s="3">
        <v>43045</v>
      </c>
      <c r="B2925">
        <v>2919.06</v>
      </c>
    </row>
    <row r="2926" spans="1:2" x14ac:dyDescent="0.25">
      <c r="A2926" s="3">
        <v>43046</v>
      </c>
      <c r="B2926">
        <v>2918.78</v>
      </c>
    </row>
    <row r="2927" spans="1:2" x14ac:dyDescent="0.25">
      <c r="A2927" s="3">
        <v>43047</v>
      </c>
      <c r="B2927">
        <v>2919.06</v>
      </c>
    </row>
    <row r="2928" spans="1:2" x14ac:dyDescent="0.25">
      <c r="A2928" s="3">
        <v>43048</v>
      </c>
      <c r="B2928">
        <v>2920.25</v>
      </c>
    </row>
    <row r="2929" spans="1:2" x14ac:dyDescent="0.25">
      <c r="A2929" s="3">
        <v>43049</v>
      </c>
      <c r="B2929">
        <v>2921.58</v>
      </c>
    </row>
    <row r="2930" spans="1:2" x14ac:dyDescent="0.25">
      <c r="A2930" s="3">
        <v>43052</v>
      </c>
      <c r="B2930">
        <v>2921.36</v>
      </c>
    </row>
    <row r="2931" spans="1:2" x14ac:dyDescent="0.25">
      <c r="A2931" s="3">
        <v>43053</v>
      </c>
      <c r="B2931">
        <v>2923.99</v>
      </c>
    </row>
    <row r="2932" spans="1:2" x14ac:dyDescent="0.25">
      <c r="A2932" s="3">
        <v>43054</v>
      </c>
      <c r="B2932">
        <v>2925.4</v>
      </c>
    </row>
    <row r="2933" spans="1:2" x14ac:dyDescent="0.25">
      <c r="A2933" s="3">
        <v>43055</v>
      </c>
      <c r="B2933">
        <v>2924.66</v>
      </c>
    </row>
    <row r="2934" spans="1:2" x14ac:dyDescent="0.25">
      <c r="A2934" s="3">
        <v>43056</v>
      </c>
      <c r="B2934">
        <v>2924.89</v>
      </c>
    </row>
    <row r="2935" spans="1:2" x14ac:dyDescent="0.25">
      <c r="A2935" s="3">
        <v>43059</v>
      </c>
      <c r="B2935">
        <v>2924.01</v>
      </c>
    </row>
    <row r="2936" spans="1:2" x14ac:dyDescent="0.25">
      <c r="A2936" s="3">
        <v>43060</v>
      </c>
      <c r="B2936">
        <v>2923.32</v>
      </c>
    </row>
    <row r="2937" spans="1:2" x14ac:dyDescent="0.25">
      <c r="A2937" s="3">
        <v>43061</v>
      </c>
      <c r="B2937">
        <v>2925.28</v>
      </c>
    </row>
    <row r="2938" spans="1:2" x14ac:dyDescent="0.25">
      <c r="A2938" s="3">
        <v>43063</v>
      </c>
      <c r="B2938">
        <v>2929.98</v>
      </c>
    </row>
    <row r="2939" spans="1:2" x14ac:dyDescent="0.25">
      <c r="A2939" s="3">
        <v>43066</v>
      </c>
      <c r="B2939">
        <v>2929.4</v>
      </c>
    </row>
    <row r="2940" spans="1:2" x14ac:dyDescent="0.25">
      <c r="A2940" s="3">
        <v>43067</v>
      </c>
      <c r="B2940">
        <v>2927.63</v>
      </c>
    </row>
    <row r="2941" spans="1:2" x14ac:dyDescent="0.25">
      <c r="A2941" s="3">
        <v>43068</v>
      </c>
      <c r="B2941">
        <v>2927.41</v>
      </c>
    </row>
    <row r="2942" spans="1:2" x14ac:dyDescent="0.25">
      <c r="A2942" s="3">
        <v>43069</v>
      </c>
      <c r="B2942">
        <v>2929.83</v>
      </c>
    </row>
    <row r="2943" spans="1:2" x14ac:dyDescent="0.25">
      <c r="A2943" s="3">
        <v>43070</v>
      </c>
      <c r="B2943">
        <v>2928.03</v>
      </c>
    </row>
    <row r="2944" spans="1:2" x14ac:dyDescent="0.25">
      <c r="A2944" s="3">
        <v>43073</v>
      </c>
      <c r="B2944">
        <v>2927.51</v>
      </c>
    </row>
    <row r="2945" spans="1:2" x14ac:dyDescent="0.25">
      <c r="A2945" s="3">
        <v>43074</v>
      </c>
      <c r="B2945">
        <v>2926.95</v>
      </c>
    </row>
    <row r="2946" spans="1:2" x14ac:dyDescent="0.25">
      <c r="A2946" s="3">
        <v>43075</v>
      </c>
      <c r="B2946">
        <v>2925.52</v>
      </c>
    </row>
    <row r="2947" spans="1:2" x14ac:dyDescent="0.25">
      <c r="A2947" s="3">
        <v>43076</v>
      </c>
      <c r="B2947">
        <v>2925.48</v>
      </c>
    </row>
    <row r="2948" spans="1:2" x14ac:dyDescent="0.25">
      <c r="A2948" s="3">
        <v>43077</v>
      </c>
      <c r="B2948">
        <v>2924.22</v>
      </c>
    </row>
    <row r="2949" spans="1:2" x14ac:dyDescent="0.25">
      <c r="A2949" s="3">
        <v>43080</v>
      </c>
      <c r="B2949">
        <v>2925.55</v>
      </c>
    </row>
    <row r="2950" spans="1:2" x14ac:dyDescent="0.25">
      <c r="A2950" s="3">
        <v>43081</v>
      </c>
      <c r="B2950">
        <v>2923.52</v>
      </c>
    </row>
    <row r="2951" spans="1:2" x14ac:dyDescent="0.25">
      <c r="A2951" s="3">
        <v>43082</v>
      </c>
      <c r="B2951">
        <v>2924.54</v>
      </c>
    </row>
    <row r="2952" spans="1:2" x14ac:dyDescent="0.25">
      <c r="A2952" s="3">
        <v>43083</v>
      </c>
      <c r="B2952">
        <v>2925.27</v>
      </c>
    </row>
    <row r="2953" spans="1:2" x14ac:dyDescent="0.25">
      <c r="A2953" s="3">
        <v>43084</v>
      </c>
      <c r="B2953">
        <v>2924.74</v>
      </c>
    </row>
    <row r="2954" spans="1:2" x14ac:dyDescent="0.25">
      <c r="A2954" s="3">
        <v>43087</v>
      </c>
      <c r="B2954">
        <v>2926.36</v>
      </c>
    </row>
    <row r="2955" spans="1:2" x14ac:dyDescent="0.25">
      <c r="A2955" s="3">
        <v>43088</v>
      </c>
      <c r="B2955">
        <v>2926.15</v>
      </c>
    </row>
    <row r="2956" spans="1:2" x14ac:dyDescent="0.25">
      <c r="A2956" s="3">
        <v>43089</v>
      </c>
      <c r="B2956">
        <v>2928.43</v>
      </c>
    </row>
    <row r="2957" spans="1:2" x14ac:dyDescent="0.25">
      <c r="A2957" s="3">
        <v>43090</v>
      </c>
      <c r="B2957">
        <v>2927.69</v>
      </c>
    </row>
    <row r="2958" spans="1:2" x14ac:dyDescent="0.25">
      <c r="A2958" s="3">
        <v>43091</v>
      </c>
      <c r="B2958">
        <v>2926.99</v>
      </c>
    </row>
    <row r="2959" spans="1:2" x14ac:dyDescent="0.25">
      <c r="A2959" s="3">
        <v>43095</v>
      </c>
      <c r="B2959">
        <v>2927.92</v>
      </c>
    </row>
    <row r="2960" spans="1:2" x14ac:dyDescent="0.25">
      <c r="A2960" s="3">
        <v>43096</v>
      </c>
      <c r="B2960">
        <v>2928.92</v>
      </c>
    </row>
    <row r="2961" spans="1:2" x14ac:dyDescent="0.25">
      <c r="A2961" s="3">
        <v>43097</v>
      </c>
      <c r="B2961">
        <v>2930.37</v>
      </c>
    </row>
    <row r="2962" spans="1:2" x14ac:dyDescent="0.25">
      <c r="A2962" s="3">
        <v>43098</v>
      </c>
      <c r="B2962">
        <v>2932.68</v>
      </c>
    </row>
    <row r="2963" spans="1:2" x14ac:dyDescent="0.25">
      <c r="A2963" s="3">
        <v>43102</v>
      </c>
      <c r="B2963">
        <v>3057.51</v>
      </c>
    </row>
    <row r="2964" spans="1:2" x14ac:dyDescent="0.25">
      <c r="A2964" s="3">
        <v>43103</v>
      </c>
      <c r="B2964">
        <v>3056.72</v>
      </c>
    </row>
    <row r="2965" spans="1:2" x14ac:dyDescent="0.25">
      <c r="A2965" s="3">
        <v>43104</v>
      </c>
      <c r="B2965">
        <v>3058.47</v>
      </c>
    </row>
    <row r="2966" spans="1:2" x14ac:dyDescent="0.25">
      <c r="A2966" s="3">
        <v>43105</v>
      </c>
      <c r="B2966">
        <v>3057.27</v>
      </c>
    </row>
    <row r="2967" spans="1:2" x14ac:dyDescent="0.25">
      <c r="A2967" s="3">
        <v>43108</v>
      </c>
      <c r="B2967">
        <v>3055.4</v>
      </c>
    </row>
    <row r="2968" spans="1:2" x14ac:dyDescent="0.25">
      <c r="A2968" s="3">
        <v>43109</v>
      </c>
      <c r="B2968">
        <v>3053.82</v>
      </c>
    </row>
    <row r="2969" spans="1:2" x14ac:dyDescent="0.25">
      <c r="A2969" s="3">
        <v>43110</v>
      </c>
      <c r="B2969">
        <v>3055.51</v>
      </c>
    </row>
    <row r="2970" spans="1:2" x14ac:dyDescent="0.25">
      <c r="A2970" s="3">
        <v>43111</v>
      </c>
      <c r="B2970">
        <v>3057.58</v>
      </c>
    </row>
    <row r="2971" spans="1:2" x14ac:dyDescent="0.25">
      <c r="A2971" s="3">
        <v>43112</v>
      </c>
      <c r="B2971">
        <v>3061.04</v>
      </c>
    </row>
    <row r="2972" spans="1:2" x14ac:dyDescent="0.25">
      <c r="A2972" s="3">
        <v>43116</v>
      </c>
      <c r="B2972">
        <v>3063.94</v>
      </c>
    </row>
    <row r="2973" spans="1:2" x14ac:dyDescent="0.25">
      <c r="A2973" s="3">
        <v>43117</v>
      </c>
      <c r="B2973">
        <v>3064.46</v>
      </c>
    </row>
    <row r="2974" spans="1:2" x14ac:dyDescent="0.25">
      <c r="A2974" s="3">
        <v>43118</v>
      </c>
      <c r="B2974">
        <v>3064.49</v>
      </c>
    </row>
    <row r="2975" spans="1:2" x14ac:dyDescent="0.25">
      <c r="A2975" s="3">
        <v>43119</v>
      </c>
      <c r="B2975">
        <v>3063.97</v>
      </c>
    </row>
    <row r="2976" spans="1:2" x14ac:dyDescent="0.25">
      <c r="A2976" s="3">
        <v>43122</v>
      </c>
      <c r="B2976">
        <v>3065.07</v>
      </c>
    </row>
    <row r="2977" spans="1:2" x14ac:dyDescent="0.25">
      <c r="A2977" s="3">
        <v>43123</v>
      </c>
      <c r="B2977">
        <v>3066.43</v>
      </c>
    </row>
    <row r="2978" spans="1:2" x14ac:dyDescent="0.25">
      <c r="A2978" s="3">
        <v>43124</v>
      </c>
      <c r="B2978">
        <v>3069.78</v>
      </c>
    </row>
    <row r="2979" spans="1:2" x14ac:dyDescent="0.25">
      <c r="A2979" s="3">
        <v>43125</v>
      </c>
      <c r="B2979">
        <v>3073.77</v>
      </c>
    </row>
    <row r="2980" spans="1:2" x14ac:dyDescent="0.25">
      <c r="A2980" s="3">
        <v>43126</v>
      </c>
      <c r="B2980">
        <v>3071.38</v>
      </c>
    </row>
    <row r="2981" spans="1:2" x14ac:dyDescent="0.25">
      <c r="A2981" s="3">
        <v>43129</v>
      </c>
      <c r="B2981">
        <v>3068.73</v>
      </c>
    </row>
    <row r="2982" spans="1:2" x14ac:dyDescent="0.25">
      <c r="A2982" s="3">
        <v>43130</v>
      </c>
      <c r="B2982">
        <v>3070.53</v>
      </c>
    </row>
    <row r="2983" spans="1:2" x14ac:dyDescent="0.25">
      <c r="A2983" s="3">
        <v>43131</v>
      </c>
      <c r="B2983">
        <v>3072.99</v>
      </c>
    </row>
    <row r="2984" spans="1:2" x14ac:dyDescent="0.25">
      <c r="A2984" s="3">
        <v>43132</v>
      </c>
      <c r="B2984">
        <v>3073.31</v>
      </c>
    </row>
    <row r="2985" spans="1:2" x14ac:dyDescent="0.25">
      <c r="A2985" s="3">
        <v>43133</v>
      </c>
      <c r="B2985">
        <v>3071.85</v>
      </c>
    </row>
    <row r="2986" spans="1:2" x14ac:dyDescent="0.25">
      <c r="A2986" s="3">
        <v>43136</v>
      </c>
      <c r="B2986">
        <v>3071.1</v>
      </c>
    </row>
    <row r="2987" spans="1:2" x14ac:dyDescent="0.25">
      <c r="A2987" s="3">
        <v>43137</v>
      </c>
      <c r="B2987">
        <v>3068.45</v>
      </c>
    </row>
    <row r="2988" spans="1:2" x14ac:dyDescent="0.25">
      <c r="A2988" s="3">
        <v>43138</v>
      </c>
      <c r="B2988">
        <v>3066.76</v>
      </c>
    </row>
    <row r="2989" spans="1:2" x14ac:dyDescent="0.25">
      <c r="A2989" s="3">
        <v>43139</v>
      </c>
      <c r="B2989">
        <v>3065.75</v>
      </c>
    </row>
    <row r="2990" spans="1:2" x14ac:dyDescent="0.25">
      <c r="A2990" s="3">
        <v>43140</v>
      </c>
      <c r="B2990">
        <v>3065.12</v>
      </c>
    </row>
    <row r="2991" spans="1:2" x14ac:dyDescent="0.25">
      <c r="A2991" s="3">
        <v>43143</v>
      </c>
      <c r="B2991">
        <v>3066.01</v>
      </c>
    </row>
    <row r="2992" spans="1:2" x14ac:dyDescent="0.25">
      <c r="A2992" s="3">
        <v>43144</v>
      </c>
      <c r="B2992">
        <v>3068.72</v>
      </c>
    </row>
    <row r="2993" spans="1:2" x14ac:dyDescent="0.25">
      <c r="A2993" s="3">
        <v>43145</v>
      </c>
      <c r="B2993">
        <v>3070.54</v>
      </c>
    </row>
    <row r="2994" spans="1:2" x14ac:dyDescent="0.25">
      <c r="A2994" s="3">
        <v>43146</v>
      </c>
      <c r="B2994">
        <v>3073.05</v>
      </c>
    </row>
    <row r="2995" spans="1:2" x14ac:dyDescent="0.25">
      <c r="A2995" s="3">
        <v>43147</v>
      </c>
      <c r="B2995">
        <v>3072.11</v>
      </c>
    </row>
    <row r="2996" spans="1:2" x14ac:dyDescent="0.25">
      <c r="A2996" s="3">
        <v>43151</v>
      </c>
      <c r="B2996">
        <v>3068.58</v>
      </c>
    </row>
    <row r="2997" spans="1:2" x14ac:dyDescent="0.25">
      <c r="A2997" s="3">
        <v>43152</v>
      </c>
      <c r="B2997">
        <v>3067.76</v>
      </c>
    </row>
    <row r="2998" spans="1:2" x14ac:dyDescent="0.25">
      <c r="A2998" s="3">
        <v>43153</v>
      </c>
      <c r="B2998">
        <v>3067.72</v>
      </c>
    </row>
    <row r="2999" spans="1:2" x14ac:dyDescent="0.25">
      <c r="A2999" s="3">
        <v>43154</v>
      </c>
      <c r="B2999">
        <v>3067.04</v>
      </c>
    </row>
    <row r="3000" spans="1:2" x14ac:dyDescent="0.25">
      <c r="A3000" s="3">
        <v>43157</v>
      </c>
      <c r="B3000">
        <v>3066.68</v>
      </c>
    </row>
    <row r="3001" spans="1:2" x14ac:dyDescent="0.25">
      <c r="A3001" s="3">
        <v>43158</v>
      </c>
      <c r="B3001">
        <v>3064.98</v>
      </c>
    </row>
    <row r="3002" spans="1:2" x14ac:dyDescent="0.25">
      <c r="A3002" s="3">
        <v>43159</v>
      </c>
      <c r="B3002">
        <v>3062.99</v>
      </c>
    </row>
    <row r="3003" spans="1:2" x14ac:dyDescent="0.25">
      <c r="A3003" s="3">
        <v>43160</v>
      </c>
      <c r="B3003">
        <v>3062.24</v>
      </c>
    </row>
    <row r="3004" spans="1:2" x14ac:dyDescent="0.25">
      <c r="A3004" s="3">
        <v>43161</v>
      </c>
      <c r="B3004">
        <v>3066.46</v>
      </c>
    </row>
    <row r="3005" spans="1:2" x14ac:dyDescent="0.25">
      <c r="A3005" s="3">
        <v>43164</v>
      </c>
      <c r="B3005">
        <v>3067.12</v>
      </c>
    </row>
    <row r="3006" spans="1:2" x14ac:dyDescent="0.25">
      <c r="A3006" s="3">
        <v>43165</v>
      </c>
      <c r="B3006">
        <v>3069.58</v>
      </c>
    </row>
    <row r="3007" spans="1:2" x14ac:dyDescent="0.25">
      <c r="A3007" s="3">
        <v>43166</v>
      </c>
      <c r="B3007">
        <v>3069.66</v>
      </c>
    </row>
    <row r="3008" spans="1:2" x14ac:dyDescent="0.25">
      <c r="A3008" s="3">
        <v>43167</v>
      </c>
      <c r="B3008">
        <v>3067.17</v>
      </c>
    </row>
    <row r="3009" spans="1:2" x14ac:dyDescent="0.25">
      <c r="A3009" s="3">
        <v>43168</v>
      </c>
      <c r="B3009">
        <v>3067.05</v>
      </c>
    </row>
    <row r="3010" spans="1:2" x14ac:dyDescent="0.25">
      <c r="A3010" s="3">
        <v>43171</v>
      </c>
      <c r="B3010">
        <v>3067.12</v>
      </c>
    </row>
    <row r="3011" spans="1:2" x14ac:dyDescent="0.25">
      <c r="A3011" s="3">
        <v>43172</v>
      </c>
      <c r="B3011">
        <v>3069.77</v>
      </c>
    </row>
    <row r="3012" spans="1:2" x14ac:dyDescent="0.25">
      <c r="A3012" s="3">
        <v>43173</v>
      </c>
      <c r="B3012">
        <v>3068.52</v>
      </c>
    </row>
    <row r="3013" spans="1:2" x14ac:dyDescent="0.25">
      <c r="A3013" s="3">
        <v>43174</v>
      </c>
      <c r="B3013">
        <v>3067.22</v>
      </c>
    </row>
    <row r="3014" spans="1:2" x14ac:dyDescent="0.25">
      <c r="A3014" s="3">
        <v>43175</v>
      </c>
      <c r="B3014">
        <v>3065.78</v>
      </c>
    </row>
    <row r="3015" spans="1:2" x14ac:dyDescent="0.25">
      <c r="A3015" s="3">
        <v>43178</v>
      </c>
      <c r="B3015">
        <v>3067.51</v>
      </c>
    </row>
    <row r="3016" spans="1:2" x14ac:dyDescent="0.25">
      <c r="A3016" s="3">
        <v>43179</v>
      </c>
      <c r="B3016">
        <v>3065.62</v>
      </c>
    </row>
    <row r="3017" spans="1:2" x14ac:dyDescent="0.25">
      <c r="A3017" s="3">
        <v>43180</v>
      </c>
      <c r="B3017">
        <v>3065.62</v>
      </c>
    </row>
    <row r="3018" spans="1:2" x14ac:dyDescent="0.25">
      <c r="A3018" s="3">
        <v>43181</v>
      </c>
      <c r="B3018">
        <v>3066.94</v>
      </c>
    </row>
    <row r="3019" spans="1:2" x14ac:dyDescent="0.25">
      <c r="A3019" s="3">
        <v>43182</v>
      </c>
      <c r="B3019">
        <v>3068.7</v>
      </c>
    </row>
    <row r="3020" spans="1:2" x14ac:dyDescent="0.25">
      <c r="A3020" s="3">
        <v>43185</v>
      </c>
      <c r="B3020">
        <v>3071.39</v>
      </c>
    </row>
    <row r="3021" spans="1:2" x14ac:dyDescent="0.25">
      <c r="A3021" s="3">
        <v>43186</v>
      </c>
      <c r="B3021">
        <v>3069.72</v>
      </c>
    </row>
    <row r="3022" spans="1:2" x14ac:dyDescent="0.25">
      <c r="A3022" s="3">
        <v>43187</v>
      </c>
      <c r="B3022">
        <v>3068.18</v>
      </c>
    </row>
    <row r="3023" spans="1:2" x14ac:dyDescent="0.25">
      <c r="A3023" s="3">
        <v>43188</v>
      </c>
      <c r="B3023">
        <v>3066.38</v>
      </c>
    </row>
    <row r="3024" spans="1:2" x14ac:dyDescent="0.25">
      <c r="A3024" s="3">
        <v>43192</v>
      </c>
      <c r="B3024">
        <v>3141.17</v>
      </c>
    </row>
    <row r="3025" spans="1:2" x14ac:dyDescent="0.25">
      <c r="A3025" s="3">
        <v>43193</v>
      </c>
      <c r="B3025">
        <v>3140.06</v>
      </c>
    </row>
    <row r="3026" spans="1:2" x14ac:dyDescent="0.25">
      <c r="A3026" s="3">
        <v>43194</v>
      </c>
      <c r="B3026">
        <v>3140.93</v>
      </c>
    </row>
    <row r="3027" spans="1:2" x14ac:dyDescent="0.25">
      <c r="A3027" s="3">
        <v>43195</v>
      </c>
      <c r="B3027">
        <v>3138.51</v>
      </c>
    </row>
    <row r="3028" spans="1:2" x14ac:dyDescent="0.25">
      <c r="A3028" s="3">
        <v>43196</v>
      </c>
      <c r="B3028">
        <v>3139.71</v>
      </c>
    </row>
    <row r="3029" spans="1:2" x14ac:dyDescent="0.25">
      <c r="A3029" s="3">
        <v>43199</v>
      </c>
      <c r="B3029">
        <v>3141.37</v>
      </c>
    </row>
    <row r="3030" spans="1:2" x14ac:dyDescent="0.25">
      <c r="A3030" s="3">
        <v>43200</v>
      </c>
      <c r="B3030">
        <v>3142.78</v>
      </c>
    </row>
    <row r="3031" spans="1:2" x14ac:dyDescent="0.25">
      <c r="A3031" s="3">
        <v>43201</v>
      </c>
      <c r="B3031">
        <v>3143.96</v>
      </c>
    </row>
    <row r="3032" spans="1:2" x14ac:dyDescent="0.25">
      <c r="A3032" s="3">
        <v>43202</v>
      </c>
      <c r="B3032">
        <v>3141.85</v>
      </c>
    </row>
    <row r="3033" spans="1:2" x14ac:dyDescent="0.25">
      <c r="A3033" s="3">
        <v>43203</v>
      </c>
      <c r="B3033">
        <v>3142.18</v>
      </c>
    </row>
    <row r="3034" spans="1:2" x14ac:dyDescent="0.25">
      <c r="A3034" s="3">
        <v>43206</v>
      </c>
      <c r="B3034">
        <v>3143.58</v>
      </c>
    </row>
    <row r="3035" spans="1:2" x14ac:dyDescent="0.25">
      <c r="A3035" s="3">
        <v>43207</v>
      </c>
      <c r="B3035">
        <v>3142.86</v>
      </c>
    </row>
    <row r="3036" spans="1:2" x14ac:dyDescent="0.25">
      <c r="A3036" s="3">
        <v>43208</v>
      </c>
      <c r="B3036">
        <v>3143.78</v>
      </c>
    </row>
    <row r="3037" spans="1:2" x14ac:dyDescent="0.25">
      <c r="A3037" s="3">
        <v>43209</v>
      </c>
      <c r="B3037">
        <v>3143.34</v>
      </c>
    </row>
    <row r="3038" spans="1:2" x14ac:dyDescent="0.25">
      <c r="A3038" s="3">
        <v>43210</v>
      </c>
      <c r="B3038">
        <v>3140.08</v>
      </c>
    </row>
    <row r="3039" spans="1:2" x14ac:dyDescent="0.25">
      <c r="A3039" s="3">
        <v>43213</v>
      </c>
      <c r="B3039">
        <v>3137.99</v>
      </c>
    </row>
    <row r="3040" spans="1:2" x14ac:dyDescent="0.25">
      <c r="A3040" s="3">
        <v>43214</v>
      </c>
      <c r="B3040">
        <v>3137.77</v>
      </c>
    </row>
    <row r="3041" spans="1:2" x14ac:dyDescent="0.25">
      <c r="A3041" s="3">
        <v>43215</v>
      </c>
      <c r="B3041">
        <v>3136.31</v>
      </c>
    </row>
    <row r="3042" spans="1:2" x14ac:dyDescent="0.25">
      <c r="A3042" s="3">
        <v>43216</v>
      </c>
      <c r="B3042">
        <v>3134.41</v>
      </c>
    </row>
    <row r="3043" spans="1:2" x14ac:dyDescent="0.25">
      <c r="A3043" s="3">
        <v>43217</v>
      </c>
      <c r="B3043">
        <v>3133.81</v>
      </c>
    </row>
    <row r="3044" spans="1:2" x14ac:dyDescent="0.25">
      <c r="A3044" s="3">
        <v>43220</v>
      </c>
      <c r="B3044">
        <v>3132.88</v>
      </c>
    </row>
    <row r="3045" spans="1:2" x14ac:dyDescent="0.25">
      <c r="A3045" s="3">
        <v>43221</v>
      </c>
      <c r="B3045">
        <v>3129.49</v>
      </c>
    </row>
    <row r="3046" spans="1:2" x14ac:dyDescent="0.25">
      <c r="A3046" s="3">
        <v>43222</v>
      </c>
      <c r="B3046">
        <v>3128.44</v>
      </c>
    </row>
    <row r="3047" spans="1:2" x14ac:dyDescent="0.25">
      <c r="A3047" s="3">
        <v>43223</v>
      </c>
      <c r="B3047">
        <v>3128.24</v>
      </c>
    </row>
    <row r="3048" spans="1:2" x14ac:dyDescent="0.25">
      <c r="A3048" s="3">
        <v>43224</v>
      </c>
      <c r="B3048">
        <v>3127.56</v>
      </c>
    </row>
    <row r="3049" spans="1:2" x14ac:dyDescent="0.25">
      <c r="A3049" s="3">
        <v>43227</v>
      </c>
      <c r="B3049">
        <v>3127.14</v>
      </c>
    </row>
    <row r="3050" spans="1:2" x14ac:dyDescent="0.25">
      <c r="A3050" s="3">
        <v>43228</v>
      </c>
      <c r="B3050">
        <v>3125.06</v>
      </c>
    </row>
    <row r="3051" spans="1:2" x14ac:dyDescent="0.25">
      <c r="A3051" s="3">
        <v>43229</v>
      </c>
      <c r="B3051">
        <v>3125.23</v>
      </c>
    </row>
    <row r="3052" spans="1:2" x14ac:dyDescent="0.25">
      <c r="A3052" s="3">
        <v>43230</v>
      </c>
      <c r="B3052">
        <v>3125.85</v>
      </c>
    </row>
    <row r="3053" spans="1:2" x14ac:dyDescent="0.25">
      <c r="A3053" s="3">
        <v>43231</v>
      </c>
      <c r="B3053">
        <v>3128.12</v>
      </c>
    </row>
    <row r="3054" spans="1:2" x14ac:dyDescent="0.25">
      <c r="A3054" s="3">
        <v>43234</v>
      </c>
      <c r="B3054">
        <v>3128.96</v>
      </c>
    </row>
    <row r="3055" spans="1:2" x14ac:dyDescent="0.25">
      <c r="A3055" s="3">
        <v>43235</v>
      </c>
      <c r="B3055">
        <v>3125.24</v>
      </c>
    </row>
    <row r="3056" spans="1:2" x14ac:dyDescent="0.25">
      <c r="A3056" s="3">
        <v>43236</v>
      </c>
      <c r="B3056">
        <v>3122.89</v>
      </c>
    </row>
    <row r="3057" spans="1:2" x14ac:dyDescent="0.25">
      <c r="A3057" s="3">
        <v>43237</v>
      </c>
      <c r="B3057">
        <v>3123.1</v>
      </c>
    </row>
    <row r="3058" spans="1:2" x14ac:dyDescent="0.25">
      <c r="A3058" s="3">
        <v>43238</v>
      </c>
      <c r="B3058">
        <v>3122.33</v>
      </c>
    </row>
    <row r="3059" spans="1:2" x14ac:dyDescent="0.25">
      <c r="A3059" s="3">
        <v>43241</v>
      </c>
      <c r="B3059">
        <v>3121.67</v>
      </c>
    </row>
    <row r="3060" spans="1:2" x14ac:dyDescent="0.25">
      <c r="A3060" s="3">
        <v>43242</v>
      </c>
      <c r="B3060">
        <v>3122.49</v>
      </c>
    </row>
    <row r="3061" spans="1:2" x14ac:dyDescent="0.25">
      <c r="A3061" s="3">
        <v>43243</v>
      </c>
      <c r="B3061">
        <v>3120.09</v>
      </c>
    </row>
    <row r="3062" spans="1:2" x14ac:dyDescent="0.25">
      <c r="A3062" s="3">
        <v>43244</v>
      </c>
      <c r="B3062">
        <v>3120.81</v>
      </c>
    </row>
    <row r="3063" spans="1:2" x14ac:dyDescent="0.25">
      <c r="A3063" s="3">
        <v>43245</v>
      </c>
      <c r="B3063">
        <v>3118.49</v>
      </c>
    </row>
    <row r="3064" spans="1:2" x14ac:dyDescent="0.25">
      <c r="A3064" s="3">
        <v>43249</v>
      </c>
      <c r="B3064">
        <v>3115.44</v>
      </c>
    </row>
    <row r="3065" spans="1:2" x14ac:dyDescent="0.25">
      <c r="A3065" s="3">
        <v>43250</v>
      </c>
      <c r="B3065">
        <v>3117.06</v>
      </c>
    </row>
    <row r="3066" spans="1:2" x14ac:dyDescent="0.25">
      <c r="A3066" s="3">
        <v>43251</v>
      </c>
      <c r="B3066">
        <v>3118.99</v>
      </c>
    </row>
    <row r="3067" spans="1:2" x14ac:dyDescent="0.25">
      <c r="A3067" s="3">
        <v>43252</v>
      </c>
      <c r="B3067">
        <v>3118.68</v>
      </c>
    </row>
    <row r="3068" spans="1:2" x14ac:dyDescent="0.25">
      <c r="A3068" s="3">
        <v>43255</v>
      </c>
      <c r="B3068">
        <v>3119.88</v>
      </c>
    </row>
    <row r="3069" spans="1:2" x14ac:dyDescent="0.25">
      <c r="A3069" s="3">
        <v>43256</v>
      </c>
      <c r="B3069">
        <v>3118.96</v>
      </c>
    </row>
    <row r="3070" spans="1:2" x14ac:dyDescent="0.25">
      <c r="A3070" s="3">
        <v>43257</v>
      </c>
      <c r="B3070">
        <v>3122.73</v>
      </c>
    </row>
    <row r="3071" spans="1:2" x14ac:dyDescent="0.25">
      <c r="A3071" s="3">
        <v>43258</v>
      </c>
      <c r="B3071">
        <v>3124.05</v>
      </c>
    </row>
    <row r="3072" spans="1:2" x14ac:dyDescent="0.25">
      <c r="A3072" s="3">
        <v>43259</v>
      </c>
      <c r="B3072">
        <v>3122.14</v>
      </c>
    </row>
    <row r="3073" spans="1:2" x14ac:dyDescent="0.25">
      <c r="A3073" s="3">
        <v>43262</v>
      </c>
      <c r="B3073">
        <v>3123.46</v>
      </c>
    </row>
    <row r="3074" spans="1:2" x14ac:dyDescent="0.25">
      <c r="A3074" s="3">
        <v>43263</v>
      </c>
      <c r="B3074">
        <v>3122.74</v>
      </c>
    </row>
    <row r="3075" spans="1:2" x14ac:dyDescent="0.25">
      <c r="A3075" s="3">
        <v>43264</v>
      </c>
      <c r="B3075">
        <v>3122.33</v>
      </c>
    </row>
    <row r="3076" spans="1:2" x14ac:dyDescent="0.25">
      <c r="A3076" s="3">
        <v>43265</v>
      </c>
      <c r="B3076">
        <v>3118.3</v>
      </c>
    </row>
    <row r="3077" spans="1:2" x14ac:dyDescent="0.25">
      <c r="A3077" s="3">
        <v>43266</v>
      </c>
      <c r="B3077">
        <v>3116.99</v>
      </c>
    </row>
    <row r="3078" spans="1:2" x14ac:dyDescent="0.25">
      <c r="A3078" s="3">
        <v>43269</v>
      </c>
      <c r="B3078">
        <v>3116.75</v>
      </c>
    </row>
    <row r="3079" spans="1:2" x14ac:dyDescent="0.25">
      <c r="A3079" s="3">
        <v>43270</v>
      </c>
      <c r="B3079">
        <v>3114.96</v>
      </c>
    </row>
    <row r="3080" spans="1:2" x14ac:dyDescent="0.25">
      <c r="A3080" s="3">
        <v>43271</v>
      </c>
      <c r="B3080">
        <v>3115.44</v>
      </c>
    </row>
    <row r="3081" spans="1:2" x14ac:dyDescent="0.25">
      <c r="A3081" s="3">
        <v>43272</v>
      </c>
      <c r="B3081">
        <v>3116.48</v>
      </c>
    </row>
    <row r="3082" spans="1:2" x14ac:dyDescent="0.25">
      <c r="A3082" s="3">
        <v>43273</v>
      </c>
      <c r="B3082">
        <v>3117.56</v>
      </c>
    </row>
    <row r="3083" spans="1:2" x14ac:dyDescent="0.25">
      <c r="A3083" s="3">
        <v>43276</v>
      </c>
      <c r="B3083">
        <v>3119.03</v>
      </c>
    </row>
    <row r="3084" spans="1:2" x14ac:dyDescent="0.25">
      <c r="A3084" s="3">
        <v>43277</v>
      </c>
      <c r="B3084">
        <v>3118.31</v>
      </c>
    </row>
    <row r="3085" spans="1:2" x14ac:dyDescent="0.25">
      <c r="A3085" s="3">
        <v>43278</v>
      </c>
      <c r="B3085">
        <v>3115.88</v>
      </c>
    </row>
    <row r="3086" spans="1:2" x14ac:dyDescent="0.25">
      <c r="A3086" s="3">
        <v>43279</v>
      </c>
      <c r="B3086">
        <v>3115.16</v>
      </c>
    </row>
    <row r="3087" spans="1:2" x14ac:dyDescent="0.25">
      <c r="A3087" s="3">
        <v>43280</v>
      </c>
      <c r="B3087">
        <v>3118.51</v>
      </c>
    </row>
    <row r="3088" spans="1:2" x14ac:dyDescent="0.25">
      <c r="A3088" s="3">
        <v>43283</v>
      </c>
      <c r="B3088">
        <v>3245.08</v>
      </c>
    </row>
    <row r="3089" spans="1:2" x14ac:dyDescent="0.25">
      <c r="A3089" s="3">
        <v>43284</v>
      </c>
      <c r="B3089">
        <v>3246.68</v>
      </c>
    </row>
    <row r="3090" spans="1:2" x14ac:dyDescent="0.25">
      <c r="A3090" s="3">
        <v>43286</v>
      </c>
      <c r="B3090">
        <v>3248.53</v>
      </c>
    </row>
    <row r="3091" spans="1:2" x14ac:dyDescent="0.25">
      <c r="A3091" s="3">
        <v>43287</v>
      </c>
      <c r="B3091">
        <v>3250.46</v>
      </c>
    </row>
    <row r="3092" spans="1:2" x14ac:dyDescent="0.25">
      <c r="A3092" s="3">
        <v>43290</v>
      </c>
      <c r="B3092">
        <v>3250.56</v>
      </c>
    </row>
    <row r="3093" spans="1:2" x14ac:dyDescent="0.25">
      <c r="A3093" s="3">
        <v>43291</v>
      </c>
      <c r="B3093">
        <v>3249.3</v>
      </c>
    </row>
    <row r="3094" spans="1:2" x14ac:dyDescent="0.25">
      <c r="A3094" s="3">
        <v>43292</v>
      </c>
      <c r="B3094">
        <v>3249.21</v>
      </c>
    </row>
    <row r="3095" spans="1:2" x14ac:dyDescent="0.25">
      <c r="A3095" s="3">
        <v>43293</v>
      </c>
      <c r="B3095">
        <v>3247.92</v>
      </c>
    </row>
    <row r="3096" spans="1:2" x14ac:dyDescent="0.25">
      <c r="A3096" s="3">
        <v>43294</v>
      </c>
      <c r="B3096">
        <v>3247.33</v>
      </c>
    </row>
    <row r="3097" spans="1:2" x14ac:dyDescent="0.25">
      <c r="A3097" s="3">
        <v>43297</v>
      </c>
      <c r="B3097">
        <v>3248.7</v>
      </c>
    </row>
    <row r="3098" spans="1:2" x14ac:dyDescent="0.25">
      <c r="A3098" s="3">
        <v>43298</v>
      </c>
      <c r="B3098">
        <v>3247.75</v>
      </c>
    </row>
    <row r="3099" spans="1:2" x14ac:dyDescent="0.25">
      <c r="A3099" s="3">
        <v>43299</v>
      </c>
      <c r="B3099">
        <v>3246.2</v>
      </c>
    </row>
    <row r="3100" spans="1:2" x14ac:dyDescent="0.25">
      <c r="A3100" s="3">
        <v>43300</v>
      </c>
      <c r="B3100">
        <v>3245.06</v>
      </c>
    </row>
    <row r="3101" spans="1:2" x14ac:dyDescent="0.25">
      <c r="A3101" s="3">
        <v>43301</v>
      </c>
      <c r="B3101">
        <v>3248.47</v>
      </c>
    </row>
    <row r="3102" spans="1:2" x14ac:dyDescent="0.25">
      <c r="A3102" s="3">
        <v>43304</v>
      </c>
      <c r="B3102">
        <v>3248.37</v>
      </c>
    </row>
    <row r="3103" spans="1:2" x14ac:dyDescent="0.25">
      <c r="A3103" s="3">
        <v>43305</v>
      </c>
      <c r="B3103">
        <v>3248.56</v>
      </c>
    </row>
    <row r="3104" spans="1:2" x14ac:dyDescent="0.25">
      <c r="A3104" s="3">
        <v>43306</v>
      </c>
      <c r="B3104">
        <v>3247.51</v>
      </c>
    </row>
    <row r="3105" spans="1:2" x14ac:dyDescent="0.25">
      <c r="A3105" s="3">
        <v>43307</v>
      </c>
      <c r="B3105">
        <v>3247.03</v>
      </c>
    </row>
    <row r="3106" spans="1:2" x14ac:dyDescent="0.25">
      <c r="A3106" s="3">
        <v>43308</v>
      </c>
      <c r="B3106">
        <v>3246.79</v>
      </c>
    </row>
    <row r="3107" spans="1:2" x14ac:dyDescent="0.25">
      <c r="A3107" s="3">
        <v>43311</v>
      </c>
      <c r="B3107">
        <v>3248.76</v>
      </c>
    </row>
    <row r="3108" spans="1:2" x14ac:dyDescent="0.25">
      <c r="A3108" s="3">
        <v>43312</v>
      </c>
      <c r="B3108">
        <v>3248.87</v>
      </c>
    </row>
    <row r="3109" spans="1:2" x14ac:dyDescent="0.25">
      <c r="A3109" s="3">
        <v>43313</v>
      </c>
      <c r="B3109">
        <v>3247.94</v>
      </c>
    </row>
    <row r="3110" spans="1:2" x14ac:dyDescent="0.25">
      <c r="A3110" s="3">
        <v>43314</v>
      </c>
      <c r="B3110">
        <v>3245.75</v>
      </c>
    </row>
    <row r="3111" spans="1:2" x14ac:dyDescent="0.25">
      <c r="A3111" s="3">
        <v>43315</v>
      </c>
      <c r="B3111">
        <v>3245.06</v>
      </c>
    </row>
    <row r="3112" spans="1:2" x14ac:dyDescent="0.25">
      <c r="A3112" s="3">
        <v>43318</v>
      </c>
      <c r="B3112">
        <v>3243.84</v>
      </c>
    </row>
    <row r="3113" spans="1:2" x14ac:dyDescent="0.25">
      <c r="A3113" s="3">
        <v>43319</v>
      </c>
      <c r="B3113">
        <v>3245.02</v>
      </c>
    </row>
    <row r="3114" spans="1:2" x14ac:dyDescent="0.25">
      <c r="A3114" s="3">
        <v>43320</v>
      </c>
      <c r="B3114">
        <v>3245.24</v>
      </c>
    </row>
    <row r="3115" spans="1:2" x14ac:dyDescent="0.25">
      <c r="A3115" s="3">
        <v>43321</v>
      </c>
      <c r="B3115">
        <v>3244.14</v>
      </c>
    </row>
    <row r="3116" spans="1:2" x14ac:dyDescent="0.25">
      <c r="A3116" s="3">
        <v>43322</v>
      </c>
      <c r="B3116">
        <v>3239.3</v>
      </c>
    </row>
    <row r="3117" spans="1:2" x14ac:dyDescent="0.25">
      <c r="A3117" s="3">
        <v>43325</v>
      </c>
      <c r="B3117">
        <v>3238.7</v>
      </c>
    </row>
    <row r="3118" spans="1:2" x14ac:dyDescent="0.25">
      <c r="A3118" s="3">
        <v>43326</v>
      </c>
      <c r="B3118">
        <v>3237.22</v>
      </c>
    </row>
    <row r="3119" spans="1:2" x14ac:dyDescent="0.25">
      <c r="A3119" s="3">
        <v>43327</v>
      </c>
      <c r="B3119">
        <v>3235.02</v>
      </c>
    </row>
    <row r="3120" spans="1:2" x14ac:dyDescent="0.25">
      <c r="A3120" s="3">
        <v>43328</v>
      </c>
      <c r="B3120">
        <v>3237.78</v>
      </c>
    </row>
    <row r="3121" spans="1:2" x14ac:dyDescent="0.25">
      <c r="A3121" s="3">
        <v>43329</v>
      </c>
      <c r="B3121">
        <v>3238.37</v>
      </c>
    </row>
    <row r="3122" spans="1:2" x14ac:dyDescent="0.25">
      <c r="A3122" s="3">
        <v>43332</v>
      </c>
      <c r="B3122">
        <v>3239.2</v>
      </c>
    </row>
    <row r="3123" spans="1:2" x14ac:dyDescent="0.25">
      <c r="A3123" s="3">
        <v>43333</v>
      </c>
      <c r="B3123">
        <v>3242.25</v>
      </c>
    </row>
    <row r="3124" spans="1:2" x14ac:dyDescent="0.25">
      <c r="A3124" s="3">
        <v>43334</v>
      </c>
      <c r="B3124">
        <v>3244.91</v>
      </c>
    </row>
    <row r="3125" spans="1:2" x14ac:dyDescent="0.25">
      <c r="A3125" s="3">
        <v>43335</v>
      </c>
      <c r="B3125">
        <v>3243.89</v>
      </c>
    </row>
    <row r="3126" spans="1:2" x14ac:dyDescent="0.25">
      <c r="A3126" s="3">
        <v>43336</v>
      </c>
      <c r="B3126">
        <v>3245.7</v>
      </c>
    </row>
    <row r="3127" spans="1:2" x14ac:dyDescent="0.25">
      <c r="A3127" s="3">
        <v>43339</v>
      </c>
      <c r="B3127">
        <v>3247.19</v>
      </c>
    </row>
    <row r="3128" spans="1:2" x14ac:dyDescent="0.25">
      <c r="A3128" s="3">
        <v>43340</v>
      </c>
      <c r="B3128">
        <v>3248.54</v>
      </c>
    </row>
    <row r="3129" spans="1:2" x14ac:dyDescent="0.25">
      <c r="A3129" s="3">
        <v>43341</v>
      </c>
      <c r="B3129">
        <v>3248</v>
      </c>
    </row>
    <row r="3130" spans="1:2" x14ac:dyDescent="0.25">
      <c r="A3130" s="3">
        <v>43342</v>
      </c>
      <c r="B3130">
        <v>3246.86</v>
      </c>
    </row>
    <row r="3131" spans="1:2" x14ac:dyDescent="0.25">
      <c r="A3131" s="3">
        <v>43343</v>
      </c>
      <c r="B3131">
        <v>3245.88</v>
      </c>
    </row>
    <row r="3132" spans="1:2" x14ac:dyDescent="0.25">
      <c r="A3132" s="3">
        <v>43347</v>
      </c>
      <c r="B3132">
        <v>3242.91</v>
      </c>
    </row>
    <row r="3133" spans="1:2" x14ac:dyDescent="0.25">
      <c r="A3133" s="3">
        <v>43348</v>
      </c>
      <c r="B3133">
        <v>3245.43</v>
      </c>
    </row>
    <row r="3134" spans="1:2" x14ac:dyDescent="0.25">
      <c r="A3134" s="3">
        <v>43349</v>
      </c>
      <c r="B3134">
        <v>3245.64</v>
      </c>
    </row>
    <row r="3135" spans="1:2" x14ac:dyDescent="0.25">
      <c r="A3135" s="3">
        <v>43350</v>
      </c>
      <c r="B3135">
        <v>3244.04</v>
      </c>
    </row>
    <row r="3136" spans="1:2" x14ac:dyDescent="0.25">
      <c r="A3136" s="3">
        <v>43353</v>
      </c>
      <c r="B3136">
        <v>3244.8</v>
      </c>
    </row>
    <row r="3137" spans="1:2" x14ac:dyDescent="0.25">
      <c r="A3137" s="3">
        <v>43354</v>
      </c>
      <c r="B3137">
        <v>3244.1</v>
      </c>
    </row>
    <row r="3138" spans="1:2" x14ac:dyDescent="0.25">
      <c r="A3138" s="3">
        <v>43355</v>
      </c>
      <c r="B3138">
        <v>3245.52</v>
      </c>
    </row>
    <row r="3139" spans="1:2" x14ac:dyDescent="0.25">
      <c r="A3139" s="3">
        <v>43356</v>
      </c>
      <c r="B3139">
        <v>3247.3</v>
      </c>
    </row>
    <row r="3140" spans="1:2" x14ac:dyDescent="0.25">
      <c r="A3140" s="3">
        <v>43357</v>
      </c>
      <c r="B3140">
        <v>3246.98</v>
      </c>
    </row>
    <row r="3141" spans="1:2" x14ac:dyDescent="0.25">
      <c r="A3141" s="3">
        <v>43360</v>
      </c>
      <c r="B3141">
        <v>3247.91</v>
      </c>
    </row>
    <row r="3142" spans="1:2" x14ac:dyDescent="0.25">
      <c r="A3142" s="3">
        <v>43361</v>
      </c>
      <c r="B3142">
        <v>3248.27</v>
      </c>
    </row>
    <row r="3143" spans="1:2" x14ac:dyDescent="0.25">
      <c r="A3143" s="3">
        <v>43362</v>
      </c>
      <c r="B3143">
        <v>3247.38</v>
      </c>
    </row>
    <row r="3144" spans="1:2" x14ac:dyDescent="0.25">
      <c r="A3144" s="3">
        <v>43363</v>
      </c>
      <c r="B3144">
        <v>3250.28</v>
      </c>
    </row>
    <row r="3145" spans="1:2" x14ac:dyDescent="0.25">
      <c r="A3145" s="3">
        <v>43364</v>
      </c>
      <c r="B3145">
        <v>3250.3</v>
      </c>
    </row>
    <row r="3146" spans="1:2" x14ac:dyDescent="0.25">
      <c r="A3146" s="3">
        <v>43367</v>
      </c>
      <c r="B3146">
        <v>3251.3</v>
      </c>
    </row>
    <row r="3147" spans="1:2" x14ac:dyDescent="0.25">
      <c r="A3147" s="3">
        <v>43368</v>
      </c>
      <c r="B3147">
        <v>3251.15</v>
      </c>
    </row>
    <row r="3148" spans="1:2" x14ac:dyDescent="0.25">
      <c r="A3148" s="3">
        <v>43369</v>
      </c>
      <c r="B3148">
        <v>3250.01</v>
      </c>
    </row>
    <row r="3149" spans="1:2" x14ac:dyDescent="0.25">
      <c r="A3149" s="3">
        <v>43370</v>
      </c>
      <c r="B3149">
        <v>3247.54</v>
      </c>
    </row>
    <row r="3150" spans="1:2" x14ac:dyDescent="0.25">
      <c r="A3150" s="3">
        <v>43371</v>
      </c>
      <c r="B3150">
        <v>3245.42</v>
      </c>
    </row>
    <row r="3151" spans="1:2" x14ac:dyDescent="0.25">
      <c r="A3151" s="3">
        <v>43374</v>
      </c>
      <c r="B3151">
        <v>3341.67</v>
      </c>
    </row>
    <row r="3152" spans="1:2" x14ac:dyDescent="0.25">
      <c r="A3152" s="3">
        <v>43375</v>
      </c>
      <c r="B3152">
        <v>3340.58</v>
      </c>
    </row>
    <row r="3153" spans="1:2" x14ac:dyDescent="0.25">
      <c r="A3153" s="3">
        <v>43376</v>
      </c>
      <c r="B3153">
        <v>3339.99</v>
      </c>
    </row>
    <row r="3154" spans="1:2" x14ac:dyDescent="0.25">
      <c r="A3154" s="3">
        <v>43377</v>
      </c>
      <c r="B3154">
        <v>3339.35</v>
      </c>
    </row>
    <row r="3155" spans="1:2" x14ac:dyDescent="0.25">
      <c r="A3155" s="3">
        <v>43378</v>
      </c>
      <c r="B3155">
        <v>3339.05</v>
      </c>
    </row>
    <row r="3156" spans="1:2" x14ac:dyDescent="0.25">
      <c r="A3156" s="3">
        <v>43381</v>
      </c>
      <c r="B3156">
        <v>3337.81</v>
      </c>
    </row>
    <row r="3157" spans="1:2" x14ac:dyDescent="0.25">
      <c r="A3157" s="3">
        <v>43382</v>
      </c>
      <c r="B3157">
        <v>3337.76</v>
      </c>
    </row>
    <row r="3158" spans="1:2" x14ac:dyDescent="0.25">
      <c r="A3158" s="3">
        <v>43383</v>
      </c>
      <c r="B3158">
        <v>3340.1</v>
      </c>
    </row>
    <row r="3159" spans="1:2" x14ac:dyDescent="0.25">
      <c r="A3159" s="3">
        <v>43384</v>
      </c>
      <c r="B3159">
        <v>3341.07</v>
      </c>
    </row>
    <row r="3160" spans="1:2" x14ac:dyDescent="0.25">
      <c r="A3160" s="3">
        <v>43385</v>
      </c>
      <c r="B3160">
        <v>3341.04</v>
      </c>
    </row>
    <row r="3161" spans="1:2" x14ac:dyDescent="0.25">
      <c r="A3161" s="3">
        <v>43388</v>
      </c>
      <c r="B3161">
        <v>3341.92</v>
      </c>
    </row>
    <row r="3162" spans="1:2" x14ac:dyDescent="0.25">
      <c r="A3162" s="3">
        <v>43389</v>
      </c>
      <c r="B3162">
        <v>3341.85</v>
      </c>
    </row>
    <row r="3163" spans="1:2" x14ac:dyDescent="0.25">
      <c r="A3163" s="3">
        <v>43390</v>
      </c>
      <c r="B3163">
        <v>3339.98</v>
      </c>
    </row>
    <row r="3164" spans="1:2" x14ac:dyDescent="0.25">
      <c r="A3164" s="3">
        <v>43391</v>
      </c>
      <c r="B3164">
        <v>3338.55</v>
      </c>
    </row>
    <row r="3165" spans="1:2" x14ac:dyDescent="0.25">
      <c r="A3165" s="3">
        <v>43392</v>
      </c>
      <c r="B3165">
        <v>3338.69</v>
      </c>
    </row>
    <row r="3166" spans="1:2" x14ac:dyDescent="0.25">
      <c r="A3166" s="3">
        <v>43395</v>
      </c>
      <c r="B3166">
        <v>3337.63</v>
      </c>
    </row>
    <row r="3167" spans="1:2" x14ac:dyDescent="0.25">
      <c r="A3167" s="3">
        <v>43396</v>
      </c>
      <c r="B3167">
        <v>3337.21</v>
      </c>
    </row>
    <row r="3168" spans="1:2" x14ac:dyDescent="0.25">
      <c r="A3168" s="3">
        <v>43397</v>
      </c>
      <c r="B3168">
        <v>3335.03</v>
      </c>
    </row>
    <row r="3169" spans="1:2" x14ac:dyDescent="0.25">
      <c r="A3169" s="3">
        <v>43398</v>
      </c>
      <c r="B3169">
        <v>3334.3</v>
      </c>
    </row>
    <row r="3170" spans="1:2" x14ac:dyDescent="0.25">
      <c r="A3170" s="3">
        <v>43399</v>
      </c>
      <c r="B3170">
        <v>3334.02</v>
      </c>
    </row>
    <row r="3171" spans="1:2" x14ac:dyDescent="0.25">
      <c r="A3171" s="3">
        <v>43402</v>
      </c>
      <c r="B3171">
        <v>3334.62</v>
      </c>
    </row>
    <row r="3172" spans="1:2" x14ac:dyDescent="0.25">
      <c r="A3172" s="3">
        <v>43403</v>
      </c>
      <c r="B3172">
        <v>3333.64</v>
      </c>
    </row>
    <row r="3173" spans="1:2" x14ac:dyDescent="0.25">
      <c r="A3173" s="3">
        <v>43404</v>
      </c>
      <c r="B3173">
        <v>3332.31</v>
      </c>
    </row>
    <row r="3174" spans="1:2" x14ac:dyDescent="0.25">
      <c r="A3174" s="3">
        <v>43405</v>
      </c>
      <c r="B3174">
        <v>3335.03</v>
      </c>
    </row>
    <row r="3175" spans="1:2" x14ac:dyDescent="0.25">
      <c r="A3175" s="3">
        <v>43406</v>
      </c>
      <c r="B3175">
        <v>3334.41</v>
      </c>
    </row>
    <row r="3176" spans="1:2" x14ac:dyDescent="0.25">
      <c r="A3176" s="3">
        <v>43409</v>
      </c>
      <c r="B3176">
        <v>3335.26</v>
      </c>
    </row>
    <row r="3177" spans="1:2" x14ac:dyDescent="0.25">
      <c r="A3177" s="3">
        <v>43410</v>
      </c>
      <c r="B3177">
        <v>3335.92</v>
      </c>
    </row>
    <row r="3178" spans="1:2" x14ac:dyDescent="0.25">
      <c r="A3178" s="3">
        <v>43411</v>
      </c>
      <c r="B3178">
        <v>3337.91</v>
      </c>
    </row>
    <row r="3179" spans="1:2" x14ac:dyDescent="0.25">
      <c r="A3179" s="3">
        <v>43412</v>
      </c>
      <c r="B3179">
        <v>3336.43</v>
      </c>
    </row>
    <row r="3180" spans="1:2" x14ac:dyDescent="0.25">
      <c r="A3180" s="3">
        <v>43413</v>
      </c>
      <c r="B3180">
        <v>3333.74</v>
      </c>
    </row>
    <row r="3181" spans="1:2" x14ac:dyDescent="0.25">
      <c r="A3181" s="3">
        <v>43416</v>
      </c>
      <c r="B3181">
        <v>3329.95</v>
      </c>
    </row>
    <row r="3182" spans="1:2" x14ac:dyDescent="0.25">
      <c r="A3182" s="3">
        <v>43417</v>
      </c>
      <c r="B3182">
        <v>3331.17</v>
      </c>
    </row>
    <row r="3183" spans="1:2" x14ac:dyDescent="0.25">
      <c r="A3183" s="3">
        <v>43418</v>
      </c>
      <c r="B3183">
        <v>3332.11</v>
      </c>
    </row>
    <row r="3184" spans="1:2" x14ac:dyDescent="0.25">
      <c r="A3184" s="3">
        <v>43419</v>
      </c>
      <c r="B3184">
        <v>3332.17</v>
      </c>
    </row>
    <row r="3185" spans="1:2" x14ac:dyDescent="0.25">
      <c r="A3185" s="3">
        <v>43420</v>
      </c>
      <c r="B3185">
        <v>3334.88</v>
      </c>
    </row>
    <row r="3186" spans="1:2" x14ac:dyDescent="0.25">
      <c r="A3186" s="3">
        <v>43423</v>
      </c>
      <c r="B3186">
        <v>3336.88</v>
      </c>
    </row>
    <row r="3187" spans="1:2" x14ac:dyDescent="0.25">
      <c r="A3187" s="3">
        <v>43424</v>
      </c>
      <c r="B3187">
        <v>3335.34</v>
      </c>
    </row>
    <row r="3188" spans="1:2" x14ac:dyDescent="0.25">
      <c r="A3188" s="3">
        <v>43425</v>
      </c>
      <c r="B3188">
        <v>3334.66</v>
      </c>
    </row>
    <row r="3189" spans="1:2" x14ac:dyDescent="0.25">
      <c r="A3189" s="3">
        <v>43427</v>
      </c>
      <c r="B3189">
        <v>3332.98</v>
      </c>
    </row>
    <row r="3190" spans="1:2" x14ac:dyDescent="0.25">
      <c r="A3190" s="3">
        <v>43430</v>
      </c>
      <c r="B3190">
        <v>3332.84</v>
      </c>
    </row>
    <row r="3191" spans="1:2" x14ac:dyDescent="0.25">
      <c r="A3191" s="3">
        <v>43431</v>
      </c>
      <c r="B3191">
        <v>3330.99</v>
      </c>
    </row>
    <row r="3192" spans="1:2" x14ac:dyDescent="0.25">
      <c r="A3192" s="3">
        <v>43432</v>
      </c>
      <c r="B3192">
        <v>3330.55</v>
      </c>
    </row>
    <row r="3193" spans="1:2" x14ac:dyDescent="0.25">
      <c r="A3193" s="3">
        <v>43433</v>
      </c>
      <c r="B3193">
        <v>3334.45</v>
      </c>
    </row>
    <row r="3194" spans="1:2" x14ac:dyDescent="0.25">
      <c r="A3194" s="3">
        <v>43434</v>
      </c>
      <c r="B3194">
        <v>3332.51</v>
      </c>
    </row>
    <row r="3195" spans="1:2" x14ac:dyDescent="0.25">
      <c r="A3195" s="3">
        <v>43437</v>
      </c>
      <c r="B3195">
        <v>3333.42</v>
      </c>
    </row>
    <row r="3196" spans="1:2" x14ac:dyDescent="0.25">
      <c r="A3196" s="3">
        <v>43438</v>
      </c>
      <c r="B3196">
        <v>3333.55</v>
      </c>
    </row>
    <row r="3197" spans="1:2" x14ac:dyDescent="0.25">
      <c r="A3197" s="3">
        <v>43440</v>
      </c>
      <c r="B3197">
        <v>3334.46</v>
      </c>
    </row>
    <row r="3198" spans="1:2" x14ac:dyDescent="0.25">
      <c r="A3198" s="3">
        <v>43441</v>
      </c>
      <c r="B3198">
        <v>3334.72</v>
      </c>
    </row>
    <row r="3199" spans="1:2" x14ac:dyDescent="0.25">
      <c r="A3199" s="3">
        <v>43444</v>
      </c>
      <c r="B3199">
        <v>3333.75</v>
      </c>
    </row>
    <row r="3200" spans="1:2" x14ac:dyDescent="0.25">
      <c r="A3200" s="3">
        <v>43445</v>
      </c>
      <c r="B3200">
        <v>3332.03</v>
      </c>
    </row>
    <row r="3201" spans="1:2" x14ac:dyDescent="0.25">
      <c r="A3201" s="3">
        <v>43446</v>
      </c>
      <c r="B3201">
        <v>3333.71</v>
      </c>
    </row>
    <row r="3202" spans="1:2" x14ac:dyDescent="0.25">
      <c r="A3202" s="3">
        <v>43447</v>
      </c>
      <c r="B3202">
        <v>3333</v>
      </c>
    </row>
    <row r="3203" spans="1:2" x14ac:dyDescent="0.25">
      <c r="A3203" s="3">
        <v>43448</v>
      </c>
      <c r="B3203">
        <v>3331.15</v>
      </c>
    </row>
    <row r="3204" spans="1:2" x14ac:dyDescent="0.25">
      <c r="A3204" s="3">
        <v>43451</v>
      </c>
      <c r="B3204">
        <v>3332.56</v>
      </c>
    </row>
    <row r="3205" spans="1:2" x14ac:dyDescent="0.25">
      <c r="A3205" s="3">
        <v>43452</v>
      </c>
      <c r="B3205">
        <v>3333.48</v>
      </c>
    </row>
    <row r="3206" spans="1:2" x14ac:dyDescent="0.25">
      <c r="A3206" s="3">
        <v>43453</v>
      </c>
      <c r="B3206">
        <v>3335.48</v>
      </c>
    </row>
    <row r="3207" spans="1:2" x14ac:dyDescent="0.25">
      <c r="A3207" s="3">
        <v>43454</v>
      </c>
      <c r="B3207">
        <v>3335.2</v>
      </c>
    </row>
    <row r="3208" spans="1:2" x14ac:dyDescent="0.25">
      <c r="A3208" s="3">
        <v>43455</v>
      </c>
      <c r="B3208">
        <v>3335.14</v>
      </c>
    </row>
    <row r="3209" spans="1:2" x14ac:dyDescent="0.25">
      <c r="A3209" s="3">
        <v>43458</v>
      </c>
      <c r="B3209">
        <v>3335.16</v>
      </c>
    </row>
    <row r="3210" spans="1:2" x14ac:dyDescent="0.25">
      <c r="A3210" s="3">
        <v>43460</v>
      </c>
      <c r="B3210">
        <v>3334.87</v>
      </c>
    </row>
    <row r="3211" spans="1:2" x14ac:dyDescent="0.25">
      <c r="A3211" s="3">
        <v>43461</v>
      </c>
      <c r="B3211">
        <v>3334.61</v>
      </c>
    </row>
    <row r="3212" spans="1:2" x14ac:dyDescent="0.25">
      <c r="A3212" s="3">
        <v>43462</v>
      </c>
      <c r="B3212">
        <v>3335.81</v>
      </c>
    </row>
    <row r="3213" spans="1:2" x14ac:dyDescent="0.25">
      <c r="A3213" s="3">
        <v>43465</v>
      </c>
      <c r="B3213">
        <v>3317.38</v>
      </c>
    </row>
    <row r="3214" spans="1:2" x14ac:dyDescent="0.25">
      <c r="A3214" s="3">
        <v>43467</v>
      </c>
      <c r="B3214">
        <v>3314.28</v>
      </c>
    </row>
    <row r="3215" spans="1:2" x14ac:dyDescent="0.25">
      <c r="A3215" s="3">
        <v>43468</v>
      </c>
      <c r="B3215">
        <v>3315.67</v>
      </c>
    </row>
    <row r="3216" spans="1:2" x14ac:dyDescent="0.25">
      <c r="A3216" s="3">
        <v>43469</v>
      </c>
      <c r="B3216">
        <v>3316.71</v>
      </c>
    </row>
    <row r="3217" spans="1:2" x14ac:dyDescent="0.25">
      <c r="A3217" s="3">
        <v>43472</v>
      </c>
      <c r="B3217">
        <v>3318.74</v>
      </c>
    </row>
    <row r="3218" spans="1:2" x14ac:dyDescent="0.25">
      <c r="A3218" s="3">
        <v>43473</v>
      </c>
      <c r="B3218">
        <v>3317.92</v>
      </c>
    </row>
    <row r="3219" spans="1:2" x14ac:dyDescent="0.25">
      <c r="A3219" s="3">
        <v>43474</v>
      </c>
      <c r="B3219">
        <v>3320.55</v>
      </c>
    </row>
    <row r="3220" spans="1:2" x14ac:dyDescent="0.25">
      <c r="A3220" s="3">
        <v>43475</v>
      </c>
      <c r="B3220">
        <v>3321.03</v>
      </c>
    </row>
    <row r="3221" spans="1:2" x14ac:dyDescent="0.25">
      <c r="A3221" s="3">
        <v>43476</v>
      </c>
      <c r="B3221">
        <v>3319.51</v>
      </c>
    </row>
    <row r="3222" spans="1:2" x14ac:dyDescent="0.25">
      <c r="A3222" s="3">
        <v>43479</v>
      </c>
      <c r="B3222">
        <v>3319.32</v>
      </c>
    </row>
    <row r="3223" spans="1:2" x14ac:dyDescent="0.25">
      <c r="A3223" s="3">
        <v>43480</v>
      </c>
      <c r="B3223">
        <v>3317.85</v>
      </c>
    </row>
    <row r="3224" spans="1:2" x14ac:dyDescent="0.25">
      <c r="A3224" s="3">
        <v>43481</v>
      </c>
      <c r="B3224">
        <v>3316.51</v>
      </c>
    </row>
    <row r="3225" spans="1:2" x14ac:dyDescent="0.25">
      <c r="A3225" s="3">
        <v>43482</v>
      </c>
      <c r="B3225">
        <v>3316.01</v>
      </c>
    </row>
    <row r="3226" spans="1:2" x14ac:dyDescent="0.25">
      <c r="A3226" s="3">
        <v>43483</v>
      </c>
      <c r="B3226">
        <v>3315.57</v>
      </c>
    </row>
    <row r="3227" spans="1:2" x14ac:dyDescent="0.25">
      <c r="A3227" s="3">
        <v>43487</v>
      </c>
      <c r="B3227">
        <v>3315.22</v>
      </c>
    </row>
    <row r="3228" spans="1:2" x14ac:dyDescent="0.25">
      <c r="A3228" s="3">
        <v>43488</v>
      </c>
      <c r="B3228">
        <v>3316.22</v>
      </c>
    </row>
    <row r="3229" spans="1:2" x14ac:dyDescent="0.25">
      <c r="A3229" s="3">
        <v>43489</v>
      </c>
      <c r="B3229">
        <v>3315.23</v>
      </c>
    </row>
    <row r="3230" spans="1:2" x14ac:dyDescent="0.25">
      <c r="A3230" s="3">
        <v>43490</v>
      </c>
      <c r="B3230">
        <v>3317.17</v>
      </c>
    </row>
    <row r="3231" spans="1:2" x14ac:dyDescent="0.25">
      <c r="A3231" s="3">
        <v>43493</v>
      </c>
      <c r="B3231">
        <v>3318.51</v>
      </c>
    </row>
    <row r="3232" spans="1:2" x14ac:dyDescent="0.25">
      <c r="A3232" s="3">
        <v>43494</v>
      </c>
      <c r="B3232">
        <v>3317.73</v>
      </c>
    </row>
    <row r="3233" spans="1:2" x14ac:dyDescent="0.25">
      <c r="A3233" s="3">
        <v>43495</v>
      </c>
      <c r="B3233">
        <v>3318.03</v>
      </c>
    </row>
    <row r="3234" spans="1:2" x14ac:dyDescent="0.25">
      <c r="A3234" s="3">
        <v>43496</v>
      </c>
      <c r="B3234">
        <v>3321.31</v>
      </c>
    </row>
    <row r="3235" spans="1:2" x14ac:dyDescent="0.25">
      <c r="A3235" s="3">
        <v>43497</v>
      </c>
      <c r="B3235">
        <v>3320.91</v>
      </c>
    </row>
    <row r="3236" spans="1:2" x14ac:dyDescent="0.25">
      <c r="A3236" s="3">
        <v>43500</v>
      </c>
      <c r="B3236">
        <v>3319.37</v>
      </c>
    </row>
    <row r="3237" spans="1:2" x14ac:dyDescent="0.25">
      <c r="A3237" s="3">
        <v>43501</v>
      </c>
      <c r="B3237">
        <v>3318.46</v>
      </c>
    </row>
    <row r="3238" spans="1:2" x14ac:dyDescent="0.25">
      <c r="A3238" s="3">
        <v>43502</v>
      </c>
      <c r="B3238">
        <v>3317.2</v>
      </c>
    </row>
    <row r="3239" spans="1:2" x14ac:dyDescent="0.25">
      <c r="A3239" s="3">
        <v>43503</v>
      </c>
      <c r="B3239">
        <v>3316.33</v>
      </c>
    </row>
    <row r="3240" spans="1:2" x14ac:dyDescent="0.25">
      <c r="A3240" s="3">
        <v>43504</v>
      </c>
      <c r="B3240">
        <v>3315.22</v>
      </c>
    </row>
    <row r="3241" spans="1:2" x14ac:dyDescent="0.25">
      <c r="A3241" s="3">
        <v>43507</v>
      </c>
      <c r="B3241">
        <v>3313.13</v>
      </c>
    </row>
    <row r="3242" spans="1:2" x14ac:dyDescent="0.25">
      <c r="A3242" s="3">
        <v>43508</v>
      </c>
      <c r="B3242">
        <v>3314.06</v>
      </c>
    </row>
    <row r="3243" spans="1:2" x14ac:dyDescent="0.25">
      <c r="A3243" s="3">
        <v>43509</v>
      </c>
      <c r="B3243">
        <v>3313.66</v>
      </c>
    </row>
    <row r="3244" spans="1:2" x14ac:dyDescent="0.25">
      <c r="A3244" s="3">
        <v>43510</v>
      </c>
      <c r="B3244">
        <v>3312.97</v>
      </c>
    </row>
    <row r="3245" spans="1:2" x14ac:dyDescent="0.25">
      <c r="A3245" s="3">
        <v>43511</v>
      </c>
      <c r="B3245">
        <v>3312.74</v>
      </c>
    </row>
    <row r="3246" spans="1:2" x14ac:dyDescent="0.25">
      <c r="A3246" s="3">
        <v>43515</v>
      </c>
      <c r="B3246">
        <v>3315.68</v>
      </c>
    </row>
    <row r="3247" spans="1:2" x14ac:dyDescent="0.25">
      <c r="A3247" s="3">
        <v>43516</v>
      </c>
      <c r="B3247">
        <v>3316.31</v>
      </c>
    </row>
    <row r="3248" spans="1:2" x14ac:dyDescent="0.25">
      <c r="A3248" s="3">
        <v>43517</v>
      </c>
      <c r="B3248">
        <v>3316.13</v>
      </c>
    </row>
    <row r="3249" spans="1:2" x14ac:dyDescent="0.25">
      <c r="A3249" s="3">
        <v>43518</v>
      </c>
      <c r="B3249">
        <v>3315.89</v>
      </c>
    </row>
    <row r="3250" spans="1:2" x14ac:dyDescent="0.25">
      <c r="A3250" s="3">
        <v>43521</v>
      </c>
      <c r="B3250">
        <v>3316.26</v>
      </c>
    </row>
    <row r="3251" spans="1:2" x14ac:dyDescent="0.25">
      <c r="A3251" s="3">
        <v>43522</v>
      </c>
      <c r="B3251">
        <v>3316.97</v>
      </c>
    </row>
    <row r="3252" spans="1:2" x14ac:dyDescent="0.25">
      <c r="A3252" s="3">
        <v>43523</v>
      </c>
      <c r="B3252">
        <v>3318</v>
      </c>
    </row>
    <row r="3253" spans="1:2" x14ac:dyDescent="0.25">
      <c r="A3253" s="3">
        <v>43524</v>
      </c>
      <c r="B3253">
        <v>3318.03</v>
      </c>
    </row>
    <row r="3254" spans="1:2" x14ac:dyDescent="0.25">
      <c r="A3254" s="3">
        <v>43525</v>
      </c>
      <c r="B3254">
        <v>3317.89</v>
      </c>
    </row>
    <row r="3255" spans="1:2" x14ac:dyDescent="0.25">
      <c r="A3255" s="3">
        <v>43528</v>
      </c>
      <c r="B3255">
        <v>3315.33</v>
      </c>
    </row>
    <row r="3256" spans="1:2" x14ac:dyDescent="0.25">
      <c r="A3256" s="3">
        <v>43529</v>
      </c>
      <c r="B3256">
        <v>3314.61</v>
      </c>
    </row>
    <row r="3257" spans="1:2" x14ac:dyDescent="0.25">
      <c r="A3257" s="3">
        <v>43530</v>
      </c>
      <c r="B3257">
        <v>3315.07</v>
      </c>
    </row>
    <row r="3258" spans="1:2" x14ac:dyDescent="0.25">
      <c r="A3258" s="3">
        <v>43531</v>
      </c>
      <c r="B3258">
        <v>3311.84</v>
      </c>
    </row>
    <row r="3259" spans="1:2" x14ac:dyDescent="0.25">
      <c r="A3259" s="3">
        <v>43532</v>
      </c>
      <c r="B3259">
        <v>3311.77</v>
      </c>
    </row>
    <row r="3260" spans="1:2" x14ac:dyDescent="0.25">
      <c r="A3260" s="3">
        <v>43535</v>
      </c>
      <c r="B3260">
        <v>3311.58</v>
      </c>
    </row>
    <row r="3261" spans="1:2" x14ac:dyDescent="0.25">
      <c r="A3261" s="3">
        <v>43536</v>
      </c>
      <c r="B3261">
        <v>3313.47</v>
      </c>
    </row>
    <row r="3262" spans="1:2" x14ac:dyDescent="0.25">
      <c r="A3262" s="3">
        <v>43537</v>
      </c>
      <c r="B3262">
        <v>3315.01</v>
      </c>
    </row>
    <row r="3263" spans="1:2" x14ac:dyDescent="0.25">
      <c r="A3263" s="3">
        <v>43538</v>
      </c>
      <c r="B3263">
        <v>3314.88</v>
      </c>
    </row>
    <row r="3264" spans="1:2" x14ac:dyDescent="0.25">
      <c r="A3264" s="3">
        <v>43539</v>
      </c>
      <c r="B3264">
        <v>3315.71</v>
      </c>
    </row>
    <row r="3265" spans="1:2" x14ac:dyDescent="0.25">
      <c r="A3265" s="3">
        <v>43542</v>
      </c>
      <c r="B3265">
        <v>3316.04</v>
      </c>
    </row>
    <row r="3266" spans="1:2" x14ac:dyDescent="0.25">
      <c r="A3266" s="3">
        <v>43543</v>
      </c>
      <c r="B3266">
        <v>3316.47</v>
      </c>
    </row>
    <row r="3267" spans="1:2" x14ac:dyDescent="0.25">
      <c r="A3267" s="3">
        <v>43544</v>
      </c>
      <c r="B3267">
        <v>3316.51</v>
      </c>
    </row>
    <row r="3268" spans="1:2" x14ac:dyDescent="0.25">
      <c r="A3268" s="3">
        <v>43545</v>
      </c>
      <c r="B3268">
        <v>3316.63</v>
      </c>
    </row>
    <row r="3269" spans="1:2" x14ac:dyDescent="0.25">
      <c r="A3269" s="3">
        <v>43546</v>
      </c>
      <c r="B3269">
        <v>3314.04</v>
      </c>
    </row>
    <row r="3270" spans="1:2" x14ac:dyDescent="0.25">
      <c r="A3270" s="3">
        <v>43549</v>
      </c>
      <c r="B3270">
        <v>3315.49</v>
      </c>
    </row>
    <row r="3271" spans="1:2" x14ac:dyDescent="0.25">
      <c r="A3271" s="3">
        <v>43550</v>
      </c>
      <c r="B3271">
        <v>3314.01</v>
      </c>
    </row>
    <row r="3272" spans="1:2" x14ac:dyDescent="0.25">
      <c r="A3272" s="3">
        <v>43551</v>
      </c>
      <c r="B3272">
        <v>3312.8</v>
      </c>
    </row>
    <row r="3273" spans="1:2" x14ac:dyDescent="0.25">
      <c r="A3273" s="3">
        <v>43552</v>
      </c>
      <c r="B3273">
        <v>3311.99</v>
      </c>
    </row>
    <row r="3274" spans="1:2" x14ac:dyDescent="0.25">
      <c r="A3274" s="3">
        <v>43553</v>
      </c>
      <c r="B3274">
        <v>3311.77</v>
      </c>
    </row>
    <row r="3275" spans="1:2" x14ac:dyDescent="0.25">
      <c r="A3275" s="3">
        <v>43556</v>
      </c>
      <c r="B3275">
        <v>3441.69</v>
      </c>
    </row>
    <row r="3276" spans="1:2" x14ac:dyDescent="0.25">
      <c r="A3276" s="3">
        <v>43557</v>
      </c>
      <c r="B3276">
        <v>3440.22</v>
      </c>
    </row>
    <row r="3277" spans="1:2" x14ac:dyDescent="0.25">
      <c r="A3277" s="3">
        <v>43558</v>
      </c>
      <c r="B3277">
        <v>3442.03</v>
      </c>
    </row>
    <row r="3278" spans="1:2" x14ac:dyDescent="0.25">
      <c r="A3278" s="3">
        <v>43559</v>
      </c>
      <c r="B3278">
        <v>3441.37</v>
      </c>
    </row>
    <row r="3279" spans="1:2" x14ac:dyDescent="0.25">
      <c r="A3279" s="3">
        <v>43560</v>
      </c>
      <c r="B3279">
        <v>3441.45</v>
      </c>
    </row>
    <row r="3280" spans="1:2" x14ac:dyDescent="0.25">
      <c r="A3280" s="3">
        <v>43563</v>
      </c>
      <c r="B3280">
        <v>3443</v>
      </c>
    </row>
    <row r="3281" spans="1:2" x14ac:dyDescent="0.25">
      <c r="A3281" s="3">
        <v>43564</v>
      </c>
      <c r="B3281">
        <v>3443.46</v>
      </c>
    </row>
    <row r="3282" spans="1:2" x14ac:dyDescent="0.25">
      <c r="A3282" s="3">
        <v>43565</v>
      </c>
      <c r="B3282">
        <v>3442.74</v>
      </c>
    </row>
    <row r="3283" spans="1:2" x14ac:dyDescent="0.25">
      <c r="A3283" s="3">
        <v>43566</v>
      </c>
      <c r="B3283">
        <v>3443.54</v>
      </c>
    </row>
    <row r="3284" spans="1:2" x14ac:dyDescent="0.25">
      <c r="A3284" s="3">
        <v>43567</v>
      </c>
      <c r="B3284">
        <v>3445.14</v>
      </c>
    </row>
    <row r="3285" spans="1:2" x14ac:dyDescent="0.25">
      <c r="A3285" s="3">
        <v>43570</v>
      </c>
      <c r="B3285">
        <v>3444.99</v>
      </c>
    </row>
    <row r="3286" spans="1:2" x14ac:dyDescent="0.25">
      <c r="A3286" s="3">
        <v>43571</v>
      </c>
      <c r="B3286">
        <v>3444.51</v>
      </c>
    </row>
    <row r="3287" spans="1:2" x14ac:dyDescent="0.25">
      <c r="A3287" s="3">
        <v>43572</v>
      </c>
      <c r="B3287">
        <v>3444.6</v>
      </c>
    </row>
    <row r="3288" spans="1:2" x14ac:dyDescent="0.25">
      <c r="A3288" s="3">
        <v>43573</v>
      </c>
      <c r="B3288">
        <v>3442.25</v>
      </c>
    </row>
    <row r="3289" spans="1:2" x14ac:dyDescent="0.25">
      <c r="A3289" s="3">
        <v>43577</v>
      </c>
      <c r="B3289">
        <v>3442.6</v>
      </c>
    </row>
    <row r="3290" spans="1:2" x14ac:dyDescent="0.25">
      <c r="A3290" s="3">
        <v>43578</v>
      </c>
      <c r="B3290">
        <v>3440.65</v>
      </c>
    </row>
    <row r="3291" spans="1:2" x14ac:dyDescent="0.25">
      <c r="A3291" s="3">
        <v>43579</v>
      </c>
      <c r="B3291">
        <v>3440.42</v>
      </c>
    </row>
    <row r="3292" spans="1:2" x14ac:dyDescent="0.25">
      <c r="A3292" s="3">
        <v>43580</v>
      </c>
      <c r="B3292">
        <v>3438.09</v>
      </c>
    </row>
    <row r="3293" spans="1:2" x14ac:dyDescent="0.25">
      <c r="A3293" s="3">
        <v>43581</v>
      </c>
      <c r="B3293">
        <v>3438.89</v>
      </c>
    </row>
    <row r="3294" spans="1:2" x14ac:dyDescent="0.25">
      <c r="A3294" s="3">
        <v>43584</v>
      </c>
      <c r="B3294">
        <v>3439</v>
      </c>
    </row>
    <row r="3295" spans="1:2" x14ac:dyDescent="0.25">
      <c r="A3295" s="3">
        <v>43585</v>
      </c>
      <c r="B3295">
        <v>3440.81</v>
      </c>
    </row>
    <row r="3296" spans="1:2" x14ac:dyDescent="0.25">
      <c r="A3296" s="3">
        <v>43586</v>
      </c>
      <c r="B3296">
        <v>3442.16</v>
      </c>
    </row>
    <row r="3297" spans="1:2" x14ac:dyDescent="0.25">
      <c r="A3297" s="3">
        <v>43587</v>
      </c>
      <c r="B3297">
        <v>3439.85</v>
      </c>
    </row>
    <row r="3298" spans="1:2" x14ac:dyDescent="0.25">
      <c r="A3298" s="3">
        <v>43588</v>
      </c>
      <c r="B3298">
        <v>3440.21</v>
      </c>
    </row>
    <row r="3299" spans="1:2" x14ac:dyDescent="0.25">
      <c r="A3299" s="3">
        <v>43591</v>
      </c>
      <c r="B3299">
        <v>3440.4</v>
      </c>
    </row>
    <row r="3300" spans="1:2" x14ac:dyDescent="0.25">
      <c r="A3300" s="3">
        <v>43592</v>
      </c>
      <c r="B3300">
        <v>3440.06</v>
      </c>
    </row>
    <row r="3301" spans="1:2" x14ac:dyDescent="0.25">
      <c r="A3301" s="3">
        <v>43593</v>
      </c>
      <c r="B3301">
        <v>3440.5</v>
      </c>
    </row>
    <row r="3302" spans="1:2" x14ac:dyDescent="0.25">
      <c r="A3302" s="3">
        <v>43594</v>
      </c>
      <c r="B3302">
        <v>3441.51</v>
      </c>
    </row>
    <row r="3303" spans="1:2" x14ac:dyDescent="0.25">
      <c r="A3303" s="3">
        <v>43595</v>
      </c>
      <c r="B3303">
        <v>3442.11</v>
      </c>
    </row>
    <row r="3304" spans="1:2" x14ac:dyDescent="0.25">
      <c r="A3304" s="3">
        <v>43598</v>
      </c>
      <c r="B3304">
        <v>3441.93</v>
      </c>
    </row>
    <row r="3305" spans="1:2" x14ac:dyDescent="0.25">
      <c r="A3305" s="3">
        <v>43599</v>
      </c>
      <c r="B3305">
        <v>3440.62</v>
      </c>
    </row>
    <row r="3306" spans="1:2" x14ac:dyDescent="0.25">
      <c r="A3306" s="3">
        <v>43600</v>
      </c>
      <c r="B3306">
        <v>3440.29</v>
      </c>
    </row>
    <row r="3307" spans="1:2" x14ac:dyDescent="0.25">
      <c r="A3307" s="3">
        <v>43601</v>
      </c>
      <c r="B3307">
        <v>3439.07</v>
      </c>
    </row>
    <row r="3308" spans="1:2" x14ac:dyDescent="0.25">
      <c r="A3308" s="3">
        <v>43602</v>
      </c>
      <c r="B3308">
        <v>3438.16</v>
      </c>
    </row>
    <row r="3309" spans="1:2" x14ac:dyDescent="0.25">
      <c r="A3309" s="3">
        <v>43605</v>
      </c>
      <c r="B3309">
        <v>3438.41</v>
      </c>
    </row>
    <row r="3310" spans="1:2" x14ac:dyDescent="0.25">
      <c r="A3310" s="3">
        <v>43606</v>
      </c>
      <c r="B3310">
        <v>3439.09</v>
      </c>
    </row>
    <row r="3311" spans="1:2" x14ac:dyDescent="0.25">
      <c r="A3311" s="3">
        <v>43607</v>
      </c>
      <c r="B3311">
        <v>3437.82</v>
      </c>
    </row>
    <row r="3312" spans="1:2" x14ac:dyDescent="0.25">
      <c r="A3312" s="3">
        <v>43608</v>
      </c>
      <c r="B3312">
        <v>3437.71</v>
      </c>
    </row>
    <row r="3313" spans="1:2" x14ac:dyDescent="0.25">
      <c r="A3313" s="3">
        <v>43609</v>
      </c>
      <c r="B3313">
        <v>3439.83</v>
      </c>
    </row>
    <row r="3314" spans="1:2" x14ac:dyDescent="0.25">
      <c r="A3314" s="3">
        <v>43613</v>
      </c>
      <c r="B3314">
        <v>3438.7</v>
      </c>
    </row>
    <row r="3315" spans="1:2" x14ac:dyDescent="0.25">
      <c r="A3315" s="3">
        <v>43614</v>
      </c>
      <c r="B3315">
        <v>3437.41</v>
      </c>
    </row>
    <row r="3316" spans="1:2" x14ac:dyDescent="0.25">
      <c r="A3316" s="3">
        <v>43615</v>
      </c>
      <c r="B3316">
        <v>3436.74</v>
      </c>
    </row>
    <row r="3317" spans="1:2" x14ac:dyDescent="0.25">
      <c r="A3317" s="3">
        <v>43616</v>
      </c>
      <c r="B3317">
        <v>3437.12</v>
      </c>
    </row>
    <row r="3318" spans="1:2" x14ac:dyDescent="0.25">
      <c r="A3318" s="3">
        <v>43619</v>
      </c>
      <c r="B3318">
        <v>3439.39</v>
      </c>
    </row>
    <row r="3319" spans="1:2" x14ac:dyDescent="0.25">
      <c r="A3319" s="3">
        <v>43620</v>
      </c>
      <c r="B3319">
        <v>3440.7</v>
      </c>
    </row>
    <row r="3320" spans="1:2" x14ac:dyDescent="0.25">
      <c r="A3320" s="3">
        <v>43621</v>
      </c>
      <c r="B3320">
        <v>3441.92</v>
      </c>
    </row>
    <row r="3321" spans="1:2" x14ac:dyDescent="0.25">
      <c r="A3321" s="3">
        <v>43622</v>
      </c>
      <c r="B3321">
        <v>3442.64</v>
      </c>
    </row>
    <row r="3322" spans="1:2" x14ac:dyDescent="0.25">
      <c r="A3322" s="3">
        <v>43623</v>
      </c>
      <c r="B3322">
        <v>3444.85</v>
      </c>
    </row>
    <row r="3323" spans="1:2" x14ac:dyDescent="0.25">
      <c r="A3323" s="3">
        <v>43626</v>
      </c>
      <c r="B3323">
        <v>3443.79</v>
      </c>
    </row>
    <row r="3324" spans="1:2" x14ac:dyDescent="0.25">
      <c r="A3324" s="3">
        <v>43627</v>
      </c>
      <c r="B3324">
        <v>3443.81</v>
      </c>
    </row>
    <row r="3325" spans="1:2" x14ac:dyDescent="0.25">
      <c r="A3325" s="3">
        <v>43628</v>
      </c>
      <c r="B3325">
        <v>3444.05</v>
      </c>
    </row>
    <row r="3326" spans="1:2" x14ac:dyDescent="0.25">
      <c r="A3326" s="3">
        <v>43629</v>
      </c>
      <c r="B3326">
        <v>3442.11</v>
      </c>
    </row>
    <row r="3327" spans="1:2" x14ac:dyDescent="0.25">
      <c r="A3327" s="3">
        <v>43630</v>
      </c>
      <c r="B3327">
        <v>3440.13</v>
      </c>
    </row>
    <row r="3328" spans="1:2" x14ac:dyDescent="0.25">
      <c r="A3328" s="3">
        <v>43633</v>
      </c>
      <c r="B3328">
        <v>3440.02</v>
      </c>
    </row>
    <row r="3329" spans="1:2" x14ac:dyDescent="0.25">
      <c r="A3329" s="3">
        <v>43634</v>
      </c>
      <c r="B3329">
        <v>3438.5</v>
      </c>
    </row>
    <row r="3330" spans="1:2" x14ac:dyDescent="0.25">
      <c r="A3330" s="3">
        <v>43635</v>
      </c>
      <c r="B3330">
        <v>3439.8</v>
      </c>
    </row>
    <row r="3331" spans="1:2" x14ac:dyDescent="0.25">
      <c r="A3331" s="3">
        <v>43636</v>
      </c>
      <c r="B3331">
        <v>3442.88</v>
      </c>
    </row>
    <row r="3332" spans="1:2" x14ac:dyDescent="0.25">
      <c r="A3332" s="3">
        <v>43637</v>
      </c>
      <c r="B3332">
        <v>3443.98</v>
      </c>
    </row>
    <row r="3333" spans="1:2" x14ac:dyDescent="0.25">
      <c r="A3333" s="3">
        <v>43640</v>
      </c>
      <c r="B3333">
        <v>3446.69</v>
      </c>
    </row>
    <row r="3334" spans="1:2" x14ac:dyDescent="0.25">
      <c r="A3334" s="3">
        <v>43641</v>
      </c>
      <c r="B3334">
        <v>3446.46</v>
      </c>
    </row>
    <row r="3335" spans="1:2" x14ac:dyDescent="0.25">
      <c r="A3335" s="3">
        <v>43642</v>
      </c>
      <c r="B3335">
        <v>3446.16</v>
      </c>
    </row>
    <row r="3336" spans="1:2" x14ac:dyDescent="0.25">
      <c r="A3336" s="3">
        <v>43643</v>
      </c>
      <c r="B3336">
        <v>3445.88</v>
      </c>
    </row>
    <row r="3337" spans="1:2" x14ac:dyDescent="0.25">
      <c r="A3337" s="3">
        <v>43644</v>
      </c>
      <c r="B3337">
        <v>3446.73</v>
      </c>
    </row>
    <row r="3338" spans="1:2" x14ac:dyDescent="0.25">
      <c r="A3338" s="3">
        <v>43647</v>
      </c>
      <c r="B3338">
        <v>3553.27</v>
      </c>
    </row>
    <row r="3339" spans="1:2" x14ac:dyDescent="0.25">
      <c r="A3339" s="3">
        <v>43648</v>
      </c>
      <c r="B3339">
        <v>3552.06</v>
      </c>
    </row>
    <row r="3340" spans="1:2" x14ac:dyDescent="0.25">
      <c r="A3340" s="3">
        <v>43649</v>
      </c>
      <c r="B3340">
        <v>3551.56</v>
      </c>
    </row>
    <row r="3341" spans="1:2" x14ac:dyDescent="0.25">
      <c r="A3341" s="3">
        <v>43651</v>
      </c>
      <c r="B3341">
        <v>3549.08</v>
      </c>
    </row>
    <row r="3342" spans="1:2" x14ac:dyDescent="0.25">
      <c r="A3342" s="3">
        <v>43654</v>
      </c>
      <c r="B3342">
        <v>3548.83</v>
      </c>
    </row>
    <row r="3343" spans="1:2" x14ac:dyDescent="0.25">
      <c r="A3343" s="3">
        <v>43655</v>
      </c>
      <c r="B3343">
        <v>3548.32</v>
      </c>
    </row>
    <row r="3344" spans="1:2" x14ac:dyDescent="0.25">
      <c r="A3344" s="3">
        <v>43656</v>
      </c>
      <c r="B3344">
        <v>3550.13</v>
      </c>
    </row>
    <row r="3345" spans="1:2" x14ac:dyDescent="0.25">
      <c r="A3345" s="3">
        <v>43657</v>
      </c>
      <c r="B3345">
        <v>3550.35</v>
      </c>
    </row>
    <row r="3346" spans="1:2" x14ac:dyDescent="0.25">
      <c r="A3346" s="3">
        <v>43658</v>
      </c>
      <c r="B3346">
        <v>3550.43</v>
      </c>
    </row>
    <row r="3347" spans="1:2" x14ac:dyDescent="0.25">
      <c r="A3347" s="3">
        <v>43661</v>
      </c>
      <c r="B3347">
        <v>3550.72</v>
      </c>
    </row>
    <row r="3348" spans="1:2" x14ac:dyDescent="0.25">
      <c r="A3348" s="3">
        <v>43662</v>
      </c>
      <c r="B3348">
        <v>3549.06</v>
      </c>
    </row>
    <row r="3349" spans="1:2" x14ac:dyDescent="0.25">
      <c r="A3349" s="3">
        <v>43663</v>
      </c>
      <c r="B3349">
        <v>3549.13</v>
      </c>
    </row>
    <row r="3350" spans="1:2" x14ac:dyDescent="0.25">
      <c r="A3350" s="3">
        <v>43664</v>
      </c>
      <c r="B3350">
        <v>3549.04</v>
      </c>
    </row>
    <row r="3351" spans="1:2" x14ac:dyDescent="0.25">
      <c r="A3351" s="3">
        <v>43665</v>
      </c>
      <c r="B3351">
        <v>3549.23</v>
      </c>
    </row>
    <row r="3352" spans="1:2" x14ac:dyDescent="0.25">
      <c r="A3352" s="3">
        <v>43668</v>
      </c>
      <c r="B3352">
        <v>3549.22</v>
      </c>
    </row>
    <row r="3353" spans="1:2" x14ac:dyDescent="0.25">
      <c r="A3353" s="3">
        <v>43669</v>
      </c>
      <c r="B3353">
        <v>3546.26</v>
      </c>
    </row>
    <row r="3354" spans="1:2" x14ac:dyDescent="0.25">
      <c r="A3354" s="3">
        <v>43670</v>
      </c>
      <c r="B3354">
        <v>3546.11</v>
      </c>
    </row>
    <row r="3355" spans="1:2" x14ac:dyDescent="0.25">
      <c r="A3355" s="3">
        <v>43671</v>
      </c>
      <c r="B3355">
        <v>3546.64</v>
      </c>
    </row>
    <row r="3356" spans="1:2" x14ac:dyDescent="0.25">
      <c r="A3356" s="3">
        <v>43672</v>
      </c>
      <c r="B3356">
        <v>3545.11</v>
      </c>
    </row>
    <row r="3357" spans="1:2" x14ac:dyDescent="0.25">
      <c r="A3357" s="3">
        <v>43675</v>
      </c>
      <c r="B3357">
        <v>3544.93</v>
      </c>
    </row>
    <row r="3358" spans="1:2" x14ac:dyDescent="0.25">
      <c r="A3358" s="3">
        <v>43676</v>
      </c>
      <c r="B3358">
        <v>3545.02</v>
      </c>
    </row>
    <row r="3359" spans="1:2" x14ac:dyDescent="0.25">
      <c r="A3359" s="3">
        <v>43677</v>
      </c>
      <c r="B3359">
        <v>3544.89</v>
      </c>
    </row>
    <row r="3360" spans="1:2" x14ac:dyDescent="0.25">
      <c r="A3360" s="3">
        <v>43678</v>
      </c>
      <c r="B3360">
        <v>3541.74</v>
      </c>
    </row>
    <row r="3361" spans="1:2" x14ac:dyDescent="0.25">
      <c r="A3361" s="3">
        <v>43679</v>
      </c>
      <c r="B3361">
        <v>3543.25</v>
      </c>
    </row>
    <row r="3362" spans="1:2" x14ac:dyDescent="0.25">
      <c r="A3362" s="3">
        <v>43682</v>
      </c>
      <c r="B3362">
        <v>3546.4</v>
      </c>
    </row>
    <row r="3363" spans="1:2" x14ac:dyDescent="0.25">
      <c r="A3363" s="3">
        <v>43683</v>
      </c>
      <c r="B3363">
        <v>3546.51</v>
      </c>
    </row>
    <row r="3364" spans="1:2" x14ac:dyDescent="0.25">
      <c r="A3364" s="3">
        <v>43684</v>
      </c>
      <c r="B3364">
        <v>3547.54</v>
      </c>
    </row>
    <row r="3365" spans="1:2" x14ac:dyDescent="0.25">
      <c r="A3365" s="3">
        <v>43685</v>
      </c>
      <c r="B3365">
        <v>3547</v>
      </c>
    </row>
    <row r="3366" spans="1:2" x14ac:dyDescent="0.25">
      <c r="A3366" s="3">
        <v>43686</v>
      </c>
      <c r="B3366">
        <v>3546.95</v>
      </c>
    </row>
    <row r="3367" spans="1:2" x14ac:dyDescent="0.25">
      <c r="A3367" s="3">
        <v>43689</v>
      </c>
      <c r="B3367">
        <v>3547.55</v>
      </c>
    </row>
    <row r="3368" spans="1:2" x14ac:dyDescent="0.25">
      <c r="A3368" s="3">
        <v>43690</v>
      </c>
      <c r="B3368">
        <v>3546.38</v>
      </c>
    </row>
    <row r="3369" spans="1:2" x14ac:dyDescent="0.25">
      <c r="A3369" s="3">
        <v>43691</v>
      </c>
      <c r="B3369">
        <v>3544.87</v>
      </c>
    </row>
    <row r="3370" spans="1:2" x14ac:dyDescent="0.25">
      <c r="A3370" s="3">
        <v>43692</v>
      </c>
      <c r="B3370">
        <v>3543.42</v>
      </c>
    </row>
    <row r="3371" spans="1:2" x14ac:dyDescent="0.25">
      <c r="A3371" s="3">
        <v>43693</v>
      </c>
      <c r="B3371">
        <v>3543.33</v>
      </c>
    </row>
    <row r="3372" spans="1:2" x14ac:dyDescent="0.25">
      <c r="A3372" s="3">
        <v>43696</v>
      </c>
      <c r="B3372">
        <v>3542.96</v>
      </c>
    </row>
    <row r="3373" spans="1:2" x14ac:dyDescent="0.25">
      <c r="A3373" s="3">
        <v>43697</v>
      </c>
      <c r="B3373">
        <v>3542.71</v>
      </c>
    </row>
    <row r="3374" spans="1:2" x14ac:dyDescent="0.25">
      <c r="A3374" s="3">
        <v>43698</v>
      </c>
      <c r="B3374">
        <v>3542.9</v>
      </c>
    </row>
    <row r="3375" spans="1:2" x14ac:dyDescent="0.25">
      <c r="A3375" s="3">
        <v>43699</v>
      </c>
      <c r="B3375">
        <v>3542.62</v>
      </c>
    </row>
    <row r="3376" spans="1:2" x14ac:dyDescent="0.25">
      <c r="A3376" s="3">
        <v>43700</v>
      </c>
      <c r="B3376">
        <v>3543.76</v>
      </c>
    </row>
    <row r="3377" spans="1:2" x14ac:dyDescent="0.25">
      <c r="A3377" s="3">
        <v>43703</v>
      </c>
      <c r="B3377">
        <v>3543.81</v>
      </c>
    </row>
    <row r="3378" spans="1:2" x14ac:dyDescent="0.25">
      <c r="A3378" s="3">
        <v>43704</v>
      </c>
      <c r="B3378">
        <v>3543.43</v>
      </c>
    </row>
    <row r="3379" spans="1:2" x14ac:dyDescent="0.25">
      <c r="A3379" s="3">
        <v>43705</v>
      </c>
      <c r="B3379">
        <v>3542.3</v>
      </c>
    </row>
    <row r="3380" spans="1:2" x14ac:dyDescent="0.25">
      <c r="A3380" s="3">
        <v>43706</v>
      </c>
      <c r="B3380">
        <v>3541.89</v>
      </c>
    </row>
    <row r="3381" spans="1:2" x14ac:dyDescent="0.25">
      <c r="A3381" s="3">
        <v>43707</v>
      </c>
      <c r="B3381">
        <v>3539.81</v>
      </c>
    </row>
    <row r="3382" spans="1:2" x14ac:dyDescent="0.25">
      <c r="A3382" s="3">
        <v>43711</v>
      </c>
      <c r="B3382">
        <v>3537.32</v>
      </c>
    </row>
    <row r="3383" spans="1:2" x14ac:dyDescent="0.25">
      <c r="A3383" s="3">
        <v>43712</v>
      </c>
      <c r="B3383">
        <v>3540.14</v>
      </c>
    </row>
    <row r="3384" spans="1:2" x14ac:dyDescent="0.25">
      <c r="A3384" s="3">
        <v>43713</v>
      </c>
      <c r="B3384">
        <v>3540.99</v>
      </c>
    </row>
    <row r="3385" spans="1:2" x14ac:dyDescent="0.25">
      <c r="A3385" s="3">
        <v>43714</v>
      </c>
      <c r="B3385">
        <v>3541.22</v>
      </c>
    </row>
    <row r="3386" spans="1:2" x14ac:dyDescent="0.25">
      <c r="A3386" s="3">
        <v>43717</v>
      </c>
      <c r="B3386">
        <v>3541.64</v>
      </c>
    </row>
    <row r="3387" spans="1:2" x14ac:dyDescent="0.25">
      <c r="A3387" s="3">
        <v>43718</v>
      </c>
      <c r="B3387">
        <v>3541.02</v>
      </c>
    </row>
    <row r="3388" spans="1:2" x14ac:dyDescent="0.25">
      <c r="A3388" s="3">
        <v>43719</v>
      </c>
      <c r="B3388">
        <v>3539.35</v>
      </c>
    </row>
    <row r="3389" spans="1:2" x14ac:dyDescent="0.25">
      <c r="A3389" s="3">
        <v>43720</v>
      </c>
      <c r="B3389">
        <v>3540.61</v>
      </c>
    </row>
    <row r="3390" spans="1:2" x14ac:dyDescent="0.25">
      <c r="A3390" s="3">
        <v>43721</v>
      </c>
      <c r="B3390">
        <v>3542.92</v>
      </c>
    </row>
    <row r="3391" spans="1:2" x14ac:dyDescent="0.25">
      <c r="A3391" s="3">
        <v>43724</v>
      </c>
      <c r="B3391">
        <v>3539.51</v>
      </c>
    </row>
    <row r="3392" spans="1:2" x14ac:dyDescent="0.25">
      <c r="A3392" s="3">
        <v>43725</v>
      </c>
      <c r="B3392">
        <v>3541.6</v>
      </c>
    </row>
    <row r="3393" spans="1:2" x14ac:dyDescent="0.25">
      <c r="A3393" s="3">
        <v>43726</v>
      </c>
      <c r="B3393">
        <v>3541.95</v>
      </c>
    </row>
    <row r="3394" spans="1:2" x14ac:dyDescent="0.25">
      <c r="A3394" s="3">
        <v>43727</v>
      </c>
      <c r="B3394">
        <v>3541.78</v>
      </c>
    </row>
    <row r="3395" spans="1:2" x14ac:dyDescent="0.25">
      <c r="A3395" s="3">
        <v>43728</v>
      </c>
      <c r="B3395">
        <v>3540.06</v>
      </c>
    </row>
    <row r="3396" spans="1:2" x14ac:dyDescent="0.25">
      <c r="A3396" s="3">
        <v>43731</v>
      </c>
      <c r="B3396">
        <v>3539.31</v>
      </c>
    </row>
    <row r="3397" spans="1:2" x14ac:dyDescent="0.25">
      <c r="A3397" s="3">
        <v>43732</v>
      </c>
      <c r="B3397">
        <v>3539.51</v>
      </c>
    </row>
    <row r="3398" spans="1:2" x14ac:dyDescent="0.25">
      <c r="A3398" s="3">
        <v>43733</v>
      </c>
      <c r="B3398">
        <v>3537.75</v>
      </c>
    </row>
    <row r="3399" spans="1:2" x14ac:dyDescent="0.25">
      <c r="A3399" s="3">
        <v>43734</v>
      </c>
      <c r="B3399">
        <v>3537.05</v>
      </c>
    </row>
    <row r="3400" spans="1:2" x14ac:dyDescent="0.25">
      <c r="A3400" s="3">
        <v>43735</v>
      </c>
      <c r="B3400">
        <v>3537.22</v>
      </c>
    </row>
    <row r="3401" spans="1:2" x14ac:dyDescent="0.25">
      <c r="A3401" s="3">
        <v>43738</v>
      </c>
      <c r="B3401">
        <v>3592.25</v>
      </c>
    </row>
    <row r="3402" spans="1:2" x14ac:dyDescent="0.25">
      <c r="A3402" s="3">
        <v>43739</v>
      </c>
      <c r="B3402">
        <v>3592.48</v>
      </c>
    </row>
    <row r="3403" spans="1:2" x14ac:dyDescent="0.25">
      <c r="A3403" s="3">
        <v>43740</v>
      </c>
      <c r="B3403">
        <v>3593.82</v>
      </c>
    </row>
    <row r="3404" spans="1:2" x14ac:dyDescent="0.25">
      <c r="A3404" s="3">
        <v>43741</v>
      </c>
      <c r="B3404">
        <v>3595.73</v>
      </c>
    </row>
    <row r="3405" spans="1:2" x14ac:dyDescent="0.25">
      <c r="A3405" s="3">
        <v>43742</v>
      </c>
      <c r="B3405">
        <v>3595.26</v>
      </c>
    </row>
    <row r="3406" spans="1:2" x14ac:dyDescent="0.25">
      <c r="A3406" s="3">
        <v>43745</v>
      </c>
      <c r="B3406">
        <v>3595.9</v>
      </c>
    </row>
    <row r="3407" spans="1:2" x14ac:dyDescent="0.25">
      <c r="A3407" s="3">
        <v>43746</v>
      </c>
      <c r="B3407">
        <v>3594.06</v>
      </c>
    </row>
    <row r="3408" spans="1:2" x14ac:dyDescent="0.25">
      <c r="A3408" s="3">
        <v>43747</v>
      </c>
      <c r="B3408">
        <v>3594.95</v>
      </c>
    </row>
    <row r="3409" spans="1:2" x14ac:dyDescent="0.25">
      <c r="A3409" s="3">
        <v>43748</v>
      </c>
      <c r="B3409">
        <v>3596.51</v>
      </c>
    </row>
    <row r="3410" spans="1:2" x14ac:dyDescent="0.25">
      <c r="A3410" s="3">
        <v>43749</v>
      </c>
      <c r="B3410">
        <v>3598.58</v>
      </c>
    </row>
    <row r="3411" spans="1:2" x14ac:dyDescent="0.25">
      <c r="A3411" s="3">
        <v>43752</v>
      </c>
      <c r="B3411">
        <v>3597.83</v>
      </c>
    </row>
    <row r="3412" spans="1:2" x14ac:dyDescent="0.25">
      <c r="A3412" s="3">
        <v>43753</v>
      </c>
      <c r="B3412">
        <v>3598.85</v>
      </c>
    </row>
    <row r="3413" spans="1:2" x14ac:dyDescent="0.25">
      <c r="A3413" s="3">
        <v>43754</v>
      </c>
      <c r="B3413">
        <v>3599.39</v>
      </c>
    </row>
    <row r="3414" spans="1:2" x14ac:dyDescent="0.25">
      <c r="A3414" s="3">
        <v>43755</v>
      </c>
      <c r="B3414">
        <v>3602.2</v>
      </c>
    </row>
    <row r="3415" spans="1:2" x14ac:dyDescent="0.25">
      <c r="A3415" s="3">
        <v>43756</v>
      </c>
      <c r="B3415">
        <v>3603.34</v>
      </c>
    </row>
    <row r="3416" spans="1:2" x14ac:dyDescent="0.25">
      <c r="A3416" s="3">
        <v>43759</v>
      </c>
      <c r="B3416">
        <v>3603.88</v>
      </c>
    </row>
    <row r="3417" spans="1:2" x14ac:dyDescent="0.25">
      <c r="A3417" s="3">
        <v>43760</v>
      </c>
      <c r="B3417">
        <v>3603.07</v>
      </c>
    </row>
    <row r="3418" spans="1:2" x14ac:dyDescent="0.25">
      <c r="A3418" s="3">
        <v>43761</v>
      </c>
      <c r="B3418">
        <v>3602.39</v>
      </c>
    </row>
    <row r="3419" spans="1:2" x14ac:dyDescent="0.25">
      <c r="A3419" s="3">
        <v>43762</v>
      </c>
      <c r="B3419">
        <v>3601.84</v>
      </c>
    </row>
    <row r="3420" spans="1:2" x14ac:dyDescent="0.25">
      <c r="A3420" s="3">
        <v>43763</v>
      </c>
      <c r="B3420">
        <v>3601.27</v>
      </c>
    </row>
    <row r="3421" spans="1:2" x14ac:dyDescent="0.25">
      <c r="A3421" s="3">
        <v>43766</v>
      </c>
      <c r="B3421">
        <v>3601.39</v>
      </c>
    </row>
    <row r="3422" spans="1:2" x14ac:dyDescent="0.25">
      <c r="A3422" s="3">
        <v>43767</v>
      </c>
      <c r="B3422">
        <v>3602.44</v>
      </c>
    </row>
    <row r="3423" spans="1:2" x14ac:dyDescent="0.25">
      <c r="A3423" s="3">
        <v>43768</v>
      </c>
      <c r="B3423">
        <v>3602.66</v>
      </c>
    </row>
    <row r="3424" spans="1:2" x14ac:dyDescent="0.25">
      <c r="A3424" s="3">
        <v>43769</v>
      </c>
      <c r="B3424">
        <v>3605.39</v>
      </c>
    </row>
    <row r="3425" spans="1:2" x14ac:dyDescent="0.25">
      <c r="A3425" s="3">
        <v>43770</v>
      </c>
      <c r="B3425">
        <v>3605.99</v>
      </c>
    </row>
    <row r="3426" spans="1:2" x14ac:dyDescent="0.25">
      <c r="A3426" s="3">
        <v>43773</v>
      </c>
      <c r="B3426">
        <v>3605.32</v>
      </c>
    </row>
    <row r="3427" spans="1:2" x14ac:dyDescent="0.25">
      <c r="A3427" s="3">
        <v>43774</v>
      </c>
      <c r="B3427">
        <v>3601.97</v>
      </c>
    </row>
    <row r="3428" spans="1:2" x14ac:dyDescent="0.25">
      <c r="A3428" s="3">
        <v>43775</v>
      </c>
      <c r="B3428">
        <v>3601.97</v>
      </c>
    </row>
    <row r="3429" spans="1:2" x14ac:dyDescent="0.25">
      <c r="A3429" s="3">
        <v>43776</v>
      </c>
      <c r="B3429">
        <v>3600.64</v>
      </c>
    </row>
    <row r="3430" spans="1:2" x14ac:dyDescent="0.25">
      <c r="A3430" s="3">
        <v>43777</v>
      </c>
      <c r="B3430">
        <v>3599.58</v>
      </c>
    </row>
    <row r="3431" spans="1:2" x14ac:dyDescent="0.25">
      <c r="A3431" s="3">
        <v>43780</v>
      </c>
      <c r="B3431">
        <v>3600.31</v>
      </c>
    </row>
    <row r="3432" spans="1:2" x14ac:dyDescent="0.25">
      <c r="A3432" s="3">
        <v>43781</v>
      </c>
      <c r="B3432">
        <v>3599.34</v>
      </c>
    </row>
    <row r="3433" spans="1:2" x14ac:dyDescent="0.25">
      <c r="A3433" s="3">
        <v>43782</v>
      </c>
      <c r="B3433">
        <v>3599.21</v>
      </c>
    </row>
    <row r="3434" spans="1:2" x14ac:dyDescent="0.25">
      <c r="A3434" s="3">
        <v>43783</v>
      </c>
      <c r="B3434">
        <v>3598.87</v>
      </c>
    </row>
    <row r="3435" spans="1:2" x14ac:dyDescent="0.25">
      <c r="A3435" s="3">
        <v>43784</v>
      </c>
      <c r="B3435">
        <v>3601.05</v>
      </c>
    </row>
    <row r="3436" spans="1:2" x14ac:dyDescent="0.25">
      <c r="A3436" s="3">
        <v>43787</v>
      </c>
      <c r="B3436">
        <v>3602.36</v>
      </c>
    </row>
    <row r="3437" spans="1:2" x14ac:dyDescent="0.25">
      <c r="A3437" s="3">
        <v>43788</v>
      </c>
      <c r="B3437">
        <v>3602.21</v>
      </c>
    </row>
    <row r="3438" spans="1:2" x14ac:dyDescent="0.25">
      <c r="A3438" s="3">
        <v>43789</v>
      </c>
      <c r="B3438">
        <v>3601.6</v>
      </c>
    </row>
    <row r="3439" spans="1:2" x14ac:dyDescent="0.25">
      <c r="A3439" s="3">
        <v>43790</v>
      </c>
      <c r="B3439">
        <v>3602.01</v>
      </c>
    </row>
    <row r="3440" spans="1:2" x14ac:dyDescent="0.25">
      <c r="A3440" s="3">
        <v>43791</v>
      </c>
      <c r="B3440">
        <v>3600.08</v>
      </c>
    </row>
    <row r="3441" spans="1:2" x14ac:dyDescent="0.25">
      <c r="A3441" s="3">
        <v>43794</v>
      </c>
      <c r="B3441">
        <v>3599.42</v>
      </c>
    </row>
    <row r="3442" spans="1:2" x14ac:dyDescent="0.25">
      <c r="A3442" s="3">
        <v>43795</v>
      </c>
      <c r="B3442">
        <v>3599.35</v>
      </c>
    </row>
    <row r="3443" spans="1:2" x14ac:dyDescent="0.25">
      <c r="A3443" s="3">
        <v>43796</v>
      </c>
      <c r="B3443">
        <v>3598.86</v>
      </c>
    </row>
    <row r="3444" spans="1:2" x14ac:dyDescent="0.25">
      <c r="A3444" s="3">
        <v>43798</v>
      </c>
      <c r="B3444">
        <v>3600.04</v>
      </c>
    </row>
    <row r="3445" spans="1:2" x14ac:dyDescent="0.25">
      <c r="A3445" s="3">
        <v>43801</v>
      </c>
      <c r="B3445">
        <v>3601.85</v>
      </c>
    </row>
    <row r="3446" spans="1:2" x14ac:dyDescent="0.25">
      <c r="A3446" s="3">
        <v>43802</v>
      </c>
      <c r="B3446">
        <v>3602.54</v>
      </c>
    </row>
    <row r="3447" spans="1:2" x14ac:dyDescent="0.25">
      <c r="A3447" s="3">
        <v>43803</v>
      </c>
      <c r="B3447">
        <v>3603.05</v>
      </c>
    </row>
    <row r="3448" spans="1:2" x14ac:dyDescent="0.25">
      <c r="A3448" s="3">
        <v>43804</v>
      </c>
      <c r="B3448">
        <v>3603.34</v>
      </c>
    </row>
    <row r="3449" spans="1:2" x14ac:dyDescent="0.25">
      <c r="A3449" s="3">
        <v>43805</v>
      </c>
      <c r="B3449">
        <v>3601.52</v>
      </c>
    </row>
    <row r="3450" spans="1:2" x14ac:dyDescent="0.25">
      <c r="A3450" s="3">
        <v>43808</v>
      </c>
      <c r="B3450">
        <v>3602.46</v>
      </c>
    </row>
    <row r="3451" spans="1:2" x14ac:dyDescent="0.25">
      <c r="A3451" s="3">
        <v>43809</v>
      </c>
      <c r="B3451">
        <v>3603.23</v>
      </c>
    </row>
    <row r="3452" spans="1:2" x14ac:dyDescent="0.25">
      <c r="A3452" s="3">
        <v>43810</v>
      </c>
      <c r="B3452">
        <v>3603.21</v>
      </c>
    </row>
    <row r="3453" spans="1:2" x14ac:dyDescent="0.25">
      <c r="A3453" s="3">
        <v>43811</v>
      </c>
      <c r="B3453">
        <v>3604.36</v>
      </c>
    </row>
    <row r="3454" spans="1:2" x14ac:dyDescent="0.25">
      <c r="A3454" s="3">
        <v>43812</v>
      </c>
      <c r="B3454">
        <v>3605.71</v>
      </c>
    </row>
    <row r="3455" spans="1:2" x14ac:dyDescent="0.25">
      <c r="A3455" s="3">
        <v>43815</v>
      </c>
      <c r="B3455">
        <v>3605.77</v>
      </c>
    </row>
    <row r="3456" spans="1:2" x14ac:dyDescent="0.25">
      <c r="A3456" s="3">
        <v>43816</v>
      </c>
      <c r="B3456">
        <v>3605.76</v>
      </c>
    </row>
    <row r="3457" spans="1:2" x14ac:dyDescent="0.25">
      <c r="A3457" s="3">
        <v>43817</v>
      </c>
      <c r="B3457">
        <v>3604.52</v>
      </c>
    </row>
    <row r="3458" spans="1:2" x14ac:dyDescent="0.25">
      <c r="A3458" s="3">
        <v>43818</v>
      </c>
      <c r="B3458">
        <v>3604.05</v>
      </c>
    </row>
    <row r="3459" spans="1:2" x14ac:dyDescent="0.25">
      <c r="A3459" s="3">
        <v>43819</v>
      </c>
      <c r="B3459">
        <v>3602.91</v>
      </c>
    </row>
    <row r="3460" spans="1:2" x14ac:dyDescent="0.25">
      <c r="A3460" s="3">
        <v>43822</v>
      </c>
      <c r="B3460">
        <v>3602.68</v>
      </c>
    </row>
    <row r="3461" spans="1:2" x14ac:dyDescent="0.25">
      <c r="A3461" s="3">
        <v>43823</v>
      </c>
      <c r="B3461">
        <v>3602.9</v>
      </c>
    </row>
    <row r="3462" spans="1:2" x14ac:dyDescent="0.25">
      <c r="A3462" s="3">
        <v>43825</v>
      </c>
      <c r="B3462">
        <v>3603.35</v>
      </c>
    </row>
    <row r="3463" spans="1:2" x14ac:dyDescent="0.25">
      <c r="A3463" s="3">
        <v>43826</v>
      </c>
      <c r="B3463">
        <v>3606.21</v>
      </c>
    </row>
    <row r="3464" spans="1:2" x14ac:dyDescent="0.25">
      <c r="A3464" s="3">
        <v>43829</v>
      </c>
      <c r="B3464">
        <v>3607.91</v>
      </c>
    </row>
    <row r="3465" spans="1:2" x14ac:dyDescent="0.25">
      <c r="A3465" s="3">
        <v>43830</v>
      </c>
      <c r="B3465">
        <v>3745.32</v>
      </c>
    </row>
    <row r="3466" spans="1:2" x14ac:dyDescent="0.25">
      <c r="A3466" s="3">
        <v>43832</v>
      </c>
      <c r="B3466">
        <v>3744.11</v>
      </c>
    </row>
    <row r="3467" spans="1:2" x14ac:dyDescent="0.25">
      <c r="A3467" s="3">
        <v>43833</v>
      </c>
      <c r="B3467">
        <v>3742.17</v>
      </c>
    </row>
    <row r="3468" spans="1:2" x14ac:dyDescent="0.25">
      <c r="A3468" s="3">
        <v>43836</v>
      </c>
      <c r="B3468">
        <v>3743.4</v>
      </c>
    </row>
    <row r="3469" spans="1:2" x14ac:dyDescent="0.25">
      <c r="A3469" s="3">
        <v>43837</v>
      </c>
      <c r="B3469">
        <v>3741.15</v>
      </c>
    </row>
    <row r="3470" spans="1:2" x14ac:dyDescent="0.25">
      <c r="A3470" s="3">
        <v>43838</v>
      </c>
      <c r="B3470">
        <v>3740.14</v>
      </c>
    </row>
    <row r="3471" spans="1:2" x14ac:dyDescent="0.25">
      <c r="A3471" s="3">
        <v>43839</v>
      </c>
      <c r="B3471">
        <v>3739.24</v>
      </c>
    </row>
    <row r="3472" spans="1:2" x14ac:dyDescent="0.25">
      <c r="A3472" s="3">
        <v>43840</v>
      </c>
      <c r="B3472">
        <v>3739.83</v>
      </c>
    </row>
    <row r="3473" spans="1:2" x14ac:dyDescent="0.25">
      <c r="A3473" s="3">
        <v>43843</v>
      </c>
      <c r="B3473">
        <v>3740.42</v>
      </c>
    </row>
    <row r="3474" spans="1:2" x14ac:dyDescent="0.25">
      <c r="A3474" s="3">
        <v>43844</v>
      </c>
      <c r="B3474">
        <v>3739.98</v>
      </c>
    </row>
    <row r="3475" spans="1:2" x14ac:dyDescent="0.25">
      <c r="A3475" s="3">
        <v>43845</v>
      </c>
      <c r="B3475">
        <v>3741.28</v>
      </c>
    </row>
    <row r="3476" spans="1:2" x14ac:dyDescent="0.25">
      <c r="A3476" s="3">
        <v>43846</v>
      </c>
      <c r="B3476">
        <v>3740.97</v>
      </c>
    </row>
    <row r="3477" spans="1:2" x14ac:dyDescent="0.25">
      <c r="A3477" s="3">
        <v>43847</v>
      </c>
      <c r="B3477">
        <v>3738.88</v>
      </c>
    </row>
    <row r="3478" spans="1:2" x14ac:dyDescent="0.25">
      <c r="A3478" s="3">
        <v>43851</v>
      </c>
      <c r="B3478">
        <v>3739.05</v>
      </c>
    </row>
    <row r="3479" spans="1:2" x14ac:dyDescent="0.25">
      <c r="A3479" s="3">
        <v>43852</v>
      </c>
      <c r="B3479">
        <v>3738.32</v>
      </c>
    </row>
    <row r="3480" spans="1:2" x14ac:dyDescent="0.25">
      <c r="A3480" s="3">
        <v>43853</v>
      </c>
      <c r="B3480">
        <v>3737.02</v>
      </c>
    </row>
    <row r="3481" spans="1:2" x14ac:dyDescent="0.25">
      <c r="A3481" s="3">
        <v>43854</v>
      </c>
      <c r="B3481">
        <v>3735.97</v>
      </c>
    </row>
    <row r="3482" spans="1:2" x14ac:dyDescent="0.25">
      <c r="A3482" s="3">
        <v>43857</v>
      </c>
      <c r="B3482">
        <v>3735.27</v>
      </c>
    </row>
    <row r="3483" spans="1:2" x14ac:dyDescent="0.25">
      <c r="A3483" s="3">
        <v>43858</v>
      </c>
      <c r="B3483">
        <v>3734.54</v>
      </c>
    </row>
    <row r="3484" spans="1:2" x14ac:dyDescent="0.25">
      <c r="A3484" s="3">
        <v>43859</v>
      </c>
      <c r="B3484">
        <v>3734.5</v>
      </c>
    </row>
    <row r="3485" spans="1:2" x14ac:dyDescent="0.25">
      <c r="A3485" s="3">
        <v>43860</v>
      </c>
      <c r="B3485">
        <v>3736.24</v>
      </c>
    </row>
    <row r="3486" spans="1:2" x14ac:dyDescent="0.25">
      <c r="A3486" s="3">
        <v>43861</v>
      </c>
      <c r="B3486">
        <v>3738.79</v>
      </c>
    </row>
    <row r="3487" spans="1:2" x14ac:dyDescent="0.25">
      <c r="A3487" s="3">
        <v>43864</v>
      </c>
      <c r="B3487">
        <v>3737.26</v>
      </c>
    </row>
    <row r="3488" spans="1:2" x14ac:dyDescent="0.25">
      <c r="A3488" s="3">
        <v>43865</v>
      </c>
      <c r="B3488">
        <v>3736.55</v>
      </c>
    </row>
    <row r="3489" spans="1:2" x14ac:dyDescent="0.25">
      <c r="A3489" s="3">
        <v>43866</v>
      </c>
      <c r="B3489">
        <v>3734.93</v>
      </c>
    </row>
    <row r="3490" spans="1:2" x14ac:dyDescent="0.25">
      <c r="A3490" s="3">
        <v>43867</v>
      </c>
      <c r="B3490">
        <v>3733.72</v>
      </c>
    </row>
    <row r="3491" spans="1:2" x14ac:dyDescent="0.25">
      <c r="A3491" s="3">
        <v>43868</v>
      </c>
      <c r="B3491">
        <v>3733.09</v>
      </c>
    </row>
    <row r="3492" spans="1:2" x14ac:dyDescent="0.25">
      <c r="A3492" s="3">
        <v>43871</v>
      </c>
      <c r="B3492">
        <v>3731.35</v>
      </c>
    </row>
    <row r="3493" spans="1:2" x14ac:dyDescent="0.25">
      <c r="A3493" s="3">
        <v>43872</v>
      </c>
      <c r="B3493">
        <v>3731.13</v>
      </c>
    </row>
    <row r="3494" spans="1:2" x14ac:dyDescent="0.25">
      <c r="A3494" s="3">
        <v>43873</v>
      </c>
      <c r="B3494">
        <v>3730.43</v>
      </c>
    </row>
    <row r="3495" spans="1:2" x14ac:dyDescent="0.25">
      <c r="A3495" s="3">
        <v>43874</v>
      </c>
      <c r="B3495">
        <v>3728.66</v>
      </c>
    </row>
    <row r="3496" spans="1:2" x14ac:dyDescent="0.25">
      <c r="A3496" s="3">
        <v>43875</v>
      </c>
      <c r="B3496">
        <v>3728.39</v>
      </c>
    </row>
    <row r="3497" spans="1:2" x14ac:dyDescent="0.25">
      <c r="A3497" s="3">
        <v>43879</v>
      </c>
      <c r="B3497">
        <v>3727.45</v>
      </c>
    </row>
    <row r="3498" spans="1:2" x14ac:dyDescent="0.25">
      <c r="A3498" s="3">
        <v>43880</v>
      </c>
      <c r="B3498">
        <v>3725.85</v>
      </c>
    </row>
    <row r="3499" spans="1:2" x14ac:dyDescent="0.25">
      <c r="A3499" s="3">
        <v>43881</v>
      </c>
      <c r="B3499">
        <v>3726</v>
      </c>
    </row>
    <row r="3500" spans="1:2" x14ac:dyDescent="0.25">
      <c r="A3500" s="3">
        <v>43882</v>
      </c>
      <c r="B3500">
        <v>3728.3</v>
      </c>
    </row>
    <row r="3501" spans="1:2" x14ac:dyDescent="0.25">
      <c r="A3501" s="3">
        <v>43885</v>
      </c>
      <c r="B3501">
        <v>3728.38</v>
      </c>
    </row>
    <row r="3502" spans="1:2" x14ac:dyDescent="0.25">
      <c r="A3502" s="3">
        <v>43886</v>
      </c>
      <c r="B3502">
        <v>3728.96</v>
      </c>
    </row>
    <row r="3503" spans="1:2" x14ac:dyDescent="0.25">
      <c r="A3503" s="3">
        <v>43887</v>
      </c>
      <c r="B3503">
        <v>3728.62</v>
      </c>
    </row>
    <row r="3504" spans="1:2" x14ac:dyDescent="0.25">
      <c r="A3504" s="3">
        <v>43888</v>
      </c>
      <c r="B3504">
        <v>3733.58</v>
      </c>
    </row>
    <row r="3505" spans="1:2" x14ac:dyDescent="0.25">
      <c r="A3505" s="3">
        <v>43889</v>
      </c>
      <c r="B3505">
        <v>3733.02</v>
      </c>
    </row>
    <row r="3506" spans="1:2" x14ac:dyDescent="0.25">
      <c r="A3506" s="3">
        <v>43892</v>
      </c>
      <c r="B3506">
        <v>3738.62</v>
      </c>
    </row>
    <row r="3507" spans="1:2" x14ac:dyDescent="0.25">
      <c r="A3507" s="3">
        <v>43893</v>
      </c>
      <c r="B3507">
        <v>3741.01</v>
      </c>
    </row>
    <row r="3508" spans="1:2" x14ac:dyDescent="0.25">
      <c r="A3508" s="3">
        <v>43894</v>
      </c>
      <c r="B3508">
        <v>3739.43</v>
      </c>
    </row>
    <row r="3509" spans="1:2" x14ac:dyDescent="0.25">
      <c r="A3509" s="3">
        <v>43895</v>
      </c>
      <c r="B3509">
        <v>3741.71</v>
      </c>
    </row>
    <row r="3510" spans="1:2" x14ac:dyDescent="0.25">
      <c r="A3510" s="3">
        <v>43896</v>
      </c>
      <c r="B3510">
        <v>3747.22</v>
      </c>
    </row>
    <row r="3511" spans="1:2" x14ac:dyDescent="0.25">
      <c r="A3511" s="3">
        <v>43899</v>
      </c>
      <c r="B3511">
        <v>3751.99</v>
      </c>
    </row>
    <row r="3512" spans="1:2" x14ac:dyDescent="0.25">
      <c r="A3512" s="3">
        <v>43900</v>
      </c>
      <c r="B3512">
        <v>3748.07</v>
      </c>
    </row>
    <row r="3513" spans="1:2" x14ac:dyDescent="0.25">
      <c r="A3513" s="3">
        <v>43901</v>
      </c>
      <c r="B3513">
        <v>3745.14</v>
      </c>
    </row>
    <row r="3514" spans="1:2" x14ac:dyDescent="0.25">
      <c r="A3514" s="3">
        <v>43902</v>
      </c>
      <c r="B3514">
        <v>3735.38</v>
      </c>
    </row>
    <row r="3515" spans="1:2" x14ac:dyDescent="0.25">
      <c r="A3515" s="3">
        <v>43903</v>
      </c>
      <c r="B3515">
        <v>3734.24</v>
      </c>
    </row>
    <row r="3516" spans="1:2" x14ac:dyDescent="0.25">
      <c r="A3516" s="3">
        <v>43906</v>
      </c>
      <c r="B3516">
        <v>3736.72</v>
      </c>
    </row>
    <row r="3517" spans="1:2" x14ac:dyDescent="0.25">
      <c r="A3517" s="3">
        <v>43907</v>
      </c>
      <c r="B3517">
        <v>3728.64</v>
      </c>
    </row>
    <row r="3518" spans="1:2" x14ac:dyDescent="0.25">
      <c r="A3518" s="3">
        <v>43908</v>
      </c>
      <c r="B3518">
        <v>3721.71</v>
      </c>
    </row>
    <row r="3519" spans="1:2" x14ac:dyDescent="0.25">
      <c r="A3519" s="3">
        <v>43909</v>
      </c>
      <c r="B3519">
        <v>3715.89</v>
      </c>
    </row>
    <row r="3520" spans="1:2" x14ac:dyDescent="0.25">
      <c r="A3520" s="3">
        <v>43910</v>
      </c>
      <c r="B3520">
        <v>3715.59</v>
      </c>
    </row>
    <row r="3521" spans="1:2" x14ac:dyDescent="0.25">
      <c r="A3521" s="3">
        <v>43913</v>
      </c>
      <c r="B3521">
        <v>3717.63</v>
      </c>
    </row>
    <row r="3522" spans="1:2" x14ac:dyDescent="0.25">
      <c r="A3522" s="3">
        <v>43914</v>
      </c>
      <c r="B3522">
        <v>3720.37</v>
      </c>
    </row>
    <row r="3523" spans="1:2" x14ac:dyDescent="0.25">
      <c r="A3523" s="3">
        <v>43915</v>
      </c>
      <c r="B3523">
        <v>3721.86</v>
      </c>
    </row>
    <row r="3524" spans="1:2" x14ac:dyDescent="0.25">
      <c r="A3524" s="3">
        <v>43916</v>
      </c>
      <c r="B3524">
        <v>3731.26</v>
      </c>
    </row>
    <row r="3525" spans="1:2" x14ac:dyDescent="0.25">
      <c r="A3525" s="3">
        <v>43917</v>
      </c>
      <c r="B3525">
        <v>3733.46</v>
      </c>
    </row>
    <row r="3526" spans="1:2" x14ac:dyDescent="0.25">
      <c r="A3526" s="3">
        <v>43920</v>
      </c>
      <c r="B3526">
        <v>3732.45</v>
      </c>
    </row>
    <row r="3527" spans="1:2" x14ac:dyDescent="0.25">
      <c r="A3527" s="3">
        <v>43921</v>
      </c>
      <c r="B3527">
        <v>3415.17</v>
      </c>
    </row>
    <row r="3528" spans="1:2" x14ac:dyDescent="0.25">
      <c r="A3528" s="3">
        <v>43922</v>
      </c>
      <c r="B3528">
        <v>3413.28</v>
      </c>
    </row>
    <row r="3529" spans="1:2" x14ac:dyDescent="0.25">
      <c r="A3529" s="3">
        <v>43923</v>
      </c>
      <c r="B3529">
        <v>3410.58</v>
      </c>
    </row>
    <row r="3530" spans="1:2" x14ac:dyDescent="0.25">
      <c r="A3530" s="3">
        <v>43924</v>
      </c>
      <c r="B3530">
        <v>3407.53</v>
      </c>
    </row>
    <row r="3531" spans="1:2" x14ac:dyDescent="0.25">
      <c r="A3531" s="3">
        <v>43927</v>
      </c>
      <c r="B3531">
        <v>3407.02</v>
      </c>
    </row>
    <row r="3532" spans="1:2" x14ac:dyDescent="0.25">
      <c r="A3532" s="3">
        <v>43928</v>
      </c>
      <c r="B3532">
        <v>3411.31</v>
      </c>
    </row>
    <row r="3533" spans="1:2" x14ac:dyDescent="0.25">
      <c r="A3533" s="3">
        <v>43929</v>
      </c>
      <c r="B3533">
        <v>3410.85</v>
      </c>
    </row>
    <row r="3534" spans="1:2" x14ac:dyDescent="0.25">
      <c r="A3534" s="3">
        <v>43930</v>
      </c>
      <c r="B3534">
        <v>3414.31</v>
      </c>
    </row>
    <row r="3535" spans="1:2" x14ac:dyDescent="0.25">
      <c r="A3535" s="3">
        <v>43934</v>
      </c>
      <c r="B3535">
        <v>3412.97</v>
      </c>
    </row>
    <row r="3536" spans="1:2" x14ac:dyDescent="0.25">
      <c r="A3536" s="3">
        <v>43935</v>
      </c>
      <c r="B3536">
        <v>3416.08</v>
      </c>
    </row>
    <row r="3537" spans="1:2" x14ac:dyDescent="0.25">
      <c r="A3537" s="3">
        <v>43936</v>
      </c>
      <c r="B3537">
        <v>3413.04</v>
      </c>
    </row>
    <row r="3538" spans="1:2" x14ac:dyDescent="0.25">
      <c r="A3538" s="3">
        <v>43937</v>
      </c>
      <c r="B3538">
        <v>3410.62</v>
      </c>
    </row>
    <row r="3539" spans="1:2" x14ac:dyDescent="0.25">
      <c r="A3539" s="3">
        <v>43938</v>
      </c>
      <c r="B3539">
        <v>3412.48</v>
      </c>
    </row>
    <row r="3540" spans="1:2" x14ac:dyDescent="0.25">
      <c r="A3540" s="3">
        <v>43941</v>
      </c>
      <c r="B3540">
        <v>3412.11</v>
      </c>
    </row>
    <row r="3541" spans="1:2" x14ac:dyDescent="0.25">
      <c r="A3541" s="3">
        <v>43942</v>
      </c>
      <c r="B3541">
        <v>3410.53</v>
      </c>
    </row>
    <row r="3542" spans="1:2" x14ac:dyDescent="0.25">
      <c r="A3542" s="3">
        <v>43943</v>
      </c>
      <c r="B3542">
        <v>3409.34</v>
      </c>
    </row>
    <row r="3543" spans="1:2" x14ac:dyDescent="0.25">
      <c r="A3543" s="3">
        <v>43944</v>
      </c>
      <c r="B3543">
        <v>3409.68</v>
      </c>
    </row>
    <row r="3544" spans="1:2" x14ac:dyDescent="0.25">
      <c r="A3544" s="3">
        <v>43945</v>
      </c>
      <c r="B3544">
        <v>3408.85</v>
      </c>
    </row>
    <row r="3545" spans="1:2" x14ac:dyDescent="0.25">
      <c r="A3545" s="3">
        <v>43948</v>
      </c>
      <c r="B3545">
        <v>3410.33</v>
      </c>
    </row>
    <row r="3546" spans="1:2" x14ac:dyDescent="0.25">
      <c r="A3546" s="3">
        <v>43949</v>
      </c>
      <c r="B3546">
        <v>3410.17</v>
      </c>
    </row>
    <row r="3547" spans="1:2" x14ac:dyDescent="0.25">
      <c r="A3547" s="3">
        <v>43950</v>
      </c>
      <c r="B3547">
        <v>3411.14</v>
      </c>
    </row>
    <row r="3548" spans="1:2" x14ac:dyDescent="0.25">
      <c r="A3548" s="3">
        <v>43951</v>
      </c>
      <c r="B3548">
        <v>3416.44</v>
      </c>
    </row>
    <row r="3549" spans="1:2" x14ac:dyDescent="0.25">
      <c r="A3549" s="3">
        <v>43952</v>
      </c>
      <c r="B3549">
        <v>3418.27</v>
      </c>
    </row>
    <row r="3550" spans="1:2" x14ac:dyDescent="0.25">
      <c r="A3550" s="3">
        <v>43955</v>
      </c>
      <c r="B3550">
        <v>3414.13</v>
      </c>
    </row>
    <row r="3551" spans="1:2" x14ac:dyDescent="0.25">
      <c r="A3551" s="3">
        <v>43956</v>
      </c>
      <c r="B3551">
        <v>3411.27</v>
      </c>
    </row>
    <row r="3552" spans="1:2" x14ac:dyDescent="0.25">
      <c r="A3552" s="3">
        <v>43957</v>
      </c>
      <c r="B3552">
        <v>3409.23</v>
      </c>
    </row>
    <row r="3553" spans="1:2" x14ac:dyDescent="0.25">
      <c r="A3553" s="3">
        <v>43958</v>
      </c>
      <c r="B3553">
        <v>3408.2</v>
      </c>
    </row>
    <row r="3554" spans="1:2" x14ac:dyDescent="0.25">
      <c r="A3554" s="3">
        <v>43959</v>
      </c>
      <c r="B3554">
        <v>3412.7</v>
      </c>
    </row>
    <row r="3555" spans="1:2" x14ac:dyDescent="0.25">
      <c r="A3555" s="3">
        <v>43962</v>
      </c>
      <c r="B3555">
        <v>3410.37</v>
      </c>
    </row>
    <row r="3556" spans="1:2" x14ac:dyDescent="0.25">
      <c r="A3556" s="3">
        <v>43963</v>
      </c>
      <c r="B3556">
        <v>3412.37</v>
      </c>
    </row>
    <row r="3557" spans="1:2" x14ac:dyDescent="0.25">
      <c r="A3557" s="3">
        <v>43964</v>
      </c>
      <c r="B3557">
        <v>3410.52</v>
      </c>
    </row>
    <row r="3558" spans="1:2" x14ac:dyDescent="0.25">
      <c r="A3558" s="3">
        <v>43965</v>
      </c>
      <c r="B3558">
        <v>3409.33</v>
      </c>
    </row>
    <row r="3559" spans="1:2" x14ac:dyDescent="0.25">
      <c r="A3559" s="3">
        <v>43966</v>
      </c>
      <c r="B3559">
        <v>3409.29</v>
      </c>
    </row>
    <row r="3560" spans="1:2" x14ac:dyDescent="0.25">
      <c r="A3560" s="3">
        <v>43969</v>
      </c>
      <c r="B3560">
        <v>3411.22</v>
      </c>
    </row>
    <row r="3561" spans="1:2" x14ac:dyDescent="0.25">
      <c r="A3561" s="3">
        <v>43970</v>
      </c>
      <c r="B3561">
        <v>3415.14</v>
      </c>
    </row>
    <row r="3562" spans="1:2" x14ac:dyDescent="0.25">
      <c r="A3562" s="3">
        <v>43971</v>
      </c>
      <c r="B3562">
        <v>3417.08</v>
      </c>
    </row>
    <row r="3563" spans="1:2" x14ac:dyDescent="0.25">
      <c r="A3563" s="3">
        <v>43972</v>
      </c>
      <c r="B3563">
        <v>3414.81</v>
      </c>
    </row>
    <row r="3564" spans="1:2" x14ac:dyDescent="0.25">
      <c r="A3564" s="3">
        <v>43973</v>
      </c>
      <c r="B3564">
        <v>3412.62</v>
      </c>
    </row>
    <row r="3565" spans="1:2" x14ac:dyDescent="0.25">
      <c r="A3565" s="3">
        <v>43977</v>
      </c>
      <c r="B3565">
        <v>3417.13</v>
      </c>
    </row>
    <row r="3566" spans="1:2" x14ac:dyDescent="0.25">
      <c r="A3566" s="3">
        <v>43978</v>
      </c>
      <c r="B3566">
        <v>3416.12</v>
      </c>
    </row>
    <row r="3567" spans="1:2" x14ac:dyDescent="0.25">
      <c r="A3567" s="3">
        <v>43979</v>
      </c>
      <c r="B3567">
        <v>3419.91</v>
      </c>
    </row>
    <row r="3568" spans="1:2" x14ac:dyDescent="0.25">
      <c r="A3568" s="3">
        <v>43980</v>
      </c>
      <c r="B3568">
        <v>3422.74</v>
      </c>
    </row>
    <row r="3569" spans="1:2" x14ac:dyDescent="0.25">
      <c r="A3569" s="3">
        <v>43983</v>
      </c>
      <c r="B3569">
        <v>3423.94</v>
      </c>
    </row>
    <row r="3570" spans="1:2" x14ac:dyDescent="0.25">
      <c r="A3570" s="3">
        <v>43984</v>
      </c>
      <c r="B3570">
        <v>3426.16</v>
      </c>
    </row>
    <row r="3571" spans="1:2" x14ac:dyDescent="0.25">
      <c r="A3571" s="3">
        <v>43985</v>
      </c>
      <c r="B3571">
        <v>3427.84</v>
      </c>
    </row>
    <row r="3572" spans="1:2" x14ac:dyDescent="0.25">
      <c r="A3572" s="3">
        <v>43986</v>
      </c>
      <c r="B3572">
        <v>3432.96</v>
      </c>
    </row>
    <row r="3573" spans="1:2" x14ac:dyDescent="0.25">
      <c r="A3573" s="3">
        <v>43987</v>
      </c>
      <c r="B3573">
        <v>3432.11</v>
      </c>
    </row>
    <row r="3574" spans="1:2" x14ac:dyDescent="0.25">
      <c r="A3574" s="3">
        <v>43990</v>
      </c>
      <c r="B3574">
        <v>3431.54</v>
      </c>
    </row>
    <row r="3575" spans="1:2" x14ac:dyDescent="0.25">
      <c r="A3575" s="3">
        <v>43991</v>
      </c>
      <c r="B3575">
        <v>3433.77</v>
      </c>
    </row>
    <row r="3576" spans="1:2" x14ac:dyDescent="0.25">
      <c r="A3576" s="3">
        <v>43992</v>
      </c>
      <c r="B3576">
        <v>3433.77</v>
      </c>
    </row>
    <row r="3577" spans="1:2" x14ac:dyDescent="0.25">
      <c r="A3577" s="3">
        <v>43993</v>
      </c>
      <c r="B3577">
        <v>3434.46</v>
      </c>
    </row>
    <row r="3578" spans="1:2" x14ac:dyDescent="0.25">
      <c r="A3578" s="3">
        <v>43994</v>
      </c>
      <c r="B3578">
        <v>3428.6</v>
      </c>
    </row>
    <row r="3579" spans="1:2" x14ac:dyDescent="0.25">
      <c r="A3579" s="3">
        <v>43997</v>
      </c>
      <c r="B3579">
        <v>3429.81</v>
      </c>
    </row>
    <row r="3580" spans="1:2" x14ac:dyDescent="0.25">
      <c r="A3580" s="3">
        <v>43998</v>
      </c>
      <c r="B3580">
        <v>3428.3</v>
      </c>
    </row>
    <row r="3581" spans="1:2" x14ac:dyDescent="0.25">
      <c r="A3581" s="3">
        <v>43999</v>
      </c>
      <c r="B3581">
        <v>3427.74</v>
      </c>
    </row>
    <row r="3582" spans="1:2" x14ac:dyDescent="0.25">
      <c r="A3582" s="3">
        <v>44000</v>
      </c>
      <c r="B3582">
        <v>3427.15</v>
      </c>
    </row>
    <row r="3583" spans="1:2" x14ac:dyDescent="0.25">
      <c r="A3583" s="3">
        <v>44001</v>
      </c>
      <c r="B3583">
        <v>3425.52</v>
      </c>
    </row>
    <row r="3584" spans="1:2" x14ac:dyDescent="0.25">
      <c r="A3584" s="3">
        <v>44004</v>
      </c>
      <c r="B3584">
        <v>3428.46</v>
      </c>
    </row>
    <row r="3585" spans="1:2" x14ac:dyDescent="0.25">
      <c r="A3585" s="3">
        <v>44005</v>
      </c>
      <c r="B3585">
        <v>3432.25</v>
      </c>
    </row>
    <row r="3586" spans="1:2" x14ac:dyDescent="0.25">
      <c r="A3586" s="3">
        <v>44006</v>
      </c>
      <c r="B3586">
        <v>3429.57</v>
      </c>
    </row>
    <row r="3587" spans="1:2" x14ac:dyDescent="0.25">
      <c r="A3587" s="3">
        <v>44007</v>
      </c>
      <c r="B3587">
        <v>3426.87</v>
      </c>
    </row>
    <row r="3588" spans="1:2" x14ac:dyDescent="0.25">
      <c r="A3588" s="3">
        <v>44008</v>
      </c>
      <c r="B3588">
        <v>3426.09</v>
      </c>
    </row>
    <row r="3589" spans="1:2" x14ac:dyDescent="0.25">
      <c r="A3589" s="3">
        <v>44011</v>
      </c>
      <c r="B3589">
        <v>3427.73</v>
      </c>
    </row>
    <row r="3590" spans="1:2" x14ac:dyDescent="0.25">
      <c r="A3590" s="3">
        <v>44012</v>
      </c>
      <c r="B3590">
        <v>3694.55</v>
      </c>
    </row>
    <row r="3591" spans="1:2" x14ac:dyDescent="0.25">
      <c r="A3591" s="3">
        <v>44013</v>
      </c>
      <c r="B3591">
        <v>3696.25</v>
      </c>
    </row>
    <row r="3592" spans="1:2" x14ac:dyDescent="0.25">
      <c r="A3592" s="3">
        <v>44014</v>
      </c>
      <c r="B3592">
        <v>3694.84</v>
      </c>
    </row>
    <row r="3593" spans="1:2" x14ac:dyDescent="0.25">
      <c r="A3593" s="3">
        <v>44018</v>
      </c>
      <c r="B3593">
        <v>3699</v>
      </c>
    </row>
    <row r="3594" spans="1:2" x14ac:dyDescent="0.25">
      <c r="A3594" s="3">
        <v>44019</v>
      </c>
      <c r="B3594">
        <v>3697.79</v>
      </c>
    </row>
    <row r="3595" spans="1:2" x14ac:dyDescent="0.25">
      <c r="A3595" s="3">
        <v>44020</v>
      </c>
      <c r="B3595">
        <v>3699.68</v>
      </c>
    </row>
    <row r="3596" spans="1:2" x14ac:dyDescent="0.25">
      <c r="A3596" s="3">
        <v>44021</v>
      </c>
      <c r="B3596">
        <v>3698.27</v>
      </c>
    </row>
    <row r="3597" spans="1:2" x14ac:dyDescent="0.25">
      <c r="A3597" s="3">
        <v>44022</v>
      </c>
      <c r="B3597">
        <v>3699.51</v>
      </c>
    </row>
    <row r="3598" spans="1:2" x14ac:dyDescent="0.25">
      <c r="A3598" s="3">
        <v>44025</v>
      </c>
      <c r="B3598">
        <v>3701.6</v>
      </c>
    </row>
    <row r="3599" spans="1:2" x14ac:dyDescent="0.25">
      <c r="A3599" s="3">
        <v>44026</v>
      </c>
      <c r="B3599">
        <v>3702.55</v>
      </c>
    </row>
    <row r="3600" spans="1:2" x14ac:dyDescent="0.25">
      <c r="A3600" s="3">
        <v>44027</v>
      </c>
      <c r="B3600">
        <v>3703.85</v>
      </c>
    </row>
    <row r="3601" spans="1:2" x14ac:dyDescent="0.25">
      <c r="A3601" s="3">
        <v>44028</v>
      </c>
      <c r="B3601">
        <v>3704.33</v>
      </c>
    </row>
    <row r="3602" spans="1:2" x14ac:dyDescent="0.25">
      <c r="A3602" s="3">
        <v>44029</v>
      </c>
      <c r="B3602">
        <v>3703.68</v>
      </c>
    </row>
    <row r="3603" spans="1:2" x14ac:dyDescent="0.25">
      <c r="A3603" s="3">
        <v>44032</v>
      </c>
      <c r="B3603">
        <v>3704.88</v>
      </c>
    </row>
    <row r="3604" spans="1:2" x14ac:dyDescent="0.25">
      <c r="A3604" s="3">
        <v>44033</v>
      </c>
      <c r="B3604">
        <v>3707.5</v>
      </c>
    </row>
    <row r="3605" spans="1:2" x14ac:dyDescent="0.25">
      <c r="A3605" s="3">
        <v>44034</v>
      </c>
      <c r="B3605">
        <v>3712.08</v>
      </c>
    </row>
    <row r="3606" spans="1:2" x14ac:dyDescent="0.25">
      <c r="A3606" s="3">
        <v>44035</v>
      </c>
      <c r="B3606">
        <v>3712.17</v>
      </c>
    </row>
    <row r="3607" spans="1:2" x14ac:dyDescent="0.25">
      <c r="A3607" s="3">
        <v>44036</v>
      </c>
      <c r="B3607">
        <v>3713.57</v>
      </c>
    </row>
    <row r="3608" spans="1:2" x14ac:dyDescent="0.25">
      <c r="A3608" s="3">
        <v>44039</v>
      </c>
      <c r="B3608">
        <v>3720.69</v>
      </c>
    </row>
    <row r="3609" spans="1:2" x14ac:dyDescent="0.25">
      <c r="A3609" s="3">
        <v>44040</v>
      </c>
      <c r="B3609">
        <v>3718.72</v>
      </c>
    </row>
    <row r="3610" spans="1:2" x14ac:dyDescent="0.25">
      <c r="A3610" s="3">
        <v>44041</v>
      </c>
      <c r="B3610">
        <v>3720.79</v>
      </c>
    </row>
    <row r="3611" spans="1:2" x14ac:dyDescent="0.25">
      <c r="A3611" s="3">
        <v>44042</v>
      </c>
      <c r="B3611">
        <v>3721.84</v>
      </c>
    </row>
    <row r="3612" spans="1:2" x14ac:dyDescent="0.25">
      <c r="A3612" s="3">
        <v>44043</v>
      </c>
      <c r="B3612">
        <v>3724.09</v>
      </c>
    </row>
    <row r="3613" spans="1:2" x14ac:dyDescent="0.25">
      <c r="A3613" s="3">
        <v>44046</v>
      </c>
      <c r="B3613">
        <v>3719.88</v>
      </c>
    </row>
    <row r="3614" spans="1:2" x14ac:dyDescent="0.25">
      <c r="A3614" s="3">
        <v>44047</v>
      </c>
      <c r="B3614">
        <v>3720.77</v>
      </c>
    </row>
    <row r="3615" spans="1:2" x14ac:dyDescent="0.25">
      <c r="A3615" s="3">
        <v>44048</v>
      </c>
      <c r="B3615">
        <v>3726.75</v>
      </c>
    </row>
    <row r="3616" spans="1:2" x14ac:dyDescent="0.25">
      <c r="A3616" s="3">
        <v>44049</v>
      </c>
      <c r="B3616">
        <v>3725.02</v>
      </c>
    </row>
    <row r="3617" spans="1:2" x14ac:dyDescent="0.25">
      <c r="A3617" s="3">
        <v>44050</v>
      </c>
      <c r="B3617">
        <v>3722.25</v>
      </c>
    </row>
    <row r="3618" spans="1:2" x14ac:dyDescent="0.25">
      <c r="A3618" s="3">
        <v>44053</v>
      </c>
      <c r="B3618">
        <v>3721.4</v>
      </c>
    </row>
    <row r="3619" spans="1:2" x14ac:dyDescent="0.25">
      <c r="A3619" s="3">
        <v>44054</v>
      </c>
      <c r="B3619">
        <v>3721.34</v>
      </c>
    </row>
    <row r="3620" spans="1:2" x14ac:dyDescent="0.25">
      <c r="A3620" s="3">
        <v>44055</v>
      </c>
      <c r="B3620">
        <v>3722.97</v>
      </c>
    </row>
    <row r="3621" spans="1:2" x14ac:dyDescent="0.25">
      <c r="A3621" s="3">
        <v>44056</v>
      </c>
      <c r="B3621">
        <v>3724.55</v>
      </c>
    </row>
    <row r="3622" spans="1:2" x14ac:dyDescent="0.25">
      <c r="A3622" s="3">
        <v>44057</v>
      </c>
      <c r="B3622">
        <v>3724.21</v>
      </c>
    </row>
    <row r="3623" spans="1:2" x14ac:dyDescent="0.25">
      <c r="A3623" s="3">
        <v>44060</v>
      </c>
      <c r="B3623">
        <v>3725.9</v>
      </c>
    </row>
    <row r="3624" spans="1:2" x14ac:dyDescent="0.25">
      <c r="A3624" s="3">
        <v>44061</v>
      </c>
      <c r="B3624">
        <v>3728.65</v>
      </c>
    </row>
    <row r="3625" spans="1:2" x14ac:dyDescent="0.25">
      <c r="A3625" s="3">
        <v>44062</v>
      </c>
      <c r="B3625">
        <v>3727.67</v>
      </c>
    </row>
    <row r="3626" spans="1:2" x14ac:dyDescent="0.25">
      <c r="A3626" s="3">
        <v>44063</v>
      </c>
      <c r="B3626">
        <v>3724.8</v>
      </c>
    </row>
    <row r="3627" spans="1:2" x14ac:dyDescent="0.25">
      <c r="A3627" s="3">
        <v>44064</v>
      </c>
      <c r="B3627">
        <v>3721.86</v>
      </c>
    </row>
    <row r="3628" spans="1:2" x14ac:dyDescent="0.25">
      <c r="A3628" s="3">
        <v>44067</v>
      </c>
      <c r="B3628">
        <v>3723.36</v>
      </c>
    </row>
    <row r="3629" spans="1:2" x14ac:dyDescent="0.25">
      <c r="A3629" s="3">
        <v>44068</v>
      </c>
      <c r="B3629">
        <v>3723.95</v>
      </c>
    </row>
    <row r="3630" spans="1:2" x14ac:dyDescent="0.25">
      <c r="A3630" s="3">
        <v>44069</v>
      </c>
      <c r="B3630">
        <v>3724.04</v>
      </c>
    </row>
    <row r="3631" spans="1:2" x14ac:dyDescent="0.25">
      <c r="A3631" s="3">
        <v>44070</v>
      </c>
      <c r="B3631">
        <v>3722.83</v>
      </c>
    </row>
    <row r="3632" spans="1:2" x14ac:dyDescent="0.25">
      <c r="A3632" s="3">
        <v>44071</v>
      </c>
      <c r="B3632">
        <v>3728.22</v>
      </c>
    </row>
    <row r="3633" spans="1:2" x14ac:dyDescent="0.25">
      <c r="A3633" s="3">
        <v>44074</v>
      </c>
      <c r="B3633">
        <v>3731.51</v>
      </c>
    </row>
    <row r="3634" spans="1:2" x14ac:dyDescent="0.25">
      <c r="A3634" s="3">
        <v>44075</v>
      </c>
      <c r="B3634">
        <v>3731.84</v>
      </c>
    </row>
    <row r="3635" spans="1:2" x14ac:dyDescent="0.25">
      <c r="A3635" s="3">
        <v>44076</v>
      </c>
      <c r="B3635">
        <v>3725.94</v>
      </c>
    </row>
    <row r="3636" spans="1:2" x14ac:dyDescent="0.25">
      <c r="A3636" s="3">
        <v>44077</v>
      </c>
      <c r="B3636">
        <v>3725.65</v>
      </c>
    </row>
    <row r="3637" spans="1:2" x14ac:dyDescent="0.25">
      <c r="A3637" s="3">
        <v>44078</v>
      </c>
      <c r="B3637">
        <v>3723.62</v>
      </c>
    </row>
    <row r="3638" spans="1:2" x14ac:dyDescent="0.25">
      <c r="A3638" s="3">
        <v>44082</v>
      </c>
      <c r="B3638">
        <v>3722.78</v>
      </c>
    </row>
    <row r="3639" spans="1:2" x14ac:dyDescent="0.25">
      <c r="A3639" s="3">
        <v>44083</v>
      </c>
      <c r="B3639">
        <v>3723.5</v>
      </c>
    </row>
    <row r="3640" spans="1:2" x14ac:dyDescent="0.25">
      <c r="A3640" s="3">
        <v>44084</v>
      </c>
      <c r="B3640">
        <v>3725.78</v>
      </c>
    </row>
    <row r="3641" spans="1:2" x14ac:dyDescent="0.25">
      <c r="A3641" s="3">
        <v>44085</v>
      </c>
      <c r="B3641">
        <v>3723.77</v>
      </c>
    </row>
    <row r="3642" spans="1:2" x14ac:dyDescent="0.25">
      <c r="A3642" s="3">
        <v>44088</v>
      </c>
      <c r="B3642">
        <v>3725.9</v>
      </c>
    </row>
    <row r="3643" spans="1:2" x14ac:dyDescent="0.25">
      <c r="A3643" s="3">
        <v>44089</v>
      </c>
      <c r="B3643">
        <v>3724.89</v>
      </c>
    </row>
    <row r="3644" spans="1:2" x14ac:dyDescent="0.25">
      <c r="A3644" s="3">
        <v>44090</v>
      </c>
      <c r="B3644">
        <v>3724.47</v>
      </c>
    </row>
    <row r="3645" spans="1:2" x14ac:dyDescent="0.25">
      <c r="A3645" s="3">
        <v>44091</v>
      </c>
      <c r="B3645">
        <v>3723.31</v>
      </c>
    </row>
    <row r="3646" spans="1:2" x14ac:dyDescent="0.25">
      <c r="A3646" s="3">
        <v>44092</v>
      </c>
      <c r="B3646">
        <v>3725.68</v>
      </c>
    </row>
    <row r="3647" spans="1:2" x14ac:dyDescent="0.25">
      <c r="A3647" s="3">
        <v>44095</v>
      </c>
      <c r="B3647">
        <v>3719.84</v>
      </c>
    </row>
    <row r="3648" spans="1:2" x14ac:dyDescent="0.25">
      <c r="A3648" s="3">
        <v>44096</v>
      </c>
      <c r="B3648">
        <v>3717.92</v>
      </c>
    </row>
    <row r="3649" spans="1:2" x14ac:dyDescent="0.25">
      <c r="A3649" s="3">
        <v>44097</v>
      </c>
      <c r="B3649">
        <v>3716.49</v>
      </c>
    </row>
    <row r="3650" spans="1:2" x14ac:dyDescent="0.25">
      <c r="A3650" s="3">
        <v>44098</v>
      </c>
      <c r="B3650">
        <v>3714.71</v>
      </c>
    </row>
    <row r="3651" spans="1:2" x14ac:dyDescent="0.25">
      <c r="A3651" s="3">
        <v>44099</v>
      </c>
      <c r="B3651">
        <v>3713.74</v>
      </c>
    </row>
    <row r="3652" spans="1:2" x14ac:dyDescent="0.25">
      <c r="A3652" s="3">
        <v>44102</v>
      </c>
      <c r="B3652">
        <v>3715.37</v>
      </c>
    </row>
    <row r="3653" spans="1:2" x14ac:dyDescent="0.25">
      <c r="A3653" s="3">
        <v>44103</v>
      </c>
      <c r="B3653">
        <v>3719.23</v>
      </c>
    </row>
    <row r="3654" spans="1:2" x14ac:dyDescent="0.25">
      <c r="A3654" s="3">
        <v>44104</v>
      </c>
      <c r="B3654">
        <v>4051.4</v>
      </c>
    </row>
    <row r="3655" spans="1:2" x14ac:dyDescent="0.25">
      <c r="A3655" s="3">
        <v>44105</v>
      </c>
      <c r="B3655">
        <v>4051.66</v>
      </c>
    </row>
    <row r="3656" spans="1:2" x14ac:dyDescent="0.25">
      <c r="A3656" s="3">
        <v>44106</v>
      </c>
      <c r="B3656">
        <v>4050.88</v>
      </c>
    </row>
    <row r="3657" spans="1:2" x14ac:dyDescent="0.25">
      <c r="A3657" s="3">
        <v>44109</v>
      </c>
      <c r="B3657">
        <v>4054.7</v>
      </c>
    </row>
    <row r="3658" spans="1:2" x14ac:dyDescent="0.25">
      <c r="A3658" s="3">
        <v>44110</v>
      </c>
      <c r="B3658">
        <v>4054.59</v>
      </c>
    </row>
    <row r="3659" spans="1:2" x14ac:dyDescent="0.25">
      <c r="A3659" s="3">
        <v>44111</v>
      </c>
      <c r="B3659">
        <v>4052.91</v>
      </c>
    </row>
    <row r="3660" spans="1:2" x14ac:dyDescent="0.25">
      <c r="A3660" s="3">
        <v>44112</v>
      </c>
      <c r="B3660">
        <v>4052.44</v>
      </c>
    </row>
    <row r="3661" spans="1:2" x14ac:dyDescent="0.25">
      <c r="A3661" s="3">
        <v>44113</v>
      </c>
      <c r="B3661">
        <v>4055.92</v>
      </c>
    </row>
    <row r="3662" spans="1:2" x14ac:dyDescent="0.25">
      <c r="A3662" s="3">
        <v>44116</v>
      </c>
      <c r="B3662">
        <v>4056.02</v>
      </c>
    </row>
    <row r="3663" spans="1:2" x14ac:dyDescent="0.25">
      <c r="A3663" s="3">
        <v>44117</v>
      </c>
      <c r="B3663">
        <v>4052.49</v>
      </c>
    </row>
    <row r="3664" spans="1:2" x14ac:dyDescent="0.25">
      <c r="A3664" s="3">
        <v>44118</v>
      </c>
      <c r="B3664">
        <v>4053.41</v>
      </c>
    </row>
    <row r="3665" spans="1:2" x14ac:dyDescent="0.25">
      <c r="A3665" s="3">
        <v>44119</v>
      </c>
      <c r="B3665">
        <v>4049.98</v>
      </c>
    </row>
    <row r="3666" spans="1:2" x14ac:dyDescent="0.25">
      <c r="A3666" s="3">
        <v>44120</v>
      </c>
      <c r="B3666">
        <v>4051.01</v>
      </c>
    </row>
    <row r="3667" spans="1:2" x14ac:dyDescent="0.25">
      <c r="A3667" s="3">
        <v>44123</v>
      </c>
      <c r="B3667">
        <v>4054.21</v>
      </c>
    </row>
    <row r="3668" spans="1:2" x14ac:dyDescent="0.25">
      <c r="A3668" s="3">
        <v>44124</v>
      </c>
      <c r="B3668">
        <v>4056.26</v>
      </c>
    </row>
    <row r="3669" spans="1:2" x14ac:dyDescent="0.25">
      <c r="A3669" s="3">
        <v>44125</v>
      </c>
      <c r="B3669">
        <v>4059.09</v>
      </c>
    </row>
    <row r="3670" spans="1:2" x14ac:dyDescent="0.25">
      <c r="A3670" s="3">
        <v>44126</v>
      </c>
      <c r="B3670">
        <v>4056.64</v>
      </c>
    </row>
    <row r="3671" spans="1:2" x14ac:dyDescent="0.25">
      <c r="A3671" s="3">
        <v>44127</v>
      </c>
      <c r="B3671">
        <v>4056.83</v>
      </c>
    </row>
    <row r="3672" spans="1:2" x14ac:dyDescent="0.25">
      <c r="A3672" s="3">
        <v>44130</v>
      </c>
      <c r="B3672">
        <v>4055.97</v>
      </c>
    </row>
    <row r="3673" spans="1:2" x14ac:dyDescent="0.25">
      <c r="A3673" s="3">
        <v>44131</v>
      </c>
      <c r="B3673">
        <v>4056.89</v>
      </c>
    </row>
    <row r="3674" spans="1:2" x14ac:dyDescent="0.25">
      <c r="A3674" s="3">
        <v>44132</v>
      </c>
      <c r="B3674">
        <v>4052.66</v>
      </c>
    </row>
    <row r="3675" spans="1:2" x14ac:dyDescent="0.25">
      <c r="A3675" s="3">
        <v>44133</v>
      </c>
      <c r="B3675">
        <v>4047.79</v>
      </c>
    </row>
    <row r="3676" spans="1:2" x14ac:dyDescent="0.25">
      <c r="A3676" s="3">
        <v>44134</v>
      </c>
      <c r="B3676">
        <v>4047.55</v>
      </c>
    </row>
    <row r="3677" spans="1:2" x14ac:dyDescent="0.25">
      <c r="A3677" s="3">
        <v>44137</v>
      </c>
      <c r="B3677">
        <v>4047.36</v>
      </c>
    </row>
    <row r="3678" spans="1:2" x14ac:dyDescent="0.25">
      <c r="A3678" s="3">
        <v>44138</v>
      </c>
      <c r="B3678">
        <v>4052.51</v>
      </c>
    </row>
    <row r="3679" spans="1:2" x14ac:dyDescent="0.25">
      <c r="A3679" s="3">
        <v>44139</v>
      </c>
      <c r="B3679">
        <v>4051.24</v>
      </c>
    </row>
    <row r="3680" spans="1:2" x14ac:dyDescent="0.25">
      <c r="A3680" s="3">
        <v>44140</v>
      </c>
      <c r="B3680">
        <v>4057.39</v>
      </c>
    </row>
    <row r="3681" spans="1:2" x14ac:dyDescent="0.25">
      <c r="A3681" s="3">
        <v>44141</v>
      </c>
      <c r="B3681">
        <v>4059.76</v>
      </c>
    </row>
    <row r="3682" spans="1:2" x14ac:dyDescent="0.25">
      <c r="A3682" s="3">
        <v>44144</v>
      </c>
      <c r="B3682">
        <v>4057.46</v>
      </c>
    </row>
    <row r="3683" spans="1:2" x14ac:dyDescent="0.25">
      <c r="A3683" s="3">
        <v>44145</v>
      </c>
      <c r="B3683">
        <v>4057.58</v>
      </c>
    </row>
    <row r="3684" spans="1:2" x14ac:dyDescent="0.25">
      <c r="A3684" s="3">
        <v>44146</v>
      </c>
      <c r="B3684">
        <v>4054.46</v>
      </c>
    </row>
    <row r="3685" spans="1:2" x14ac:dyDescent="0.25">
      <c r="A3685" s="3">
        <v>44147</v>
      </c>
      <c r="B3685">
        <v>4056.72</v>
      </c>
    </row>
    <row r="3686" spans="1:2" x14ac:dyDescent="0.25">
      <c r="A3686" s="3">
        <v>44148</v>
      </c>
      <c r="B3686">
        <v>4057.17</v>
      </c>
    </row>
    <row r="3687" spans="1:2" x14ac:dyDescent="0.25">
      <c r="A3687" s="3">
        <v>44151</v>
      </c>
      <c r="B3687">
        <v>4058.18</v>
      </c>
    </row>
    <row r="3688" spans="1:2" x14ac:dyDescent="0.25">
      <c r="A3688" s="3">
        <v>44152</v>
      </c>
      <c r="B3688">
        <v>4060.22</v>
      </c>
    </row>
    <row r="3689" spans="1:2" x14ac:dyDescent="0.25">
      <c r="A3689" s="3">
        <v>44153</v>
      </c>
      <c r="B3689">
        <v>4060.47</v>
      </c>
    </row>
    <row r="3690" spans="1:2" x14ac:dyDescent="0.25">
      <c r="A3690" s="3">
        <v>44154</v>
      </c>
      <c r="B3690">
        <v>4058.42</v>
      </c>
    </row>
    <row r="3691" spans="1:2" x14ac:dyDescent="0.25">
      <c r="A3691" s="3">
        <v>44155</v>
      </c>
      <c r="B3691">
        <v>4059.35</v>
      </c>
    </row>
    <row r="3692" spans="1:2" x14ac:dyDescent="0.25">
      <c r="A3692" s="3">
        <v>44158</v>
      </c>
      <c r="B3692">
        <v>4057.63</v>
      </c>
    </row>
    <row r="3693" spans="1:2" x14ac:dyDescent="0.25">
      <c r="A3693" s="3">
        <v>44159</v>
      </c>
      <c r="B3693">
        <v>4060.49</v>
      </c>
    </row>
    <row r="3694" spans="1:2" x14ac:dyDescent="0.25">
      <c r="A3694" s="3">
        <v>44160</v>
      </c>
      <c r="B3694">
        <v>4061.91</v>
      </c>
    </row>
    <row r="3695" spans="1:2" x14ac:dyDescent="0.25">
      <c r="A3695" s="3">
        <v>44162</v>
      </c>
      <c r="B3695">
        <v>4064.15</v>
      </c>
    </row>
    <row r="3696" spans="1:2" x14ac:dyDescent="0.25">
      <c r="A3696" s="3">
        <v>44165</v>
      </c>
      <c r="B3696">
        <v>4066.13</v>
      </c>
    </row>
    <row r="3697" spans="1:2" x14ac:dyDescent="0.25">
      <c r="A3697" s="3">
        <v>44166</v>
      </c>
      <c r="B3697">
        <v>4069.47</v>
      </c>
    </row>
    <row r="3698" spans="1:2" x14ac:dyDescent="0.25">
      <c r="A3698" s="3">
        <v>44167</v>
      </c>
      <c r="B3698">
        <v>4071.51</v>
      </c>
    </row>
    <row r="3699" spans="1:2" x14ac:dyDescent="0.25">
      <c r="A3699" s="3">
        <v>44168</v>
      </c>
      <c r="B3699">
        <v>4076.04</v>
      </c>
    </row>
    <row r="3700" spans="1:2" x14ac:dyDescent="0.25">
      <c r="A3700" s="3">
        <v>44169</v>
      </c>
      <c r="B3700">
        <v>4075.07</v>
      </c>
    </row>
    <row r="3701" spans="1:2" x14ac:dyDescent="0.25">
      <c r="A3701" s="3">
        <v>44172</v>
      </c>
      <c r="B3701">
        <v>4074.27</v>
      </c>
    </row>
    <row r="3702" spans="1:2" x14ac:dyDescent="0.25">
      <c r="A3702" s="3">
        <v>44173</v>
      </c>
      <c r="B3702">
        <v>4073.39</v>
      </c>
    </row>
    <row r="3703" spans="1:2" x14ac:dyDescent="0.25">
      <c r="A3703" s="3">
        <v>44174</v>
      </c>
      <c r="B3703">
        <v>4072.06</v>
      </c>
    </row>
    <row r="3704" spans="1:2" x14ac:dyDescent="0.25">
      <c r="A3704" s="3">
        <v>44175</v>
      </c>
      <c r="B3704">
        <v>4074.04</v>
      </c>
    </row>
    <row r="3705" spans="1:2" x14ac:dyDescent="0.25">
      <c r="A3705" s="3">
        <v>44176</v>
      </c>
      <c r="B3705">
        <v>4072.85</v>
      </c>
    </row>
    <row r="3706" spans="1:2" x14ac:dyDescent="0.25">
      <c r="A3706" s="3">
        <v>44179</v>
      </c>
      <c r="B3706">
        <v>4074.02</v>
      </c>
    </row>
    <row r="3707" spans="1:2" x14ac:dyDescent="0.25">
      <c r="A3707" s="3">
        <v>44180</v>
      </c>
      <c r="B3707">
        <v>4075.59</v>
      </c>
    </row>
    <row r="3708" spans="1:2" x14ac:dyDescent="0.25">
      <c r="A3708" s="3">
        <v>44181</v>
      </c>
      <c r="B3708">
        <v>4077.52</v>
      </c>
    </row>
    <row r="3709" spans="1:2" x14ac:dyDescent="0.25">
      <c r="A3709" s="3">
        <v>44182</v>
      </c>
      <c r="B3709">
        <v>4080.71</v>
      </c>
    </row>
    <row r="3710" spans="1:2" x14ac:dyDescent="0.25">
      <c r="A3710" s="3">
        <v>44183</v>
      </c>
      <c r="B3710">
        <v>4079.84</v>
      </c>
    </row>
    <row r="3711" spans="1:2" x14ac:dyDescent="0.25">
      <c r="A3711" s="3">
        <v>44186</v>
      </c>
      <c r="B3711">
        <v>4078.2</v>
      </c>
    </row>
    <row r="3712" spans="1:2" x14ac:dyDescent="0.25">
      <c r="A3712" s="3">
        <v>44187</v>
      </c>
      <c r="B3712">
        <v>4076.04</v>
      </c>
    </row>
    <row r="3713" spans="1:2" x14ac:dyDescent="0.25">
      <c r="A3713" s="3">
        <v>44188</v>
      </c>
      <c r="B3713">
        <v>4077.65</v>
      </c>
    </row>
    <row r="3714" spans="1:2" x14ac:dyDescent="0.25">
      <c r="A3714" s="3">
        <v>44189</v>
      </c>
      <c r="B3714">
        <v>4077.59</v>
      </c>
    </row>
    <row r="3715" spans="1:2" x14ac:dyDescent="0.25">
      <c r="A3715" s="3">
        <v>44193</v>
      </c>
      <c r="B3715">
        <v>4078.67</v>
      </c>
    </row>
    <row r="3716" spans="1:2" x14ac:dyDescent="0.25">
      <c r="A3716" s="3">
        <v>44194</v>
      </c>
      <c r="B3716">
        <v>4080.22</v>
      </c>
    </row>
    <row r="3717" spans="1:2" x14ac:dyDescent="0.25">
      <c r="A3717" s="3">
        <v>44195</v>
      </c>
      <c r="B3717">
        <v>4083.97</v>
      </c>
    </row>
    <row r="3718" spans="1:2" x14ac:dyDescent="0.25">
      <c r="A3718" s="3">
        <v>44196</v>
      </c>
      <c r="B3718">
        <v>4537.75</v>
      </c>
    </row>
    <row r="3719" spans="1:2" x14ac:dyDescent="0.25">
      <c r="A3719" s="3">
        <v>44200</v>
      </c>
      <c r="B3719">
        <v>4539.3100000000004</v>
      </c>
    </row>
    <row r="3720" spans="1:2" x14ac:dyDescent="0.25">
      <c r="A3720" s="3">
        <v>44201</v>
      </c>
      <c r="B3720">
        <v>4539.68</v>
      </c>
    </row>
    <row r="3721" spans="1:2" x14ac:dyDescent="0.25">
      <c r="A3721" s="3">
        <v>44202</v>
      </c>
      <c r="B3721">
        <v>4539.84</v>
      </c>
    </row>
    <row r="3722" spans="1:2" x14ac:dyDescent="0.25">
      <c r="A3722" s="3">
        <v>44203</v>
      </c>
      <c r="B3722">
        <v>4538.62</v>
      </c>
    </row>
    <row r="3723" spans="1:2" x14ac:dyDescent="0.25">
      <c r="A3723" s="3">
        <v>44204</v>
      </c>
      <c r="B3723">
        <v>4538.67</v>
      </c>
    </row>
    <row r="3724" spans="1:2" x14ac:dyDescent="0.25">
      <c r="A3724" s="3">
        <v>44207</v>
      </c>
      <c r="B3724">
        <v>4532.51</v>
      </c>
    </row>
    <row r="3725" spans="1:2" x14ac:dyDescent="0.25">
      <c r="A3725" s="3">
        <v>44208</v>
      </c>
      <c r="B3725">
        <v>4533.46</v>
      </c>
    </row>
    <row r="3726" spans="1:2" x14ac:dyDescent="0.25">
      <c r="A3726" s="3">
        <v>44209</v>
      </c>
      <c r="B3726">
        <v>4533.6400000000003</v>
      </c>
    </row>
    <row r="3727" spans="1:2" x14ac:dyDescent="0.25">
      <c r="A3727" s="3">
        <v>44210</v>
      </c>
      <c r="B3727">
        <v>4532.5200000000004</v>
      </c>
    </row>
    <row r="3728" spans="1:2" x14ac:dyDescent="0.25">
      <c r="A3728" s="3">
        <v>44211</v>
      </c>
      <c r="B3728">
        <v>4529.78</v>
      </c>
    </row>
    <row r="3729" spans="1:2" x14ac:dyDescent="0.25">
      <c r="A3729" s="3">
        <v>44215</v>
      </c>
      <c r="B3729">
        <v>4531.75</v>
      </c>
    </row>
    <row r="3730" spans="1:2" x14ac:dyDescent="0.25">
      <c r="A3730" s="3">
        <v>44216</v>
      </c>
      <c r="B3730">
        <v>4530.71</v>
      </c>
    </row>
    <row r="3731" spans="1:2" x14ac:dyDescent="0.25">
      <c r="A3731" s="3">
        <v>44217</v>
      </c>
      <c r="B3731">
        <v>4533.49</v>
      </c>
    </row>
    <row r="3732" spans="1:2" x14ac:dyDescent="0.25">
      <c r="A3732" s="3">
        <v>44218</v>
      </c>
      <c r="B3732">
        <v>4534.3500000000004</v>
      </c>
    </row>
    <row r="3733" spans="1:2" x14ac:dyDescent="0.25">
      <c r="A3733" s="3">
        <v>44221</v>
      </c>
      <c r="B3733">
        <v>4532.08</v>
      </c>
    </row>
    <row r="3734" spans="1:2" x14ac:dyDescent="0.25">
      <c r="A3734" s="3">
        <v>44222</v>
      </c>
      <c r="B3734">
        <v>4534.34</v>
      </c>
    </row>
    <row r="3735" spans="1:2" x14ac:dyDescent="0.25">
      <c r="A3735" s="3">
        <v>44223</v>
      </c>
      <c r="B3735">
        <v>4530.0600000000004</v>
      </c>
    </row>
    <row r="3736" spans="1:2" x14ac:dyDescent="0.25">
      <c r="A3736" s="3">
        <v>44224</v>
      </c>
      <c r="B3736">
        <v>4531.74</v>
      </c>
    </row>
    <row r="3737" spans="1:2" x14ac:dyDescent="0.25">
      <c r="A3737" s="3">
        <v>44225</v>
      </c>
      <c r="B3737">
        <v>4533.1899999999996</v>
      </c>
    </row>
    <row r="3738" spans="1:2" x14ac:dyDescent="0.25">
      <c r="A3738" s="3">
        <v>44228</v>
      </c>
      <c r="B3738">
        <v>4530.22</v>
      </c>
    </row>
    <row r="3739" spans="1:2" x14ac:dyDescent="0.25">
      <c r="A3739" s="3">
        <v>44229</v>
      </c>
      <c r="B3739">
        <v>4527.21</v>
      </c>
    </row>
    <row r="3740" spans="1:2" x14ac:dyDescent="0.25">
      <c r="A3740" s="3">
        <v>44230</v>
      </c>
      <c r="B3740">
        <v>4526.5</v>
      </c>
    </row>
    <row r="3741" spans="1:2" x14ac:dyDescent="0.25">
      <c r="A3741" s="3">
        <v>44231</v>
      </c>
      <c r="B3741">
        <v>4524.67</v>
      </c>
    </row>
    <row r="3742" spans="1:2" x14ac:dyDescent="0.25">
      <c r="A3742" s="3">
        <v>44232</v>
      </c>
      <c r="B3742">
        <v>4527.54</v>
      </c>
    </row>
    <row r="3743" spans="1:2" x14ac:dyDescent="0.25">
      <c r="A3743" s="3">
        <v>44235</v>
      </c>
      <c r="B3743">
        <v>4528.8599999999997</v>
      </c>
    </row>
    <row r="3744" spans="1:2" x14ac:dyDescent="0.25">
      <c r="A3744" s="3">
        <v>44236</v>
      </c>
      <c r="B3744">
        <v>4531.72</v>
      </c>
    </row>
    <row r="3745" spans="1:2" x14ac:dyDescent="0.25">
      <c r="A3745" s="3">
        <v>44237</v>
      </c>
      <c r="B3745">
        <v>4533.66</v>
      </c>
    </row>
    <row r="3746" spans="1:2" x14ac:dyDescent="0.25">
      <c r="A3746" s="3">
        <v>44238</v>
      </c>
      <c r="B3746">
        <v>4533.71</v>
      </c>
    </row>
    <row r="3747" spans="1:2" x14ac:dyDescent="0.25">
      <c r="A3747" s="3">
        <v>44239</v>
      </c>
      <c r="B3747">
        <v>4533.0600000000004</v>
      </c>
    </row>
    <row r="3748" spans="1:2" x14ac:dyDescent="0.25">
      <c r="A3748" s="3">
        <v>44243</v>
      </c>
      <c r="B3748">
        <v>4533.3999999999996</v>
      </c>
    </row>
    <row r="3749" spans="1:2" x14ac:dyDescent="0.25">
      <c r="A3749" s="3">
        <v>44244</v>
      </c>
      <c r="B3749">
        <v>4528.49</v>
      </c>
    </row>
    <row r="3750" spans="1:2" x14ac:dyDescent="0.25">
      <c r="A3750" s="3">
        <v>44245</v>
      </c>
      <c r="B3750">
        <v>4530.9399999999996</v>
      </c>
    </row>
    <row r="3751" spans="1:2" x14ac:dyDescent="0.25">
      <c r="A3751" s="3">
        <v>44246</v>
      </c>
      <c r="B3751">
        <v>4534.28</v>
      </c>
    </row>
    <row r="3752" spans="1:2" x14ac:dyDescent="0.25">
      <c r="A3752" s="3">
        <v>44249</v>
      </c>
      <c r="B3752">
        <v>4535.0200000000004</v>
      </c>
    </row>
    <row r="3753" spans="1:2" x14ac:dyDescent="0.25">
      <c r="A3753" s="3">
        <v>44250</v>
      </c>
      <c r="B3753">
        <v>4536.37</v>
      </c>
    </row>
    <row r="3754" spans="1:2" x14ac:dyDescent="0.25">
      <c r="A3754" s="3">
        <v>44251</v>
      </c>
      <c r="B3754">
        <v>4534.3999999999996</v>
      </c>
    </row>
    <row r="3755" spans="1:2" x14ac:dyDescent="0.25">
      <c r="A3755" s="3">
        <v>44252</v>
      </c>
      <c r="B3755">
        <v>4539.95</v>
      </c>
    </row>
    <row r="3756" spans="1:2" x14ac:dyDescent="0.25">
      <c r="A3756" s="3">
        <v>44253</v>
      </c>
      <c r="B3756">
        <v>4534.3999999999996</v>
      </c>
    </row>
    <row r="3757" spans="1:2" x14ac:dyDescent="0.25">
      <c r="A3757" s="3">
        <v>44256</v>
      </c>
      <c r="B3757">
        <v>4530.76</v>
      </c>
    </row>
    <row r="3758" spans="1:2" x14ac:dyDescent="0.25">
      <c r="A3758" s="3">
        <v>44257</v>
      </c>
      <c r="B3758">
        <v>4531.42</v>
      </c>
    </row>
    <row r="3759" spans="1:2" x14ac:dyDescent="0.25">
      <c r="A3759" s="3">
        <v>44258</v>
      </c>
      <c r="B3759">
        <v>4532.1000000000004</v>
      </c>
    </row>
    <row r="3760" spans="1:2" x14ac:dyDescent="0.25">
      <c r="A3760" s="3">
        <v>44259</v>
      </c>
      <c r="B3760">
        <v>4530.3999999999996</v>
      </c>
    </row>
    <row r="3761" spans="1:2" x14ac:dyDescent="0.25">
      <c r="A3761" s="3">
        <v>44260</v>
      </c>
      <c r="B3761">
        <v>4522.53</v>
      </c>
    </row>
    <row r="3762" spans="1:2" x14ac:dyDescent="0.25">
      <c r="A3762" s="3">
        <v>44263</v>
      </c>
      <c r="B3762">
        <v>4519.8100000000004</v>
      </c>
    </row>
    <row r="3763" spans="1:2" x14ac:dyDescent="0.25">
      <c r="A3763" s="3">
        <v>44264</v>
      </c>
      <c r="B3763">
        <v>4521.4799999999996</v>
      </c>
    </row>
    <row r="3764" spans="1:2" x14ac:dyDescent="0.25">
      <c r="A3764" s="3">
        <v>44265</v>
      </c>
      <c r="B3764">
        <v>4522.25</v>
      </c>
    </row>
    <row r="3765" spans="1:2" x14ac:dyDescent="0.25">
      <c r="A3765" s="3">
        <v>44266</v>
      </c>
      <c r="B3765">
        <v>4525.99</v>
      </c>
    </row>
    <row r="3766" spans="1:2" x14ac:dyDescent="0.25">
      <c r="A3766" s="3">
        <v>44267</v>
      </c>
      <c r="B3766">
        <v>4524.5200000000004</v>
      </c>
    </row>
    <row r="3767" spans="1:2" x14ac:dyDescent="0.25">
      <c r="A3767" s="3">
        <v>44270</v>
      </c>
      <c r="B3767">
        <v>4523.21</v>
      </c>
    </row>
    <row r="3768" spans="1:2" x14ac:dyDescent="0.25">
      <c r="A3768" s="3">
        <v>44271</v>
      </c>
      <c r="B3768">
        <v>4522.2</v>
      </c>
    </row>
    <row r="3769" spans="1:2" x14ac:dyDescent="0.25">
      <c r="A3769" s="3">
        <v>44272</v>
      </c>
      <c r="B3769">
        <v>4522.62</v>
      </c>
    </row>
    <row r="3770" spans="1:2" x14ac:dyDescent="0.25">
      <c r="A3770" s="3">
        <v>44273</v>
      </c>
      <c r="B3770">
        <v>4524.05</v>
      </c>
    </row>
    <row r="3771" spans="1:2" x14ac:dyDescent="0.25">
      <c r="A3771" s="3">
        <v>44274</v>
      </c>
      <c r="B3771">
        <v>4522.91</v>
      </c>
    </row>
    <row r="3772" spans="1:2" x14ac:dyDescent="0.25">
      <c r="A3772" s="3">
        <v>44277</v>
      </c>
      <c r="B3772">
        <v>4524.0600000000004</v>
      </c>
    </row>
    <row r="3773" spans="1:2" x14ac:dyDescent="0.25">
      <c r="A3773" s="3">
        <v>44278</v>
      </c>
      <c r="B3773">
        <v>4520.54</v>
      </c>
    </row>
    <row r="3774" spans="1:2" x14ac:dyDescent="0.25">
      <c r="A3774" s="3">
        <v>44279</v>
      </c>
      <c r="B3774">
        <v>4517.9799999999996</v>
      </c>
    </row>
    <row r="3775" spans="1:2" x14ac:dyDescent="0.25">
      <c r="A3775" s="3">
        <v>44280</v>
      </c>
      <c r="B3775">
        <v>4514.93</v>
      </c>
    </row>
    <row r="3776" spans="1:2" x14ac:dyDescent="0.25">
      <c r="A3776" s="3">
        <v>44281</v>
      </c>
      <c r="B3776">
        <v>4516.3999999999996</v>
      </c>
    </row>
    <row r="3777" spans="1:2" x14ac:dyDescent="0.25">
      <c r="A3777" s="3">
        <v>44284</v>
      </c>
      <c r="B3777">
        <v>4514.5200000000004</v>
      </c>
    </row>
    <row r="3778" spans="1:2" x14ac:dyDescent="0.25">
      <c r="A3778" s="3">
        <v>44285</v>
      </c>
      <c r="B3778">
        <v>4512.3500000000004</v>
      </c>
    </row>
    <row r="3779" spans="1:2" x14ac:dyDescent="0.25">
      <c r="A3779" s="3">
        <v>44286</v>
      </c>
      <c r="B3779">
        <v>4903.01</v>
      </c>
    </row>
    <row r="3780" spans="1:2" x14ac:dyDescent="0.25">
      <c r="A3780" s="3">
        <v>44287</v>
      </c>
      <c r="B3780">
        <v>4903.4799999999996</v>
      </c>
    </row>
    <row r="3781" spans="1:2" x14ac:dyDescent="0.25">
      <c r="A3781" s="3">
        <v>44291</v>
      </c>
      <c r="B3781">
        <v>4905.99</v>
      </c>
    </row>
    <row r="3782" spans="1:2" x14ac:dyDescent="0.25">
      <c r="A3782" s="3">
        <v>44292</v>
      </c>
      <c r="B3782">
        <v>4908.24</v>
      </c>
    </row>
    <row r="3783" spans="1:2" x14ac:dyDescent="0.25">
      <c r="A3783" s="3">
        <v>44293</v>
      </c>
      <c r="B3783">
        <v>4911.45</v>
      </c>
    </row>
    <row r="3784" spans="1:2" x14ac:dyDescent="0.25">
      <c r="A3784" s="3">
        <v>44294</v>
      </c>
      <c r="B3784">
        <v>4911.1000000000004</v>
      </c>
    </row>
    <row r="3785" spans="1:2" x14ac:dyDescent="0.25">
      <c r="A3785" s="3">
        <v>44295</v>
      </c>
      <c r="B3785">
        <v>4910.63</v>
      </c>
    </row>
    <row r="3786" spans="1:2" x14ac:dyDescent="0.25">
      <c r="A3786" s="3">
        <v>44298</v>
      </c>
      <c r="B3786">
        <v>4911.67</v>
      </c>
    </row>
    <row r="3787" spans="1:2" x14ac:dyDescent="0.25">
      <c r="A3787" s="3">
        <v>44299</v>
      </c>
      <c r="B3787">
        <v>4912.6499999999996</v>
      </c>
    </row>
    <row r="3788" spans="1:2" x14ac:dyDescent="0.25">
      <c r="A3788" s="3">
        <v>44300</v>
      </c>
      <c r="B3788">
        <v>4915.47</v>
      </c>
    </row>
    <row r="3789" spans="1:2" x14ac:dyDescent="0.25">
      <c r="A3789" s="3">
        <v>44301</v>
      </c>
      <c r="B3789">
        <v>4915.75</v>
      </c>
    </row>
    <row r="3790" spans="1:2" x14ac:dyDescent="0.25">
      <c r="A3790" s="3">
        <v>44302</v>
      </c>
      <c r="B3790">
        <v>4916.3500000000004</v>
      </c>
    </row>
    <row r="3791" spans="1:2" x14ac:dyDescent="0.25">
      <c r="A3791" s="3">
        <v>44305</v>
      </c>
      <c r="B3791">
        <v>4919.32</v>
      </c>
    </row>
    <row r="3792" spans="1:2" x14ac:dyDescent="0.25">
      <c r="A3792" s="3">
        <v>44306</v>
      </c>
      <c r="B3792">
        <v>4920.7700000000004</v>
      </c>
    </row>
    <row r="3793" spans="1:2" x14ac:dyDescent="0.25">
      <c r="A3793" s="3">
        <v>44307</v>
      </c>
      <c r="B3793">
        <v>4919.57</v>
      </c>
    </row>
    <row r="3794" spans="1:2" x14ac:dyDescent="0.25">
      <c r="A3794" s="3">
        <v>44308</v>
      </c>
      <c r="B3794">
        <v>4918.8999999999996</v>
      </c>
    </row>
    <row r="3795" spans="1:2" x14ac:dyDescent="0.25">
      <c r="A3795" s="3">
        <v>44309</v>
      </c>
      <c r="B3795">
        <v>4920.3999999999996</v>
      </c>
    </row>
    <row r="3796" spans="1:2" x14ac:dyDescent="0.25">
      <c r="A3796" s="3">
        <v>44312</v>
      </c>
      <c r="B3796">
        <v>4922.66</v>
      </c>
    </row>
    <row r="3797" spans="1:2" x14ac:dyDescent="0.25">
      <c r="A3797" s="3">
        <v>44313</v>
      </c>
      <c r="B3797">
        <v>4922.6099999999997</v>
      </c>
    </row>
    <row r="3798" spans="1:2" x14ac:dyDescent="0.25">
      <c r="A3798" s="3">
        <v>44314</v>
      </c>
      <c r="B3798">
        <v>4923.03</v>
      </c>
    </row>
    <row r="3799" spans="1:2" x14ac:dyDescent="0.25">
      <c r="A3799" s="3">
        <v>44315</v>
      </c>
      <c r="B3799">
        <v>4924.46</v>
      </c>
    </row>
    <row r="3800" spans="1:2" x14ac:dyDescent="0.25">
      <c r="A3800" s="3">
        <v>44316</v>
      </c>
      <c r="B3800">
        <v>4920.6099999999997</v>
      </c>
    </row>
    <row r="3801" spans="1:2" x14ac:dyDescent="0.25">
      <c r="A3801" s="3">
        <v>44319</v>
      </c>
      <c r="B3801">
        <v>4923.08</v>
      </c>
    </row>
    <row r="3802" spans="1:2" x14ac:dyDescent="0.25">
      <c r="A3802" s="3">
        <v>44320</v>
      </c>
      <c r="B3802">
        <v>4920.3500000000004</v>
      </c>
    </row>
    <row r="3803" spans="1:2" x14ac:dyDescent="0.25">
      <c r="A3803" s="3">
        <v>44321</v>
      </c>
      <c r="B3803">
        <v>4919.0200000000004</v>
      </c>
    </row>
    <row r="3804" spans="1:2" x14ac:dyDescent="0.25">
      <c r="A3804" s="3">
        <v>44322</v>
      </c>
      <c r="B3804">
        <v>4922.09</v>
      </c>
    </row>
    <row r="3805" spans="1:2" x14ac:dyDescent="0.25">
      <c r="A3805" s="3">
        <v>44323</v>
      </c>
      <c r="B3805">
        <v>4927.3599999999997</v>
      </c>
    </row>
    <row r="3806" spans="1:2" x14ac:dyDescent="0.25">
      <c r="A3806" s="3">
        <v>44326</v>
      </c>
      <c r="B3806">
        <v>4929</v>
      </c>
    </row>
    <row r="3807" spans="1:2" x14ac:dyDescent="0.25">
      <c r="A3807" s="3">
        <v>44327</v>
      </c>
      <c r="B3807">
        <v>4929.04</v>
      </c>
    </row>
    <row r="3808" spans="1:2" x14ac:dyDescent="0.25">
      <c r="A3808" s="3">
        <v>44328</v>
      </c>
      <c r="B3808">
        <v>4923.78</v>
      </c>
    </row>
    <row r="3809" spans="1:2" x14ac:dyDescent="0.25">
      <c r="A3809" s="3">
        <v>44329</v>
      </c>
      <c r="B3809">
        <v>4923.43</v>
      </c>
    </row>
    <row r="3810" spans="1:2" x14ac:dyDescent="0.25">
      <c r="A3810" s="3">
        <v>44330</v>
      </c>
      <c r="B3810">
        <v>4927.09</v>
      </c>
    </row>
    <row r="3811" spans="1:2" x14ac:dyDescent="0.25">
      <c r="A3811" s="3">
        <v>44333</v>
      </c>
      <c r="B3811">
        <v>4927.8500000000004</v>
      </c>
    </row>
    <row r="3812" spans="1:2" x14ac:dyDescent="0.25">
      <c r="A3812" s="3">
        <v>44334</v>
      </c>
      <c r="B3812">
        <v>4932.42</v>
      </c>
    </row>
    <row r="3813" spans="1:2" x14ac:dyDescent="0.25">
      <c r="A3813" s="3">
        <v>44335</v>
      </c>
      <c r="B3813">
        <v>4931.87</v>
      </c>
    </row>
    <row r="3814" spans="1:2" x14ac:dyDescent="0.25">
      <c r="A3814" s="3">
        <v>44336</v>
      </c>
      <c r="B3814">
        <v>4931.9799999999996</v>
      </c>
    </row>
    <row r="3815" spans="1:2" x14ac:dyDescent="0.25">
      <c r="A3815" s="3">
        <v>44337</v>
      </c>
      <c r="B3815">
        <v>4930.3999999999996</v>
      </c>
    </row>
    <row r="3816" spans="1:2" x14ac:dyDescent="0.25">
      <c r="A3816" s="3">
        <v>44340</v>
      </c>
      <c r="B3816">
        <v>4932.13</v>
      </c>
    </row>
    <row r="3817" spans="1:2" x14ac:dyDescent="0.25">
      <c r="A3817" s="3">
        <v>44341</v>
      </c>
      <c r="B3817">
        <v>4933.53</v>
      </c>
    </row>
    <row r="3818" spans="1:2" x14ac:dyDescent="0.25">
      <c r="A3818" s="3">
        <v>44342</v>
      </c>
      <c r="B3818">
        <v>4931.91</v>
      </c>
    </row>
    <row r="3819" spans="1:2" x14ac:dyDescent="0.25">
      <c r="A3819" s="3">
        <v>44343</v>
      </c>
      <c r="B3819">
        <v>4931.29</v>
      </c>
    </row>
    <row r="3820" spans="1:2" x14ac:dyDescent="0.25">
      <c r="A3820" s="3">
        <v>44344</v>
      </c>
      <c r="B3820">
        <v>4930.01</v>
      </c>
    </row>
    <row r="3821" spans="1:2" x14ac:dyDescent="0.25">
      <c r="A3821" s="3">
        <v>44348</v>
      </c>
      <c r="B3821">
        <v>4934.1899999999996</v>
      </c>
    </row>
    <row r="3822" spans="1:2" x14ac:dyDescent="0.25">
      <c r="A3822" s="3">
        <v>44349</v>
      </c>
      <c r="B3822">
        <v>4931.96</v>
      </c>
    </row>
    <row r="3823" spans="1:2" x14ac:dyDescent="0.25">
      <c r="A3823" s="3">
        <v>44350</v>
      </c>
      <c r="B3823">
        <v>4927.63</v>
      </c>
    </row>
    <row r="3824" spans="1:2" x14ac:dyDescent="0.25">
      <c r="A3824" s="3">
        <v>44351</v>
      </c>
      <c r="B3824">
        <v>4929.5200000000004</v>
      </c>
    </row>
    <row r="3825" spans="1:2" x14ac:dyDescent="0.25">
      <c r="A3825" s="3">
        <v>44354</v>
      </c>
      <c r="B3825">
        <v>4930.8999999999996</v>
      </c>
    </row>
    <row r="3826" spans="1:2" x14ac:dyDescent="0.25">
      <c r="A3826" s="3">
        <v>44355</v>
      </c>
      <c r="B3826">
        <v>4930.79</v>
      </c>
    </row>
    <row r="3827" spans="1:2" x14ac:dyDescent="0.25">
      <c r="A3827" s="3">
        <v>44356</v>
      </c>
      <c r="B3827">
        <v>4930.6099999999997</v>
      </c>
    </row>
    <row r="3828" spans="1:2" x14ac:dyDescent="0.25">
      <c r="A3828" s="3">
        <v>44357</v>
      </c>
      <c r="B3828">
        <v>4929.93</v>
      </c>
    </row>
    <row r="3829" spans="1:2" x14ac:dyDescent="0.25">
      <c r="A3829" s="3">
        <v>44358</v>
      </c>
      <c r="B3829">
        <v>4926.25</v>
      </c>
    </row>
    <row r="3830" spans="1:2" x14ac:dyDescent="0.25">
      <c r="A3830" s="3">
        <v>44361</v>
      </c>
      <c r="B3830">
        <v>4927.0600000000004</v>
      </c>
    </row>
    <row r="3831" spans="1:2" x14ac:dyDescent="0.25">
      <c r="A3831" s="3">
        <v>44362</v>
      </c>
      <c r="B3831">
        <v>4926.96</v>
      </c>
    </row>
    <row r="3832" spans="1:2" x14ac:dyDescent="0.25">
      <c r="A3832" s="3">
        <v>44363</v>
      </c>
      <c r="B3832">
        <v>4926.6400000000003</v>
      </c>
    </row>
    <row r="3833" spans="1:2" x14ac:dyDescent="0.25">
      <c r="A3833" s="3">
        <v>44364</v>
      </c>
      <c r="B3833">
        <v>4915.7</v>
      </c>
    </row>
    <row r="3834" spans="1:2" x14ac:dyDescent="0.25">
      <c r="A3834" s="3">
        <v>44365</v>
      </c>
      <c r="B3834">
        <v>4910.04</v>
      </c>
    </row>
    <row r="3835" spans="1:2" x14ac:dyDescent="0.25">
      <c r="A3835" s="3">
        <v>44368</v>
      </c>
      <c r="B3835">
        <v>4913.6499999999996</v>
      </c>
    </row>
    <row r="3836" spans="1:2" x14ac:dyDescent="0.25">
      <c r="A3836" s="3">
        <v>44369</v>
      </c>
      <c r="B3836">
        <v>4913.0200000000004</v>
      </c>
    </row>
    <row r="3837" spans="1:2" x14ac:dyDescent="0.25">
      <c r="A3837" s="3">
        <v>44370</v>
      </c>
      <c r="B3837">
        <v>4916.17</v>
      </c>
    </row>
    <row r="3838" spans="1:2" x14ac:dyDescent="0.25">
      <c r="A3838" s="3">
        <v>44371</v>
      </c>
      <c r="B3838">
        <v>4914.68</v>
      </c>
    </row>
    <row r="3839" spans="1:2" x14ac:dyDescent="0.25">
      <c r="A3839" s="3">
        <v>44372</v>
      </c>
      <c r="B3839">
        <v>4916.1899999999996</v>
      </c>
    </row>
    <row r="3840" spans="1:2" x14ac:dyDescent="0.25">
      <c r="A3840" s="3">
        <v>44375</v>
      </c>
      <c r="B3840">
        <v>4914.6099999999997</v>
      </c>
    </row>
    <row r="3841" spans="1:2" x14ac:dyDescent="0.25">
      <c r="A3841" s="3">
        <v>44376</v>
      </c>
      <c r="B3841">
        <v>4913.08</v>
      </c>
    </row>
    <row r="3842" spans="1:2" x14ac:dyDescent="0.25">
      <c r="A3842" s="3">
        <v>44377</v>
      </c>
      <c r="B3842">
        <v>5431.72</v>
      </c>
    </row>
    <row r="3843" spans="1:2" x14ac:dyDescent="0.25">
      <c r="A3843" s="3">
        <v>44378</v>
      </c>
      <c r="B3843">
        <v>5432.05</v>
      </c>
    </row>
    <row r="3844" spans="1:2" x14ac:dyDescent="0.25">
      <c r="A3844" s="3">
        <v>44379</v>
      </c>
      <c r="B3844">
        <v>5430.56</v>
      </c>
    </row>
    <row r="3845" spans="1:2" x14ac:dyDescent="0.25">
      <c r="A3845" s="3">
        <v>44383</v>
      </c>
      <c r="B3845">
        <v>5429.85</v>
      </c>
    </row>
    <row r="3846" spans="1:2" x14ac:dyDescent="0.25">
      <c r="A3846" s="3">
        <v>44384</v>
      </c>
      <c r="B3846">
        <v>5427.75</v>
      </c>
    </row>
    <row r="3847" spans="1:2" x14ac:dyDescent="0.25">
      <c r="A3847" s="3">
        <v>44385</v>
      </c>
      <c r="B3847">
        <v>5431</v>
      </c>
    </row>
    <row r="3848" spans="1:2" x14ac:dyDescent="0.25">
      <c r="A3848" s="3">
        <v>44386</v>
      </c>
      <c r="B3848">
        <v>5432.01</v>
      </c>
    </row>
    <row r="3849" spans="1:2" x14ac:dyDescent="0.25">
      <c r="A3849" s="3">
        <v>44389</v>
      </c>
      <c r="B3849">
        <v>5432.49</v>
      </c>
    </row>
    <row r="3850" spans="1:2" x14ac:dyDescent="0.25">
      <c r="A3850" s="3">
        <v>44390</v>
      </c>
      <c r="B3850">
        <v>5429.54</v>
      </c>
    </row>
    <row r="3851" spans="1:2" x14ac:dyDescent="0.25">
      <c r="A3851" s="3">
        <v>44391</v>
      </c>
      <c r="B3851">
        <v>5429.32</v>
      </c>
    </row>
    <row r="3852" spans="1:2" x14ac:dyDescent="0.25">
      <c r="A3852" s="3">
        <v>44392</v>
      </c>
      <c r="B3852">
        <v>5429.16</v>
      </c>
    </row>
    <row r="3853" spans="1:2" x14ac:dyDescent="0.25">
      <c r="A3853" s="3">
        <v>44393</v>
      </c>
      <c r="B3853">
        <v>5428.22</v>
      </c>
    </row>
    <row r="3854" spans="1:2" x14ac:dyDescent="0.25">
      <c r="A3854" s="3">
        <v>44396</v>
      </c>
      <c r="B3854">
        <v>5427.35</v>
      </c>
    </row>
    <row r="3855" spans="1:2" x14ac:dyDescent="0.25">
      <c r="A3855" s="3">
        <v>44397</v>
      </c>
      <c r="B3855">
        <v>5424.42</v>
      </c>
    </row>
    <row r="3856" spans="1:2" x14ac:dyDescent="0.25">
      <c r="A3856" s="3">
        <v>44398</v>
      </c>
      <c r="B3856">
        <v>5426.33</v>
      </c>
    </row>
    <row r="3857" spans="1:2" x14ac:dyDescent="0.25">
      <c r="A3857" s="3">
        <v>44399</v>
      </c>
      <c r="B3857">
        <v>5427.02</v>
      </c>
    </row>
    <row r="3858" spans="1:2" x14ac:dyDescent="0.25">
      <c r="A3858" s="3">
        <v>44400</v>
      </c>
      <c r="B3858">
        <v>5425.02</v>
      </c>
    </row>
    <row r="3859" spans="1:2" x14ac:dyDescent="0.25">
      <c r="A3859" s="3">
        <v>44403</v>
      </c>
      <c r="B3859">
        <v>5428.27</v>
      </c>
    </row>
    <row r="3860" spans="1:2" x14ac:dyDescent="0.25">
      <c r="A3860" s="3">
        <v>44404</v>
      </c>
      <c r="B3860">
        <v>5429.57</v>
      </c>
    </row>
    <row r="3861" spans="1:2" x14ac:dyDescent="0.25">
      <c r="A3861" s="3">
        <v>44405</v>
      </c>
      <c r="B3861">
        <v>5427.8</v>
      </c>
    </row>
    <row r="3862" spans="1:2" x14ac:dyDescent="0.25">
      <c r="A3862" s="3">
        <v>44406</v>
      </c>
      <c r="B3862">
        <v>5433.66</v>
      </c>
    </row>
    <row r="3863" spans="1:2" x14ac:dyDescent="0.25">
      <c r="A3863" s="3">
        <v>44407</v>
      </c>
      <c r="B3863">
        <v>5431.59</v>
      </c>
    </row>
    <row r="3864" spans="1:2" x14ac:dyDescent="0.25">
      <c r="A3864" s="3">
        <v>44410</v>
      </c>
      <c r="B3864">
        <v>5432.69</v>
      </c>
    </row>
    <row r="3865" spans="1:2" x14ac:dyDescent="0.25">
      <c r="A3865" s="3">
        <v>44411</v>
      </c>
      <c r="B3865">
        <v>5431.28</v>
      </c>
    </row>
    <row r="3866" spans="1:2" x14ac:dyDescent="0.25">
      <c r="A3866" s="3">
        <v>44412</v>
      </c>
      <c r="B3866">
        <v>5430.52</v>
      </c>
    </row>
    <row r="3867" spans="1:2" x14ac:dyDescent="0.25">
      <c r="A3867" s="3">
        <v>44413</v>
      </c>
      <c r="B3867">
        <v>5430.24</v>
      </c>
    </row>
    <row r="3868" spans="1:2" x14ac:dyDescent="0.25">
      <c r="A3868" s="3">
        <v>44414</v>
      </c>
      <c r="B3868">
        <v>5424.96</v>
      </c>
    </row>
    <row r="3869" spans="1:2" x14ac:dyDescent="0.25">
      <c r="A3869" s="3">
        <v>44417</v>
      </c>
      <c r="B3869">
        <v>5423.85</v>
      </c>
    </row>
    <row r="3870" spans="1:2" x14ac:dyDescent="0.25">
      <c r="A3870" s="3">
        <v>44418</v>
      </c>
      <c r="B3870">
        <v>5422.35</v>
      </c>
    </row>
    <row r="3871" spans="1:2" x14ac:dyDescent="0.25">
      <c r="A3871" s="3">
        <v>44419</v>
      </c>
      <c r="B3871">
        <v>5423.71</v>
      </c>
    </row>
    <row r="3872" spans="1:2" x14ac:dyDescent="0.25">
      <c r="A3872" s="3">
        <v>44420</v>
      </c>
      <c r="B3872">
        <v>5422.93</v>
      </c>
    </row>
    <row r="3873" spans="1:2" x14ac:dyDescent="0.25">
      <c r="A3873" s="3">
        <v>44421</v>
      </c>
      <c r="B3873">
        <v>5427.01</v>
      </c>
    </row>
    <row r="3874" spans="1:2" x14ac:dyDescent="0.25">
      <c r="A3874" s="3">
        <v>44424</v>
      </c>
      <c r="B3874">
        <v>5426.68</v>
      </c>
    </row>
    <row r="3875" spans="1:2" x14ac:dyDescent="0.25">
      <c r="A3875" s="3">
        <v>44425</v>
      </c>
      <c r="B3875">
        <v>5421.55</v>
      </c>
    </row>
    <row r="3876" spans="1:2" x14ac:dyDescent="0.25">
      <c r="A3876" s="3">
        <v>44426</v>
      </c>
      <c r="B3876">
        <v>5421.27</v>
      </c>
    </row>
    <row r="3877" spans="1:2" x14ac:dyDescent="0.25">
      <c r="A3877" s="3">
        <v>44427</v>
      </c>
      <c r="B3877">
        <v>5418.85</v>
      </c>
    </row>
    <row r="3878" spans="1:2" x14ac:dyDescent="0.25">
      <c r="A3878" s="3">
        <v>44428</v>
      </c>
      <c r="B3878">
        <v>5418.41</v>
      </c>
    </row>
    <row r="3879" spans="1:2" x14ac:dyDescent="0.25">
      <c r="A3879" s="3">
        <v>44431</v>
      </c>
      <c r="B3879">
        <v>5422.78</v>
      </c>
    </row>
    <row r="3880" spans="1:2" x14ac:dyDescent="0.25">
      <c r="A3880" s="3">
        <v>44432</v>
      </c>
      <c r="B3880">
        <v>5424.28</v>
      </c>
    </row>
    <row r="3881" spans="1:2" x14ac:dyDescent="0.25">
      <c r="A3881" s="3">
        <v>44433</v>
      </c>
      <c r="B3881">
        <v>5423.71</v>
      </c>
    </row>
    <row r="3882" spans="1:2" x14ac:dyDescent="0.25">
      <c r="A3882" s="3">
        <v>44434</v>
      </c>
      <c r="B3882">
        <v>5423.78</v>
      </c>
    </row>
    <row r="3883" spans="1:2" x14ac:dyDescent="0.25">
      <c r="A3883" s="3">
        <v>44435</v>
      </c>
      <c r="B3883">
        <v>5425.99</v>
      </c>
    </row>
    <row r="3884" spans="1:2" x14ac:dyDescent="0.25">
      <c r="A3884" s="3">
        <v>44438</v>
      </c>
      <c r="B3884">
        <v>5426.88</v>
      </c>
    </row>
    <row r="3885" spans="1:2" x14ac:dyDescent="0.25">
      <c r="A3885" s="3">
        <v>44439</v>
      </c>
      <c r="B3885">
        <v>5427.29</v>
      </c>
    </row>
    <row r="3886" spans="1:2" x14ac:dyDescent="0.25">
      <c r="A3886" s="3">
        <v>44440</v>
      </c>
      <c r="B3886">
        <v>5430.57</v>
      </c>
    </row>
    <row r="3887" spans="1:2" x14ac:dyDescent="0.25">
      <c r="A3887" s="3">
        <v>44441</v>
      </c>
      <c r="B3887">
        <v>5431.69</v>
      </c>
    </row>
    <row r="3888" spans="1:2" x14ac:dyDescent="0.25">
      <c r="A3888" s="3">
        <v>44442</v>
      </c>
      <c r="B3888">
        <v>5432.76</v>
      </c>
    </row>
    <row r="3889" spans="1:2" x14ac:dyDescent="0.25">
      <c r="A3889" s="3">
        <v>44446</v>
      </c>
      <c r="B3889">
        <v>5430.09</v>
      </c>
    </row>
    <row r="3890" spans="1:2" x14ac:dyDescent="0.25">
      <c r="A3890" s="3">
        <v>44447</v>
      </c>
      <c r="B3890">
        <v>5427.73</v>
      </c>
    </row>
    <row r="3891" spans="1:2" x14ac:dyDescent="0.25">
      <c r="A3891" s="3">
        <v>44448</v>
      </c>
      <c r="B3891">
        <v>5428.55</v>
      </c>
    </row>
    <row r="3892" spans="1:2" x14ac:dyDescent="0.25">
      <c r="A3892" s="3">
        <v>44449</v>
      </c>
      <c r="B3892">
        <v>5429.64</v>
      </c>
    </row>
    <row r="3893" spans="1:2" x14ac:dyDescent="0.25">
      <c r="A3893" s="3">
        <v>44452</v>
      </c>
      <c r="B3893">
        <v>5428.11</v>
      </c>
    </row>
    <row r="3894" spans="1:2" x14ac:dyDescent="0.25">
      <c r="A3894" s="3">
        <v>44453</v>
      </c>
      <c r="B3894">
        <v>5428.74</v>
      </c>
    </row>
    <row r="3895" spans="1:2" x14ac:dyDescent="0.25">
      <c r="A3895" s="3">
        <v>44454</v>
      </c>
      <c r="B3895">
        <v>5428.51</v>
      </c>
    </row>
    <row r="3896" spans="1:2" x14ac:dyDescent="0.25">
      <c r="A3896" s="3">
        <v>44455</v>
      </c>
      <c r="B3896">
        <v>5424.72</v>
      </c>
    </row>
    <row r="3897" spans="1:2" x14ac:dyDescent="0.25">
      <c r="A3897" s="3">
        <v>44456</v>
      </c>
      <c r="B3897">
        <v>5422.94</v>
      </c>
    </row>
    <row r="3898" spans="1:2" x14ac:dyDescent="0.25">
      <c r="A3898" s="3">
        <v>44459</v>
      </c>
      <c r="B3898">
        <v>5421.85</v>
      </c>
    </row>
    <row r="3899" spans="1:2" x14ac:dyDescent="0.25">
      <c r="A3899" s="3">
        <v>44460</v>
      </c>
      <c r="B3899">
        <v>5421.68</v>
      </c>
    </row>
    <row r="3900" spans="1:2" x14ac:dyDescent="0.25">
      <c r="A3900" s="3">
        <v>44461</v>
      </c>
      <c r="B3900">
        <v>5422.34</v>
      </c>
    </row>
    <row r="3901" spans="1:2" x14ac:dyDescent="0.25">
      <c r="A3901" s="3">
        <v>44462</v>
      </c>
      <c r="B3901">
        <v>5423.84</v>
      </c>
    </row>
    <row r="3902" spans="1:2" x14ac:dyDescent="0.25">
      <c r="A3902" s="3">
        <v>44463</v>
      </c>
      <c r="B3902">
        <v>5421.18</v>
      </c>
    </row>
    <row r="3903" spans="1:2" x14ac:dyDescent="0.25">
      <c r="A3903" s="3">
        <v>44466</v>
      </c>
      <c r="B3903">
        <v>5420.55</v>
      </c>
    </row>
    <row r="3904" spans="1:2" x14ac:dyDescent="0.25">
      <c r="A3904" s="3">
        <v>44467</v>
      </c>
      <c r="B3904">
        <v>5418.08</v>
      </c>
    </row>
    <row r="3905" spans="1:2" x14ac:dyDescent="0.25">
      <c r="A3905" s="3">
        <v>44468</v>
      </c>
      <c r="B3905">
        <v>5413.96</v>
      </c>
    </row>
    <row r="3906" spans="1:2" x14ac:dyDescent="0.25">
      <c r="A3906" s="3">
        <v>44469</v>
      </c>
      <c r="B3906">
        <v>5735.86</v>
      </c>
    </row>
    <row r="3907" spans="1:2" x14ac:dyDescent="0.25">
      <c r="A3907" s="3">
        <v>44470</v>
      </c>
      <c r="B3907">
        <v>5736.63</v>
      </c>
    </row>
    <row r="3908" spans="1:2" x14ac:dyDescent="0.25">
      <c r="A3908" s="3">
        <v>44473</v>
      </c>
      <c r="B3908">
        <v>5738.75</v>
      </c>
    </row>
    <row r="3909" spans="1:2" x14ac:dyDescent="0.25">
      <c r="A3909" s="3">
        <v>44474</v>
      </c>
      <c r="B3909">
        <v>5736.81</v>
      </c>
    </row>
    <row r="3910" spans="1:2" x14ac:dyDescent="0.25">
      <c r="A3910" s="3">
        <v>44475</v>
      </c>
      <c r="B3910">
        <v>5733.24</v>
      </c>
    </row>
    <row r="3911" spans="1:2" x14ac:dyDescent="0.25">
      <c r="A3911" s="3">
        <v>44476</v>
      </c>
      <c r="B3911">
        <v>5734.76</v>
      </c>
    </row>
    <row r="3912" spans="1:2" x14ac:dyDescent="0.25">
      <c r="A3912" s="3">
        <v>44477</v>
      </c>
      <c r="B3912">
        <v>5735.73</v>
      </c>
    </row>
    <row r="3913" spans="1:2" x14ac:dyDescent="0.25">
      <c r="A3913" s="3">
        <v>44480</v>
      </c>
      <c r="B3913">
        <v>5735.67</v>
      </c>
    </row>
    <row r="3914" spans="1:2" x14ac:dyDescent="0.25">
      <c r="A3914" s="3">
        <v>44481</v>
      </c>
      <c r="B3914">
        <v>5734.01</v>
      </c>
    </row>
    <row r="3915" spans="1:2" x14ac:dyDescent="0.25">
      <c r="A3915" s="3">
        <v>44482</v>
      </c>
      <c r="B3915">
        <v>5735.85</v>
      </c>
    </row>
    <row r="3916" spans="1:2" x14ac:dyDescent="0.25">
      <c r="A3916" s="3">
        <v>44483</v>
      </c>
      <c r="B3916">
        <v>5737.2</v>
      </c>
    </row>
    <row r="3917" spans="1:2" x14ac:dyDescent="0.25">
      <c r="A3917" s="3">
        <v>44484</v>
      </c>
      <c r="B3917">
        <v>5738.6</v>
      </c>
    </row>
    <row r="3918" spans="1:2" x14ac:dyDescent="0.25">
      <c r="A3918" s="3">
        <v>44487</v>
      </c>
      <c r="B3918">
        <v>5738.07</v>
      </c>
    </row>
    <row r="3919" spans="1:2" x14ac:dyDescent="0.25">
      <c r="A3919" s="3">
        <v>44488</v>
      </c>
      <c r="B3919">
        <v>5741.34</v>
      </c>
    </row>
    <row r="3920" spans="1:2" x14ac:dyDescent="0.25">
      <c r="A3920" s="3">
        <v>44489</v>
      </c>
      <c r="B3920">
        <v>5741.7</v>
      </c>
    </row>
    <row r="3921" spans="1:2" x14ac:dyDescent="0.25">
      <c r="A3921" s="3">
        <v>44490</v>
      </c>
      <c r="B3921">
        <v>5741.61</v>
      </c>
    </row>
    <row r="3922" spans="1:2" x14ac:dyDescent="0.25">
      <c r="A3922" s="3">
        <v>44491</v>
      </c>
      <c r="B3922">
        <v>5741.43</v>
      </c>
    </row>
    <row r="3923" spans="1:2" x14ac:dyDescent="0.25">
      <c r="A3923" s="3">
        <v>44494</v>
      </c>
      <c r="B3923">
        <v>5739.26</v>
      </c>
    </row>
    <row r="3924" spans="1:2" x14ac:dyDescent="0.25">
      <c r="A3924" s="3">
        <v>44495</v>
      </c>
      <c r="B3924">
        <v>5738.16</v>
      </c>
    </row>
    <row r="3925" spans="1:2" x14ac:dyDescent="0.25">
      <c r="A3925" s="3">
        <v>44496</v>
      </c>
      <c r="B3925">
        <v>5737.98</v>
      </c>
    </row>
    <row r="3926" spans="1:2" x14ac:dyDescent="0.25">
      <c r="A3926" s="3">
        <v>44497</v>
      </c>
      <c r="B3926">
        <v>5743.64</v>
      </c>
    </row>
    <row r="3927" spans="1:2" x14ac:dyDescent="0.25">
      <c r="A3927" s="3">
        <v>44498</v>
      </c>
      <c r="B3927">
        <v>5736.45</v>
      </c>
    </row>
    <row r="3928" spans="1:2" x14ac:dyDescent="0.25">
      <c r="A3928" s="3">
        <v>44501</v>
      </c>
      <c r="B3928">
        <v>5738.46</v>
      </c>
    </row>
    <row r="3929" spans="1:2" x14ac:dyDescent="0.25">
      <c r="A3929" s="3">
        <v>44502</v>
      </c>
      <c r="B3929">
        <v>5737.22</v>
      </c>
    </row>
    <row r="3930" spans="1:2" x14ac:dyDescent="0.25">
      <c r="A3930" s="3">
        <v>44503</v>
      </c>
      <c r="B3930">
        <v>5737.72</v>
      </c>
    </row>
    <row r="3931" spans="1:2" x14ac:dyDescent="0.25">
      <c r="A3931" s="3">
        <v>44504</v>
      </c>
      <c r="B3931">
        <v>5734.47</v>
      </c>
    </row>
    <row r="3932" spans="1:2" x14ac:dyDescent="0.25">
      <c r="A3932" s="3">
        <v>44505</v>
      </c>
      <c r="B3932">
        <v>5735.08</v>
      </c>
    </row>
    <row r="3933" spans="1:2" x14ac:dyDescent="0.25">
      <c r="A3933" s="3">
        <v>44508</v>
      </c>
      <c r="B3933">
        <v>5737.62</v>
      </c>
    </row>
    <row r="3934" spans="1:2" x14ac:dyDescent="0.25">
      <c r="A3934" s="3">
        <v>44509</v>
      </c>
      <c r="B3934">
        <v>5737.18</v>
      </c>
    </row>
    <row r="3935" spans="1:2" x14ac:dyDescent="0.25">
      <c r="A3935" s="3">
        <v>44510</v>
      </c>
      <c r="B3935">
        <v>5732.5</v>
      </c>
    </row>
    <row r="3936" spans="1:2" x14ac:dyDescent="0.25">
      <c r="A3936" s="3">
        <v>44511</v>
      </c>
      <c r="B3936">
        <v>5728.96</v>
      </c>
    </row>
    <row r="3937" spans="1:2" x14ac:dyDescent="0.25">
      <c r="A3937" s="3">
        <v>44512</v>
      </c>
      <c r="B3937">
        <v>5727.27</v>
      </c>
    </row>
    <row r="3938" spans="1:2" x14ac:dyDescent="0.25">
      <c r="A3938" s="3">
        <v>44515</v>
      </c>
      <c r="B3938">
        <v>5725.96</v>
      </c>
    </row>
    <row r="3939" spans="1:2" x14ac:dyDescent="0.25">
      <c r="A3939" s="3">
        <v>44516</v>
      </c>
      <c r="B3939">
        <v>5721.22</v>
      </c>
    </row>
    <row r="3940" spans="1:2" x14ac:dyDescent="0.25">
      <c r="A3940" s="3">
        <v>44517</v>
      </c>
      <c r="B3940">
        <v>5718.56</v>
      </c>
    </row>
    <row r="3941" spans="1:2" x14ac:dyDescent="0.25">
      <c r="A3941" s="3">
        <v>44518</v>
      </c>
      <c r="B3941">
        <v>5721.14</v>
      </c>
    </row>
    <row r="3942" spans="1:2" x14ac:dyDescent="0.25">
      <c r="A3942" s="3">
        <v>44519</v>
      </c>
      <c r="B3942">
        <v>5719.05</v>
      </c>
    </row>
    <row r="3943" spans="1:2" x14ac:dyDescent="0.25">
      <c r="A3943" s="3">
        <v>44522</v>
      </c>
      <c r="B3943">
        <v>5714.18</v>
      </c>
    </row>
    <row r="3944" spans="1:2" x14ac:dyDescent="0.25">
      <c r="A3944" s="3">
        <v>44523</v>
      </c>
      <c r="B3944">
        <v>5715.01</v>
      </c>
    </row>
    <row r="3945" spans="1:2" x14ac:dyDescent="0.25">
      <c r="A3945" s="3">
        <v>44524</v>
      </c>
      <c r="B3945">
        <v>5710.42</v>
      </c>
    </row>
    <row r="3946" spans="1:2" x14ac:dyDescent="0.25">
      <c r="A3946" s="3">
        <v>44526</v>
      </c>
      <c r="B3946">
        <v>5717.98</v>
      </c>
    </row>
    <row r="3947" spans="1:2" x14ac:dyDescent="0.25">
      <c r="A3947" s="3">
        <v>44529</v>
      </c>
      <c r="B3947">
        <v>5714.78</v>
      </c>
    </row>
    <row r="3948" spans="1:2" x14ac:dyDescent="0.25">
      <c r="A3948" s="3">
        <v>44530</v>
      </c>
      <c r="B3948">
        <v>5712.84</v>
      </c>
    </row>
    <row r="3949" spans="1:2" x14ac:dyDescent="0.25">
      <c r="A3949" s="3">
        <v>44531</v>
      </c>
      <c r="B3949">
        <v>5718.37</v>
      </c>
    </row>
    <row r="3950" spans="1:2" x14ac:dyDescent="0.25">
      <c r="A3950" s="3">
        <v>44532</v>
      </c>
      <c r="B3950">
        <v>5717.15</v>
      </c>
    </row>
    <row r="3951" spans="1:2" x14ac:dyDescent="0.25">
      <c r="A3951" s="3">
        <v>44533</v>
      </c>
      <c r="B3951">
        <v>5714.1</v>
      </c>
    </row>
    <row r="3952" spans="1:2" x14ac:dyDescent="0.25">
      <c r="A3952" s="3">
        <v>44536</v>
      </c>
      <c r="B3952">
        <v>5713.66</v>
      </c>
    </row>
    <row r="3953" spans="1:2" x14ac:dyDescent="0.25">
      <c r="A3953" s="3">
        <v>44537</v>
      </c>
      <c r="B3953">
        <v>5712.33</v>
      </c>
    </row>
    <row r="3954" spans="1:2" x14ac:dyDescent="0.25">
      <c r="A3954" s="3">
        <v>44538</v>
      </c>
      <c r="B3954">
        <v>5717.9</v>
      </c>
    </row>
    <row r="3955" spans="1:2" x14ac:dyDescent="0.25">
      <c r="A3955" s="3">
        <v>44539</v>
      </c>
      <c r="B3955">
        <v>5714.77</v>
      </c>
    </row>
    <row r="3956" spans="1:2" x14ac:dyDescent="0.25">
      <c r="A3956" s="3">
        <v>44540</v>
      </c>
      <c r="B3956">
        <v>5716.17</v>
      </c>
    </row>
    <row r="3957" spans="1:2" x14ac:dyDescent="0.25">
      <c r="A3957" s="3">
        <v>44543</v>
      </c>
      <c r="B3957">
        <v>5714.12</v>
      </c>
    </row>
    <row r="3958" spans="1:2" x14ac:dyDescent="0.25">
      <c r="A3958" s="3">
        <v>44544</v>
      </c>
      <c r="B3958">
        <v>5713.98</v>
      </c>
    </row>
    <row r="3959" spans="1:2" x14ac:dyDescent="0.25">
      <c r="A3959" s="3">
        <v>44545</v>
      </c>
      <c r="B3959">
        <v>5712.5</v>
      </c>
    </row>
    <row r="3960" spans="1:2" x14ac:dyDescent="0.25">
      <c r="A3960" s="3">
        <v>44546</v>
      </c>
      <c r="B3960">
        <v>5716.77</v>
      </c>
    </row>
    <row r="3961" spans="1:2" x14ac:dyDescent="0.25">
      <c r="A3961" s="3">
        <v>44547</v>
      </c>
      <c r="B3961">
        <v>5714.29</v>
      </c>
    </row>
    <row r="3962" spans="1:2" x14ac:dyDescent="0.25">
      <c r="A3962" s="3">
        <v>44550</v>
      </c>
      <c r="B3962">
        <v>5714.91</v>
      </c>
    </row>
    <row r="3963" spans="1:2" x14ac:dyDescent="0.25">
      <c r="A3963" s="3">
        <v>44551</v>
      </c>
      <c r="B3963">
        <v>5713.27</v>
      </c>
    </row>
    <row r="3964" spans="1:2" x14ac:dyDescent="0.25">
      <c r="A3964" s="3">
        <v>44552</v>
      </c>
      <c r="B3964">
        <v>5717.86</v>
      </c>
    </row>
    <row r="3965" spans="1:2" x14ac:dyDescent="0.25">
      <c r="A3965" s="3">
        <v>44553</v>
      </c>
      <c r="B3965">
        <v>5717.23</v>
      </c>
    </row>
    <row r="3966" spans="1:2" x14ac:dyDescent="0.25">
      <c r="A3966" s="3">
        <v>44557</v>
      </c>
      <c r="B3966">
        <v>5717.93</v>
      </c>
    </row>
    <row r="3967" spans="1:2" x14ac:dyDescent="0.25">
      <c r="A3967" s="3">
        <v>44558</v>
      </c>
      <c r="B3967">
        <v>5716.54</v>
      </c>
    </row>
    <row r="3968" spans="1:2" x14ac:dyDescent="0.25">
      <c r="A3968" s="3">
        <v>44559</v>
      </c>
      <c r="B3968">
        <v>5720.33</v>
      </c>
    </row>
    <row r="3969" spans="1:2" x14ac:dyDescent="0.25">
      <c r="A3969" s="3">
        <v>44560</v>
      </c>
      <c r="B3969">
        <v>5719.1</v>
      </c>
    </row>
    <row r="3970" spans="1:2" x14ac:dyDescent="0.25">
      <c r="A3970" s="3">
        <v>44561</v>
      </c>
      <c r="B3970">
        <v>6053.46</v>
      </c>
    </row>
    <row r="3971" spans="1:2" x14ac:dyDescent="0.25">
      <c r="A3971" s="3">
        <v>44564</v>
      </c>
      <c r="B3971">
        <v>6047.16</v>
      </c>
    </row>
    <row r="3972" spans="1:2" x14ac:dyDescent="0.25">
      <c r="A3972" s="3">
        <v>44565</v>
      </c>
      <c r="B3972">
        <v>6049</v>
      </c>
    </row>
    <row r="3973" spans="1:2" x14ac:dyDescent="0.25">
      <c r="A3973" s="3">
        <v>44566</v>
      </c>
      <c r="B3973">
        <v>6051.03</v>
      </c>
    </row>
    <row r="3974" spans="1:2" x14ac:dyDescent="0.25">
      <c r="A3974" s="3">
        <v>44567</v>
      </c>
      <c r="B3974">
        <v>6047.67</v>
      </c>
    </row>
    <row r="3975" spans="1:2" x14ac:dyDescent="0.25">
      <c r="A3975" s="3">
        <v>44568</v>
      </c>
      <c r="B3975">
        <v>6051.57</v>
      </c>
    </row>
    <row r="3976" spans="1:2" x14ac:dyDescent="0.25">
      <c r="A3976" s="3">
        <v>44571</v>
      </c>
      <c r="B3976">
        <v>6049.49</v>
      </c>
    </row>
    <row r="3977" spans="1:2" x14ac:dyDescent="0.25">
      <c r="A3977" s="3">
        <v>44572</v>
      </c>
      <c r="B3977">
        <v>6051.23</v>
      </c>
    </row>
    <row r="3978" spans="1:2" x14ac:dyDescent="0.25">
      <c r="A3978" s="3">
        <v>44573</v>
      </c>
      <c r="B3978">
        <v>6057.53</v>
      </c>
    </row>
    <row r="3979" spans="1:2" x14ac:dyDescent="0.25">
      <c r="A3979" s="3">
        <v>44574</v>
      </c>
      <c r="B3979">
        <v>6060.66</v>
      </c>
    </row>
    <row r="3980" spans="1:2" x14ac:dyDescent="0.25">
      <c r="A3980" s="3">
        <v>44575</v>
      </c>
      <c r="B3980">
        <v>6058.32</v>
      </c>
    </row>
    <row r="3981" spans="1:2" x14ac:dyDescent="0.25">
      <c r="A3981" s="3">
        <v>44579</v>
      </c>
      <c r="B3981">
        <v>6051.36</v>
      </c>
    </row>
    <row r="3982" spans="1:2" x14ac:dyDescent="0.25">
      <c r="A3982" s="3">
        <v>44580</v>
      </c>
      <c r="B3982">
        <v>6051.78</v>
      </c>
    </row>
    <row r="3983" spans="1:2" x14ac:dyDescent="0.25">
      <c r="A3983" s="3">
        <v>44581</v>
      </c>
      <c r="B3983">
        <v>6052.26</v>
      </c>
    </row>
    <row r="3984" spans="1:2" x14ac:dyDescent="0.25">
      <c r="A3984" s="3">
        <v>44582</v>
      </c>
      <c r="B3984">
        <v>6051.52</v>
      </c>
    </row>
    <row r="3985" spans="1:2" x14ac:dyDescent="0.25">
      <c r="A3985" s="3">
        <v>44585</v>
      </c>
      <c r="B3985">
        <v>6048.15</v>
      </c>
    </row>
    <row r="3986" spans="1:2" x14ac:dyDescent="0.25">
      <c r="A3986" s="3">
        <v>44586</v>
      </c>
      <c r="B3986">
        <v>6045.86</v>
      </c>
    </row>
    <row r="3987" spans="1:2" x14ac:dyDescent="0.25">
      <c r="A3987" s="3">
        <v>44587</v>
      </c>
      <c r="B3987">
        <v>6046.63</v>
      </c>
    </row>
    <row r="3988" spans="1:2" x14ac:dyDescent="0.25">
      <c r="A3988" s="3">
        <v>44588</v>
      </c>
      <c r="B3988">
        <v>6036.41</v>
      </c>
    </row>
    <row r="3989" spans="1:2" x14ac:dyDescent="0.25">
      <c r="A3989" s="3">
        <v>44589</v>
      </c>
      <c r="B3989">
        <v>6037.46</v>
      </c>
    </row>
    <row r="3990" spans="1:2" x14ac:dyDescent="0.25">
      <c r="A3990" s="3">
        <v>44592</v>
      </c>
      <c r="B3990">
        <v>6040.71</v>
      </c>
    </row>
    <row r="3991" spans="1:2" x14ac:dyDescent="0.25">
      <c r="A3991" s="3">
        <v>44593</v>
      </c>
      <c r="B3991">
        <v>6044.05</v>
      </c>
    </row>
    <row r="3992" spans="1:2" x14ac:dyDescent="0.25">
      <c r="A3992" s="3">
        <v>44594</v>
      </c>
      <c r="B3992">
        <v>6047.71</v>
      </c>
    </row>
    <row r="3993" spans="1:2" x14ac:dyDescent="0.25">
      <c r="A3993" s="3">
        <v>44595</v>
      </c>
      <c r="B3993">
        <v>6056.49</v>
      </c>
    </row>
    <row r="3994" spans="1:2" x14ac:dyDescent="0.25">
      <c r="A3994" s="3">
        <v>44596</v>
      </c>
      <c r="B3994">
        <v>6057.66</v>
      </c>
    </row>
    <row r="3995" spans="1:2" x14ac:dyDescent="0.25">
      <c r="A3995" s="3">
        <v>44599</v>
      </c>
      <c r="B3995">
        <v>6058.04</v>
      </c>
    </row>
    <row r="3996" spans="1:2" x14ac:dyDescent="0.25">
      <c r="A3996" s="3">
        <v>44600</v>
      </c>
      <c r="B3996">
        <v>6056.33</v>
      </c>
    </row>
    <row r="3997" spans="1:2" x14ac:dyDescent="0.25">
      <c r="A3997" s="3">
        <v>44601</v>
      </c>
      <c r="B3997">
        <v>6057.09</v>
      </c>
    </row>
    <row r="3998" spans="1:2" x14ac:dyDescent="0.25">
      <c r="A3998" s="3">
        <v>44602</v>
      </c>
      <c r="B3998">
        <v>6060.17</v>
      </c>
    </row>
    <row r="3999" spans="1:2" x14ac:dyDescent="0.25">
      <c r="A3999" s="3">
        <v>44603</v>
      </c>
      <c r="B3999">
        <v>6055.45</v>
      </c>
    </row>
    <row r="4000" spans="1:2" x14ac:dyDescent="0.25">
      <c r="A4000" s="3">
        <v>44606</v>
      </c>
      <c r="B4000">
        <v>6048.17</v>
      </c>
    </row>
    <row r="4001" spans="1:2" x14ac:dyDescent="0.25">
      <c r="A4001" s="3">
        <v>44607</v>
      </c>
      <c r="B4001">
        <v>6051.69</v>
      </c>
    </row>
    <row r="4002" spans="1:2" x14ac:dyDescent="0.25">
      <c r="A4002" s="3">
        <v>44608</v>
      </c>
      <c r="B4002">
        <v>6052.57</v>
      </c>
    </row>
    <row r="4003" spans="1:2" x14ac:dyDescent="0.25">
      <c r="A4003" s="3">
        <v>44609</v>
      </c>
      <c r="B4003">
        <v>6053.09</v>
      </c>
    </row>
    <row r="4004" spans="1:2" x14ac:dyDescent="0.25">
      <c r="A4004" s="3">
        <v>44610</v>
      </c>
      <c r="B4004">
        <v>6050.96</v>
      </c>
    </row>
    <row r="4005" spans="1:2" x14ac:dyDescent="0.25">
      <c r="A4005" s="3">
        <v>44614</v>
      </c>
      <c r="B4005">
        <v>6050.7</v>
      </c>
    </row>
    <row r="4006" spans="1:2" x14ac:dyDescent="0.25">
      <c r="A4006" s="3">
        <v>44615</v>
      </c>
      <c r="B4006">
        <v>6049.87</v>
      </c>
    </row>
    <row r="4007" spans="1:2" x14ac:dyDescent="0.25">
      <c r="A4007" s="3">
        <v>44616</v>
      </c>
      <c r="B4007">
        <v>6033.36</v>
      </c>
    </row>
    <row r="4008" spans="1:2" x14ac:dyDescent="0.25">
      <c r="A4008" s="3">
        <v>44617</v>
      </c>
      <c r="B4008">
        <v>6043.68</v>
      </c>
    </row>
    <row r="4009" spans="1:2" x14ac:dyDescent="0.25">
      <c r="A4009" s="3">
        <v>44620</v>
      </c>
      <c r="B4009">
        <v>6042.63</v>
      </c>
    </row>
    <row r="4010" spans="1:2" x14ac:dyDescent="0.25">
      <c r="A4010" s="3">
        <v>44621</v>
      </c>
      <c r="B4010">
        <v>6035.95</v>
      </c>
    </row>
    <row r="4011" spans="1:2" x14ac:dyDescent="0.25">
      <c r="A4011" s="3">
        <v>44622</v>
      </c>
      <c r="B4011">
        <v>6030.46</v>
      </c>
    </row>
    <row r="4012" spans="1:2" x14ac:dyDescent="0.25">
      <c r="A4012" s="3">
        <v>44623</v>
      </c>
      <c r="B4012">
        <v>6030.41</v>
      </c>
    </row>
    <row r="4013" spans="1:2" x14ac:dyDescent="0.25">
      <c r="A4013" s="3">
        <v>44624</v>
      </c>
      <c r="B4013">
        <v>6019.91</v>
      </c>
    </row>
    <row r="4014" spans="1:2" x14ac:dyDescent="0.25">
      <c r="A4014" s="3">
        <v>44627</v>
      </c>
      <c r="B4014">
        <v>6016.36</v>
      </c>
    </row>
    <row r="4015" spans="1:2" x14ac:dyDescent="0.25">
      <c r="A4015" s="3">
        <v>44628</v>
      </c>
      <c r="B4015">
        <v>6016.22</v>
      </c>
    </row>
    <row r="4016" spans="1:2" x14ac:dyDescent="0.25">
      <c r="A4016" s="3">
        <v>44629</v>
      </c>
      <c r="B4016">
        <v>6028.49</v>
      </c>
    </row>
    <row r="4017" spans="1:2" x14ac:dyDescent="0.25">
      <c r="A4017" s="3">
        <v>44630</v>
      </c>
      <c r="B4017">
        <v>6026.61</v>
      </c>
    </row>
    <row r="4018" spans="1:2" x14ac:dyDescent="0.25">
      <c r="A4018" s="3">
        <v>44631</v>
      </c>
      <c r="B4018">
        <v>6022.65</v>
      </c>
    </row>
    <row r="4019" spans="1:2" x14ac:dyDescent="0.25">
      <c r="A4019" s="3">
        <v>44634</v>
      </c>
      <c r="B4019">
        <v>6023.23</v>
      </c>
    </row>
    <row r="4020" spans="1:2" x14ac:dyDescent="0.25">
      <c r="A4020" s="3">
        <v>44635</v>
      </c>
      <c r="B4020">
        <v>6022.73</v>
      </c>
    </row>
    <row r="4021" spans="1:2" x14ac:dyDescent="0.25">
      <c r="A4021" s="3">
        <v>44636</v>
      </c>
      <c r="B4021">
        <v>6024.5</v>
      </c>
    </row>
    <row r="4022" spans="1:2" x14ac:dyDescent="0.25">
      <c r="A4022" s="3">
        <v>44637</v>
      </c>
      <c r="B4022">
        <v>6033.31</v>
      </c>
    </row>
    <row r="4023" spans="1:2" x14ac:dyDescent="0.25">
      <c r="A4023" s="3">
        <v>44638</v>
      </c>
      <c r="B4023">
        <v>6029.1</v>
      </c>
    </row>
    <row r="4024" spans="1:2" x14ac:dyDescent="0.25">
      <c r="A4024" s="3">
        <v>44641</v>
      </c>
      <c r="B4024">
        <v>6029.36</v>
      </c>
    </row>
    <row r="4025" spans="1:2" x14ac:dyDescent="0.25">
      <c r="A4025" s="3">
        <v>44642</v>
      </c>
      <c r="B4025">
        <v>6027.69</v>
      </c>
    </row>
    <row r="4026" spans="1:2" x14ac:dyDescent="0.25">
      <c r="A4026" s="3">
        <v>44643</v>
      </c>
      <c r="B4026">
        <v>6026.21</v>
      </c>
    </row>
    <row r="4027" spans="1:2" x14ac:dyDescent="0.25">
      <c r="A4027" s="3">
        <v>44644</v>
      </c>
      <c r="B4027">
        <v>6026.56</v>
      </c>
    </row>
    <row r="4028" spans="1:2" x14ac:dyDescent="0.25">
      <c r="A4028" s="3">
        <v>44645</v>
      </c>
      <c r="B4028">
        <v>6024.96</v>
      </c>
    </row>
    <row r="4029" spans="1:2" x14ac:dyDescent="0.25">
      <c r="A4029" s="3">
        <v>44648</v>
      </c>
      <c r="B4029">
        <v>6023.3</v>
      </c>
    </row>
    <row r="4030" spans="1:2" x14ac:dyDescent="0.25">
      <c r="A4030" s="3">
        <v>44649</v>
      </c>
      <c r="B4030">
        <v>6033.08</v>
      </c>
    </row>
    <row r="4031" spans="1:2" x14ac:dyDescent="0.25">
      <c r="A4031" s="3">
        <v>44650</v>
      </c>
      <c r="B4031">
        <v>6037.69</v>
      </c>
    </row>
    <row r="4032" spans="1:2" x14ac:dyDescent="0.25">
      <c r="A4032" s="3">
        <v>44651</v>
      </c>
      <c r="B4032">
        <v>6060.53</v>
      </c>
    </row>
    <row r="4033" spans="1:2" x14ac:dyDescent="0.25">
      <c r="A4033" s="3">
        <v>44652</v>
      </c>
      <c r="B4033">
        <v>6053.83</v>
      </c>
    </row>
    <row r="4034" spans="1:2" x14ac:dyDescent="0.25">
      <c r="A4034" s="3">
        <v>44655</v>
      </c>
      <c r="B4034">
        <v>6051.18</v>
      </c>
    </row>
    <row r="4035" spans="1:2" x14ac:dyDescent="0.25">
      <c r="A4035" s="3">
        <v>44656</v>
      </c>
      <c r="B4035">
        <v>6047.33</v>
      </c>
    </row>
    <row r="4036" spans="1:2" x14ac:dyDescent="0.25">
      <c r="A4036" s="3">
        <v>44657</v>
      </c>
      <c r="B4036">
        <v>6045.55</v>
      </c>
    </row>
    <row r="4037" spans="1:2" x14ac:dyDescent="0.25">
      <c r="A4037" s="3">
        <v>44658</v>
      </c>
      <c r="B4037">
        <v>6044.7</v>
      </c>
    </row>
    <row r="4038" spans="1:2" x14ac:dyDescent="0.25">
      <c r="A4038" s="3">
        <v>44659</v>
      </c>
      <c r="B4038">
        <v>6041.71</v>
      </c>
    </row>
    <row r="4039" spans="1:2" x14ac:dyDescent="0.25">
      <c r="A4039" s="3">
        <v>44662</v>
      </c>
      <c r="B4039">
        <v>6043.42</v>
      </c>
    </row>
    <row r="4040" spans="1:2" x14ac:dyDescent="0.25">
      <c r="A4040" s="3">
        <v>44663</v>
      </c>
      <c r="B4040">
        <v>6041.9</v>
      </c>
    </row>
    <row r="4041" spans="1:2" x14ac:dyDescent="0.25">
      <c r="A4041" s="3">
        <v>44664</v>
      </c>
      <c r="B4041">
        <v>6039.83</v>
      </c>
    </row>
    <row r="4042" spans="1:2" x14ac:dyDescent="0.25">
      <c r="A4042" s="3">
        <v>44665</v>
      </c>
      <c r="B4042">
        <v>6034.83</v>
      </c>
    </row>
    <row r="4043" spans="1:2" x14ac:dyDescent="0.25">
      <c r="A4043" s="3">
        <v>44669</v>
      </c>
      <c r="B4043">
        <v>6035.75</v>
      </c>
    </row>
    <row r="4044" spans="1:2" x14ac:dyDescent="0.25">
      <c r="A4044" s="3">
        <v>44670</v>
      </c>
      <c r="B4044">
        <v>6035.15</v>
      </c>
    </row>
    <row r="4045" spans="1:2" x14ac:dyDescent="0.25">
      <c r="A4045" s="3">
        <v>44671</v>
      </c>
      <c r="B4045">
        <v>6041.29</v>
      </c>
    </row>
    <row r="4046" spans="1:2" x14ac:dyDescent="0.25">
      <c r="A4046" s="3">
        <v>44672</v>
      </c>
      <c r="B4046">
        <v>6039.55</v>
      </c>
    </row>
    <row r="4047" spans="1:2" x14ac:dyDescent="0.25">
      <c r="A4047" s="3">
        <v>44673</v>
      </c>
      <c r="B4047">
        <v>6033.45</v>
      </c>
    </row>
    <row r="4048" spans="1:2" x14ac:dyDescent="0.25">
      <c r="A4048" s="3">
        <v>44676</v>
      </c>
      <c r="B4048">
        <v>6027.72</v>
      </c>
    </row>
    <row r="4049" spans="1:2" x14ac:dyDescent="0.25">
      <c r="A4049" s="3">
        <v>44677</v>
      </c>
      <c r="B4049">
        <v>6023.28</v>
      </c>
    </row>
    <row r="4050" spans="1:2" x14ac:dyDescent="0.25">
      <c r="A4050" s="3">
        <v>44678</v>
      </c>
      <c r="B4050">
        <v>6013.22</v>
      </c>
    </row>
    <row r="4051" spans="1:2" x14ac:dyDescent="0.25">
      <c r="A4051" s="3">
        <v>44679</v>
      </c>
      <c r="B4051">
        <v>6012.77</v>
      </c>
    </row>
    <row r="4052" spans="1:2" x14ac:dyDescent="0.25">
      <c r="A4052" s="3">
        <v>44680</v>
      </c>
      <c r="B4052">
        <v>6015.68</v>
      </c>
    </row>
    <row r="4053" spans="1:2" x14ac:dyDescent="0.25">
      <c r="A4053" s="3">
        <v>44683</v>
      </c>
      <c r="B4053">
        <v>6012.18</v>
      </c>
    </row>
    <row r="4054" spans="1:2" x14ac:dyDescent="0.25">
      <c r="A4054" s="3">
        <v>44684</v>
      </c>
      <c r="B4054">
        <v>6013.36</v>
      </c>
    </row>
    <row r="4055" spans="1:2" x14ac:dyDescent="0.25">
      <c r="A4055" s="3">
        <v>44685</v>
      </c>
      <c r="B4055">
        <v>6014.12</v>
      </c>
    </row>
    <row r="4056" spans="1:2" x14ac:dyDescent="0.25">
      <c r="A4056" s="3">
        <v>44686</v>
      </c>
      <c r="B4056">
        <v>6012.29</v>
      </c>
    </row>
    <row r="4057" spans="1:2" x14ac:dyDescent="0.25">
      <c r="A4057" s="3">
        <v>44687</v>
      </c>
      <c r="B4057">
        <v>6015.83</v>
      </c>
    </row>
    <row r="4058" spans="1:2" x14ac:dyDescent="0.25">
      <c r="A4058" s="3">
        <v>44690</v>
      </c>
      <c r="B4058">
        <v>6011.46</v>
      </c>
    </row>
    <row r="4059" spans="1:2" x14ac:dyDescent="0.25">
      <c r="A4059" s="3">
        <v>44691</v>
      </c>
      <c r="B4059">
        <v>6012.32</v>
      </c>
    </row>
    <row r="4060" spans="1:2" x14ac:dyDescent="0.25">
      <c r="A4060" s="3">
        <v>44692</v>
      </c>
      <c r="B4060">
        <v>6012.85</v>
      </c>
    </row>
    <row r="4061" spans="1:2" x14ac:dyDescent="0.25">
      <c r="A4061" s="3">
        <v>44693</v>
      </c>
      <c r="B4061">
        <v>6002.6</v>
      </c>
    </row>
    <row r="4062" spans="1:2" x14ac:dyDescent="0.25">
      <c r="A4062" s="3">
        <v>44694</v>
      </c>
      <c r="B4062">
        <v>6001.39</v>
      </c>
    </row>
    <row r="4063" spans="1:2" x14ac:dyDescent="0.25">
      <c r="A4063" s="3">
        <v>44697</v>
      </c>
      <c r="B4063">
        <v>6002.26</v>
      </c>
    </row>
    <row r="4064" spans="1:2" x14ac:dyDescent="0.25">
      <c r="A4064" s="3">
        <v>44698</v>
      </c>
      <c r="B4064">
        <v>6012.71</v>
      </c>
    </row>
    <row r="4065" spans="1:2" x14ac:dyDescent="0.25">
      <c r="A4065" s="3">
        <v>44699</v>
      </c>
      <c r="B4065">
        <v>6010.87</v>
      </c>
    </row>
    <row r="4066" spans="1:2" x14ac:dyDescent="0.25">
      <c r="A4066" s="3">
        <v>44700</v>
      </c>
      <c r="B4066">
        <v>6016.78</v>
      </c>
    </row>
    <row r="4067" spans="1:2" x14ac:dyDescent="0.25">
      <c r="A4067" s="3">
        <v>44701</v>
      </c>
      <c r="B4067">
        <v>6014.38</v>
      </c>
    </row>
    <row r="4068" spans="1:2" x14ac:dyDescent="0.25">
      <c r="A4068" s="3">
        <v>44704</v>
      </c>
      <c r="B4068">
        <v>6022.89</v>
      </c>
    </row>
    <row r="4069" spans="1:2" x14ac:dyDescent="0.25">
      <c r="A4069" s="3">
        <v>44705</v>
      </c>
      <c r="B4069">
        <v>6026.75</v>
      </c>
    </row>
    <row r="4070" spans="1:2" x14ac:dyDescent="0.25">
      <c r="A4070" s="3">
        <v>44706</v>
      </c>
      <c r="B4070">
        <v>6023.46</v>
      </c>
    </row>
    <row r="4071" spans="1:2" x14ac:dyDescent="0.25">
      <c r="A4071" s="3">
        <v>44707</v>
      </c>
      <c r="B4071">
        <v>6026.28</v>
      </c>
    </row>
    <row r="4072" spans="1:2" x14ac:dyDescent="0.25">
      <c r="A4072" s="3">
        <v>44708</v>
      </c>
      <c r="B4072">
        <v>6026.14</v>
      </c>
    </row>
    <row r="4073" spans="1:2" x14ac:dyDescent="0.25">
      <c r="A4073" s="3">
        <v>44712</v>
      </c>
      <c r="B4073">
        <v>6026.41</v>
      </c>
    </row>
    <row r="4074" spans="1:2" x14ac:dyDescent="0.25">
      <c r="A4074" s="3">
        <v>44713</v>
      </c>
      <c r="B4074">
        <v>6022.77</v>
      </c>
    </row>
    <row r="4075" spans="1:2" x14ac:dyDescent="0.25">
      <c r="A4075" s="3">
        <v>44714</v>
      </c>
      <c r="B4075">
        <v>6026.59</v>
      </c>
    </row>
    <row r="4076" spans="1:2" x14ac:dyDescent="0.25">
      <c r="A4076" s="3">
        <v>44715</v>
      </c>
      <c r="B4076">
        <v>6026.85</v>
      </c>
    </row>
    <row r="4077" spans="1:2" x14ac:dyDescent="0.25">
      <c r="A4077" s="3">
        <v>44718</v>
      </c>
      <c r="B4077">
        <v>6026.87</v>
      </c>
    </row>
    <row r="4078" spans="1:2" x14ac:dyDescent="0.25">
      <c r="A4078" s="3">
        <v>44719</v>
      </c>
      <c r="B4078">
        <v>6025.86</v>
      </c>
    </row>
    <row r="4079" spans="1:2" x14ac:dyDescent="0.25">
      <c r="A4079" s="3">
        <v>44720</v>
      </c>
      <c r="B4079">
        <v>6027.53</v>
      </c>
    </row>
    <row r="4080" spans="1:2" x14ac:dyDescent="0.25">
      <c r="A4080" s="3">
        <v>44721</v>
      </c>
      <c r="B4080">
        <v>6021.47</v>
      </c>
    </row>
    <row r="4081" spans="1:2" x14ac:dyDescent="0.25">
      <c r="A4081" s="3">
        <v>44722</v>
      </c>
      <c r="B4081">
        <v>6011.89</v>
      </c>
    </row>
    <row r="4082" spans="1:2" x14ac:dyDescent="0.25">
      <c r="A4082" s="3">
        <v>44725</v>
      </c>
      <c r="B4082">
        <v>6002.97</v>
      </c>
    </row>
    <row r="4083" spans="1:2" x14ac:dyDescent="0.25">
      <c r="A4083" s="3">
        <v>44726</v>
      </c>
      <c r="B4083">
        <v>6001.46</v>
      </c>
    </row>
    <row r="4084" spans="1:2" x14ac:dyDescent="0.25">
      <c r="A4084" s="3">
        <v>44727</v>
      </c>
      <c r="B4084">
        <v>6001.84</v>
      </c>
    </row>
    <row r="4085" spans="1:2" x14ac:dyDescent="0.25">
      <c r="A4085" s="3">
        <v>44728</v>
      </c>
      <c r="B4085">
        <v>6008.84</v>
      </c>
    </row>
    <row r="4086" spans="1:2" x14ac:dyDescent="0.25">
      <c r="A4086" s="3">
        <v>44729</v>
      </c>
      <c r="B4086">
        <v>6005.52</v>
      </c>
    </row>
    <row r="4087" spans="1:2" x14ac:dyDescent="0.25">
      <c r="A4087" s="3">
        <v>44733</v>
      </c>
      <c r="B4087">
        <v>6013.81</v>
      </c>
    </row>
    <row r="4088" spans="1:2" x14ac:dyDescent="0.25">
      <c r="A4088" s="3">
        <v>44734</v>
      </c>
      <c r="B4088">
        <v>6016.06</v>
      </c>
    </row>
    <row r="4089" spans="1:2" x14ac:dyDescent="0.25">
      <c r="A4089" s="3">
        <v>44735</v>
      </c>
      <c r="B4089">
        <v>6011</v>
      </c>
    </row>
    <row r="4090" spans="1:2" x14ac:dyDescent="0.25">
      <c r="A4090" s="3">
        <v>44736</v>
      </c>
      <c r="B4090">
        <v>6012.28</v>
      </c>
    </row>
    <row r="4091" spans="1:2" x14ac:dyDescent="0.25">
      <c r="A4091" s="3">
        <v>44739</v>
      </c>
      <c r="B4091">
        <v>6016.11</v>
      </c>
    </row>
    <row r="4092" spans="1:2" x14ac:dyDescent="0.25">
      <c r="A4092" s="3">
        <v>44740</v>
      </c>
      <c r="B4092">
        <v>6009.72</v>
      </c>
    </row>
    <row r="4093" spans="1:2" x14ac:dyDescent="0.25">
      <c r="A4093" s="3">
        <v>44741</v>
      </c>
      <c r="B4093">
        <v>6006.7</v>
      </c>
    </row>
    <row r="4094" spans="1:2" x14ac:dyDescent="0.25">
      <c r="A4094" s="3">
        <v>44742</v>
      </c>
      <c r="B4094">
        <v>5827.02</v>
      </c>
    </row>
    <row r="4095" spans="1:2" x14ac:dyDescent="0.25">
      <c r="A4095" s="3">
        <v>44743</v>
      </c>
      <c r="B4095">
        <v>5821.77</v>
      </c>
    </row>
    <row r="4096" spans="1:2" x14ac:dyDescent="0.25">
      <c r="A4096" s="3">
        <v>44747</v>
      </c>
      <c r="B4096">
        <v>5810.91</v>
      </c>
    </row>
    <row r="4097" spans="1:2" x14ac:dyDescent="0.25">
      <c r="A4097" s="3">
        <v>44748</v>
      </c>
      <c r="B4097">
        <v>5807.6</v>
      </c>
    </row>
    <row r="4098" spans="1:2" x14ac:dyDescent="0.25">
      <c r="A4098" s="3">
        <v>44749</v>
      </c>
      <c r="B4098">
        <v>5806.44</v>
      </c>
    </row>
    <row r="4099" spans="1:2" x14ac:dyDescent="0.25">
      <c r="A4099" s="3">
        <v>44750</v>
      </c>
      <c r="B4099">
        <v>5806.89</v>
      </c>
    </row>
    <row r="4100" spans="1:2" x14ac:dyDescent="0.25">
      <c r="A4100" s="3">
        <v>44753</v>
      </c>
      <c r="B4100">
        <v>5799.67</v>
      </c>
    </row>
    <row r="4101" spans="1:2" x14ac:dyDescent="0.25">
      <c r="A4101" s="3">
        <v>44754</v>
      </c>
      <c r="B4101">
        <v>5797.42</v>
      </c>
    </row>
    <row r="4102" spans="1:2" x14ac:dyDescent="0.25">
      <c r="A4102" s="3">
        <v>44755</v>
      </c>
      <c r="B4102">
        <v>5801.93</v>
      </c>
    </row>
    <row r="4103" spans="1:2" x14ac:dyDescent="0.25">
      <c r="A4103" s="3">
        <v>44756</v>
      </c>
      <c r="B4103">
        <v>5793.07</v>
      </c>
    </row>
    <row r="4104" spans="1:2" x14ac:dyDescent="0.25">
      <c r="A4104" s="3">
        <v>44757</v>
      </c>
      <c r="B4104">
        <v>5799.4</v>
      </c>
    </row>
    <row r="4105" spans="1:2" x14ac:dyDescent="0.25">
      <c r="A4105" s="3">
        <v>44760</v>
      </c>
      <c r="B4105">
        <v>5808.42</v>
      </c>
    </row>
    <row r="4106" spans="1:2" x14ac:dyDescent="0.25">
      <c r="A4106" s="3">
        <v>44761</v>
      </c>
      <c r="B4106">
        <v>5812.24</v>
      </c>
    </row>
    <row r="4107" spans="1:2" x14ac:dyDescent="0.25">
      <c r="A4107" s="3">
        <v>44762</v>
      </c>
      <c r="B4107">
        <v>5809.64</v>
      </c>
    </row>
    <row r="4108" spans="1:2" x14ac:dyDescent="0.25">
      <c r="A4108" s="3">
        <v>44763</v>
      </c>
      <c r="B4108">
        <v>5808</v>
      </c>
    </row>
    <row r="4109" spans="1:2" x14ac:dyDescent="0.25">
      <c r="A4109" s="3">
        <v>44764</v>
      </c>
      <c r="B4109">
        <v>5811.27</v>
      </c>
    </row>
    <row r="4110" spans="1:2" x14ac:dyDescent="0.25">
      <c r="A4110" s="3">
        <v>44767</v>
      </c>
      <c r="B4110">
        <v>5810.34</v>
      </c>
    </row>
    <row r="4111" spans="1:2" x14ac:dyDescent="0.25">
      <c r="A4111" s="3">
        <v>44768</v>
      </c>
      <c r="B4111">
        <v>5804.52</v>
      </c>
    </row>
    <row r="4112" spans="1:2" x14ac:dyDescent="0.25">
      <c r="A4112" s="3">
        <v>44769</v>
      </c>
      <c r="B4112">
        <v>5803.45</v>
      </c>
    </row>
    <row r="4113" spans="1:2" x14ac:dyDescent="0.25">
      <c r="A4113" s="3">
        <v>44770</v>
      </c>
      <c r="B4113">
        <v>5806.49</v>
      </c>
    </row>
    <row r="4114" spans="1:2" x14ac:dyDescent="0.25">
      <c r="A4114" s="3">
        <v>44771</v>
      </c>
      <c r="B4114">
        <v>5809.58</v>
      </c>
    </row>
    <row r="4115" spans="1:2" x14ac:dyDescent="0.25">
      <c r="A4115" s="3">
        <v>44774</v>
      </c>
      <c r="B4115">
        <v>5816.8</v>
      </c>
    </row>
    <row r="4116" spans="1:2" x14ac:dyDescent="0.25">
      <c r="A4116" s="3">
        <v>44775</v>
      </c>
      <c r="B4116">
        <v>5811.15</v>
      </c>
    </row>
    <row r="4117" spans="1:2" x14ac:dyDescent="0.25">
      <c r="A4117" s="3">
        <v>44776</v>
      </c>
      <c r="B4117">
        <v>5805.76</v>
      </c>
    </row>
    <row r="4118" spans="1:2" x14ac:dyDescent="0.25">
      <c r="A4118" s="3">
        <v>44777</v>
      </c>
      <c r="B4118">
        <v>5811.54</v>
      </c>
    </row>
    <row r="4119" spans="1:2" x14ac:dyDescent="0.25">
      <c r="A4119" s="3">
        <v>44778</v>
      </c>
      <c r="B4119">
        <v>5807.95</v>
      </c>
    </row>
    <row r="4120" spans="1:2" x14ac:dyDescent="0.25">
      <c r="A4120" s="3">
        <v>44781</v>
      </c>
      <c r="B4120">
        <v>5812.08</v>
      </c>
    </row>
    <row r="4121" spans="1:2" x14ac:dyDescent="0.25">
      <c r="A4121" s="3">
        <v>44782</v>
      </c>
      <c r="B4121">
        <v>5812.23</v>
      </c>
    </row>
    <row r="4122" spans="1:2" x14ac:dyDescent="0.25">
      <c r="A4122" s="3">
        <v>44783</v>
      </c>
      <c r="B4122">
        <v>5822.6</v>
      </c>
    </row>
    <row r="4123" spans="1:2" x14ac:dyDescent="0.25">
      <c r="A4123" s="3">
        <v>44784</v>
      </c>
      <c r="B4123">
        <v>5821.79</v>
      </c>
    </row>
    <row r="4124" spans="1:2" x14ac:dyDescent="0.25">
      <c r="A4124" s="3">
        <v>44785</v>
      </c>
      <c r="B4124">
        <v>5814.18</v>
      </c>
    </row>
    <row r="4125" spans="1:2" x14ac:dyDescent="0.25">
      <c r="A4125" s="3">
        <v>44788</v>
      </c>
      <c r="B4125">
        <v>5810.35</v>
      </c>
    </row>
    <row r="4126" spans="1:2" x14ac:dyDescent="0.25">
      <c r="A4126" s="3">
        <v>44789</v>
      </c>
      <c r="B4126">
        <v>5809.28</v>
      </c>
    </row>
    <row r="4127" spans="1:2" x14ac:dyDescent="0.25">
      <c r="A4127" s="3">
        <v>44790</v>
      </c>
      <c r="B4127">
        <v>5807.6</v>
      </c>
    </row>
    <row r="4128" spans="1:2" x14ac:dyDescent="0.25">
      <c r="A4128" s="3">
        <v>44791</v>
      </c>
      <c r="B4128">
        <v>5805.18</v>
      </c>
    </row>
    <row r="4129" spans="1:2" x14ac:dyDescent="0.25">
      <c r="A4129" s="3">
        <v>44792</v>
      </c>
      <c r="B4129">
        <v>5797.95</v>
      </c>
    </row>
    <row r="4130" spans="1:2" x14ac:dyDescent="0.25">
      <c r="A4130" s="3">
        <v>44795</v>
      </c>
      <c r="B4130">
        <v>5792.66</v>
      </c>
    </row>
    <row r="4131" spans="1:2" x14ac:dyDescent="0.25">
      <c r="A4131" s="3">
        <v>44796</v>
      </c>
      <c r="B4131">
        <v>5794.56</v>
      </c>
    </row>
    <row r="4132" spans="1:2" x14ac:dyDescent="0.25">
      <c r="A4132" s="3">
        <v>44797</v>
      </c>
      <c r="B4132">
        <v>5794.73</v>
      </c>
    </row>
    <row r="4133" spans="1:2" x14ac:dyDescent="0.25">
      <c r="A4133" s="3">
        <v>44798</v>
      </c>
      <c r="B4133">
        <v>5794.16</v>
      </c>
    </row>
    <row r="4134" spans="1:2" x14ac:dyDescent="0.25">
      <c r="A4134" s="3">
        <v>44799</v>
      </c>
      <c r="B4134">
        <v>5796.35</v>
      </c>
    </row>
    <row r="4135" spans="1:2" x14ac:dyDescent="0.25">
      <c r="A4135" s="3">
        <v>44802</v>
      </c>
      <c r="B4135">
        <v>5793.45</v>
      </c>
    </row>
    <row r="4136" spans="1:2" x14ac:dyDescent="0.25">
      <c r="A4136" s="3">
        <v>44803</v>
      </c>
      <c r="B4136">
        <v>5793.46</v>
      </c>
    </row>
    <row r="4137" spans="1:2" x14ac:dyDescent="0.25">
      <c r="A4137" s="3">
        <v>44804</v>
      </c>
      <c r="B4137">
        <v>5797.51</v>
      </c>
    </row>
    <row r="4138" spans="1:2" x14ac:dyDescent="0.25">
      <c r="A4138" s="3">
        <v>44805</v>
      </c>
      <c r="B4138">
        <v>5788.48</v>
      </c>
    </row>
    <row r="4139" spans="1:2" x14ac:dyDescent="0.25">
      <c r="A4139" s="3">
        <v>44806</v>
      </c>
      <c r="B4139">
        <v>5795.28</v>
      </c>
    </row>
    <row r="4140" spans="1:2" x14ac:dyDescent="0.25">
      <c r="A4140" s="3">
        <v>44810</v>
      </c>
      <c r="B4140">
        <v>5786.19</v>
      </c>
    </row>
    <row r="4141" spans="1:2" x14ac:dyDescent="0.25">
      <c r="A4141" s="3">
        <v>44811</v>
      </c>
      <c r="B4141">
        <v>5788.89</v>
      </c>
    </row>
    <row r="4142" spans="1:2" x14ac:dyDescent="0.25">
      <c r="A4142" s="3">
        <v>44812</v>
      </c>
      <c r="B4142">
        <v>5789.6</v>
      </c>
    </row>
    <row r="4143" spans="1:2" x14ac:dyDescent="0.25">
      <c r="A4143" s="3">
        <v>44813</v>
      </c>
      <c r="B4143">
        <v>5796.29</v>
      </c>
    </row>
    <row r="4144" spans="1:2" x14ac:dyDescent="0.25">
      <c r="A4144" s="3">
        <v>44816</v>
      </c>
      <c r="B4144">
        <v>5803.13</v>
      </c>
    </row>
    <row r="4145" spans="1:2" x14ac:dyDescent="0.25">
      <c r="A4145" s="3">
        <v>44817</v>
      </c>
      <c r="B4145">
        <v>5794.06</v>
      </c>
    </row>
    <row r="4146" spans="1:2" x14ac:dyDescent="0.25">
      <c r="A4146" s="3">
        <v>44818</v>
      </c>
      <c r="B4146">
        <v>5792.91</v>
      </c>
    </row>
    <row r="4147" spans="1:2" x14ac:dyDescent="0.25">
      <c r="A4147" s="3">
        <v>44819</v>
      </c>
      <c r="B4147">
        <v>5792.27</v>
      </c>
    </row>
    <row r="4148" spans="1:2" x14ac:dyDescent="0.25">
      <c r="A4148" s="3">
        <v>44820</v>
      </c>
      <c r="B4148">
        <v>5794.4</v>
      </c>
    </row>
    <row r="4149" spans="1:2" x14ac:dyDescent="0.25">
      <c r="A4149" s="3">
        <v>44823</v>
      </c>
      <c r="B4149">
        <v>5793</v>
      </c>
    </row>
    <row r="4150" spans="1:2" x14ac:dyDescent="0.25">
      <c r="A4150" s="3">
        <v>44824</v>
      </c>
      <c r="B4150">
        <v>5791.74</v>
      </c>
    </row>
    <row r="4151" spans="1:2" x14ac:dyDescent="0.25">
      <c r="A4151" s="3">
        <v>44825</v>
      </c>
      <c r="B4151">
        <v>5783.19</v>
      </c>
    </row>
    <row r="4152" spans="1:2" x14ac:dyDescent="0.25">
      <c r="A4152" s="3">
        <v>44826</v>
      </c>
      <c r="B4152">
        <v>5778.45</v>
      </c>
    </row>
    <row r="4153" spans="1:2" x14ac:dyDescent="0.25">
      <c r="A4153" s="3">
        <v>44827</v>
      </c>
      <c r="B4153">
        <v>5768.97</v>
      </c>
    </row>
    <row r="4154" spans="1:2" x14ac:dyDescent="0.25">
      <c r="A4154" s="3">
        <v>44830</v>
      </c>
      <c r="B4154">
        <v>5764.38</v>
      </c>
    </row>
    <row r="4155" spans="1:2" x14ac:dyDescent="0.25">
      <c r="A4155" s="3">
        <v>44831</v>
      </c>
      <c r="B4155">
        <v>5762.31</v>
      </c>
    </row>
    <row r="4156" spans="1:2" x14ac:dyDescent="0.25">
      <c r="A4156" s="3">
        <v>44832</v>
      </c>
      <c r="B4156">
        <v>5762.89</v>
      </c>
    </row>
    <row r="4157" spans="1:2" x14ac:dyDescent="0.25">
      <c r="A4157" s="3">
        <v>44833</v>
      </c>
      <c r="B4157">
        <v>5773.58</v>
      </c>
    </row>
    <row r="4158" spans="1:2" x14ac:dyDescent="0.25">
      <c r="A4158" s="3">
        <v>44834</v>
      </c>
      <c r="B4158">
        <v>5726.2</v>
      </c>
    </row>
    <row r="4159" spans="1:2" x14ac:dyDescent="0.25">
      <c r="A4159" s="3">
        <v>44837</v>
      </c>
      <c r="B4159">
        <v>5728.4</v>
      </c>
    </row>
    <row r="4160" spans="1:2" x14ac:dyDescent="0.25">
      <c r="A4160" s="3">
        <v>44838</v>
      </c>
      <c r="B4160">
        <v>5738.73</v>
      </c>
    </row>
    <row r="4161" spans="1:2" x14ac:dyDescent="0.25">
      <c r="A4161" s="3">
        <v>44839</v>
      </c>
      <c r="B4161">
        <v>5730.78</v>
      </c>
    </row>
    <row r="4162" spans="1:2" x14ac:dyDescent="0.25">
      <c r="A4162" s="3">
        <v>44840</v>
      </c>
      <c r="B4162">
        <v>5729.52</v>
      </c>
    </row>
    <row r="4163" spans="1:2" x14ac:dyDescent="0.25">
      <c r="A4163" s="3">
        <v>44841</v>
      </c>
      <c r="B4163">
        <v>5725.24</v>
      </c>
    </row>
    <row r="4164" spans="1:2" x14ac:dyDescent="0.25">
      <c r="A4164" s="3">
        <v>44844</v>
      </c>
      <c r="B4164">
        <v>5718.69</v>
      </c>
    </row>
    <row r="4165" spans="1:2" x14ac:dyDescent="0.25">
      <c r="A4165" s="3">
        <v>44845</v>
      </c>
      <c r="B4165">
        <v>5719.3</v>
      </c>
    </row>
    <row r="4166" spans="1:2" x14ac:dyDescent="0.25">
      <c r="A4166" s="3">
        <v>44846</v>
      </c>
      <c r="B4166">
        <v>5718.6</v>
      </c>
    </row>
    <row r="4167" spans="1:2" x14ac:dyDescent="0.25">
      <c r="A4167" s="3">
        <v>44847</v>
      </c>
      <c r="B4167">
        <v>5720.26</v>
      </c>
    </row>
    <row r="4168" spans="1:2" x14ac:dyDescent="0.25">
      <c r="A4168" s="3">
        <v>44848</v>
      </c>
      <c r="B4168">
        <v>5723.01</v>
      </c>
    </row>
    <row r="4169" spans="1:2" x14ac:dyDescent="0.25">
      <c r="A4169" s="3">
        <v>44851</v>
      </c>
      <c r="B4169">
        <v>5728.34</v>
      </c>
    </row>
    <row r="4170" spans="1:2" x14ac:dyDescent="0.25">
      <c r="A4170" s="3">
        <v>44852</v>
      </c>
      <c r="B4170">
        <v>5730.3</v>
      </c>
    </row>
    <row r="4171" spans="1:2" x14ac:dyDescent="0.25">
      <c r="A4171" s="3">
        <v>44853</v>
      </c>
      <c r="B4171">
        <v>5725.77</v>
      </c>
    </row>
    <row r="4172" spans="1:2" x14ac:dyDescent="0.25">
      <c r="A4172" s="3">
        <v>44854</v>
      </c>
      <c r="B4172">
        <v>5729.93</v>
      </c>
    </row>
    <row r="4173" spans="1:2" x14ac:dyDescent="0.25">
      <c r="A4173" s="3">
        <v>44855</v>
      </c>
      <c r="B4173">
        <v>5725.82</v>
      </c>
    </row>
    <row r="4174" spans="1:2" x14ac:dyDescent="0.25">
      <c r="A4174" s="3">
        <v>44858</v>
      </c>
      <c r="B4174">
        <v>5732.62</v>
      </c>
    </row>
    <row r="4175" spans="1:2" x14ac:dyDescent="0.25">
      <c r="A4175" s="3">
        <v>44859</v>
      </c>
      <c r="B4175">
        <v>5738.78</v>
      </c>
    </row>
    <row r="4176" spans="1:2" x14ac:dyDescent="0.25">
      <c r="A4176" s="3">
        <v>44860</v>
      </c>
      <c r="B4176">
        <v>5745.98</v>
      </c>
    </row>
    <row r="4177" spans="1:2" x14ac:dyDescent="0.25">
      <c r="A4177" s="3">
        <v>44861</v>
      </c>
      <c r="B4177">
        <v>5742.31</v>
      </c>
    </row>
    <row r="4178" spans="1:2" x14ac:dyDescent="0.25">
      <c r="A4178" s="3">
        <v>44862</v>
      </c>
      <c r="B4178">
        <v>5738.75</v>
      </c>
    </row>
    <row r="4179" spans="1:2" x14ac:dyDescent="0.25">
      <c r="A4179" s="3">
        <v>44865</v>
      </c>
      <c r="B4179">
        <v>5734.65</v>
      </c>
    </row>
    <row r="4180" spans="1:2" x14ac:dyDescent="0.25">
      <c r="A4180" s="3">
        <v>44866</v>
      </c>
      <c r="B4180">
        <v>5733.68</v>
      </c>
    </row>
    <row r="4181" spans="1:2" x14ac:dyDescent="0.25">
      <c r="A4181" s="3">
        <v>44867</v>
      </c>
      <c r="B4181">
        <v>5733.71</v>
      </c>
    </row>
    <row r="4182" spans="1:2" x14ac:dyDescent="0.25">
      <c r="A4182" s="3">
        <v>44868</v>
      </c>
      <c r="B4182">
        <v>5724.17</v>
      </c>
    </row>
    <row r="4183" spans="1:2" x14ac:dyDescent="0.25">
      <c r="A4183" s="3">
        <v>44869</v>
      </c>
      <c r="B4183">
        <v>5734.67</v>
      </c>
    </row>
    <row r="4184" spans="1:2" x14ac:dyDescent="0.25">
      <c r="A4184" s="3">
        <v>44872</v>
      </c>
      <c r="B4184">
        <v>5742.88</v>
      </c>
    </row>
    <row r="4185" spans="1:2" x14ac:dyDescent="0.25">
      <c r="A4185" s="3">
        <v>44873</v>
      </c>
      <c r="B4185">
        <v>5748.22</v>
      </c>
    </row>
    <row r="4186" spans="1:2" x14ac:dyDescent="0.25">
      <c r="A4186" s="3">
        <v>44874</v>
      </c>
      <c r="B4186">
        <v>5744.47</v>
      </c>
    </row>
    <row r="4187" spans="1:2" x14ac:dyDescent="0.25">
      <c r="A4187" s="3">
        <v>44875</v>
      </c>
      <c r="B4187">
        <v>5757.03</v>
      </c>
    </row>
    <row r="4188" spans="1:2" x14ac:dyDescent="0.25">
      <c r="A4188" s="3">
        <v>44876</v>
      </c>
      <c r="B4188">
        <v>5768.02</v>
      </c>
    </row>
    <row r="4189" spans="1:2" x14ac:dyDescent="0.25">
      <c r="A4189" s="3">
        <v>44879</v>
      </c>
      <c r="B4189">
        <v>5768.14</v>
      </c>
    </row>
    <row r="4190" spans="1:2" x14ac:dyDescent="0.25">
      <c r="A4190" s="3">
        <v>44880</v>
      </c>
      <c r="B4190">
        <v>5771.49</v>
      </c>
    </row>
    <row r="4191" spans="1:2" x14ac:dyDescent="0.25">
      <c r="A4191" s="3">
        <v>44881</v>
      </c>
      <c r="B4191">
        <v>5774.13</v>
      </c>
    </row>
    <row r="4192" spans="1:2" x14ac:dyDescent="0.25">
      <c r="A4192" s="3">
        <v>44882</v>
      </c>
      <c r="B4192">
        <v>5767.96</v>
      </c>
    </row>
    <row r="4193" spans="1:2" x14ac:dyDescent="0.25">
      <c r="A4193" s="3">
        <v>44883</v>
      </c>
      <c r="B4193">
        <v>5770.98</v>
      </c>
    </row>
    <row r="4194" spans="1:2" x14ac:dyDescent="0.25">
      <c r="A4194" s="3">
        <v>44886</v>
      </c>
      <c r="B4194">
        <v>5761.55</v>
      </c>
    </row>
    <row r="4195" spans="1:2" x14ac:dyDescent="0.25">
      <c r="A4195" s="3">
        <v>44887</v>
      </c>
      <c r="B4195">
        <v>5765.2</v>
      </c>
    </row>
    <row r="4196" spans="1:2" x14ac:dyDescent="0.25">
      <c r="A4196" s="3">
        <v>44888</v>
      </c>
      <c r="B4196">
        <v>5772.62</v>
      </c>
    </row>
    <row r="4197" spans="1:2" x14ac:dyDescent="0.25">
      <c r="A4197" s="3">
        <v>44890</v>
      </c>
      <c r="B4197">
        <v>5775.08</v>
      </c>
    </row>
    <row r="4198" spans="1:2" x14ac:dyDescent="0.25">
      <c r="A4198" s="3">
        <v>44893</v>
      </c>
      <c r="B4198">
        <v>5774.04</v>
      </c>
    </row>
    <row r="4199" spans="1:2" x14ac:dyDescent="0.25">
      <c r="A4199" s="3">
        <v>44894</v>
      </c>
      <c r="B4199">
        <v>5771.03</v>
      </c>
    </row>
    <row r="4200" spans="1:2" x14ac:dyDescent="0.25">
      <c r="A4200" s="3">
        <v>44895</v>
      </c>
      <c r="B4200">
        <v>5766.9</v>
      </c>
    </row>
    <row r="4201" spans="1:2" x14ac:dyDescent="0.25">
      <c r="A4201" s="3">
        <v>44896</v>
      </c>
      <c r="B4201">
        <v>5782.24</v>
      </c>
    </row>
    <row r="4202" spans="1:2" x14ac:dyDescent="0.25">
      <c r="A4202" s="3">
        <v>44897</v>
      </c>
      <c r="B4202">
        <v>5781</v>
      </c>
    </row>
    <row r="4203" spans="1:2" x14ac:dyDescent="0.25">
      <c r="A4203" s="3">
        <v>44900</v>
      </c>
      <c r="B4203">
        <v>5784.73</v>
      </c>
    </row>
    <row r="4204" spans="1:2" x14ac:dyDescent="0.25">
      <c r="A4204" s="3">
        <v>44901</v>
      </c>
      <c r="B4204">
        <v>5782.85</v>
      </c>
    </row>
    <row r="4205" spans="1:2" x14ac:dyDescent="0.25">
      <c r="A4205" s="3">
        <v>44902</v>
      </c>
      <c r="B4205">
        <v>5782.87</v>
      </c>
    </row>
    <row r="4206" spans="1:2" x14ac:dyDescent="0.25">
      <c r="A4206" s="3">
        <v>44903</v>
      </c>
      <c r="B4206">
        <v>5786.02</v>
      </c>
    </row>
    <row r="4207" spans="1:2" x14ac:dyDescent="0.25">
      <c r="A4207" s="3">
        <v>44904</v>
      </c>
      <c r="B4207">
        <v>5786.07</v>
      </c>
    </row>
    <row r="4208" spans="1:2" x14ac:dyDescent="0.25">
      <c r="A4208" s="3">
        <v>44907</v>
      </c>
      <c r="B4208">
        <v>5784.39</v>
      </c>
    </row>
    <row r="4209" spans="1:2" x14ac:dyDescent="0.25">
      <c r="A4209" s="3">
        <v>44908</v>
      </c>
      <c r="B4209">
        <v>5793.67</v>
      </c>
    </row>
    <row r="4210" spans="1:2" x14ac:dyDescent="0.25">
      <c r="A4210" s="3">
        <v>44909</v>
      </c>
      <c r="B4210">
        <v>5794.31</v>
      </c>
    </row>
    <row r="4211" spans="1:2" x14ac:dyDescent="0.25">
      <c r="A4211" s="3">
        <v>44910</v>
      </c>
      <c r="B4211">
        <v>5793.27</v>
      </c>
    </row>
    <row r="4212" spans="1:2" x14ac:dyDescent="0.25">
      <c r="A4212" s="3">
        <v>44911</v>
      </c>
      <c r="B4212">
        <v>5790.4</v>
      </c>
    </row>
    <row r="4213" spans="1:2" x14ac:dyDescent="0.25">
      <c r="A4213" s="3">
        <v>44914</v>
      </c>
      <c r="B4213">
        <v>5787.81</v>
      </c>
    </row>
    <row r="4214" spans="1:2" x14ac:dyDescent="0.25">
      <c r="A4214" s="3">
        <v>44915</v>
      </c>
      <c r="B4214">
        <v>5792.1</v>
      </c>
    </row>
    <row r="4215" spans="1:2" x14ac:dyDescent="0.25">
      <c r="A4215" s="3">
        <v>44916</v>
      </c>
      <c r="B4215">
        <v>5790.33</v>
      </c>
    </row>
    <row r="4216" spans="1:2" x14ac:dyDescent="0.25">
      <c r="A4216" s="3">
        <v>44917</v>
      </c>
      <c r="B4216">
        <v>5788.89</v>
      </c>
    </row>
    <row r="4217" spans="1:2" x14ac:dyDescent="0.25">
      <c r="A4217" s="3">
        <v>44918</v>
      </c>
      <c r="B4217">
        <v>5789.96</v>
      </c>
    </row>
    <row r="4218" spans="1:2" x14ac:dyDescent="0.25">
      <c r="A4218" s="3">
        <v>44922</v>
      </c>
      <c r="B4218">
        <v>5792.41</v>
      </c>
    </row>
    <row r="4219" spans="1:2" x14ac:dyDescent="0.25">
      <c r="A4219" s="3">
        <v>44923</v>
      </c>
      <c r="B4219">
        <v>5790.32</v>
      </c>
    </row>
    <row r="4220" spans="1:2" x14ac:dyDescent="0.25">
      <c r="A4220" s="3">
        <v>44924</v>
      </c>
      <c r="B4220">
        <v>5793.81</v>
      </c>
    </row>
    <row r="4221" spans="1:2" x14ac:dyDescent="0.25">
      <c r="A4221" s="3">
        <v>44925</v>
      </c>
      <c r="B4221">
        <v>5794.21</v>
      </c>
    </row>
    <row r="4222" spans="1:2" x14ac:dyDescent="0.25">
      <c r="A4222" s="3">
        <v>44929</v>
      </c>
      <c r="B4222">
        <v>5802.57</v>
      </c>
    </row>
    <row r="4223" spans="1:2" x14ac:dyDescent="0.25">
      <c r="A4223" s="3">
        <v>44930</v>
      </c>
      <c r="B4223">
        <v>5806.34</v>
      </c>
    </row>
    <row r="4224" spans="1:2" x14ac:dyDescent="0.25">
      <c r="A4224" s="3">
        <v>44931</v>
      </c>
      <c r="B4224">
        <v>5799.39</v>
      </c>
    </row>
    <row r="4225" spans="1:2" x14ac:dyDescent="0.25">
      <c r="A4225" s="3">
        <v>44932</v>
      </c>
      <c r="B4225">
        <v>5806.24</v>
      </c>
    </row>
    <row r="4226" spans="1:2" x14ac:dyDescent="0.25">
      <c r="A4226" s="3">
        <v>44935</v>
      </c>
      <c r="B4226">
        <v>5816.95</v>
      </c>
    </row>
    <row r="4227" spans="1:2" x14ac:dyDescent="0.25">
      <c r="A4227" s="3">
        <v>44936</v>
      </c>
      <c r="B4227">
        <v>5815.64</v>
      </c>
    </row>
    <row r="4228" spans="1:2" x14ac:dyDescent="0.25">
      <c r="A4228" s="3">
        <v>44937</v>
      </c>
      <c r="B4228">
        <v>5817.36</v>
      </c>
    </row>
    <row r="4229" spans="1:2" x14ac:dyDescent="0.25">
      <c r="A4229" s="3">
        <v>44938</v>
      </c>
      <c r="B4229">
        <v>5821.38</v>
      </c>
    </row>
    <row r="4230" spans="1:2" x14ac:dyDescent="0.25">
      <c r="A4230" s="3">
        <v>44939</v>
      </c>
      <c r="B4230">
        <v>5823.39</v>
      </c>
    </row>
    <row r="4231" spans="1:2" x14ac:dyDescent="0.25">
      <c r="A4231" s="3">
        <v>44943</v>
      </c>
      <c r="B4231">
        <v>5821.74</v>
      </c>
    </row>
    <row r="4232" spans="1:2" x14ac:dyDescent="0.25">
      <c r="A4232" s="3">
        <v>44944</v>
      </c>
      <c r="B4232">
        <v>5824.4</v>
      </c>
    </row>
    <row r="4233" spans="1:2" x14ac:dyDescent="0.25">
      <c r="A4233" s="3">
        <v>44945</v>
      </c>
      <c r="B4233">
        <v>5820.96</v>
      </c>
    </row>
    <row r="4234" spans="1:2" x14ac:dyDescent="0.25">
      <c r="A4234" s="3">
        <v>44946</v>
      </c>
      <c r="B4234">
        <v>5824.05</v>
      </c>
    </row>
    <row r="4235" spans="1:2" x14ac:dyDescent="0.25">
      <c r="A4235" s="3">
        <v>44949</v>
      </c>
      <c r="B4235">
        <v>5826.68</v>
      </c>
    </row>
    <row r="4236" spans="1:2" x14ac:dyDescent="0.25">
      <c r="A4236" s="3">
        <v>44950</v>
      </c>
      <c r="B4236">
        <v>5827.25</v>
      </c>
    </row>
    <row r="4237" spans="1:2" x14ac:dyDescent="0.25">
      <c r="A4237" s="3">
        <v>44951</v>
      </c>
      <c r="B4237">
        <v>5829.39</v>
      </c>
    </row>
    <row r="4238" spans="1:2" x14ac:dyDescent="0.25">
      <c r="A4238" s="3">
        <v>44952</v>
      </c>
      <c r="B4238">
        <v>5825.93</v>
      </c>
    </row>
    <row r="4239" spans="1:2" x14ac:dyDescent="0.25">
      <c r="A4239" s="3">
        <v>44953</v>
      </c>
      <c r="B4239">
        <v>5825.02</v>
      </c>
    </row>
    <row r="4240" spans="1:2" x14ac:dyDescent="0.25">
      <c r="A4240" s="3">
        <v>44956</v>
      </c>
      <c r="B4240">
        <v>5827.17</v>
      </c>
    </row>
    <row r="4241" spans="1:2" x14ac:dyDescent="0.25">
      <c r="A4241" s="3">
        <v>44957</v>
      </c>
      <c r="B4241">
        <v>5827.3</v>
      </c>
    </row>
    <row r="4242" spans="1:2" x14ac:dyDescent="0.25">
      <c r="A4242" s="3">
        <v>44958</v>
      </c>
      <c r="B4242">
        <v>5831.76</v>
      </c>
    </row>
    <row r="4243" spans="1:2" x14ac:dyDescent="0.25">
      <c r="A4243" s="3">
        <v>44959</v>
      </c>
      <c r="B4243">
        <v>5833.11</v>
      </c>
    </row>
    <row r="4244" spans="1:2" x14ac:dyDescent="0.25">
      <c r="A4244" s="3">
        <v>44960</v>
      </c>
      <c r="B4244">
        <v>5826.06</v>
      </c>
    </row>
    <row r="4245" spans="1:2" x14ac:dyDescent="0.25">
      <c r="A4245" s="3">
        <v>44963</v>
      </c>
      <c r="B4245">
        <v>5816.42</v>
      </c>
    </row>
    <row r="4246" spans="1:2" x14ac:dyDescent="0.25">
      <c r="A4246" s="3">
        <v>44964</v>
      </c>
      <c r="B4246">
        <v>5813.83</v>
      </c>
    </row>
    <row r="4247" spans="1:2" x14ac:dyDescent="0.25">
      <c r="A4247" s="3">
        <v>44965</v>
      </c>
      <c r="B4247">
        <v>5816.42</v>
      </c>
    </row>
    <row r="4248" spans="1:2" x14ac:dyDescent="0.25">
      <c r="A4248" s="3">
        <v>44966</v>
      </c>
      <c r="B4248">
        <v>5819.65</v>
      </c>
    </row>
    <row r="4249" spans="1:2" x14ac:dyDescent="0.25">
      <c r="A4249" s="3">
        <v>44967</v>
      </c>
      <c r="B4249">
        <v>5813.1</v>
      </c>
    </row>
    <row r="4250" spans="1:2" x14ac:dyDescent="0.25">
      <c r="A4250" s="3">
        <v>44970</v>
      </c>
      <c r="B4250">
        <v>5816.44</v>
      </c>
    </row>
    <row r="4251" spans="1:2" x14ac:dyDescent="0.25">
      <c r="A4251" s="3">
        <v>44971</v>
      </c>
      <c r="B4251">
        <v>5816.48</v>
      </c>
    </row>
    <row r="4252" spans="1:2" x14ac:dyDescent="0.25">
      <c r="A4252" s="3">
        <v>44972</v>
      </c>
      <c r="B4252">
        <v>5812.57</v>
      </c>
    </row>
    <row r="4253" spans="1:2" x14ac:dyDescent="0.25">
      <c r="A4253" s="3">
        <v>44973</v>
      </c>
      <c r="B4253">
        <v>5812.38</v>
      </c>
    </row>
    <row r="4254" spans="1:2" x14ac:dyDescent="0.25">
      <c r="A4254" s="3">
        <v>44974</v>
      </c>
      <c r="B4254">
        <v>5811.58</v>
      </c>
    </row>
    <row r="4255" spans="1:2" x14ac:dyDescent="0.25">
      <c r="A4255" s="3">
        <v>44978</v>
      </c>
      <c r="B4255">
        <v>5813.72</v>
      </c>
    </row>
    <row r="4256" spans="1:2" x14ac:dyDescent="0.25">
      <c r="A4256" s="3">
        <v>44979</v>
      </c>
      <c r="B4256">
        <v>5809.31</v>
      </c>
    </row>
    <row r="4257" spans="1:2" x14ac:dyDescent="0.25">
      <c r="A4257" s="3">
        <v>44980</v>
      </c>
      <c r="B4257">
        <v>5806.88</v>
      </c>
    </row>
    <row r="4258" spans="1:2" x14ac:dyDescent="0.25">
      <c r="A4258" s="3">
        <v>44981</v>
      </c>
      <c r="B4258">
        <v>5802.38</v>
      </c>
    </row>
    <row r="4259" spans="1:2" x14ac:dyDescent="0.25">
      <c r="A4259" s="3">
        <v>44984</v>
      </c>
      <c r="B4259">
        <v>5807.03</v>
      </c>
    </row>
    <row r="4260" spans="1:2" x14ac:dyDescent="0.25">
      <c r="A4260" s="3">
        <v>44985</v>
      </c>
      <c r="B4260">
        <v>5807.3</v>
      </c>
    </row>
    <row r="4261" spans="1:2" x14ac:dyDescent="0.25">
      <c r="A4261" s="3">
        <v>44986</v>
      </c>
      <c r="B4261">
        <v>5811.62</v>
      </c>
    </row>
    <row r="4262" spans="1:2" x14ac:dyDescent="0.25">
      <c r="A4262" s="3">
        <v>44987</v>
      </c>
      <c r="B4262">
        <v>5807</v>
      </c>
    </row>
    <row r="4263" spans="1:2" x14ac:dyDescent="0.25">
      <c r="A4263" s="3">
        <v>44988</v>
      </c>
      <c r="B4263">
        <v>5806.21</v>
      </c>
    </row>
    <row r="4264" spans="1:2" x14ac:dyDescent="0.25">
      <c r="A4264" s="3">
        <v>44991</v>
      </c>
      <c r="B4264">
        <v>5812.17</v>
      </c>
    </row>
    <row r="4265" spans="1:2" x14ac:dyDescent="0.25">
      <c r="A4265" s="3">
        <v>44992</v>
      </c>
      <c r="B4265">
        <v>5804.53</v>
      </c>
    </row>
    <row r="4266" spans="1:2" x14ac:dyDescent="0.25">
      <c r="A4266" s="3">
        <v>44993</v>
      </c>
      <c r="B4266">
        <v>5802.05</v>
      </c>
    </row>
    <row r="4267" spans="1:2" x14ac:dyDescent="0.25">
      <c r="A4267" s="3">
        <v>44994</v>
      </c>
      <c r="B4267">
        <v>5803.52</v>
      </c>
    </row>
    <row r="4268" spans="1:2" x14ac:dyDescent="0.25">
      <c r="A4268" s="3">
        <v>44995</v>
      </c>
      <c r="B4268">
        <v>5812.74</v>
      </c>
    </row>
    <row r="4269" spans="1:2" x14ac:dyDescent="0.25">
      <c r="A4269" s="3">
        <v>44998</v>
      </c>
      <c r="B4269">
        <v>5816.32</v>
      </c>
    </row>
    <row r="4270" spans="1:2" x14ac:dyDescent="0.25">
      <c r="A4270" s="3">
        <v>44999</v>
      </c>
      <c r="B4270">
        <v>5815.61</v>
      </c>
    </row>
    <row r="4271" spans="1:2" x14ac:dyDescent="0.25">
      <c r="A4271" s="3">
        <v>45000</v>
      </c>
      <c r="B4271">
        <v>5801.67</v>
      </c>
    </row>
    <row r="4272" spans="1:2" x14ac:dyDescent="0.25">
      <c r="A4272" s="3">
        <v>45001</v>
      </c>
      <c r="B4272">
        <v>5808.2</v>
      </c>
    </row>
    <row r="4273" spans="1:2" x14ac:dyDescent="0.25">
      <c r="A4273" s="3">
        <v>45002</v>
      </c>
      <c r="B4273">
        <v>5810.17</v>
      </c>
    </row>
    <row r="4274" spans="1:2" x14ac:dyDescent="0.25">
      <c r="A4274" s="3">
        <v>45005</v>
      </c>
      <c r="B4274">
        <v>5816.13</v>
      </c>
    </row>
    <row r="4275" spans="1:2" x14ac:dyDescent="0.25">
      <c r="A4275" s="3">
        <v>45006</v>
      </c>
      <c r="B4275">
        <v>5819.18</v>
      </c>
    </row>
    <row r="4276" spans="1:2" x14ac:dyDescent="0.25">
      <c r="A4276" s="3">
        <v>45007</v>
      </c>
      <c r="B4276">
        <v>5820.87</v>
      </c>
    </row>
    <row r="4277" spans="1:2" x14ac:dyDescent="0.25">
      <c r="A4277" s="3">
        <v>45008</v>
      </c>
      <c r="B4277">
        <v>5828.33</v>
      </c>
    </row>
    <row r="4278" spans="1:2" x14ac:dyDescent="0.25">
      <c r="A4278" s="3">
        <v>45009</v>
      </c>
      <c r="B4278">
        <v>5818.73</v>
      </c>
    </row>
    <row r="4279" spans="1:2" x14ac:dyDescent="0.25">
      <c r="A4279" s="3">
        <v>45012</v>
      </c>
      <c r="B4279">
        <v>5820.25</v>
      </c>
    </row>
    <row r="4280" spans="1:2" x14ac:dyDescent="0.25">
      <c r="A4280" s="3">
        <v>45013</v>
      </c>
      <c r="B4280">
        <v>5824.31</v>
      </c>
    </row>
    <row r="4281" spans="1:2" x14ac:dyDescent="0.25">
      <c r="A4281" s="3">
        <v>45014</v>
      </c>
      <c r="B4281">
        <v>5823.97</v>
      </c>
    </row>
    <row r="4282" spans="1:2" x14ac:dyDescent="0.25">
      <c r="A4282" s="3">
        <v>45015</v>
      </c>
      <c r="B4282">
        <v>5830.1</v>
      </c>
    </row>
    <row r="4283" spans="1:2" x14ac:dyDescent="0.25">
      <c r="A4283" s="3">
        <v>45016</v>
      </c>
      <c r="B4283">
        <v>5928.8</v>
      </c>
    </row>
    <row r="4284" spans="1:2" x14ac:dyDescent="0.25">
      <c r="A4284" s="3">
        <v>45019</v>
      </c>
      <c r="B4284">
        <v>5930.9</v>
      </c>
    </row>
    <row r="4285" spans="1:2" x14ac:dyDescent="0.25">
      <c r="A4285" s="3">
        <v>45020</v>
      </c>
      <c r="B4285">
        <v>5937.21</v>
      </c>
    </row>
    <row r="4286" spans="1:2" x14ac:dyDescent="0.25">
      <c r="A4286" s="3">
        <v>45021</v>
      </c>
      <c r="B4286">
        <v>5932.64</v>
      </c>
    </row>
    <row r="4287" spans="1:2" x14ac:dyDescent="0.25">
      <c r="A4287" s="3">
        <v>45022</v>
      </c>
      <c r="B4287">
        <v>5933.29</v>
      </c>
    </row>
    <row r="4288" spans="1:2" x14ac:dyDescent="0.25">
      <c r="A4288" s="3">
        <v>45026</v>
      </c>
      <c r="B4288">
        <v>5926.71</v>
      </c>
    </row>
    <row r="4289" spans="1:2" x14ac:dyDescent="0.25">
      <c r="A4289" s="3">
        <v>45027</v>
      </c>
      <c r="B4289">
        <v>5932.4</v>
      </c>
    </row>
    <row r="4290" spans="1:2" x14ac:dyDescent="0.25">
      <c r="A4290" s="3">
        <v>45028</v>
      </c>
      <c r="B4290">
        <v>5937.37</v>
      </c>
    </row>
    <row r="4291" spans="1:2" x14ac:dyDescent="0.25">
      <c r="A4291" s="3">
        <v>45029</v>
      </c>
      <c r="B4291">
        <v>5942.84</v>
      </c>
    </row>
    <row r="4292" spans="1:2" x14ac:dyDescent="0.25">
      <c r="A4292" s="3">
        <v>45030</v>
      </c>
      <c r="B4292">
        <v>5939.54</v>
      </c>
    </row>
    <row r="4293" spans="1:2" x14ac:dyDescent="0.25">
      <c r="A4293" s="3">
        <v>45033</v>
      </c>
      <c r="B4293">
        <v>5932.51</v>
      </c>
    </row>
    <row r="4294" spans="1:2" x14ac:dyDescent="0.25">
      <c r="A4294" s="3">
        <v>45034</v>
      </c>
      <c r="B4294">
        <v>5936.25</v>
      </c>
    </row>
    <row r="4295" spans="1:2" x14ac:dyDescent="0.25">
      <c r="A4295" s="3">
        <v>45035</v>
      </c>
      <c r="B4295">
        <v>5935.98</v>
      </c>
    </row>
    <row r="4296" spans="1:2" x14ac:dyDescent="0.25">
      <c r="A4296" s="3">
        <v>45036</v>
      </c>
      <c r="B4296">
        <v>5937.56</v>
      </c>
    </row>
    <row r="4297" spans="1:2" x14ac:dyDescent="0.25">
      <c r="A4297" s="3">
        <v>45037</v>
      </c>
      <c r="B4297">
        <v>5936.73</v>
      </c>
    </row>
    <row r="4298" spans="1:2" x14ac:dyDescent="0.25">
      <c r="A4298" s="3">
        <v>45040</v>
      </c>
      <c r="B4298">
        <v>5941.06</v>
      </c>
    </row>
    <row r="4299" spans="1:2" x14ac:dyDescent="0.25">
      <c r="A4299" s="3">
        <v>45041</v>
      </c>
      <c r="B4299">
        <v>5936.89</v>
      </c>
    </row>
    <row r="4300" spans="1:2" x14ac:dyDescent="0.25">
      <c r="A4300" s="3">
        <v>45042</v>
      </c>
      <c r="B4300">
        <v>5941.85</v>
      </c>
    </row>
    <row r="4301" spans="1:2" x14ac:dyDescent="0.25">
      <c r="A4301" s="3">
        <v>45043</v>
      </c>
      <c r="B4301">
        <v>5939.5</v>
      </c>
    </row>
    <row r="4302" spans="1:2" x14ac:dyDescent="0.25">
      <c r="A4302" s="3">
        <v>45044</v>
      </c>
      <c r="B4302">
        <v>5942.03</v>
      </c>
    </row>
    <row r="4303" spans="1:2" x14ac:dyDescent="0.25">
      <c r="A4303" s="3">
        <v>45047</v>
      </c>
      <c r="B4303">
        <v>5938.16</v>
      </c>
    </row>
    <row r="4304" spans="1:2" x14ac:dyDescent="0.25">
      <c r="A4304" s="3">
        <v>45048</v>
      </c>
      <c r="B4304">
        <v>5937.81</v>
      </c>
    </row>
    <row r="4305" spans="1:2" x14ac:dyDescent="0.25">
      <c r="A4305" s="3">
        <v>45049</v>
      </c>
      <c r="B4305">
        <v>5943.52</v>
      </c>
    </row>
    <row r="4306" spans="1:2" x14ac:dyDescent="0.25">
      <c r="A4306" s="3">
        <v>45050</v>
      </c>
      <c r="B4306">
        <v>5939.94</v>
      </c>
    </row>
    <row r="4307" spans="1:2" x14ac:dyDescent="0.25">
      <c r="A4307" s="3">
        <v>45051</v>
      </c>
      <c r="B4307">
        <v>5940.82</v>
      </c>
    </row>
    <row r="4308" spans="1:2" x14ac:dyDescent="0.25">
      <c r="A4308" s="3">
        <v>45054</v>
      </c>
      <c r="B4308">
        <v>5941.57</v>
      </c>
    </row>
    <row r="4309" spans="1:2" x14ac:dyDescent="0.25">
      <c r="A4309" s="3">
        <v>45055</v>
      </c>
      <c r="B4309">
        <v>5937.18</v>
      </c>
    </row>
    <row r="4310" spans="1:2" x14ac:dyDescent="0.25">
      <c r="A4310" s="3">
        <v>45056</v>
      </c>
      <c r="B4310">
        <v>5938.4</v>
      </c>
    </row>
    <row r="4311" spans="1:2" x14ac:dyDescent="0.25">
      <c r="A4311" s="3">
        <v>45057</v>
      </c>
      <c r="B4311">
        <v>5933.9</v>
      </c>
    </row>
    <row r="4312" spans="1:2" x14ac:dyDescent="0.25">
      <c r="A4312" s="3">
        <v>45058</v>
      </c>
      <c r="B4312">
        <v>5929.52</v>
      </c>
    </row>
    <row r="4313" spans="1:2" x14ac:dyDescent="0.25">
      <c r="A4313" s="3">
        <v>45061</v>
      </c>
      <c r="B4313">
        <v>5929.98</v>
      </c>
    </row>
    <row r="4314" spans="1:2" x14ac:dyDescent="0.25">
      <c r="A4314" s="3">
        <v>45062</v>
      </c>
      <c r="B4314">
        <v>5929.92</v>
      </c>
    </row>
    <row r="4315" spans="1:2" x14ac:dyDescent="0.25">
      <c r="A4315" s="3">
        <v>45063</v>
      </c>
      <c r="B4315">
        <v>5926.38</v>
      </c>
    </row>
    <row r="4316" spans="1:2" x14ac:dyDescent="0.25">
      <c r="A4316" s="3">
        <v>45064</v>
      </c>
      <c r="B4316">
        <v>5922.32</v>
      </c>
    </row>
    <row r="4317" spans="1:2" x14ac:dyDescent="0.25">
      <c r="A4317" s="3">
        <v>45065</v>
      </c>
      <c r="B4317">
        <v>5923.82</v>
      </c>
    </row>
    <row r="4318" spans="1:2" x14ac:dyDescent="0.25">
      <c r="A4318" s="3">
        <v>45068</v>
      </c>
      <c r="B4318">
        <v>5924.56</v>
      </c>
    </row>
    <row r="4319" spans="1:2" x14ac:dyDescent="0.25">
      <c r="A4319" s="3">
        <v>45069</v>
      </c>
      <c r="B4319">
        <v>5923.03</v>
      </c>
    </row>
    <row r="4320" spans="1:2" x14ac:dyDescent="0.25">
      <c r="A4320" s="3">
        <v>45070</v>
      </c>
      <c r="B4320">
        <v>5921.36</v>
      </c>
    </row>
    <row r="4321" spans="1:2" x14ac:dyDescent="0.25">
      <c r="A4321" s="3">
        <v>45071</v>
      </c>
      <c r="B4321">
        <v>5918.64</v>
      </c>
    </row>
    <row r="4322" spans="1:2" x14ac:dyDescent="0.25">
      <c r="A4322" s="3">
        <v>45072</v>
      </c>
      <c r="B4322">
        <v>5916.97</v>
      </c>
    </row>
    <row r="4323" spans="1:2" x14ac:dyDescent="0.25">
      <c r="A4323" s="3">
        <v>45076</v>
      </c>
      <c r="B4323">
        <v>5918.88</v>
      </c>
    </row>
    <row r="4324" spans="1:2" x14ac:dyDescent="0.25">
      <c r="A4324" s="3">
        <v>45077</v>
      </c>
      <c r="B4324">
        <v>5913.31</v>
      </c>
    </row>
    <row r="4325" spans="1:2" x14ac:dyDescent="0.25">
      <c r="A4325" s="3">
        <v>45078</v>
      </c>
      <c r="B4325">
        <v>5919.16</v>
      </c>
    </row>
    <row r="4326" spans="1:2" x14ac:dyDescent="0.25">
      <c r="A4326" s="3">
        <v>45079</v>
      </c>
      <c r="B4326">
        <v>5918.76</v>
      </c>
    </row>
    <row r="4327" spans="1:2" x14ac:dyDescent="0.25">
      <c r="A4327" s="3">
        <v>45082</v>
      </c>
      <c r="B4327">
        <v>5917.42</v>
      </c>
    </row>
    <row r="4328" spans="1:2" x14ac:dyDescent="0.25">
      <c r="A4328" s="3">
        <v>45083</v>
      </c>
      <c r="B4328">
        <v>5916</v>
      </c>
    </row>
    <row r="4329" spans="1:2" x14ac:dyDescent="0.25">
      <c r="A4329" s="3">
        <v>45084</v>
      </c>
      <c r="B4329">
        <v>5917.49</v>
      </c>
    </row>
    <row r="4330" spans="1:2" x14ac:dyDescent="0.25">
      <c r="A4330" s="3">
        <v>45085</v>
      </c>
      <c r="B4330">
        <v>5922.46</v>
      </c>
    </row>
    <row r="4331" spans="1:2" x14ac:dyDescent="0.25">
      <c r="A4331" s="3">
        <v>45086</v>
      </c>
      <c r="B4331">
        <v>5921.78</v>
      </c>
    </row>
    <row r="4332" spans="1:2" x14ac:dyDescent="0.25">
      <c r="A4332" s="3">
        <v>45089</v>
      </c>
      <c r="B4332">
        <v>5920.79</v>
      </c>
    </row>
    <row r="4333" spans="1:2" x14ac:dyDescent="0.25">
      <c r="A4333" s="3">
        <v>45090</v>
      </c>
      <c r="B4333">
        <v>5925.31</v>
      </c>
    </row>
    <row r="4334" spans="1:2" x14ac:dyDescent="0.25">
      <c r="A4334" s="3">
        <v>45091</v>
      </c>
      <c r="B4334">
        <v>5929.55</v>
      </c>
    </row>
    <row r="4335" spans="1:2" x14ac:dyDescent="0.25">
      <c r="A4335" s="3">
        <v>45092</v>
      </c>
      <c r="B4335">
        <v>5933.93</v>
      </c>
    </row>
    <row r="4336" spans="1:2" x14ac:dyDescent="0.25">
      <c r="A4336" s="3">
        <v>45093</v>
      </c>
      <c r="B4336">
        <v>5935.23</v>
      </c>
    </row>
    <row r="4337" spans="1:2" x14ac:dyDescent="0.25">
      <c r="A4337" s="3">
        <v>45097</v>
      </c>
      <c r="B4337">
        <v>5932.88</v>
      </c>
    </row>
    <row r="4338" spans="1:2" x14ac:dyDescent="0.25">
      <c r="A4338" s="3">
        <v>45098</v>
      </c>
      <c r="B4338">
        <v>5936.76</v>
      </c>
    </row>
    <row r="4339" spans="1:2" x14ac:dyDescent="0.25">
      <c r="A4339" s="3">
        <v>45099</v>
      </c>
      <c r="B4339">
        <v>5937.1</v>
      </c>
    </row>
    <row r="4340" spans="1:2" x14ac:dyDescent="0.25">
      <c r="A4340" s="3">
        <v>45100</v>
      </c>
      <c r="B4340">
        <v>5931.18</v>
      </c>
    </row>
    <row r="4341" spans="1:2" x14ac:dyDescent="0.25">
      <c r="A4341" s="3">
        <v>45103</v>
      </c>
      <c r="B4341">
        <v>5933.12</v>
      </c>
    </row>
    <row r="4342" spans="1:2" x14ac:dyDescent="0.25">
      <c r="A4342" s="3">
        <v>45104</v>
      </c>
      <c r="B4342">
        <v>5936.22</v>
      </c>
    </row>
    <row r="4343" spans="1:2" x14ac:dyDescent="0.25">
      <c r="A4343" s="3">
        <v>45105</v>
      </c>
      <c r="B4343">
        <v>5931.8</v>
      </c>
    </row>
    <row r="4344" spans="1:2" x14ac:dyDescent="0.25">
      <c r="A4344" s="3">
        <v>45106</v>
      </c>
      <c r="B4344">
        <v>5931.03</v>
      </c>
    </row>
    <row r="4345" spans="1:2" x14ac:dyDescent="0.25">
      <c r="A4345" s="3">
        <v>45107</v>
      </c>
      <c r="B4345">
        <v>6016.1</v>
      </c>
    </row>
    <row r="4346" spans="1:2" x14ac:dyDescent="0.25">
      <c r="A4346" s="3">
        <v>45110</v>
      </c>
      <c r="B4346">
        <v>6015.8</v>
      </c>
    </row>
    <row r="4347" spans="1:2" x14ac:dyDescent="0.25">
      <c r="A4347" s="3">
        <v>45112</v>
      </c>
      <c r="B4347">
        <v>6013.5</v>
      </c>
    </row>
    <row r="4348" spans="1:2" x14ac:dyDescent="0.25">
      <c r="A4348" s="3">
        <v>45113</v>
      </c>
      <c r="B4348">
        <v>6012.74</v>
      </c>
    </row>
    <row r="4349" spans="1:2" x14ac:dyDescent="0.25">
      <c r="A4349" s="3">
        <v>45114</v>
      </c>
      <c r="B4349">
        <v>6019.49</v>
      </c>
    </row>
    <row r="4350" spans="1:2" x14ac:dyDescent="0.25">
      <c r="A4350" s="3">
        <v>45117</v>
      </c>
      <c r="B4350">
        <v>6021.37</v>
      </c>
    </row>
    <row r="4351" spans="1:2" x14ac:dyDescent="0.25">
      <c r="A4351" s="3">
        <v>45118</v>
      </c>
      <c r="B4351">
        <v>6022.8</v>
      </c>
    </row>
    <row r="4352" spans="1:2" x14ac:dyDescent="0.25">
      <c r="A4352" s="3">
        <v>45119</v>
      </c>
      <c r="B4352">
        <v>6033.21</v>
      </c>
    </row>
    <row r="4353" spans="1:2" x14ac:dyDescent="0.25">
      <c r="A4353" s="3">
        <v>45120</v>
      </c>
      <c r="B4353">
        <v>6039.36</v>
      </c>
    </row>
    <row r="4354" spans="1:2" x14ac:dyDescent="0.25">
      <c r="A4354" s="3">
        <v>45121</v>
      </c>
      <c r="B4354">
        <v>6042.71</v>
      </c>
    </row>
    <row r="4355" spans="1:2" x14ac:dyDescent="0.25">
      <c r="A4355" s="3">
        <v>45124</v>
      </c>
      <c r="B4355">
        <v>6041.7</v>
      </c>
    </row>
    <row r="4356" spans="1:2" x14ac:dyDescent="0.25">
      <c r="A4356" s="3">
        <v>45125</v>
      </c>
      <c r="B4356">
        <v>6042.05</v>
      </c>
    </row>
    <row r="4357" spans="1:2" x14ac:dyDescent="0.25">
      <c r="A4357" s="3">
        <v>45126</v>
      </c>
      <c r="B4357">
        <v>6037.72</v>
      </c>
    </row>
    <row r="4358" spans="1:2" x14ac:dyDescent="0.25">
      <c r="A4358" s="3">
        <v>45127</v>
      </c>
      <c r="B4358">
        <v>6034.49</v>
      </c>
    </row>
    <row r="4359" spans="1:2" x14ac:dyDescent="0.25">
      <c r="A4359" s="3">
        <v>45128</v>
      </c>
      <c r="B4359">
        <v>6031.77</v>
      </c>
    </row>
    <row r="4360" spans="1:2" x14ac:dyDescent="0.25">
      <c r="A4360" s="3">
        <v>45131</v>
      </c>
      <c r="B4360">
        <v>6029.32</v>
      </c>
    </row>
    <row r="4361" spans="1:2" x14ac:dyDescent="0.25">
      <c r="A4361" s="3">
        <v>45132</v>
      </c>
      <c r="B4361">
        <v>6027.01</v>
      </c>
    </row>
    <row r="4362" spans="1:2" x14ac:dyDescent="0.25">
      <c r="A4362" s="3">
        <v>45133</v>
      </c>
      <c r="B4362">
        <v>6028.59</v>
      </c>
    </row>
    <row r="4363" spans="1:2" x14ac:dyDescent="0.25">
      <c r="A4363" s="3">
        <v>45134</v>
      </c>
      <c r="B4363">
        <v>6022.96</v>
      </c>
    </row>
    <row r="4364" spans="1:2" x14ac:dyDescent="0.25">
      <c r="A4364" s="3">
        <v>45135</v>
      </c>
      <c r="B4364">
        <v>6026.05</v>
      </c>
    </row>
    <row r="4365" spans="1:2" x14ac:dyDescent="0.25">
      <c r="A4365" s="3">
        <v>45138</v>
      </c>
      <c r="B4365">
        <v>6026</v>
      </c>
    </row>
    <row r="4366" spans="1:2" x14ac:dyDescent="0.25">
      <c r="A4366" s="3">
        <v>45139</v>
      </c>
      <c r="B4366">
        <v>6021.83</v>
      </c>
    </row>
    <row r="4367" spans="1:2" x14ac:dyDescent="0.25">
      <c r="A4367" s="3">
        <v>45140</v>
      </c>
      <c r="B4367">
        <v>6017.43</v>
      </c>
    </row>
    <row r="4368" spans="1:2" x14ac:dyDescent="0.25">
      <c r="A4368" s="3">
        <v>45141</v>
      </c>
      <c r="B4368">
        <v>6017.87</v>
      </c>
    </row>
    <row r="4369" spans="1:2" x14ac:dyDescent="0.25">
      <c r="A4369" s="3">
        <v>45142</v>
      </c>
      <c r="B4369">
        <v>6024.87</v>
      </c>
    </row>
    <row r="4370" spans="1:2" x14ac:dyDescent="0.25">
      <c r="A4370" s="3">
        <v>45145</v>
      </c>
      <c r="B4370">
        <v>6023.44</v>
      </c>
    </row>
    <row r="4371" spans="1:2" x14ac:dyDescent="0.25">
      <c r="A4371" s="3">
        <v>45146</v>
      </c>
      <c r="B4371">
        <v>6018.86</v>
      </c>
    </row>
    <row r="4372" spans="1:2" x14ac:dyDescent="0.25">
      <c r="A4372" s="3">
        <v>45147</v>
      </c>
      <c r="B4372">
        <v>6021.65</v>
      </c>
    </row>
    <row r="4373" spans="1:2" x14ac:dyDescent="0.25">
      <c r="A4373" s="3">
        <v>45148</v>
      </c>
      <c r="B4373">
        <v>6024.29</v>
      </c>
    </row>
    <row r="4374" spans="1:2" x14ac:dyDescent="0.25">
      <c r="A4374" s="3">
        <v>45149</v>
      </c>
      <c r="B4374">
        <v>6020.63</v>
      </c>
    </row>
    <row r="4375" spans="1:2" x14ac:dyDescent="0.25">
      <c r="A4375" s="3">
        <v>45152</v>
      </c>
      <c r="B4375">
        <v>6015.42</v>
      </c>
    </row>
    <row r="4376" spans="1:2" x14ac:dyDescent="0.25">
      <c r="A4376" s="3">
        <v>45153</v>
      </c>
      <c r="B4376">
        <v>6018.32</v>
      </c>
    </row>
    <row r="4377" spans="1:2" x14ac:dyDescent="0.25">
      <c r="A4377" s="3">
        <v>45154</v>
      </c>
      <c r="B4377">
        <v>6015.86</v>
      </c>
    </row>
    <row r="4378" spans="1:2" x14ac:dyDescent="0.25">
      <c r="A4378" s="3">
        <v>45155</v>
      </c>
      <c r="B4378">
        <v>6014.52</v>
      </c>
    </row>
    <row r="4379" spans="1:2" x14ac:dyDescent="0.25">
      <c r="A4379" s="3">
        <v>45156</v>
      </c>
      <c r="B4379">
        <v>6013.18</v>
      </c>
    </row>
    <row r="4380" spans="1:2" x14ac:dyDescent="0.25">
      <c r="A4380" s="3">
        <v>45159</v>
      </c>
      <c r="B4380">
        <v>6014.15</v>
      </c>
    </row>
    <row r="4381" spans="1:2" x14ac:dyDescent="0.25">
      <c r="A4381" s="3">
        <v>45160</v>
      </c>
      <c r="B4381">
        <v>6011.59</v>
      </c>
    </row>
    <row r="4382" spans="1:2" x14ac:dyDescent="0.25">
      <c r="A4382" s="3">
        <v>45161</v>
      </c>
      <c r="B4382">
        <v>6011.21</v>
      </c>
    </row>
    <row r="4383" spans="1:2" x14ac:dyDescent="0.25">
      <c r="A4383" s="3">
        <v>45162</v>
      </c>
      <c r="B4383">
        <v>6010.46</v>
      </c>
    </row>
    <row r="4384" spans="1:2" x14ac:dyDescent="0.25">
      <c r="A4384" s="3">
        <v>45163</v>
      </c>
      <c r="B4384">
        <v>6004.86</v>
      </c>
    </row>
    <row r="4385" spans="1:2" x14ac:dyDescent="0.25">
      <c r="A4385" s="3">
        <v>45166</v>
      </c>
      <c r="B4385">
        <v>6007.62</v>
      </c>
    </row>
    <row r="4386" spans="1:2" x14ac:dyDescent="0.25">
      <c r="A4386" s="3">
        <v>45167</v>
      </c>
      <c r="B4386">
        <v>6009.45</v>
      </c>
    </row>
    <row r="4387" spans="1:2" x14ac:dyDescent="0.25">
      <c r="A4387" s="3">
        <v>45168</v>
      </c>
      <c r="B4387">
        <v>6017.43</v>
      </c>
    </row>
    <row r="4388" spans="1:2" x14ac:dyDescent="0.25">
      <c r="A4388" s="3">
        <v>45169</v>
      </c>
      <c r="B4388">
        <v>6011.51</v>
      </c>
    </row>
    <row r="4389" spans="1:2" x14ac:dyDescent="0.25">
      <c r="A4389" s="3">
        <v>45170</v>
      </c>
      <c r="B4389">
        <v>6007.87</v>
      </c>
    </row>
    <row r="4390" spans="1:2" x14ac:dyDescent="0.25">
      <c r="A4390" s="3">
        <v>45174</v>
      </c>
      <c r="B4390">
        <v>6000.15</v>
      </c>
    </row>
    <row r="4391" spans="1:2" x14ac:dyDescent="0.25">
      <c r="A4391" s="3">
        <v>45175</v>
      </c>
      <c r="B4391">
        <v>5999.83</v>
      </c>
    </row>
    <row r="4392" spans="1:2" x14ac:dyDescent="0.25">
      <c r="A4392" s="3">
        <v>45176</v>
      </c>
      <c r="B4392">
        <v>5999.57</v>
      </c>
    </row>
    <row r="4393" spans="1:2" x14ac:dyDescent="0.25">
      <c r="A4393" s="3">
        <v>45177</v>
      </c>
      <c r="B4393">
        <v>6000.39</v>
      </c>
    </row>
    <row r="4394" spans="1:2" x14ac:dyDescent="0.25">
      <c r="A4394" s="3">
        <v>45180</v>
      </c>
      <c r="B4394">
        <v>6002.97</v>
      </c>
    </row>
    <row r="4395" spans="1:2" x14ac:dyDescent="0.25">
      <c r="A4395" s="3">
        <v>45181</v>
      </c>
      <c r="B4395">
        <v>6000.29</v>
      </c>
    </row>
    <row r="4396" spans="1:2" x14ac:dyDescent="0.25">
      <c r="A4396" s="3">
        <v>45182</v>
      </c>
      <c r="B4396">
        <v>6002.22</v>
      </c>
    </row>
    <row r="4397" spans="1:2" x14ac:dyDescent="0.25">
      <c r="A4397" s="3">
        <v>45183</v>
      </c>
      <c r="B4397">
        <v>5996.71</v>
      </c>
    </row>
    <row r="4398" spans="1:2" x14ac:dyDescent="0.25">
      <c r="A4398" s="3">
        <v>45184</v>
      </c>
      <c r="B4398">
        <v>5996.64</v>
      </c>
    </row>
    <row r="4399" spans="1:2" x14ac:dyDescent="0.25">
      <c r="A4399" s="3">
        <v>45187</v>
      </c>
      <c r="B4399">
        <v>5997.21</v>
      </c>
    </row>
    <row r="4400" spans="1:2" x14ac:dyDescent="0.25">
      <c r="A4400" s="3">
        <v>45188</v>
      </c>
      <c r="B4400">
        <v>5998.5</v>
      </c>
    </row>
    <row r="4401" spans="1:2" x14ac:dyDescent="0.25">
      <c r="A4401" s="3">
        <v>45189</v>
      </c>
      <c r="B4401">
        <v>6000.72</v>
      </c>
    </row>
    <row r="4402" spans="1:2" x14ac:dyDescent="0.25">
      <c r="A4402" s="3">
        <v>45190</v>
      </c>
      <c r="B4402">
        <v>5995.68</v>
      </c>
    </row>
    <row r="4403" spans="1:2" x14ac:dyDescent="0.25">
      <c r="A4403" s="3">
        <v>45191</v>
      </c>
      <c r="B4403">
        <v>5995.58</v>
      </c>
    </row>
    <row r="4404" spans="1:2" x14ac:dyDescent="0.25">
      <c r="A4404" s="3">
        <v>45194</v>
      </c>
      <c r="B4404">
        <v>5989.35</v>
      </c>
    </row>
    <row r="4405" spans="1:2" x14ac:dyDescent="0.25">
      <c r="A4405" s="3">
        <v>45195</v>
      </c>
      <c r="B4405">
        <v>5989.74</v>
      </c>
    </row>
    <row r="4406" spans="1:2" x14ac:dyDescent="0.25">
      <c r="A4406" s="3">
        <v>45196</v>
      </c>
      <c r="B4406">
        <v>5984.25</v>
      </c>
    </row>
    <row r="4407" spans="1:2" x14ac:dyDescent="0.25">
      <c r="A4407" s="3">
        <v>45197</v>
      </c>
      <c r="B4407">
        <v>5988.34</v>
      </c>
    </row>
    <row r="4408" spans="1:2" x14ac:dyDescent="0.25">
      <c r="A4408" s="3">
        <v>45198</v>
      </c>
      <c r="B4408">
        <v>5990.28</v>
      </c>
    </row>
    <row r="4409" spans="1:2" x14ac:dyDescent="0.25">
      <c r="A4409" s="3">
        <v>45201</v>
      </c>
      <c r="B4409">
        <v>6000.36</v>
      </c>
    </row>
    <row r="4410" spans="1:2" x14ac:dyDescent="0.25">
      <c r="A4410" s="3">
        <v>45202</v>
      </c>
      <c r="B4410">
        <v>5998.42</v>
      </c>
    </row>
    <row r="4411" spans="1:2" x14ac:dyDescent="0.25">
      <c r="A4411" s="3">
        <v>45203</v>
      </c>
      <c r="B4411">
        <v>5999.8</v>
      </c>
    </row>
    <row r="4412" spans="1:2" x14ac:dyDescent="0.25">
      <c r="A4412" s="3">
        <v>45204</v>
      </c>
      <c r="B4412">
        <v>6002.9</v>
      </c>
    </row>
    <row r="4413" spans="1:2" x14ac:dyDescent="0.25">
      <c r="A4413" s="3">
        <v>45205</v>
      </c>
      <c r="B4413">
        <v>6003.6</v>
      </c>
    </row>
    <row r="4414" spans="1:2" x14ac:dyDescent="0.25">
      <c r="A4414" s="3">
        <v>45208</v>
      </c>
      <c r="B4414">
        <v>6004.34</v>
      </c>
    </row>
    <row r="4415" spans="1:2" x14ac:dyDescent="0.25">
      <c r="A4415" s="3">
        <v>45209</v>
      </c>
      <c r="B4415">
        <v>6008.45</v>
      </c>
    </row>
    <row r="4416" spans="1:2" x14ac:dyDescent="0.25">
      <c r="A4416" s="3">
        <v>45210</v>
      </c>
      <c r="B4416">
        <v>6010.58</v>
      </c>
    </row>
    <row r="4417" spans="1:2" x14ac:dyDescent="0.25">
      <c r="A4417" s="3">
        <v>45211</v>
      </c>
      <c r="B4417">
        <v>6004.97</v>
      </c>
    </row>
    <row r="4418" spans="1:2" x14ac:dyDescent="0.25">
      <c r="A4418" s="3">
        <v>45212</v>
      </c>
      <c r="B4418">
        <v>6000.72</v>
      </c>
    </row>
    <row r="4419" spans="1:2" x14ac:dyDescent="0.25">
      <c r="A4419" s="3">
        <v>45215</v>
      </c>
      <c r="B4419">
        <v>6004.43</v>
      </c>
    </row>
    <row r="4420" spans="1:2" x14ac:dyDescent="0.25">
      <c r="A4420" s="3">
        <v>45216</v>
      </c>
      <c r="B4420">
        <v>6006.43</v>
      </c>
    </row>
    <row r="4421" spans="1:2" x14ac:dyDescent="0.25">
      <c r="A4421" s="3">
        <v>45217</v>
      </c>
      <c r="B4421">
        <v>6003.4</v>
      </c>
    </row>
    <row r="4422" spans="1:2" x14ac:dyDescent="0.25">
      <c r="A4422" s="3">
        <v>45218</v>
      </c>
      <c r="B4422">
        <v>6005.5</v>
      </c>
    </row>
    <row r="4423" spans="1:2" x14ac:dyDescent="0.25">
      <c r="A4423" s="3">
        <v>45219</v>
      </c>
      <c r="B4423">
        <v>6007.01</v>
      </c>
    </row>
    <row r="4424" spans="1:2" x14ac:dyDescent="0.25">
      <c r="A4424" s="3">
        <v>45222</v>
      </c>
      <c r="B4424">
        <v>6010.24</v>
      </c>
    </row>
    <row r="4425" spans="1:2" x14ac:dyDescent="0.25">
      <c r="A4425" s="3">
        <v>45223</v>
      </c>
      <c r="B4425">
        <v>6007.93</v>
      </c>
    </row>
    <row r="4426" spans="1:2" x14ac:dyDescent="0.25">
      <c r="A4426" s="3">
        <v>45224</v>
      </c>
      <c r="B4426">
        <v>6006.8</v>
      </c>
    </row>
    <row r="4427" spans="1:2" x14ac:dyDescent="0.25">
      <c r="A4427" s="3">
        <v>45225</v>
      </c>
      <c r="B4427">
        <v>6003.49</v>
      </c>
    </row>
    <row r="4428" spans="1:2" x14ac:dyDescent="0.25">
      <c r="A4428" s="3">
        <v>45226</v>
      </c>
      <c r="B4428">
        <v>6006.27</v>
      </c>
    </row>
    <row r="4429" spans="1:2" x14ac:dyDescent="0.25">
      <c r="A4429" s="3">
        <v>45229</v>
      </c>
      <c r="B4429">
        <v>6009.29</v>
      </c>
    </row>
    <row r="4430" spans="1:2" x14ac:dyDescent="0.25">
      <c r="A4430" s="3">
        <v>45230</v>
      </c>
      <c r="B4430">
        <v>6004.7</v>
      </c>
    </row>
    <row r="4431" spans="1:2" x14ac:dyDescent="0.25">
      <c r="A4431" s="3">
        <v>45231</v>
      </c>
      <c r="B4431">
        <v>6002.36</v>
      </c>
    </row>
    <row r="4432" spans="1:2" x14ac:dyDescent="0.25">
      <c r="A4432" s="3">
        <v>45232</v>
      </c>
      <c r="B4432">
        <v>6008.69</v>
      </c>
    </row>
    <row r="4433" spans="1:2" x14ac:dyDescent="0.25">
      <c r="A4433" s="3">
        <v>45233</v>
      </c>
      <c r="B4433">
        <v>6018.26</v>
      </c>
    </row>
    <row r="4434" spans="1:2" x14ac:dyDescent="0.25">
      <c r="A4434" s="3">
        <v>45236</v>
      </c>
      <c r="B4434">
        <v>6019.13</v>
      </c>
    </row>
    <row r="4435" spans="1:2" x14ac:dyDescent="0.25">
      <c r="A4435" s="3">
        <v>45237</v>
      </c>
      <c r="B4435">
        <v>6014.16</v>
      </c>
    </row>
    <row r="4436" spans="1:2" x14ac:dyDescent="0.25">
      <c r="A4436" s="3">
        <v>45238</v>
      </c>
      <c r="B4436">
        <v>6015.64</v>
      </c>
    </row>
    <row r="4437" spans="1:2" x14ac:dyDescent="0.25">
      <c r="A4437" s="3">
        <v>45239</v>
      </c>
      <c r="B4437">
        <v>6016.35</v>
      </c>
    </row>
    <row r="4438" spans="1:2" x14ac:dyDescent="0.25">
      <c r="A4438" s="3">
        <v>45240</v>
      </c>
      <c r="B4438">
        <v>6012.43</v>
      </c>
    </row>
    <row r="4439" spans="1:2" x14ac:dyDescent="0.25">
      <c r="A4439" s="3">
        <v>45243</v>
      </c>
      <c r="B4439">
        <v>6014.24</v>
      </c>
    </row>
    <row r="4440" spans="1:2" x14ac:dyDescent="0.25">
      <c r="A4440" s="3">
        <v>45244</v>
      </c>
      <c r="B4440">
        <v>6026.16</v>
      </c>
    </row>
    <row r="4441" spans="1:2" x14ac:dyDescent="0.25">
      <c r="A4441" s="3">
        <v>45245</v>
      </c>
      <c r="B4441">
        <v>6028.34</v>
      </c>
    </row>
    <row r="4442" spans="1:2" x14ac:dyDescent="0.25">
      <c r="A4442" s="3">
        <v>45246</v>
      </c>
      <c r="B4442">
        <v>6029.05</v>
      </c>
    </row>
    <row r="4443" spans="1:2" x14ac:dyDescent="0.25">
      <c r="A4443" s="3">
        <v>45247</v>
      </c>
      <c r="B4443">
        <v>6029.83</v>
      </c>
    </row>
    <row r="4444" spans="1:2" x14ac:dyDescent="0.25">
      <c r="A4444" s="3">
        <v>45250</v>
      </c>
      <c r="B4444">
        <v>6034.04</v>
      </c>
    </row>
    <row r="4445" spans="1:2" x14ac:dyDescent="0.25">
      <c r="A4445" s="3">
        <v>45251</v>
      </c>
      <c r="B4445">
        <v>6033.94</v>
      </c>
    </row>
    <row r="4446" spans="1:2" x14ac:dyDescent="0.25">
      <c r="A4446" s="3">
        <v>45252</v>
      </c>
      <c r="B4446">
        <v>6028.49</v>
      </c>
    </row>
    <row r="4447" spans="1:2" x14ac:dyDescent="0.25">
      <c r="A4447" s="3">
        <v>45254</v>
      </c>
      <c r="B4447">
        <v>6034.7</v>
      </c>
    </row>
    <row r="4448" spans="1:2" x14ac:dyDescent="0.25">
      <c r="A4448" s="3">
        <v>45257</v>
      </c>
      <c r="B4448">
        <v>6034.19</v>
      </c>
    </row>
    <row r="4449" spans="1:2" x14ac:dyDescent="0.25">
      <c r="A4449" s="3">
        <v>45258</v>
      </c>
      <c r="B4449">
        <v>6038.19</v>
      </c>
    </row>
    <row r="4450" spans="1:2" x14ac:dyDescent="0.25">
      <c r="A4450" s="3">
        <v>45259</v>
      </c>
      <c r="B4450">
        <v>6037.78</v>
      </c>
    </row>
    <row r="4451" spans="1:2" x14ac:dyDescent="0.25">
      <c r="A4451" s="3">
        <v>45260</v>
      </c>
      <c r="B4451">
        <v>6033.77</v>
      </c>
    </row>
    <row r="4452" spans="1:2" x14ac:dyDescent="0.25">
      <c r="A4452" s="3">
        <v>45261</v>
      </c>
      <c r="B4452">
        <v>6028.22</v>
      </c>
    </row>
    <row r="4453" spans="1:2" x14ac:dyDescent="0.25">
      <c r="A4453" s="3">
        <v>45264</v>
      </c>
      <c r="B4453">
        <v>6026.62</v>
      </c>
    </row>
    <row r="4454" spans="1:2" x14ac:dyDescent="0.25">
      <c r="A4454" s="3">
        <v>45265</v>
      </c>
      <c r="B4454">
        <v>6025.75</v>
      </c>
    </row>
    <row r="4455" spans="1:2" x14ac:dyDescent="0.25">
      <c r="A4455" s="3">
        <v>45266</v>
      </c>
      <c r="B4455">
        <v>6024.68</v>
      </c>
    </row>
    <row r="4456" spans="1:2" x14ac:dyDescent="0.25">
      <c r="A4456" s="3">
        <v>45267</v>
      </c>
      <c r="B4456">
        <v>6024.23</v>
      </c>
    </row>
    <row r="4457" spans="1:2" x14ac:dyDescent="0.25">
      <c r="A4457" s="3">
        <v>45268</v>
      </c>
      <c r="B4457">
        <v>6022.89</v>
      </c>
    </row>
    <row r="4458" spans="1:2" x14ac:dyDescent="0.25">
      <c r="A4458" s="3">
        <v>45271</v>
      </c>
      <c r="B4458">
        <v>6021.06</v>
      </c>
    </row>
    <row r="4459" spans="1:2" x14ac:dyDescent="0.25">
      <c r="A4459" s="3">
        <v>45272</v>
      </c>
      <c r="B4459">
        <v>6023.81</v>
      </c>
    </row>
    <row r="4460" spans="1:2" x14ac:dyDescent="0.25">
      <c r="A4460" s="3">
        <v>45273</v>
      </c>
      <c r="B4460">
        <v>6024.69</v>
      </c>
    </row>
    <row r="4461" spans="1:2" x14ac:dyDescent="0.25">
      <c r="A4461" s="3">
        <v>45274</v>
      </c>
      <c r="B4461">
        <v>6040.76</v>
      </c>
    </row>
    <row r="4462" spans="1:2" x14ac:dyDescent="0.25">
      <c r="A4462" s="3">
        <v>45275</v>
      </c>
      <c r="B4462">
        <v>6034.8</v>
      </c>
    </row>
    <row r="4463" spans="1:2" x14ac:dyDescent="0.25">
      <c r="A4463" s="3">
        <v>45278</v>
      </c>
      <c r="B4463">
        <v>6034.44</v>
      </c>
    </row>
    <row r="4464" spans="1:2" x14ac:dyDescent="0.25">
      <c r="A4464" s="3">
        <v>45279</v>
      </c>
      <c r="B4464">
        <v>6040.25</v>
      </c>
    </row>
    <row r="4465" spans="1:2" x14ac:dyDescent="0.25">
      <c r="A4465" s="3">
        <v>45280</v>
      </c>
      <c r="B4465">
        <v>6039.04</v>
      </c>
    </row>
    <row r="4466" spans="1:2" x14ac:dyDescent="0.25">
      <c r="A4466" s="3">
        <v>45281</v>
      </c>
      <c r="B4466">
        <v>6040.27</v>
      </c>
    </row>
    <row r="4467" spans="1:2" x14ac:dyDescent="0.25">
      <c r="A4467" s="3">
        <v>45282</v>
      </c>
      <c r="B4467">
        <v>6042.27</v>
      </c>
    </row>
    <row r="4468" spans="1:2" x14ac:dyDescent="0.25">
      <c r="A4468" s="3">
        <v>45286</v>
      </c>
      <c r="B4468">
        <v>6043.26</v>
      </c>
    </row>
    <row r="4469" spans="1:2" x14ac:dyDescent="0.25">
      <c r="A4469" s="3">
        <v>45287</v>
      </c>
      <c r="B4469">
        <v>6049.49</v>
      </c>
    </row>
    <row r="4470" spans="1:2" x14ac:dyDescent="0.25">
      <c r="A4470" s="3">
        <v>45288</v>
      </c>
      <c r="B4470">
        <v>6049.51</v>
      </c>
    </row>
    <row r="4471" spans="1:2" x14ac:dyDescent="0.25">
      <c r="A4471" s="3">
        <v>45289</v>
      </c>
      <c r="B4471">
        <v>6044.97</v>
      </c>
    </row>
    <row r="4472" spans="1:2" x14ac:dyDescent="0.25">
      <c r="A4472" s="3">
        <v>45293</v>
      </c>
      <c r="B4472">
        <v>6150.43</v>
      </c>
    </row>
    <row r="4473" spans="1:2" x14ac:dyDescent="0.25">
      <c r="A4473" s="3">
        <v>45294</v>
      </c>
      <c r="B4473">
        <v>6147.36</v>
      </c>
    </row>
    <row r="4474" spans="1:2" x14ac:dyDescent="0.25">
      <c r="A4474" s="3">
        <v>45295</v>
      </c>
      <c r="B4474">
        <v>6151.41</v>
      </c>
    </row>
    <row r="4475" spans="1:2" x14ac:dyDescent="0.25">
      <c r="A4475" s="3">
        <v>45296</v>
      </c>
      <c r="B4475">
        <v>6153.45</v>
      </c>
    </row>
    <row r="4476" spans="1:2" x14ac:dyDescent="0.25">
      <c r="A4476" s="3">
        <v>45299</v>
      </c>
      <c r="B4476">
        <v>6152.83</v>
      </c>
    </row>
    <row r="4477" spans="1:2" x14ac:dyDescent="0.25">
      <c r="A4477" s="3">
        <v>45300</v>
      </c>
      <c r="B4477">
        <v>6148.52</v>
      </c>
    </row>
    <row r="4478" spans="1:2" x14ac:dyDescent="0.25">
      <c r="A4478" s="3">
        <v>45301</v>
      </c>
      <c r="B4478">
        <v>6152.39</v>
      </c>
    </row>
    <row r="4479" spans="1:2" x14ac:dyDescent="0.25">
      <c r="A4479" s="3">
        <v>45302</v>
      </c>
      <c r="B4479">
        <v>6150.57</v>
      </c>
    </row>
    <row r="4480" spans="1:2" x14ac:dyDescent="0.25">
      <c r="A4480" s="3">
        <v>45303</v>
      </c>
      <c r="B4480">
        <v>6152.36</v>
      </c>
    </row>
    <row r="4481" spans="1:2" x14ac:dyDescent="0.25">
      <c r="A4481" s="3">
        <v>45307</v>
      </c>
      <c r="B4481">
        <v>6144.83</v>
      </c>
    </row>
    <row r="4482" spans="1:2" x14ac:dyDescent="0.25">
      <c r="A4482" s="3">
        <v>45308</v>
      </c>
      <c r="B4482">
        <v>6142.57</v>
      </c>
    </row>
    <row r="4483" spans="1:2" x14ac:dyDescent="0.25">
      <c r="A4483" s="3">
        <v>45309</v>
      </c>
      <c r="B4483">
        <v>6142.85</v>
      </c>
    </row>
    <row r="4484" spans="1:2" x14ac:dyDescent="0.25">
      <c r="A4484" s="3">
        <v>45310</v>
      </c>
      <c r="B4484">
        <v>6145.34</v>
      </c>
    </row>
    <row r="4485" spans="1:2" x14ac:dyDescent="0.25">
      <c r="A4485" s="3">
        <v>45313</v>
      </c>
      <c r="B4485">
        <v>6145.72</v>
      </c>
    </row>
    <row r="4486" spans="1:2" x14ac:dyDescent="0.25">
      <c r="A4486" s="3">
        <v>45314</v>
      </c>
      <c r="B4486">
        <v>6141.42</v>
      </c>
    </row>
    <row r="4487" spans="1:2" x14ac:dyDescent="0.25">
      <c r="A4487" s="3">
        <v>45315</v>
      </c>
      <c r="B4487">
        <v>6147.13</v>
      </c>
    </row>
    <row r="4488" spans="1:2" x14ac:dyDescent="0.25">
      <c r="A4488" s="3">
        <v>45316</v>
      </c>
      <c r="B4488">
        <v>6141.5</v>
      </c>
    </row>
    <row r="4489" spans="1:2" x14ac:dyDescent="0.25">
      <c r="A4489" s="3">
        <v>45317</v>
      </c>
      <c r="B4489">
        <v>6144.03</v>
      </c>
    </row>
    <row r="4490" spans="1:2" x14ac:dyDescent="0.25">
      <c r="A4490" s="3">
        <v>45320</v>
      </c>
      <c r="B4490">
        <v>6139.04</v>
      </c>
    </row>
    <row r="4491" spans="1:2" x14ac:dyDescent="0.25">
      <c r="A4491" s="3">
        <v>45321</v>
      </c>
      <c r="B4491">
        <v>6141.83</v>
      </c>
    </row>
    <row r="4492" spans="1:2" x14ac:dyDescent="0.25">
      <c r="A4492" s="3">
        <v>45322</v>
      </c>
      <c r="B4492">
        <v>6144.15</v>
      </c>
    </row>
    <row r="4493" spans="1:2" x14ac:dyDescent="0.25">
      <c r="A4493" s="3">
        <v>45323</v>
      </c>
      <c r="B4493">
        <v>6141.2</v>
      </c>
    </row>
    <row r="4494" spans="1:2" x14ac:dyDescent="0.25">
      <c r="A4494" s="3">
        <v>45324</v>
      </c>
      <c r="B4494">
        <v>6138.92</v>
      </c>
    </row>
    <row r="4495" spans="1:2" x14ac:dyDescent="0.25">
      <c r="A4495" s="3">
        <v>45327</v>
      </c>
      <c r="B4495">
        <v>6132.39</v>
      </c>
    </row>
    <row r="4496" spans="1:2" x14ac:dyDescent="0.25">
      <c r="A4496" s="3">
        <v>45328</v>
      </c>
      <c r="B4496">
        <v>6134.17</v>
      </c>
    </row>
    <row r="4497" spans="1:2" x14ac:dyDescent="0.25">
      <c r="A4497" s="3">
        <v>45329</v>
      </c>
      <c r="B4497">
        <v>6135.51</v>
      </c>
    </row>
    <row r="4498" spans="1:2" x14ac:dyDescent="0.25">
      <c r="A4498" s="3">
        <v>45330</v>
      </c>
      <c r="B4498">
        <v>6135.59</v>
      </c>
    </row>
    <row r="4499" spans="1:2" x14ac:dyDescent="0.25">
      <c r="A4499" s="3">
        <v>45331</v>
      </c>
      <c r="B4499">
        <v>6137.65</v>
      </c>
    </row>
    <row r="4500" spans="1:2" x14ac:dyDescent="0.25">
      <c r="A4500" s="3">
        <v>45334</v>
      </c>
      <c r="B4500">
        <v>6136.19</v>
      </c>
    </row>
    <row r="4501" spans="1:2" x14ac:dyDescent="0.25">
      <c r="A4501" s="3">
        <v>45335</v>
      </c>
      <c r="B4501">
        <v>6132.08</v>
      </c>
    </row>
    <row r="4502" spans="1:2" x14ac:dyDescent="0.25">
      <c r="A4502" s="3">
        <v>45336</v>
      </c>
      <c r="B4502">
        <v>6132.21</v>
      </c>
    </row>
    <row r="4503" spans="1:2" x14ac:dyDescent="0.25">
      <c r="A4503" s="3">
        <v>45337</v>
      </c>
      <c r="B4503">
        <v>6135.58</v>
      </c>
    </row>
    <row r="4504" spans="1:2" x14ac:dyDescent="0.25">
      <c r="A4504" s="3">
        <v>45338</v>
      </c>
      <c r="B4504">
        <v>6136.31</v>
      </c>
    </row>
    <row r="4505" spans="1:2" x14ac:dyDescent="0.25">
      <c r="A4505" s="3">
        <v>45342</v>
      </c>
      <c r="B4505">
        <v>6140.67</v>
      </c>
    </row>
    <row r="4506" spans="1:2" x14ac:dyDescent="0.25">
      <c r="A4506" s="3">
        <v>45343</v>
      </c>
      <c r="B4506">
        <v>6139.04</v>
      </c>
    </row>
    <row r="4507" spans="1:2" x14ac:dyDescent="0.25">
      <c r="A4507" s="3">
        <v>45344</v>
      </c>
      <c r="B4507">
        <v>6139.47</v>
      </c>
    </row>
    <row r="4508" spans="1:2" x14ac:dyDescent="0.25">
      <c r="A4508" s="3">
        <v>45345</v>
      </c>
      <c r="B4508">
        <v>6140.57</v>
      </c>
    </row>
    <row r="4509" spans="1:2" x14ac:dyDescent="0.25">
      <c r="A4509" s="3">
        <v>45348</v>
      </c>
      <c r="B4509">
        <v>6142.79</v>
      </c>
    </row>
    <row r="4510" spans="1:2" x14ac:dyDescent="0.25">
      <c r="A4510" s="3">
        <v>45349</v>
      </c>
      <c r="B4510">
        <v>6142.55</v>
      </c>
    </row>
    <row r="4511" spans="1:2" x14ac:dyDescent="0.25">
      <c r="A4511" s="3">
        <v>45350</v>
      </c>
      <c r="B4511">
        <v>6141.23</v>
      </c>
    </row>
    <row r="4512" spans="1:2" x14ac:dyDescent="0.25">
      <c r="A4512" s="3">
        <v>45351</v>
      </c>
      <c r="B4512">
        <v>6140.38</v>
      </c>
    </row>
    <row r="4513" spans="1:2" x14ac:dyDescent="0.25">
      <c r="A4513" s="3">
        <v>45352</v>
      </c>
      <c r="B4513">
        <v>6141.51</v>
      </c>
    </row>
    <row r="4514" spans="1:2" x14ac:dyDescent="0.25">
      <c r="A4514" s="3">
        <v>45355</v>
      </c>
      <c r="B4514">
        <v>6143.73</v>
      </c>
    </row>
    <row r="4515" spans="1:2" x14ac:dyDescent="0.25">
      <c r="A4515" s="3">
        <v>45356</v>
      </c>
      <c r="B4515">
        <v>6144.48</v>
      </c>
    </row>
    <row r="4516" spans="1:2" x14ac:dyDescent="0.25">
      <c r="A4516" s="3">
        <v>45357</v>
      </c>
      <c r="B4516">
        <v>6147.41</v>
      </c>
    </row>
    <row r="4517" spans="1:2" x14ac:dyDescent="0.25">
      <c r="A4517" s="3">
        <v>45358</v>
      </c>
      <c r="B4517">
        <v>6149.43</v>
      </c>
    </row>
    <row r="4518" spans="1:2" x14ac:dyDescent="0.25">
      <c r="A4518" s="3">
        <v>45359</v>
      </c>
      <c r="B4518">
        <v>6152.22</v>
      </c>
    </row>
    <row r="4519" spans="1:2" x14ac:dyDescent="0.25">
      <c r="A4519" s="3">
        <v>45362</v>
      </c>
      <c r="B4519">
        <v>6149.36</v>
      </c>
    </row>
    <row r="4520" spans="1:2" x14ac:dyDescent="0.25">
      <c r="A4520" s="3">
        <v>45363</v>
      </c>
      <c r="B4520">
        <v>6148.51</v>
      </c>
    </row>
    <row r="4521" spans="1:2" x14ac:dyDescent="0.25">
      <c r="A4521" s="3">
        <v>45364</v>
      </c>
      <c r="B4521">
        <v>6150.54</v>
      </c>
    </row>
    <row r="4522" spans="1:2" x14ac:dyDescent="0.25">
      <c r="A4522" s="3">
        <v>45365</v>
      </c>
      <c r="B4522">
        <v>6146.01</v>
      </c>
    </row>
    <row r="4523" spans="1:2" x14ac:dyDescent="0.25">
      <c r="A4523" s="3">
        <v>45366</v>
      </c>
      <c r="B4523">
        <v>6145.89</v>
      </c>
    </row>
    <row r="4524" spans="1:2" x14ac:dyDescent="0.25">
      <c r="A4524" s="3">
        <v>45369</v>
      </c>
      <c r="B4524">
        <v>6145.62</v>
      </c>
    </row>
    <row r="4525" spans="1:2" x14ac:dyDescent="0.25">
      <c r="A4525" s="3">
        <v>45370</v>
      </c>
      <c r="B4525">
        <v>6143.41</v>
      </c>
    </row>
    <row r="4526" spans="1:2" x14ac:dyDescent="0.25">
      <c r="A4526" s="3">
        <v>45371</v>
      </c>
      <c r="B4526">
        <v>6143</v>
      </c>
    </row>
    <row r="4527" spans="1:2" x14ac:dyDescent="0.25">
      <c r="A4527" s="3">
        <v>45372</v>
      </c>
      <c r="B4527">
        <v>6143.47</v>
      </c>
    </row>
    <row r="4528" spans="1:2" x14ac:dyDescent="0.25">
      <c r="A4528" s="3">
        <v>45373</v>
      </c>
      <c r="B4528">
        <v>6139.64</v>
      </c>
    </row>
    <row r="4529" spans="1:2" x14ac:dyDescent="0.25">
      <c r="A4529" s="3">
        <v>45376</v>
      </c>
      <c r="B4529">
        <v>6141.47</v>
      </c>
    </row>
    <row r="4530" spans="1:2" x14ac:dyDescent="0.25">
      <c r="A4530" s="3">
        <v>45377</v>
      </c>
      <c r="B4530">
        <v>6140.72</v>
      </c>
    </row>
    <row r="4531" spans="1:2" x14ac:dyDescent="0.25">
      <c r="A4531" s="3">
        <v>45378</v>
      </c>
      <c r="B4531">
        <v>6140.08</v>
      </c>
    </row>
    <row r="4532" spans="1:2" x14ac:dyDescent="0.25">
      <c r="A4532" s="3">
        <v>45379</v>
      </c>
      <c r="B4532">
        <v>6138.54</v>
      </c>
    </row>
    <row r="4533" spans="1:2" x14ac:dyDescent="0.25">
      <c r="A4533" s="3">
        <v>45383</v>
      </c>
      <c r="B4533">
        <v>6229.2</v>
      </c>
    </row>
    <row r="4534" spans="1:2" x14ac:dyDescent="0.25">
      <c r="A4534" s="3">
        <v>45384</v>
      </c>
      <c r="B4534">
        <v>6230.95</v>
      </c>
    </row>
    <row r="4535" spans="1:2" x14ac:dyDescent="0.25">
      <c r="A4535" s="3">
        <v>45385</v>
      </c>
      <c r="B4535">
        <v>6235.58</v>
      </c>
    </row>
    <row r="4536" spans="1:2" x14ac:dyDescent="0.25">
      <c r="A4536" s="3">
        <v>45386</v>
      </c>
      <c r="B4536">
        <v>6239.49</v>
      </c>
    </row>
    <row r="4537" spans="1:2" x14ac:dyDescent="0.25">
      <c r="A4537" s="3">
        <v>45387</v>
      </c>
      <c r="B4537">
        <v>6235.26</v>
      </c>
    </row>
    <row r="4538" spans="1:2" x14ac:dyDescent="0.25">
      <c r="A4538" s="3">
        <v>45390</v>
      </c>
      <c r="B4538">
        <v>6238.17</v>
      </c>
    </row>
    <row r="4539" spans="1:2" x14ac:dyDescent="0.25">
      <c r="A4539" s="3">
        <v>45391</v>
      </c>
      <c r="B4539">
        <v>6238.69</v>
      </c>
    </row>
    <row r="4540" spans="1:2" x14ac:dyDescent="0.25">
      <c r="A4540" s="3">
        <v>45392</v>
      </c>
      <c r="B4540">
        <v>6229.96</v>
      </c>
    </row>
    <row r="4541" spans="1:2" x14ac:dyDescent="0.25">
      <c r="A4541" s="3">
        <v>45393</v>
      </c>
      <c r="B4541">
        <v>6226.04</v>
      </c>
    </row>
    <row r="4542" spans="1:2" x14ac:dyDescent="0.25">
      <c r="A4542" s="3">
        <v>45394</v>
      </c>
      <c r="B4542">
        <v>6219.8</v>
      </c>
    </row>
    <row r="4543" spans="1:2" x14ac:dyDescent="0.25">
      <c r="A4543" s="3">
        <v>45397</v>
      </c>
      <c r="B4543">
        <v>6219.54</v>
      </c>
    </row>
    <row r="4544" spans="1:2" x14ac:dyDescent="0.25">
      <c r="A4544" s="3">
        <v>45398</v>
      </c>
      <c r="B4544">
        <v>6219.66</v>
      </c>
    </row>
    <row r="4545" spans="1:2" x14ac:dyDescent="0.25">
      <c r="A4545" s="3">
        <v>45399</v>
      </c>
      <c r="B4545">
        <v>6220.11</v>
      </c>
    </row>
    <row r="4546" spans="1:2" x14ac:dyDescent="0.25">
      <c r="A4546" s="3">
        <v>45400</v>
      </c>
      <c r="B4546">
        <v>6221.6</v>
      </c>
    </row>
    <row r="4547" spans="1:2" x14ac:dyDescent="0.25">
      <c r="A4547" s="3">
        <v>45401</v>
      </c>
      <c r="B4547">
        <v>6222.65</v>
      </c>
    </row>
    <row r="4548" spans="1:2" x14ac:dyDescent="0.25">
      <c r="A4548" s="3">
        <v>45404</v>
      </c>
      <c r="B4548">
        <v>6220.35</v>
      </c>
    </row>
    <row r="4549" spans="1:2" x14ac:dyDescent="0.25">
      <c r="A4549" s="3">
        <v>45405</v>
      </c>
      <c r="B4549">
        <v>6224.97</v>
      </c>
    </row>
    <row r="4550" spans="1:2" x14ac:dyDescent="0.25">
      <c r="A4550" s="3">
        <v>45406</v>
      </c>
      <c r="B4550">
        <v>6224.24</v>
      </c>
    </row>
    <row r="4551" spans="1:2" x14ac:dyDescent="0.25">
      <c r="A4551" s="3">
        <v>45407</v>
      </c>
      <c r="B4551">
        <v>6226.34</v>
      </c>
    </row>
    <row r="4552" spans="1:2" x14ac:dyDescent="0.25">
      <c r="A4552" s="3">
        <v>45408</v>
      </c>
      <c r="B4552">
        <v>6223.74</v>
      </c>
    </row>
    <row r="4553" spans="1:2" x14ac:dyDescent="0.25">
      <c r="A4553" s="3">
        <v>45411</v>
      </c>
      <c r="B4553">
        <v>6226.73</v>
      </c>
    </row>
    <row r="4554" spans="1:2" x14ac:dyDescent="0.25">
      <c r="A4554" s="3">
        <v>45412</v>
      </c>
      <c r="B4554">
        <v>6224.57</v>
      </c>
    </row>
    <row r="4555" spans="1:2" x14ac:dyDescent="0.25">
      <c r="A4555" s="3">
        <v>45413</v>
      </c>
      <c r="B4555">
        <v>6223.74</v>
      </c>
    </row>
    <row r="4556" spans="1:2" x14ac:dyDescent="0.25">
      <c r="A4556" s="3">
        <v>45414</v>
      </c>
      <c r="B4556">
        <v>6224.34</v>
      </c>
    </row>
    <row r="4557" spans="1:2" x14ac:dyDescent="0.25">
      <c r="A4557" s="3">
        <v>45415</v>
      </c>
      <c r="B4557">
        <v>6230.87</v>
      </c>
    </row>
    <row r="4558" spans="1:2" x14ac:dyDescent="0.25">
      <c r="A4558" s="3">
        <v>45418</v>
      </c>
      <c r="B4558">
        <v>6232.03</v>
      </c>
    </row>
    <row r="4559" spans="1:2" x14ac:dyDescent="0.25">
      <c r="A4559" s="3">
        <v>45419</v>
      </c>
      <c r="B4559">
        <v>6231.68</v>
      </c>
    </row>
    <row r="4560" spans="1:2" x14ac:dyDescent="0.25">
      <c r="A4560" s="3">
        <v>45420</v>
      </c>
      <c r="B4560">
        <v>6229.08</v>
      </c>
    </row>
    <row r="4561" spans="1:2" x14ac:dyDescent="0.25">
      <c r="A4561" s="3">
        <v>45421</v>
      </c>
      <c r="B4561">
        <v>6231.32</v>
      </c>
    </row>
    <row r="4562" spans="1:2" x14ac:dyDescent="0.25">
      <c r="A4562" s="3">
        <v>45422</v>
      </c>
      <c r="B4562">
        <v>6230.34</v>
      </c>
    </row>
    <row r="4563" spans="1:2" x14ac:dyDescent="0.25">
      <c r="A4563" s="3">
        <v>45425</v>
      </c>
      <c r="B4563">
        <v>6233.63</v>
      </c>
    </row>
    <row r="4564" spans="1:2" x14ac:dyDescent="0.25">
      <c r="A4564" s="3">
        <v>45426</v>
      </c>
      <c r="B4564">
        <v>6235.39</v>
      </c>
    </row>
    <row r="4565" spans="1:2" x14ac:dyDescent="0.25">
      <c r="A4565" s="3">
        <v>45427</v>
      </c>
      <c r="B4565">
        <v>6238.21</v>
      </c>
    </row>
    <row r="4566" spans="1:2" x14ac:dyDescent="0.25">
      <c r="A4566" s="3">
        <v>45428</v>
      </c>
      <c r="B4566">
        <v>6239.36</v>
      </c>
    </row>
    <row r="4567" spans="1:2" x14ac:dyDescent="0.25">
      <c r="A4567" s="3">
        <v>45429</v>
      </c>
      <c r="B4567">
        <v>6239.97</v>
      </c>
    </row>
    <row r="4568" spans="1:2" x14ac:dyDescent="0.25">
      <c r="A4568" s="3">
        <v>45432</v>
      </c>
      <c r="B4568">
        <v>6239.14</v>
      </c>
    </row>
    <row r="4569" spans="1:2" x14ac:dyDescent="0.25">
      <c r="A4569" s="3">
        <v>45433</v>
      </c>
      <c r="B4569">
        <v>6238.79</v>
      </c>
    </row>
    <row r="4570" spans="1:2" x14ac:dyDescent="0.25">
      <c r="A4570" s="3">
        <v>45434</v>
      </c>
      <c r="B4570">
        <v>6236.71</v>
      </c>
    </row>
    <row r="4571" spans="1:2" x14ac:dyDescent="0.25">
      <c r="A4571" s="3">
        <v>45435</v>
      </c>
      <c r="B4571">
        <v>6236.03</v>
      </c>
    </row>
    <row r="4572" spans="1:2" x14ac:dyDescent="0.25">
      <c r="A4572" s="3">
        <v>45436</v>
      </c>
      <c r="B4572">
        <v>6237.67</v>
      </c>
    </row>
    <row r="4573" spans="1:2" x14ac:dyDescent="0.25">
      <c r="A4573" s="3">
        <v>45440</v>
      </c>
      <c r="B4573">
        <v>6240.15</v>
      </c>
    </row>
    <row r="4574" spans="1:2" x14ac:dyDescent="0.25">
      <c r="A4574" s="3">
        <v>45441</v>
      </c>
      <c r="B4574">
        <v>6235.09</v>
      </c>
    </row>
    <row r="4575" spans="1:2" x14ac:dyDescent="0.25">
      <c r="A4575" s="3">
        <v>45442</v>
      </c>
      <c r="B4575">
        <v>6237.36</v>
      </c>
    </row>
    <row r="4576" spans="1:2" x14ac:dyDescent="0.25">
      <c r="A4576" s="3">
        <v>45443</v>
      </c>
      <c r="B4576">
        <v>6238.75</v>
      </c>
    </row>
    <row r="4577" spans="1:2" x14ac:dyDescent="0.25">
      <c r="A4577" s="3">
        <v>45446</v>
      </c>
      <c r="B4577">
        <v>6240.12</v>
      </c>
    </row>
    <row r="4578" spans="1:2" x14ac:dyDescent="0.25">
      <c r="A4578" s="3">
        <v>45447</v>
      </c>
      <c r="B4578">
        <v>6240.83</v>
      </c>
    </row>
    <row r="4579" spans="1:2" x14ac:dyDescent="0.25">
      <c r="A4579" s="3">
        <v>45448</v>
      </c>
      <c r="B4579">
        <v>6239.63</v>
      </c>
    </row>
    <row r="4580" spans="1:2" x14ac:dyDescent="0.25">
      <c r="A4580" s="3">
        <v>45449</v>
      </c>
      <c r="B4580">
        <v>6240.66</v>
      </c>
    </row>
    <row r="4581" spans="1:2" x14ac:dyDescent="0.25">
      <c r="A4581" s="3">
        <v>45450</v>
      </c>
      <c r="B4581">
        <v>6235.17</v>
      </c>
    </row>
    <row r="4582" spans="1:2" x14ac:dyDescent="0.25">
      <c r="A4582" s="3">
        <v>45453</v>
      </c>
      <c r="B4582">
        <v>6229.27</v>
      </c>
    </row>
    <row r="4583" spans="1:2" x14ac:dyDescent="0.25">
      <c r="A4583" s="3">
        <v>45454</v>
      </c>
      <c r="B4583">
        <v>6228.36</v>
      </c>
    </row>
    <row r="4584" spans="1:2" x14ac:dyDescent="0.25">
      <c r="A4584" s="3">
        <v>45455</v>
      </c>
      <c r="B4584">
        <v>6238.77</v>
      </c>
    </row>
    <row r="4585" spans="1:2" x14ac:dyDescent="0.25">
      <c r="A4585" s="3">
        <v>45456</v>
      </c>
      <c r="B4585">
        <v>6232.43</v>
      </c>
    </row>
    <row r="4586" spans="1:2" x14ac:dyDescent="0.25">
      <c r="A4586" s="3">
        <v>45457</v>
      </c>
      <c r="B4586">
        <v>6225.5</v>
      </c>
    </row>
    <row r="4587" spans="1:2" x14ac:dyDescent="0.25">
      <c r="A4587" s="3">
        <v>45460</v>
      </c>
      <c r="B4587">
        <v>6227.71</v>
      </c>
    </row>
    <row r="4588" spans="1:2" x14ac:dyDescent="0.25">
      <c r="A4588" s="3">
        <v>45461</v>
      </c>
      <c r="B4588">
        <v>6229.64</v>
      </c>
    </row>
    <row r="4589" spans="1:2" x14ac:dyDescent="0.25">
      <c r="A4589" s="3">
        <v>45463</v>
      </c>
      <c r="B4589">
        <v>6228.39</v>
      </c>
    </row>
    <row r="4590" spans="1:2" x14ac:dyDescent="0.25">
      <c r="A4590" s="3">
        <v>45464</v>
      </c>
      <c r="B4590">
        <v>6224.98</v>
      </c>
    </row>
    <row r="4591" spans="1:2" x14ac:dyDescent="0.25">
      <c r="A4591" s="3">
        <v>45467</v>
      </c>
      <c r="B4591">
        <v>6228.97</v>
      </c>
    </row>
    <row r="4592" spans="1:2" x14ac:dyDescent="0.25">
      <c r="A4592" s="3">
        <v>45468</v>
      </c>
      <c r="B4592">
        <v>6226.63</v>
      </c>
    </row>
    <row r="4593" spans="1:2" x14ac:dyDescent="0.25">
      <c r="A4593" s="3">
        <v>45469</v>
      </c>
      <c r="B4593">
        <v>6224.93</v>
      </c>
    </row>
    <row r="4594" spans="1:2" x14ac:dyDescent="0.25">
      <c r="A4594" s="3">
        <v>45470</v>
      </c>
      <c r="B4594">
        <v>6227.36</v>
      </c>
    </row>
    <row r="4595" spans="1:2" x14ac:dyDescent="0.25">
      <c r="A4595" s="3">
        <v>45471</v>
      </c>
      <c r="B4595">
        <v>6227.79</v>
      </c>
    </row>
    <row r="4596" spans="1:2" x14ac:dyDescent="0.25">
      <c r="A4596" s="3">
        <v>45474</v>
      </c>
      <c r="B4596">
        <v>6302.73</v>
      </c>
    </row>
    <row r="4597" spans="1:2" x14ac:dyDescent="0.25">
      <c r="A4597" s="3">
        <v>45475</v>
      </c>
      <c r="B4597">
        <v>6303.97</v>
      </c>
    </row>
    <row r="4598" spans="1:2" x14ac:dyDescent="0.25">
      <c r="A4598" s="3">
        <v>45476</v>
      </c>
      <c r="B4598">
        <v>6309.31</v>
      </c>
    </row>
    <row r="4599" spans="1:2" x14ac:dyDescent="0.25">
      <c r="A4599" s="3">
        <v>45478</v>
      </c>
      <c r="B4599">
        <v>6311.01</v>
      </c>
    </row>
    <row r="4600" spans="1:2" x14ac:dyDescent="0.25">
      <c r="A4600" s="3">
        <v>45481</v>
      </c>
      <c r="B4600">
        <v>6311.98</v>
      </c>
    </row>
    <row r="4601" spans="1:2" x14ac:dyDescent="0.25">
      <c r="A4601" s="3">
        <v>45482</v>
      </c>
      <c r="B4601">
        <v>6310.35</v>
      </c>
    </row>
    <row r="4602" spans="1:2" x14ac:dyDescent="0.25">
      <c r="A4602" s="3">
        <v>45483</v>
      </c>
      <c r="B4602">
        <v>6311.13</v>
      </c>
    </row>
    <row r="4603" spans="1:2" x14ac:dyDescent="0.25">
      <c r="A4603" s="3">
        <v>45484</v>
      </c>
      <c r="B4603">
        <v>6315.98</v>
      </c>
    </row>
    <row r="4604" spans="1:2" x14ac:dyDescent="0.25">
      <c r="A4604" s="3">
        <v>45485</v>
      </c>
      <c r="B4604">
        <v>6318.62</v>
      </c>
    </row>
    <row r="4605" spans="1:2" x14ac:dyDescent="0.25">
      <c r="A4605" s="3">
        <v>45488</v>
      </c>
      <c r="B4605">
        <v>6319.09</v>
      </c>
    </row>
    <row r="4606" spans="1:2" x14ac:dyDescent="0.25">
      <c r="A4606" s="3">
        <v>45489</v>
      </c>
      <c r="B4606">
        <v>6315.81</v>
      </c>
    </row>
    <row r="4607" spans="1:2" x14ac:dyDescent="0.25">
      <c r="A4607" s="3">
        <v>45490</v>
      </c>
      <c r="B4607">
        <v>6320.23</v>
      </c>
    </row>
    <row r="4608" spans="1:2" x14ac:dyDescent="0.25">
      <c r="A4608" s="3">
        <v>45491</v>
      </c>
      <c r="B4608">
        <v>6318.82</v>
      </c>
    </row>
    <row r="4609" spans="1:2" x14ac:dyDescent="0.25">
      <c r="A4609" s="3">
        <v>45492</v>
      </c>
      <c r="B4609">
        <v>6316.45</v>
      </c>
    </row>
    <row r="4610" spans="1:2" x14ac:dyDescent="0.25">
      <c r="A4610" s="3">
        <v>45495</v>
      </c>
      <c r="B4610">
        <v>6315.87</v>
      </c>
    </row>
    <row r="4611" spans="1:2" x14ac:dyDescent="0.25">
      <c r="A4611" s="3">
        <v>45496</v>
      </c>
      <c r="B4611">
        <v>6312.73</v>
      </c>
    </row>
    <row r="4612" spans="1:2" x14ac:dyDescent="0.25">
      <c r="A4612" s="3">
        <v>45497</v>
      </c>
      <c r="B4612">
        <v>6313.46</v>
      </c>
    </row>
    <row r="4613" spans="1:2" x14ac:dyDescent="0.25">
      <c r="A4613" s="3">
        <v>45498</v>
      </c>
      <c r="B4613">
        <v>6313.22</v>
      </c>
    </row>
    <row r="4614" spans="1:2" x14ac:dyDescent="0.25">
      <c r="A4614" s="3">
        <v>45499</v>
      </c>
      <c r="B4614">
        <v>6313.16</v>
      </c>
    </row>
    <row r="4615" spans="1:2" x14ac:dyDescent="0.25">
      <c r="A4615" s="3">
        <v>45502</v>
      </c>
      <c r="B4615">
        <v>6309.96</v>
      </c>
    </row>
    <row r="4616" spans="1:2" x14ac:dyDescent="0.25">
      <c r="A4616" s="3">
        <v>45503</v>
      </c>
      <c r="B4616">
        <v>6309.06</v>
      </c>
    </row>
    <row r="4617" spans="1:2" x14ac:dyDescent="0.25">
      <c r="A4617" s="3">
        <v>45504</v>
      </c>
      <c r="B4617">
        <v>6311.17</v>
      </c>
    </row>
    <row r="4618" spans="1:2" x14ac:dyDescent="0.25">
      <c r="A4618" s="3">
        <v>45505</v>
      </c>
      <c r="B4618">
        <v>6308.76</v>
      </c>
    </row>
    <row r="4619" spans="1:2" x14ac:dyDescent="0.25">
      <c r="A4619" s="3">
        <v>45506</v>
      </c>
      <c r="B4619">
        <v>6318.98</v>
      </c>
    </row>
    <row r="4620" spans="1:2" x14ac:dyDescent="0.25">
      <c r="A4620" s="3">
        <v>45509</v>
      </c>
      <c r="B4620">
        <v>6323.2</v>
      </c>
    </row>
    <row r="4621" spans="1:2" x14ac:dyDescent="0.25">
      <c r="A4621" s="3">
        <v>45510</v>
      </c>
      <c r="B4621">
        <v>6319.52</v>
      </c>
    </row>
    <row r="4622" spans="1:2" x14ac:dyDescent="0.25">
      <c r="A4622" s="3">
        <v>45511</v>
      </c>
      <c r="B4622">
        <v>6319.59</v>
      </c>
    </row>
    <row r="4623" spans="1:2" x14ac:dyDescent="0.25">
      <c r="A4623" s="3">
        <v>45512</v>
      </c>
      <c r="B4623">
        <v>6317.63</v>
      </c>
    </row>
    <row r="4624" spans="1:2" x14ac:dyDescent="0.25">
      <c r="A4624" s="3">
        <v>45513</v>
      </c>
      <c r="B4624">
        <v>6319.1</v>
      </c>
    </row>
    <row r="4625" spans="1:2" x14ac:dyDescent="0.25">
      <c r="A4625" s="3">
        <v>45516</v>
      </c>
      <c r="B4625">
        <v>6319.86</v>
      </c>
    </row>
    <row r="4626" spans="1:2" x14ac:dyDescent="0.25">
      <c r="A4626" s="3">
        <v>45517</v>
      </c>
      <c r="B4626">
        <v>6321.96</v>
      </c>
    </row>
    <row r="4627" spans="1:2" x14ac:dyDescent="0.25">
      <c r="A4627" s="3">
        <v>45518</v>
      </c>
      <c r="B4627">
        <v>6328.28</v>
      </c>
    </row>
    <row r="4628" spans="1:2" x14ac:dyDescent="0.25">
      <c r="A4628" s="3">
        <v>45519</v>
      </c>
      <c r="B4628">
        <v>6324.25</v>
      </c>
    </row>
    <row r="4629" spans="1:2" x14ac:dyDescent="0.25">
      <c r="A4629" s="3">
        <v>45520</v>
      </c>
      <c r="B4629">
        <v>6325</v>
      </c>
    </row>
    <row r="4630" spans="1:2" x14ac:dyDescent="0.25">
      <c r="A4630" s="3">
        <v>45523</v>
      </c>
      <c r="B4630">
        <v>6331.47</v>
      </c>
    </row>
    <row r="4631" spans="1:2" x14ac:dyDescent="0.25">
      <c r="A4631" s="3">
        <v>45524</v>
      </c>
      <c r="B4631">
        <v>6335.39</v>
      </c>
    </row>
    <row r="4632" spans="1:2" x14ac:dyDescent="0.25">
      <c r="A4632" s="3">
        <v>45525</v>
      </c>
      <c r="B4632">
        <v>6336.68</v>
      </c>
    </row>
    <row r="4633" spans="1:2" x14ac:dyDescent="0.25">
      <c r="A4633" s="3">
        <v>45526</v>
      </c>
      <c r="B4633">
        <v>6335.91</v>
      </c>
    </row>
    <row r="4634" spans="1:2" x14ac:dyDescent="0.25">
      <c r="A4634" s="3">
        <v>45527</v>
      </c>
      <c r="B4634">
        <v>6341.38</v>
      </c>
    </row>
    <row r="4635" spans="1:2" x14ac:dyDescent="0.25">
      <c r="A4635" s="3">
        <v>45530</v>
      </c>
      <c r="B4635">
        <v>6341.31</v>
      </c>
    </row>
    <row r="4636" spans="1:2" x14ac:dyDescent="0.25">
      <c r="A4636" s="3">
        <v>45531</v>
      </c>
      <c r="B4636">
        <v>6340.71</v>
      </c>
    </row>
    <row r="4637" spans="1:2" x14ac:dyDescent="0.25">
      <c r="A4637" s="3">
        <v>45532</v>
      </c>
      <c r="B4637">
        <v>6337.83</v>
      </c>
    </row>
    <row r="4638" spans="1:2" x14ac:dyDescent="0.25">
      <c r="A4638" s="3">
        <v>45533</v>
      </c>
      <c r="B4638">
        <v>6332.94</v>
      </c>
    </row>
    <row r="4639" spans="1:2" x14ac:dyDescent="0.25">
      <c r="A4639" s="3">
        <v>45534</v>
      </c>
      <c r="B4639">
        <v>6332.76</v>
      </c>
    </row>
    <row r="4640" spans="1:2" x14ac:dyDescent="0.25">
      <c r="A4640" s="3">
        <v>45538</v>
      </c>
      <c r="B4640">
        <v>6330.57</v>
      </c>
    </row>
    <row r="4641" spans="1:2" x14ac:dyDescent="0.25">
      <c r="A4641" s="3">
        <v>45539</v>
      </c>
      <c r="B4641">
        <v>6334.73</v>
      </c>
    </row>
    <row r="4642" spans="1:2" x14ac:dyDescent="0.25">
      <c r="A4642" s="3">
        <v>45540</v>
      </c>
      <c r="B4642">
        <v>6333.74</v>
      </c>
    </row>
    <row r="4643" spans="1:2" x14ac:dyDescent="0.25">
      <c r="A4643" s="3">
        <v>45541</v>
      </c>
      <c r="B4643">
        <v>6337.08</v>
      </c>
    </row>
    <row r="4644" spans="1:2" x14ac:dyDescent="0.25">
      <c r="A4644" s="3">
        <v>45544</v>
      </c>
      <c r="B4644">
        <v>6330.42</v>
      </c>
    </row>
    <row r="4645" spans="1:2" x14ac:dyDescent="0.25">
      <c r="A4645" s="3">
        <v>45545</v>
      </c>
      <c r="B4645">
        <v>6328.36</v>
      </c>
    </row>
    <row r="4646" spans="1:2" x14ac:dyDescent="0.25">
      <c r="A4646" s="3">
        <v>45546</v>
      </c>
      <c r="B4646">
        <v>6327.57</v>
      </c>
    </row>
    <row r="4647" spans="1:2" x14ac:dyDescent="0.25">
      <c r="A4647" s="3">
        <v>45547</v>
      </c>
      <c r="B4647">
        <v>6330.33</v>
      </c>
    </row>
    <row r="4648" spans="1:2" x14ac:dyDescent="0.25">
      <c r="A4648" s="3">
        <v>45548</v>
      </c>
      <c r="B4648">
        <v>6334.59</v>
      </c>
    </row>
    <row r="4649" spans="1:2" x14ac:dyDescent="0.25">
      <c r="A4649" s="3">
        <v>45551</v>
      </c>
      <c r="B4649">
        <v>6337.53</v>
      </c>
    </row>
    <row r="4650" spans="1:2" x14ac:dyDescent="0.25">
      <c r="A4650" s="3">
        <v>45552</v>
      </c>
      <c r="B4650">
        <v>6337.58</v>
      </c>
    </row>
    <row r="4651" spans="1:2" x14ac:dyDescent="0.25">
      <c r="A4651" s="3">
        <v>45553</v>
      </c>
      <c r="B4651">
        <v>6337.17</v>
      </c>
    </row>
    <row r="4652" spans="1:2" x14ac:dyDescent="0.25">
      <c r="A4652" s="3">
        <v>45554</v>
      </c>
      <c r="B4652">
        <v>6338.28</v>
      </c>
    </row>
    <row r="4653" spans="1:2" x14ac:dyDescent="0.25">
      <c r="A4653" s="3">
        <v>45555</v>
      </c>
      <c r="B4653">
        <v>6339.39</v>
      </c>
    </row>
    <row r="4654" spans="1:2" x14ac:dyDescent="0.25">
      <c r="A4654" s="3">
        <v>45558</v>
      </c>
      <c r="B4654">
        <v>6339.05</v>
      </c>
    </row>
    <row r="4655" spans="1:2" x14ac:dyDescent="0.25">
      <c r="A4655" s="3">
        <v>45559</v>
      </c>
      <c r="B4655">
        <v>6340.75</v>
      </c>
    </row>
    <row r="4656" spans="1:2" x14ac:dyDescent="0.25">
      <c r="A4656" s="3">
        <v>45560</v>
      </c>
      <c r="B4656">
        <v>6342.29</v>
      </c>
    </row>
    <row r="4657" spans="1:2" x14ac:dyDescent="0.25">
      <c r="A4657" s="3">
        <v>45561</v>
      </c>
      <c r="B4657">
        <v>6342.03</v>
      </c>
    </row>
    <row r="4658" spans="1:2" x14ac:dyDescent="0.25">
      <c r="A4658" s="3">
        <v>45562</v>
      </c>
      <c r="B4658">
        <v>6343.22</v>
      </c>
    </row>
    <row r="4659" spans="1:2" x14ac:dyDescent="0.25">
      <c r="A4659" s="3">
        <v>45565</v>
      </c>
      <c r="B4659">
        <v>6467.65</v>
      </c>
    </row>
    <row r="4660" spans="1:2" x14ac:dyDescent="0.25">
      <c r="A4660" s="3">
        <v>45566</v>
      </c>
      <c r="B4660">
        <v>6460.46</v>
      </c>
    </row>
    <row r="4661" spans="1:2" x14ac:dyDescent="0.25">
      <c r="A4661" s="3">
        <v>45567</v>
      </c>
      <c r="B4661">
        <v>6457.08</v>
      </c>
    </row>
    <row r="4662" spans="1:2" x14ac:dyDescent="0.25">
      <c r="A4662" s="3">
        <v>45568</v>
      </c>
      <c r="B4662">
        <v>6454.95</v>
      </c>
    </row>
    <row r="4663" spans="1:2" x14ac:dyDescent="0.25">
      <c r="A4663" s="3">
        <v>45569</v>
      </c>
      <c r="B4663">
        <v>6451.04</v>
      </c>
    </row>
    <row r="4664" spans="1:2" x14ac:dyDescent="0.25">
      <c r="A4664" s="3">
        <v>45572</v>
      </c>
      <c r="B4664">
        <v>6451.25</v>
      </c>
    </row>
    <row r="4665" spans="1:2" x14ac:dyDescent="0.25">
      <c r="A4665" s="3">
        <v>45573</v>
      </c>
      <c r="B4665">
        <v>6450.8</v>
      </c>
    </row>
    <row r="4666" spans="1:2" x14ac:dyDescent="0.25">
      <c r="A4666" s="3">
        <v>45574</v>
      </c>
      <c r="B4666">
        <v>6448.9</v>
      </c>
    </row>
    <row r="4667" spans="1:2" x14ac:dyDescent="0.25">
      <c r="A4667" s="3">
        <v>45575</v>
      </c>
      <c r="B4667">
        <v>6446.88</v>
      </c>
    </row>
    <row r="4668" spans="1:2" x14ac:dyDescent="0.25">
      <c r="A4668" s="3">
        <v>45576</v>
      </c>
      <c r="B4668">
        <v>6448.66</v>
      </c>
    </row>
    <row r="4669" spans="1:2" x14ac:dyDescent="0.25">
      <c r="A4669" s="3">
        <v>45579</v>
      </c>
      <c r="B4669">
        <v>6446.25</v>
      </c>
    </row>
    <row r="4670" spans="1:2" x14ac:dyDescent="0.25">
      <c r="A4670" s="3">
        <v>45580</v>
      </c>
      <c r="B4670">
        <v>6445.49</v>
      </c>
    </row>
    <row r="4671" spans="1:2" x14ac:dyDescent="0.25">
      <c r="A4671" s="3">
        <v>45581</v>
      </c>
      <c r="B4671">
        <v>6443.14</v>
      </c>
    </row>
    <row r="4672" spans="1:2" x14ac:dyDescent="0.25">
      <c r="A4672" s="3">
        <v>45582</v>
      </c>
      <c r="B4672">
        <v>6439.18</v>
      </c>
    </row>
    <row r="4673" spans="1:2" x14ac:dyDescent="0.25">
      <c r="A4673" s="3">
        <v>45583</v>
      </c>
      <c r="B4673">
        <v>6441.64</v>
      </c>
    </row>
    <row r="4674" spans="1:2" x14ac:dyDescent="0.25">
      <c r="A4674" s="3">
        <v>45586</v>
      </c>
      <c r="B4674">
        <v>6439.63</v>
      </c>
    </row>
    <row r="4675" spans="1:2" x14ac:dyDescent="0.25">
      <c r="A4675" s="3">
        <v>45587</v>
      </c>
      <c r="B4675">
        <v>6437.62</v>
      </c>
    </row>
    <row r="4676" spans="1:2" x14ac:dyDescent="0.25">
      <c r="A4676" s="3">
        <v>45588</v>
      </c>
      <c r="B4676">
        <v>6434.58</v>
      </c>
    </row>
    <row r="4677" spans="1:2" x14ac:dyDescent="0.25">
      <c r="A4677" s="3">
        <v>45589</v>
      </c>
      <c r="B4677">
        <v>6436.39</v>
      </c>
    </row>
    <row r="4678" spans="1:2" x14ac:dyDescent="0.25">
      <c r="A4678" s="3">
        <v>45590</v>
      </c>
      <c r="B4678">
        <v>6439.17</v>
      </c>
    </row>
    <row r="4679" spans="1:2" x14ac:dyDescent="0.25">
      <c r="A4679" s="3">
        <v>45593</v>
      </c>
      <c r="B4679">
        <v>6437.9</v>
      </c>
    </row>
    <row r="4680" spans="1:2" x14ac:dyDescent="0.25">
      <c r="A4680" s="3">
        <v>45594</v>
      </c>
      <c r="B4680">
        <v>6436.36</v>
      </c>
    </row>
    <row r="4681" spans="1:2" x14ac:dyDescent="0.25">
      <c r="A4681" s="3">
        <v>45595</v>
      </c>
      <c r="B4681">
        <v>6441.48</v>
      </c>
    </row>
    <row r="4682" spans="1:2" x14ac:dyDescent="0.25">
      <c r="A4682" s="3">
        <v>45596</v>
      </c>
      <c r="B4682">
        <v>6439.95</v>
      </c>
    </row>
    <row r="4683" spans="1:2" x14ac:dyDescent="0.25">
      <c r="A4683" s="3">
        <v>45597</v>
      </c>
      <c r="B4683">
        <v>6439.86</v>
      </c>
    </row>
    <row r="4684" spans="1:2" x14ac:dyDescent="0.25">
      <c r="A4684" s="3">
        <v>45600</v>
      </c>
      <c r="B4684">
        <v>6443.91</v>
      </c>
    </row>
    <row r="4685" spans="1:2" x14ac:dyDescent="0.25">
      <c r="A4685" s="3">
        <v>45601</v>
      </c>
      <c r="B4685">
        <v>6444.34</v>
      </c>
    </row>
    <row r="4686" spans="1:2" x14ac:dyDescent="0.25">
      <c r="A4686" s="3">
        <v>45602</v>
      </c>
      <c r="B4686">
        <v>6430.96</v>
      </c>
    </row>
    <row r="4687" spans="1:2" x14ac:dyDescent="0.25">
      <c r="A4687" s="3">
        <v>45603</v>
      </c>
      <c r="B4687">
        <v>6437.49</v>
      </c>
    </row>
    <row r="4688" spans="1:2" x14ac:dyDescent="0.25">
      <c r="A4688" s="3">
        <v>45604</v>
      </c>
      <c r="B4688">
        <v>6432.11</v>
      </c>
    </row>
    <row r="4689" spans="1:2" x14ac:dyDescent="0.25">
      <c r="A4689" s="3">
        <v>45607</v>
      </c>
      <c r="B4689">
        <v>6423.88</v>
      </c>
    </row>
    <row r="4690" spans="1:2" x14ac:dyDescent="0.25">
      <c r="A4690" s="3">
        <v>45608</v>
      </c>
      <c r="B4690">
        <v>6420.36</v>
      </c>
    </row>
    <row r="4691" spans="1:2" x14ac:dyDescent="0.25">
      <c r="A4691" s="3">
        <v>45609</v>
      </c>
      <c r="B4691">
        <v>6418.5</v>
      </c>
    </row>
    <row r="4692" spans="1:2" x14ac:dyDescent="0.25">
      <c r="A4692" s="3">
        <v>45610</v>
      </c>
      <c r="B4692">
        <v>6417.31</v>
      </c>
    </row>
    <row r="4693" spans="1:2" x14ac:dyDescent="0.25">
      <c r="A4693" s="3">
        <v>45611</v>
      </c>
      <c r="B4693">
        <v>6413.74</v>
      </c>
    </row>
    <row r="4694" spans="1:2" x14ac:dyDescent="0.25">
      <c r="A4694" s="3">
        <v>45614</v>
      </c>
      <c r="B4694">
        <v>6416.85</v>
      </c>
    </row>
    <row r="4695" spans="1:2" x14ac:dyDescent="0.25">
      <c r="A4695" s="3">
        <v>45615</v>
      </c>
      <c r="B4695">
        <v>6418.11</v>
      </c>
    </row>
    <row r="4696" spans="1:2" x14ac:dyDescent="0.25">
      <c r="A4696" s="3">
        <v>45616</v>
      </c>
      <c r="B4696">
        <v>6412.8</v>
      </c>
    </row>
    <row r="4697" spans="1:2" x14ac:dyDescent="0.25">
      <c r="A4697" s="3">
        <v>45617</v>
      </c>
      <c r="B4697">
        <v>6412.05</v>
      </c>
    </row>
    <row r="4698" spans="1:2" x14ac:dyDescent="0.25">
      <c r="A4698" s="3">
        <v>45618</v>
      </c>
      <c r="B4698">
        <v>6403.78</v>
      </c>
    </row>
    <row r="4699" spans="1:2" x14ac:dyDescent="0.25">
      <c r="A4699" s="3">
        <v>45621</v>
      </c>
      <c r="B4699">
        <v>6409.99</v>
      </c>
    </row>
    <row r="4700" spans="1:2" x14ac:dyDescent="0.25">
      <c r="A4700" s="3">
        <v>45622</v>
      </c>
      <c r="B4700">
        <v>6409.44</v>
      </c>
    </row>
    <row r="4701" spans="1:2" x14ac:dyDescent="0.25">
      <c r="A4701" s="3">
        <v>45623</v>
      </c>
      <c r="B4701">
        <v>6416.99</v>
      </c>
    </row>
    <row r="4702" spans="1:2" x14ac:dyDescent="0.25">
      <c r="A4702" s="3">
        <v>45625</v>
      </c>
      <c r="B4702">
        <v>6416.5</v>
      </c>
    </row>
    <row r="4703" spans="1:2" x14ac:dyDescent="0.25">
      <c r="A4703" s="3">
        <v>45628</v>
      </c>
      <c r="B4703">
        <v>6408.3</v>
      </c>
    </row>
    <row r="4704" spans="1:2" x14ac:dyDescent="0.25">
      <c r="A4704" s="3">
        <v>45629</v>
      </c>
      <c r="B4704">
        <v>6412.25</v>
      </c>
    </row>
    <row r="4705" spans="1:2" x14ac:dyDescent="0.25">
      <c r="A4705" s="3">
        <v>45630</v>
      </c>
      <c r="B4705">
        <v>6413.24</v>
      </c>
    </row>
    <row r="4706" spans="1:2" x14ac:dyDescent="0.25">
      <c r="A4706" s="3">
        <v>45631</v>
      </c>
      <c r="B4706">
        <v>6416.87</v>
      </c>
    </row>
    <row r="4707" spans="1:2" x14ac:dyDescent="0.25">
      <c r="A4707" s="3">
        <v>45632</v>
      </c>
      <c r="B4707">
        <v>6415.87</v>
      </c>
    </row>
    <row r="4708" spans="1:2" x14ac:dyDescent="0.25">
      <c r="A4708" s="3">
        <v>45635</v>
      </c>
      <c r="B4708">
        <v>6418.5</v>
      </c>
    </row>
    <row r="4709" spans="1:2" x14ac:dyDescent="0.25">
      <c r="A4709" s="3">
        <v>45636</v>
      </c>
      <c r="B4709">
        <v>6411.16</v>
      </c>
    </row>
    <row r="4710" spans="1:2" x14ac:dyDescent="0.25">
      <c r="A4710" s="3">
        <v>45637</v>
      </c>
      <c r="B4710">
        <v>6410</v>
      </c>
    </row>
    <row r="4711" spans="1:2" x14ac:dyDescent="0.25">
      <c r="A4711" s="3">
        <v>45638</v>
      </c>
      <c r="B4711">
        <v>6408.61</v>
      </c>
    </row>
    <row r="4712" spans="1:2" x14ac:dyDescent="0.25">
      <c r="A4712" s="3">
        <v>45639</v>
      </c>
      <c r="B4712">
        <v>6409.35</v>
      </c>
    </row>
    <row r="4713" spans="1:2" x14ac:dyDescent="0.25">
      <c r="A4713" s="3">
        <v>45642</v>
      </c>
      <c r="B4713">
        <v>6411.1</v>
      </c>
    </row>
    <row r="4714" spans="1:2" x14ac:dyDescent="0.25">
      <c r="A4714" s="3">
        <v>45643</v>
      </c>
      <c r="B4714">
        <v>6410.46</v>
      </c>
    </row>
    <row r="4715" spans="1:2" x14ac:dyDescent="0.25">
      <c r="A4715" s="3">
        <v>45644</v>
      </c>
      <c r="B4715">
        <v>6408.17</v>
      </c>
    </row>
    <row r="4716" spans="1:2" x14ac:dyDescent="0.25">
      <c r="A4716" s="3">
        <v>45645</v>
      </c>
      <c r="B4716">
        <v>6400.13</v>
      </c>
    </row>
    <row r="4717" spans="1:2" x14ac:dyDescent="0.25">
      <c r="A4717" s="3">
        <v>45646</v>
      </c>
      <c r="B4717">
        <v>6401.62</v>
      </c>
    </row>
    <row r="4718" spans="1:2" x14ac:dyDescent="0.25">
      <c r="A4718" s="3">
        <v>45649</v>
      </c>
      <c r="B4718">
        <v>6400.87</v>
      </c>
    </row>
    <row r="4719" spans="1:2" x14ac:dyDescent="0.25">
      <c r="A4719" s="3">
        <v>45650</v>
      </c>
      <c r="B4719">
        <v>6401.06</v>
      </c>
    </row>
    <row r="4720" spans="1:2" x14ac:dyDescent="0.25">
      <c r="A4720" s="3">
        <v>45652</v>
      </c>
      <c r="B4720">
        <v>6402.24</v>
      </c>
    </row>
    <row r="4721" spans="1:2" x14ac:dyDescent="0.25">
      <c r="A4721" s="3">
        <v>45653</v>
      </c>
      <c r="B4721">
        <v>6403.5</v>
      </c>
    </row>
    <row r="4722" spans="1:2" x14ac:dyDescent="0.25">
      <c r="A4722" s="3">
        <v>45656</v>
      </c>
      <c r="B4722">
        <v>6399.99</v>
      </c>
    </row>
    <row r="4723" spans="1:2" x14ac:dyDescent="0.25">
      <c r="A4723" s="3">
        <v>45657</v>
      </c>
      <c r="B4723">
        <v>6496.01</v>
      </c>
    </row>
    <row r="4724" spans="1:2" x14ac:dyDescent="0.25">
      <c r="A4724" s="3">
        <v>45659</v>
      </c>
      <c r="B4724">
        <v>6488.92</v>
      </c>
    </row>
    <row r="4725" spans="1:2" x14ac:dyDescent="0.25">
      <c r="A4725" s="3">
        <v>45660</v>
      </c>
      <c r="B4725">
        <v>6490.15</v>
      </c>
    </row>
    <row r="4726" spans="1:2" x14ac:dyDescent="0.25">
      <c r="A4726" s="3">
        <v>45663</v>
      </c>
      <c r="B4726">
        <v>6499.27</v>
      </c>
    </row>
    <row r="4727" spans="1:2" x14ac:dyDescent="0.25">
      <c r="A4727" s="3">
        <v>45664</v>
      </c>
      <c r="B4727">
        <v>6497.47</v>
      </c>
    </row>
    <row r="4728" spans="1:2" x14ac:dyDescent="0.25">
      <c r="A4728" s="3">
        <v>45665</v>
      </c>
      <c r="B4728">
        <v>6490.82</v>
      </c>
    </row>
    <row r="4729" spans="1:2" x14ac:dyDescent="0.25">
      <c r="A4729" s="3">
        <v>45667</v>
      </c>
      <c r="B4729">
        <v>6486.06</v>
      </c>
    </row>
    <row r="4730" spans="1:2" x14ac:dyDescent="0.25">
      <c r="A4730" s="3">
        <v>45670</v>
      </c>
      <c r="B4730">
        <v>6481.45</v>
      </c>
    </row>
    <row r="4731" spans="1:2" x14ac:dyDescent="0.25">
      <c r="A4731" s="3">
        <v>45671</v>
      </c>
      <c r="B4731">
        <v>6489.74</v>
      </c>
    </row>
    <row r="4732" spans="1:2" x14ac:dyDescent="0.25">
      <c r="A4732" s="3">
        <v>45672</v>
      </c>
      <c r="B4732">
        <v>6491.02</v>
      </c>
    </row>
    <row r="4733" spans="1:2" x14ac:dyDescent="0.25">
      <c r="A4733" s="3">
        <v>45673</v>
      </c>
      <c r="B4733">
        <v>6490.5</v>
      </c>
    </row>
    <row r="4734" spans="1:2" x14ac:dyDescent="0.25">
      <c r="A4734" s="3">
        <v>45674</v>
      </c>
      <c r="B4734">
        <v>6490.37</v>
      </c>
    </row>
    <row r="4735" spans="1:2" x14ac:dyDescent="0.25">
      <c r="A4735" s="3">
        <v>45678</v>
      </c>
      <c r="B4735">
        <v>6499.04</v>
      </c>
    </row>
    <row r="4736" spans="1:2" x14ac:dyDescent="0.25">
      <c r="A4736" s="3">
        <v>45679</v>
      </c>
      <c r="B4736">
        <v>6500.66</v>
      </c>
    </row>
    <row r="4737" spans="1:2" x14ac:dyDescent="0.25">
      <c r="A4737" s="3">
        <v>45680</v>
      </c>
      <c r="B4737">
        <v>6498.91</v>
      </c>
    </row>
    <row r="4738" spans="1:2" x14ac:dyDescent="0.25">
      <c r="A4738" s="3">
        <v>45681</v>
      </c>
      <c r="B4738">
        <v>6509.56</v>
      </c>
    </row>
    <row r="4739" spans="1:2" x14ac:dyDescent="0.25">
      <c r="A4739" s="3">
        <v>45684</v>
      </c>
      <c r="B4739">
        <v>6507.86</v>
      </c>
    </row>
    <row r="4740" spans="1:2" x14ac:dyDescent="0.25">
      <c r="A4740" s="3">
        <v>45685</v>
      </c>
      <c r="B4740">
        <v>6501.47</v>
      </c>
    </row>
    <row r="4741" spans="1:2" x14ac:dyDescent="0.25">
      <c r="A4741" s="3">
        <v>45686</v>
      </c>
      <c r="B4741">
        <v>6501.07</v>
      </c>
    </row>
    <row r="4742" spans="1:2" x14ac:dyDescent="0.25">
      <c r="A4742" s="3">
        <v>45687</v>
      </c>
      <c r="B4742">
        <v>6502.19</v>
      </c>
    </row>
    <row r="4743" spans="1:2" x14ac:dyDescent="0.25">
      <c r="A4743" s="3">
        <v>45688</v>
      </c>
      <c r="B4743">
        <v>6499.29</v>
      </c>
    </row>
    <row r="4744" spans="1:2" x14ac:dyDescent="0.25">
      <c r="A4744" s="3">
        <v>45691</v>
      </c>
      <c r="B4744">
        <v>6492.49</v>
      </c>
    </row>
    <row r="4745" spans="1:2" x14ac:dyDescent="0.25">
      <c r="A4745" s="3">
        <v>45692</v>
      </c>
      <c r="B4745">
        <v>6498.4</v>
      </c>
    </row>
    <row r="4746" spans="1:2" x14ac:dyDescent="0.25">
      <c r="A4746" s="3">
        <v>45693</v>
      </c>
      <c r="B4746">
        <v>6502.13</v>
      </c>
    </row>
    <row r="4747" spans="1:2" x14ac:dyDescent="0.25">
      <c r="A4747" s="3">
        <v>45694</v>
      </c>
      <c r="B4747">
        <v>6497.44</v>
      </c>
    </row>
    <row r="4748" spans="1:2" x14ac:dyDescent="0.25">
      <c r="A4748" s="3">
        <v>45695</v>
      </c>
      <c r="B4748">
        <v>6495.41</v>
      </c>
    </row>
    <row r="4749" spans="1:2" x14ac:dyDescent="0.25">
      <c r="A4749" s="3">
        <v>45698</v>
      </c>
      <c r="B4749">
        <v>6492.97</v>
      </c>
    </row>
    <row r="4750" spans="1:2" x14ac:dyDescent="0.25">
      <c r="A4750" s="3">
        <v>45699</v>
      </c>
      <c r="B4750">
        <v>6495.11</v>
      </c>
    </row>
    <row r="4751" spans="1:2" x14ac:dyDescent="0.25">
      <c r="A4751" s="3">
        <v>45700</v>
      </c>
      <c r="B4751">
        <v>6497.76</v>
      </c>
    </row>
    <row r="4752" spans="1:2" x14ac:dyDescent="0.25">
      <c r="A4752" s="3">
        <v>45701</v>
      </c>
      <c r="B4752">
        <v>6503.16</v>
      </c>
    </row>
    <row r="4753" spans="1:2" x14ac:dyDescent="0.25">
      <c r="A4753" s="3">
        <v>45702</v>
      </c>
      <c r="B4753">
        <v>6509.9</v>
      </c>
    </row>
    <row r="4754" spans="1:2" x14ac:dyDescent="0.25">
      <c r="A4754" s="3">
        <v>45706</v>
      </c>
      <c r="B4754">
        <v>6506.5</v>
      </c>
    </row>
    <row r="4755" spans="1:2" x14ac:dyDescent="0.25">
      <c r="A4755" s="3">
        <v>45707</v>
      </c>
      <c r="B4755">
        <v>6502.88</v>
      </c>
    </row>
    <row r="4756" spans="1:2" x14ac:dyDescent="0.25">
      <c r="A4756" s="3">
        <v>45708</v>
      </c>
      <c r="B4756">
        <v>6507.4</v>
      </c>
    </row>
    <row r="4757" spans="1:2" x14ac:dyDescent="0.25">
      <c r="A4757" s="3">
        <v>45709</v>
      </c>
      <c r="B4757">
        <v>6505.76</v>
      </c>
    </row>
    <row r="4758" spans="1:2" x14ac:dyDescent="0.25">
      <c r="A4758" s="3">
        <v>45712</v>
      </c>
      <c r="B4758">
        <v>6506.74</v>
      </c>
    </row>
    <row r="4759" spans="1:2" x14ac:dyDescent="0.25">
      <c r="A4759" s="3">
        <v>45713</v>
      </c>
      <c r="B4759">
        <v>6509.17</v>
      </c>
    </row>
    <row r="4760" spans="1:2" x14ac:dyDescent="0.25">
      <c r="A4760" s="3">
        <v>45714</v>
      </c>
      <c r="B4760">
        <v>6509.95</v>
      </c>
    </row>
    <row r="4761" spans="1:2" x14ac:dyDescent="0.25">
      <c r="A4761" s="3">
        <v>45715</v>
      </c>
      <c r="B4761">
        <v>6501.83</v>
      </c>
    </row>
    <row r="4762" spans="1:2" x14ac:dyDescent="0.25">
      <c r="A4762" s="3">
        <v>45716</v>
      </c>
      <c r="B4762">
        <v>6500.5</v>
      </c>
    </row>
    <row r="4763" spans="1:2" x14ac:dyDescent="0.25">
      <c r="A4763" s="3">
        <v>45719</v>
      </c>
      <c r="B4763">
        <v>6508.01</v>
      </c>
    </row>
    <row r="4764" spans="1:2" x14ac:dyDescent="0.25">
      <c r="A4764" s="3">
        <v>45720</v>
      </c>
      <c r="B4764">
        <v>6511.41</v>
      </c>
    </row>
    <row r="4765" spans="1:2" x14ac:dyDescent="0.25">
      <c r="A4765" s="3">
        <v>45721</v>
      </c>
      <c r="B4765">
        <v>6531.6</v>
      </c>
    </row>
    <row r="4766" spans="1:2" x14ac:dyDescent="0.25">
      <c r="A4766" s="3">
        <v>45722</v>
      </c>
      <c r="B4766">
        <v>6536.32</v>
      </c>
    </row>
    <row r="4767" spans="1:2" x14ac:dyDescent="0.25">
      <c r="A4767" s="3">
        <v>45723</v>
      </c>
      <c r="B4767">
        <v>6540.58</v>
      </c>
    </row>
    <row r="4768" spans="1:2" x14ac:dyDescent="0.25">
      <c r="A4768" s="3">
        <v>45726</v>
      </c>
      <c r="B4768">
        <v>6537.81</v>
      </c>
    </row>
    <row r="4769" spans="1:2" x14ac:dyDescent="0.25">
      <c r="A4769" s="3">
        <v>45727</v>
      </c>
      <c r="B4769">
        <v>6545.19</v>
      </c>
    </row>
    <row r="4770" spans="1:2" x14ac:dyDescent="0.25">
      <c r="A4770" s="3">
        <v>45728</v>
      </c>
      <c r="B4770">
        <v>6544.92</v>
      </c>
    </row>
    <row r="4771" spans="1:2" x14ac:dyDescent="0.25">
      <c r="A4771" s="3">
        <v>45729</v>
      </c>
      <c r="B4771">
        <v>6539.56</v>
      </c>
    </row>
    <row r="4772" spans="1:2" x14ac:dyDescent="0.25">
      <c r="A4772" s="3">
        <v>45730</v>
      </c>
      <c r="B4772">
        <v>6540.7</v>
      </c>
    </row>
    <row r="4773" spans="1:2" x14ac:dyDescent="0.25">
      <c r="A4773" s="3">
        <v>45733</v>
      </c>
      <c r="B4773">
        <v>6545.18</v>
      </c>
    </row>
    <row r="4774" spans="1:2" x14ac:dyDescent="0.25">
      <c r="A4774" s="3">
        <v>45734</v>
      </c>
      <c r="B4774">
        <v>6545.55</v>
      </c>
    </row>
    <row r="4775" spans="1:2" x14ac:dyDescent="0.25">
      <c r="A4775" s="3">
        <v>45735</v>
      </c>
      <c r="B4775">
        <v>6541.3</v>
      </c>
    </row>
    <row r="4776" spans="1:2" x14ac:dyDescent="0.25">
      <c r="A4776" s="3">
        <v>45736</v>
      </c>
      <c r="B4776">
        <v>6538.83</v>
      </c>
    </row>
    <row r="4777" spans="1:2" x14ac:dyDescent="0.25">
      <c r="A4777" s="3">
        <v>45737</v>
      </c>
      <c r="B4777">
        <v>6535.31</v>
      </c>
    </row>
    <row r="4778" spans="1:2" x14ac:dyDescent="0.25">
      <c r="A4778" s="3">
        <v>45740</v>
      </c>
      <c r="B4778">
        <v>6534.18</v>
      </c>
    </row>
    <row r="4779" spans="1:2" x14ac:dyDescent="0.25">
      <c r="A4779" s="3">
        <v>45741</v>
      </c>
      <c r="B4779">
        <v>6534.99</v>
      </c>
    </row>
    <row r="4780" spans="1:2" x14ac:dyDescent="0.25">
      <c r="A4780" s="3">
        <v>45742</v>
      </c>
      <c r="B4780">
        <v>6533.22</v>
      </c>
    </row>
    <row r="4781" spans="1:2" x14ac:dyDescent="0.25">
      <c r="A4781" s="3">
        <v>45743</v>
      </c>
      <c r="B4781">
        <v>6534.81</v>
      </c>
    </row>
    <row r="4782" spans="1:2" x14ac:dyDescent="0.25">
      <c r="A4782" s="3">
        <v>45744</v>
      </c>
      <c r="B4782">
        <v>6536.77</v>
      </c>
    </row>
    <row r="4783" spans="1:2" x14ac:dyDescent="0.25">
      <c r="A4783" s="3">
        <v>45747</v>
      </c>
      <c r="B4783">
        <v>6616.36</v>
      </c>
    </row>
    <row r="4784" spans="1:2" x14ac:dyDescent="0.25">
      <c r="A4784" s="3">
        <v>45748</v>
      </c>
      <c r="B4784">
        <v>6617.3</v>
      </c>
    </row>
    <row r="4785" spans="1:2" x14ac:dyDescent="0.25">
      <c r="A4785" s="3">
        <v>45749</v>
      </c>
      <c r="B4785">
        <v>6621.31</v>
      </c>
    </row>
    <row r="4786" spans="1:2" x14ac:dyDescent="0.25">
      <c r="A4786" s="3">
        <v>45750</v>
      </c>
      <c r="B4786">
        <v>6643.99</v>
      </c>
    </row>
    <row r="4787" spans="1:2" x14ac:dyDescent="0.25">
      <c r="A4787" s="3">
        <v>45751</v>
      </c>
      <c r="B4787">
        <v>6631.38</v>
      </c>
    </row>
    <row r="4788" spans="1:2" x14ac:dyDescent="0.25">
      <c r="A4788" s="3">
        <v>45754</v>
      </c>
      <c r="B4788">
        <v>6625.1</v>
      </c>
    </row>
    <row r="4789" spans="1:2" x14ac:dyDescent="0.25">
      <c r="A4789" s="3">
        <v>45755</v>
      </c>
      <c r="B4789">
        <v>6624.24</v>
      </c>
    </row>
    <row r="4790" spans="1:2" x14ac:dyDescent="0.25">
      <c r="A4790" s="3">
        <v>45756</v>
      </c>
      <c r="B4790">
        <v>6634.65</v>
      </c>
    </row>
    <row r="4791" spans="1:2" x14ac:dyDescent="0.25">
      <c r="A4791" s="3">
        <v>45757</v>
      </c>
      <c r="B4791">
        <v>6647.91</v>
      </c>
    </row>
    <row r="4792" spans="1:2" x14ac:dyDescent="0.25">
      <c r="A4792" s="3">
        <v>45758</v>
      </c>
      <c r="B4792">
        <v>6661.22</v>
      </c>
    </row>
    <row r="4793" spans="1:2" x14ac:dyDescent="0.25">
      <c r="A4793" s="3">
        <v>45761</v>
      </c>
      <c r="B4793">
        <v>6664.43</v>
      </c>
    </row>
    <row r="4794" spans="1:2" x14ac:dyDescent="0.25">
      <c r="A4794" s="3">
        <v>45762</v>
      </c>
      <c r="B4794">
        <v>6661.52</v>
      </c>
    </row>
    <row r="4795" spans="1:2" x14ac:dyDescent="0.25">
      <c r="A4795" s="3">
        <v>45763</v>
      </c>
      <c r="B4795">
        <v>6666.06</v>
      </c>
    </row>
    <row r="4796" spans="1:2" x14ac:dyDescent="0.25">
      <c r="A4796" s="3">
        <v>45764</v>
      </c>
      <c r="B4796">
        <v>6663.38</v>
      </c>
    </row>
    <row r="4797" spans="1:2" x14ac:dyDescent="0.25">
      <c r="A4797" s="3">
        <v>45768</v>
      </c>
      <c r="B4797">
        <v>6676.32</v>
      </c>
    </row>
    <row r="4798" spans="1:2" x14ac:dyDescent="0.25">
      <c r="A4798" s="3">
        <v>45769</v>
      </c>
      <c r="B4798">
        <v>6674.53</v>
      </c>
    </row>
    <row r="4799" spans="1:2" x14ac:dyDescent="0.25">
      <c r="A4799" s="3">
        <v>45770</v>
      </c>
      <c r="B4799">
        <v>6663.62</v>
      </c>
    </row>
    <row r="4800" spans="1:2" x14ac:dyDescent="0.25">
      <c r="A4800" s="3">
        <v>45771</v>
      </c>
      <c r="B4800">
        <v>6665.66</v>
      </c>
    </row>
    <row r="4801" spans="1:2" x14ac:dyDescent="0.25">
      <c r="A4801" s="3">
        <v>45772</v>
      </c>
      <c r="B4801">
        <v>6665.13</v>
      </c>
    </row>
    <row r="4802" spans="1:2" x14ac:dyDescent="0.25">
      <c r="A4802" s="3">
        <v>45775</v>
      </c>
      <c r="B4802">
        <v>6666.46</v>
      </c>
    </row>
    <row r="4803" spans="1:2" x14ac:dyDescent="0.25">
      <c r="A4803" s="3">
        <v>45776</v>
      </c>
      <c r="B4803">
        <v>6666.69</v>
      </c>
    </row>
    <row r="4804" spans="1:2" x14ac:dyDescent="0.25">
      <c r="A4804" s="3">
        <v>45777</v>
      </c>
      <c r="B4804">
        <v>6664.87</v>
      </c>
    </row>
    <row r="4805" spans="1:2" x14ac:dyDescent="0.25">
      <c r="A4805" s="3">
        <v>45778</v>
      </c>
      <c r="B4805">
        <v>6657.43</v>
      </c>
    </row>
    <row r="4806" spans="1:2" x14ac:dyDescent="0.25">
      <c r="A4806" s="3">
        <v>45779</v>
      </c>
      <c r="B4806">
        <v>6665.06</v>
      </c>
    </row>
    <row r="4807" spans="1:2" x14ac:dyDescent="0.25">
      <c r="A4807" s="3">
        <v>45782</v>
      </c>
      <c r="B4807">
        <v>6662.62</v>
      </c>
    </row>
    <row r="4808" spans="1:2" x14ac:dyDescent="0.25">
      <c r="A4808" s="3">
        <v>45783</v>
      </c>
      <c r="B4808">
        <v>6663.15</v>
      </c>
    </row>
    <row r="4809" spans="1:2" x14ac:dyDescent="0.25">
      <c r="A4809" s="3">
        <v>45784</v>
      </c>
      <c r="B4809">
        <v>6665.13</v>
      </c>
    </row>
    <row r="4810" spans="1:2" x14ac:dyDescent="0.25">
      <c r="A4810" s="3">
        <v>45785</v>
      </c>
      <c r="B4810">
        <v>6657.24</v>
      </c>
    </row>
    <row r="4811" spans="1:2" x14ac:dyDescent="0.25">
      <c r="A4811" s="3">
        <v>45786</v>
      </c>
      <c r="B4811">
        <v>6656.51</v>
      </c>
    </row>
    <row r="4812" spans="1:2" x14ac:dyDescent="0.25">
      <c r="A4812" s="3">
        <v>45789</v>
      </c>
      <c r="B4812">
        <v>6643.03</v>
      </c>
    </row>
    <row r="4813" spans="1:2" x14ac:dyDescent="0.25">
      <c r="A4813" s="3">
        <v>45790</v>
      </c>
      <c r="B4813">
        <v>6647.67</v>
      </c>
    </row>
    <row r="4814" spans="1:2" x14ac:dyDescent="0.25">
      <c r="A4814" s="3">
        <v>45791</v>
      </c>
      <c r="B4814">
        <v>6652.07</v>
      </c>
    </row>
    <row r="4815" spans="1:2" x14ac:dyDescent="0.25">
      <c r="A4815" s="3">
        <v>45792</v>
      </c>
      <c r="B4815">
        <v>6649.63</v>
      </c>
    </row>
    <row r="4816" spans="1:2" x14ac:dyDescent="0.25">
      <c r="A4816" s="3">
        <v>45793</v>
      </c>
      <c r="B4816">
        <v>6646.97</v>
      </c>
    </row>
    <row r="4817" spans="1:2" x14ac:dyDescent="0.25">
      <c r="A4817" s="3">
        <v>45796</v>
      </c>
      <c r="B4817">
        <v>6655.63</v>
      </c>
    </row>
    <row r="4818" spans="1:2" x14ac:dyDescent="0.25">
      <c r="A4818" s="3">
        <v>45797</v>
      </c>
      <c r="B4818">
        <v>6656.71</v>
      </c>
    </row>
    <row r="4819" spans="1:2" x14ac:dyDescent="0.25">
      <c r="A4819" s="3">
        <v>45798</v>
      </c>
      <c r="B4819">
        <v>6663.16</v>
      </c>
    </row>
    <row r="4820" spans="1:2" x14ac:dyDescent="0.25">
      <c r="A4820" s="3">
        <v>45799</v>
      </c>
      <c r="B4820">
        <v>6657.83</v>
      </c>
    </row>
    <row r="4821" spans="1:2" x14ac:dyDescent="0.25">
      <c r="A4821" s="3">
        <v>45800</v>
      </c>
      <c r="B4821">
        <v>6663.79</v>
      </c>
    </row>
    <row r="4822" spans="1:2" x14ac:dyDescent="0.25">
      <c r="A4822" s="3">
        <v>45804</v>
      </c>
      <c r="B4822">
        <v>6663.44</v>
      </c>
    </row>
    <row r="4823" spans="1:2" x14ac:dyDescent="0.25">
      <c r="A4823" s="3">
        <v>45805</v>
      </c>
      <c r="B4823">
        <v>6659.93</v>
      </c>
    </row>
    <row r="4824" spans="1:2" x14ac:dyDescent="0.25">
      <c r="A4824" s="3">
        <v>45806</v>
      </c>
      <c r="B4824">
        <v>6664.04</v>
      </c>
    </row>
    <row r="4825" spans="1:2" x14ac:dyDescent="0.25">
      <c r="A4825" s="3">
        <v>45807</v>
      </c>
      <c r="B4825">
        <v>6664.21</v>
      </c>
    </row>
    <row r="4826" spans="1:2" x14ac:dyDescent="0.25">
      <c r="A4826" s="3">
        <v>45810</v>
      </c>
      <c r="B4826">
        <v>6671.91</v>
      </c>
    </row>
    <row r="4827" spans="1:2" x14ac:dyDescent="0.25">
      <c r="A4827" s="3">
        <v>45811</v>
      </c>
      <c r="B4827">
        <v>6668.15</v>
      </c>
    </row>
    <row r="4828" spans="1:2" x14ac:dyDescent="0.25">
      <c r="A4828" s="3">
        <v>45812</v>
      </c>
      <c r="B4828">
        <v>6671.82</v>
      </c>
    </row>
    <row r="4829" spans="1:2" x14ac:dyDescent="0.25">
      <c r="A4829" s="3">
        <v>45813</v>
      </c>
      <c r="B4829">
        <v>6673.91</v>
      </c>
    </row>
    <row r="4830" spans="1:2" x14ac:dyDescent="0.25">
      <c r="A4830" s="3">
        <v>45814</v>
      </c>
      <c r="B4830">
        <v>6667.86</v>
      </c>
    </row>
    <row r="4831" spans="1:2" x14ac:dyDescent="0.25">
      <c r="A4831" s="3">
        <v>45817</v>
      </c>
      <c r="B4831">
        <v>6669.65</v>
      </c>
    </row>
    <row r="4832" spans="1:2" x14ac:dyDescent="0.25">
      <c r="A4832" s="3">
        <v>45818</v>
      </c>
      <c r="B4832">
        <v>6670.99</v>
      </c>
    </row>
    <row r="4833" spans="1:2" x14ac:dyDescent="0.25">
      <c r="A4833" s="3">
        <v>45819</v>
      </c>
      <c r="B4833">
        <v>6675.69</v>
      </c>
    </row>
    <row r="4834" spans="1:2" x14ac:dyDescent="0.25">
      <c r="A4834" s="3">
        <v>45820</v>
      </c>
      <c r="B4834">
        <v>6684.19</v>
      </c>
    </row>
    <row r="4835" spans="1:2" x14ac:dyDescent="0.25">
      <c r="A4835" s="3">
        <v>45821</v>
      </c>
      <c r="B4835">
        <v>6680.83</v>
      </c>
    </row>
    <row r="4836" spans="1:2" x14ac:dyDescent="0.25">
      <c r="A4836" s="3">
        <v>45824</v>
      </c>
      <c r="B4836">
        <v>6685.02</v>
      </c>
    </row>
    <row r="4837" spans="1:2" x14ac:dyDescent="0.25">
      <c r="A4837" s="3">
        <v>45825</v>
      </c>
      <c r="B4837">
        <v>6679.24</v>
      </c>
    </row>
    <row r="4838" spans="1:2" x14ac:dyDescent="0.25">
      <c r="A4838" s="3">
        <v>45826</v>
      </c>
      <c r="B4838">
        <v>6677.47</v>
      </c>
    </row>
    <row r="4839" spans="1:2" x14ac:dyDescent="0.25">
      <c r="A4839" s="3">
        <v>45828</v>
      </c>
      <c r="B4839">
        <v>6677.81</v>
      </c>
    </row>
    <row r="4840" spans="1:2" x14ac:dyDescent="0.25">
      <c r="A4840" s="3">
        <v>45831</v>
      </c>
      <c r="B4840">
        <v>6679.04</v>
      </c>
    </row>
    <row r="4841" spans="1:2" x14ac:dyDescent="0.25">
      <c r="A4841" s="3">
        <v>45832</v>
      </c>
      <c r="B4841">
        <v>6686.95</v>
      </c>
    </row>
    <row r="4842" spans="1:2" x14ac:dyDescent="0.25">
      <c r="A4842" s="3">
        <v>45833</v>
      </c>
      <c r="B4842">
        <v>6687.19</v>
      </c>
    </row>
    <row r="4843" spans="1:2" x14ac:dyDescent="0.25">
      <c r="A4843" s="3">
        <v>45834</v>
      </c>
      <c r="B4843">
        <v>6694.96</v>
      </c>
    </row>
    <row r="4844" spans="1:2" x14ac:dyDescent="0.25">
      <c r="A4844" s="3">
        <v>45835</v>
      </c>
      <c r="B4844">
        <v>6695.63</v>
      </c>
    </row>
    <row r="4845" spans="1:2" x14ac:dyDescent="0.25">
      <c r="A4845" s="3">
        <v>45838</v>
      </c>
      <c r="B4845">
        <v>6856.77</v>
      </c>
    </row>
    <row r="4846" spans="1:2" x14ac:dyDescent="0.25">
      <c r="A4846" s="3">
        <v>45839</v>
      </c>
      <c r="B4846">
        <v>6860.2</v>
      </c>
    </row>
    <row r="4847" spans="1:2" x14ac:dyDescent="0.25">
      <c r="A4847" s="3">
        <v>45840</v>
      </c>
      <c r="B4847">
        <v>6858.82</v>
      </c>
    </row>
    <row r="4848" spans="1:2" x14ac:dyDescent="0.25">
      <c r="A4848" s="3">
        <v>45841</v>
      </c>
      <c r="B4848">
        <v>6857.75</v>
      </c>
    </row>
    <row r="4849" spans="1:2" x14ac:dyDescent="0.25">
      <c r="A4849" s="3">
        <v>45845</v>
      </c>
      <c r="B4849">
        <v>6856.39</v>
      </c>
    </row>
    <row r="4850" spans="1:2" x14ac:dyDescent="0.25">
      <c r="A4850" s="3">
        <v>45846</v>
      </c>
      <c r="B4850">
        <v>6852.27</v>
      </c>
    </row>
    <row r="4851" spans="1:2" x14ac:dyDescent="0.25">
      <c r="A4851" s="3">
        <v>45847</v>
      </c>
      <c r="B4851">
        <v>6854.34</v>
      </c>
    </row>
    <row r="4852" spans="1:2" x14ac:dyDescent="0.25">
      <c r="A4852" s="3">
        <v>45848</v>
      </c>
      <c r="B4852">
        <v>6851.42</v>
      </c>
    </row>
    <row r="4853" spans="1:2" x14ac:dyDescent="0.25">
      <c r="A4853" s="3">
        <v>45849</v>
      </c>
      <c r="B4853">
        <v>6852.34</v>
      </c>
    </row>
    <row r="4854" spans="1:2" x14ac:dyDescent="0.25">
      <c r="A4854" s="3">
        <v>45852</v>
      </c>
      <c r="B4854">
        <v>6851.24</v>
      </c>
    </row>
    <row r="4855" spans="1:2" x14ac:dyDescent="0.25">
      <c r="A4855" s="3">
        <v>45853</v>
      </c>
      <c r="B4855">
        <v>6845.49</v>
      </c>
    </row>
    <row r="4856" spans="1:2" x14ac:dyDescent="0.25">
      <c r="A4856" s="3">
        <v>45854</v>
      </c>
      <c r="B4856">
        <v>6843.67</v>
      </c>
    </row>
    <row r="4857" spans="1:2" x14ac:dyDescent="0.25">
      <c r="A4857" s="3">
        <v>45855</v>
      </c>
      <c r="B4857">
        <v>6842.88</v>
      </c>
    </row>
    <row r="4858" spans="1:2" x14ac:dyDescent="0.25">
      <c r="A4858" s="3">
        <v>45856</v>
      </c>
      <c r="B4858">
        <v>6848.11</v>
      </c>
    </row>
    <row r="4859" spans="1:2" x14ac:dyDescent="0.25">
      <c r="A4859" s="3">
        <v>45859</v>
      </c>
      <c r="B4859">
        <v>6852.47</v>
      </c>
    </row>
    <row r="4860" spans="1:2" x14ac:dyDescent="0.25">
      <c r="A4860" s="3">
        <v>45860</v>
      </c>
      <c r="B4860">
        <v>6854.77</v>
      </c>
    </row>
    <row r="4861" spans="1:2" x14ac:dyDescent="0.25">
      <c r="A4861" s="3">
        <v>45861</v>
      </c>
      <c r="B4861">
        <v>6855.96</v>
      </c>
    </row>
    <row r="4862" spans="1:2" x14ac:dyDescent="0.25">
      <c r="A4862" s="3">
        <v>45862</v>
      </c>
      <c r="B4862">
        <v>6858.62</v>
      </c>
    </row>
    <row r="4863" spans="1:2" x14ac:dyDescent="0.25">
      <c r="A4863" s="3">
        <v>45863</v>
      </c>
      <c r="B4863">
        <v>6855.07</v>
      </c>
    </row>
    <row r="4864" spans="1:2" x14ac:dyDescent="0.25">
      <c r="A4864" s="3">
        <v>45866</v>
      </c>
      <c r="B4864">
        <v>6847.23</v>
      </c>
    </row>
    <row r="4865" spans="1:2" x14ac:dyDescent="0.25">
      <c r="A4865" s="3">
        <v>45867</v>
      </c>
      <c r="B4865">
        <v>6837.37</v>
      </c>
    </row>
    <row r="4866" spans="1:2" x14ac:dyDescent="0.25">
      <c r="A4866" s="3">
        <v>45868</v>
      </c>
      <c r="B4866">
        <v>6833.56</v>
      </c>
    </row>
    <row r="4867" spans="1:2" x14ac:dyDescent="0.25">
      <c r="A4867" s="3">
        <v>45869</v>
      </c>
      <c r="B4867">
        <v>6830.4</v>
      </c>
    </row>
    <row r="4868" spans="1:2" x14ac:dyDescent="0.25">
      <c r="A4868" s="3">
        <v>45870</v>
      </c>
      <c r="B4868">
        <v>6839.64</v>
      </c>
    </row>
    <row r="4869" spans="1:2" x14ac:dyDescent="0.25">
      <c r="A4869" s="3">
        <v>45873</v>
      </c>
      <c r="B4869">
        <v>6840.63</v>
      </c>
    </row>
    <row r="4870" spans="1:2" x14ac:dyDescent="0.25">
      <c r="A4870" s="3">
        <v>45874</v>
      </c>
      <c r="B4870">
        <v>6840.7</v>
      </c>
    </row>
    <row r="4871" spans="1:2" x14ac:dyDescent="0.25">
      <c r="A4871" s="3">
        <v>45875</v>
      </c>
      <c r="B4871">
        <v>6845.94</v>
      </c>
    </row>
    <row r="4872" spans="1:2" x14ac:dyDescent="0.25">
      <c r="A4872" s="3">
        <v>45876</v>
      </c>
      <c r="B4872">
        <v>6845.86</v>
      </c>
    </row>
    <row r="4873" spans="1:2" x14ac:dyDescent="0.25">
      <c r="A4873" s="3">
        <v>45877</v>
      </c>
      <c r="B4873">
        <v>6848.82</v>
      </c>
    </row>
    <row r="4874" spans="1:2" x14ac:dyDescent="0.25">
      <c r="A4874" s="3">
        <v>45880</v>
      </c>
      <c r="B4874">
        <v>6843.77</v>
      </c>
    </row>
    <row r="4875" spans="1:2" x14ac:dyDescent="0.25">
      <c r="A4875" s="3">
        <v>45881</v>
      </c>
      <c r="B4875">
        <v>6849.16</v>
      </c>
    </row>
    <row r="4876" spans="1:2" x14ac:dyDescent="0.25">
      <c r="A4876" s="3">
        <v>45882</v>
      </c>
      <c r="B4876">
        <v>6854.62</v>
      </c>
    </row>
    <row r="4877" spans="1:2" x14ac:dyDescent="0.25">
      <c r="A4877" s="3">
        <v>45883</v>
      </c>
      <c r="B4877">
        <v>6849.57</v>
      </c>
    </row>
    <row r="4878" spans="1:2" x14ac:dyDescent="0.25">
      <c r="A4878" s="3">
        <v>45884</v>
      </c>
      <c r="B4878">
        <v>6853.85</v>
      </c>
    </row>
    <row r="4879" spans="1:2" x14ac:dyDescent="0.25">
      <c r="A4879" s="3">
        <v>45887</v>
      </c>
      <c r="B4879">
        <v>6849.65</v>
      </c>
    </row>
    <row r="4880" spans="1:2" x14ac:dyDescent="0.25">
      <c r="A4880" s="3">
        <v>45888</v>
      </c>
      <c r="B4880">
        <v>6850.18</v>
      </c>
    </row>
    <row r="4881" spans="1:2" x14ac:dyDescent="0.25">
      <c r="A4881" s="3">
        <v>45889</v>
      </c>
      <c r="B4881">
        <v>6849.22</v>
      </c>
    </row>
    <row r="4882" spans="1:2" x14ac:dyDescent="0.25">
      <c r="A4882" s="3">
        <v>45890</v>
      </c>
      <c r="B4882">
        <v>6845.17</v>
      </c>
    </row>
    <row r="4883" spans="1:2" x14ac:dyDescent="0.25">
      <c r="A4883" s="3">
        <v>45891</v>
      </c>
      <c r="B4883">
        <v>6854.14</v>
      </c>
    </row>
    <row r="4884" spans="1:2" x14ac:dyDescent="0.25">
      <c r="A4884" s="3">
        <v>45894</v>
      </c>
      <c r="B4884">
        <v>6851.76</v>
      </c>
    </row>
    <row r="4885" spans="1:2" x14ac:dyDescent="0.25">
      <c r="A4885" s="3">
        <v>45895</v>
      </c>
      <c r="B4885">
        <v>6848.7</v>
      </c>
    </row>
    <row r="4886" spans="1:2" x14ac:dyDescent="0.25">
      <c r="A4886" s="3">
        <v>45896</v>
      </c>
      <c r="B4886">
        <v>6843.58</v>
      </c>
    </row>
    <row r="4887" spans="1:2" x14ac:dyDescent="0.25">
      <c r="A4887" s="3">
        <v>45897</v>
      </c>
      <c r="B4887">
        <v>6850.32</v>
      </c>
    </row>
    <row r="4888" spans="1:2" x14ac:dyDescent="0.25">
      <c r="A4888" s="3">
        <v>45898</v>
      </c>
      <c r="B4888">
        <v>6853.24</v>
      </c>
    </row>
    <row r="4889" spans="1:2" x14ac:dyDescent="0.25">
      <c r="A4889" s="3">
        <v>45902</v>
      </c>
      <c r="B4889">
        <v>6849.28</v>
      </c>
    </row>
    <row r="4890" spans="1:2" x14ac:dyDescent="0.25">
      <c r="A4890" s="3">
        <v>45903</v>
      </c>
      <c r="B4890">
        <v>6849.5</v>
      </c>
    </row>
    <row r="4891" spans="1:2" x14ac:dyDescent="0.25">
      <c r="A4891" s="3">
        <v>45904</v>
      </c>
      <c r="B4891">
        <v>6846.97</v>
      </c>
    </row>
    <row r="4892" spans="1:2" x14ac:dyDescent="0.25">
      <c r="A4892" s="3">
        <v>45905</v>
      </c>
      <c r="B4892">
        <v>6855.88</v>
      </c>
    </row>
    <row r="4893" spans="1:2" x14ac:dyDescent="0.25">
      <c r="A4893" s="3">
        <v>45908</v>
      </c>
      <c r="B4893">
        <v>6856.69</v>
      </c>
    </row>
    <row r="4894" spans="1:2" x14ac:dyDescent="0.25">
      <c r="A4894" s="3">
        <v>45909</v>
      </c>
      <c r="B4894">
        <v>6855.64</v>
      </c>
    </row>
    <row r="4895" spans="1:2" x14ac:dyDescent="0.25">
      <c r="A4895" s="3">
        <v>45910</v>
      </c>
      <c r="B4895">
        <v>6855.46</v>
      </c>
    </row>
    <row r="4896" spans="1:2" x14ac:dyDescent="0.25">
      <c r="A4896" s="3">
        <v>45911</v>
      </c>
      <c r="B4896">
        <v>6855.59</v>
      </c>
    </row>
    <row r="4897" spans="1:2" x14ac:dyDescent="0.25">
      <c r="A4897" s="3">
        <v>45912</v>
      </c>
      <c r="B4897">
        <v>6855.47</v>
      </c>
    </row>
    <row r="4898" spans="1:2" x14ac:dyDescent="0.25">
      <c r="A4898" s="3">
        <v>45915</v>
      </c>
      <c r="B4898">
        <v>6858.21</v>
      </c>
    </row>
    <row r="4899" spans="1:2" x14ac:dyDescent="0.25">
      <c r="A4899" s="3">
        <v>45916</v>
      </c>
      <c r="B4899">
        <v>6866.29</v>
      </c>
    </row>
    <row r="4900" spans="1:2" x14ac:dyDescent="0.25">
      <c r="A4900" s="3">
        <v>45917</v>
      </c>
      <c r="B4900">
        <v>6866.11</v>
      </c>
    </row>
    <row r="4901" spans="1:2" x14ac:dyDescent="0.25">
      <c r="A4901" s="3">
        <v>45918</v>
      </c>
      <c r="B4901">
        <v>6859.39</v>
      </c>
    </row>
    <row r="4902" spans="1:2" x14ac:dyDescent="0.25">
      <c r="A4902" s="3">
        <v>45919</v>
      </c>
      <c r="B4902">
        <v>6857.63</v>
      </c>
    </row>
    <row r="4903" spans="1:2" x14ac:dyDescent="0.25">
      <c r="A4903" s="3">
        <v>45922</v>
      </c>
      <c r="B4903">
        <v>6858.79</v>
      </c>
    </row>
    <row r="4904" spans="1:2" x14ac:dyDescent="0.25">
      <c r="A4904" s="3">
        <v>45923</v>
      </c>
      <c r="B4904">
        <v>6860.92</v>
      </c>
    </row>
    <row r="4905" spans="1:2" x14ac:dyDescent="0.25">
      <c r="A4905" s="3">
        <v>45924</v>
      </c>
      <c r="B4905">
        <v>6856.24</v>
      </c>
    </row>
    <row r="4906" spans="1:2" x14ac:dyDescent="0.25">
      <c r="A4906" s="3">
        <v>45925</v>
      </c>
      <c r="B4906">
        <v>6850.18</v>
      </c>
    </row>
    <row r="4907" spans="1:2" x14ac:dyDescent="0.25">
      <c r="A4907" s="3">
        <v>45926</v>
      </c>
      <c r="B4907">
        <v>6851.63</v>
      </c>
    </row>
    <row r="4908" spans="1:2" x14ac:dyDescent="0.25">
      <c r="A4908" s="3">
        <v>45929</v>
      </c>
      <c r="B4908">
        <v>6854.95</v>
      </c>
    </row>
    <row r="4909" spans="1:2" x14ac:dyDescent="0.25">
      <c r="A4909" s="3">
        <v>45930</v>
      </c>
      <c r="B4909">
        <v>6856.93</v>
      </c>
    </row>
    <row r="4910" spans="1:2" x14ac:dyDescent="0.25">
      <c r="A4910" s="3">
        <v>45931</v>
      </c>
      <c r="B4910">
        <v>6856.66</v>
      </c>
    </row>
    <row r="4911" spans="1:2" x14ac:dyDescent="0.25">
      <c r="A4911" s="3">
        <v>45932</v>
      </c>
      <c r="B4911">
        <v>6853.75</v>
      </c>
    </row>
    <row r="4912" spans="1:2" x14ac:dyDescent="0.25">
      <c r="A4912" s="3">
        <v>45933</v>
      </c>
      <c r="B4912">
        <v>6856.14</v>
      </c>
    </row>
    <row r="4913" spans="1:2" x14ac:dyDescent="0.25">
      <c r="A4913" s="3">
        <v>45936</v>
      </c>
      <c r="B4913">
        <v>6854.22</v>
      </c>
    </row>
    <row r="4914" spans="1:2" x14ac:dyDescent="0.25">
      <c r="A4914" s="3">
        <v>45937</v>
      </c>
      <c r="B4914">
        <v>6849.75</v>
      </c>
    </row>
    <row r="4915" spans="1:2" x14ac:dyDescent="0.25">
      <c r="A4915" s="3">
        <v>45938</v>
      </c>
      <c r="B4915">
        <v>6846.22</v>
      </c>
    </row>
    <row r="4916" spans="1:2" x14ac:dyDescent="0.25">
      <c r="A4916" s="3">
        <v>45939</v>
      </c>
      <c r="B4916">
        <v>6842.65</v>
      </c>
    </row>
    <row r="4917" spans="1:2" x14ac:dyDescent="0.25">
      <c r="A4917" s="3">
        <v>45940</v>
      </c>
      <c r="B4917">
        <v>6842.38</v>
      </c>
    </row>
    <row r="4918" spans="1:2" x14ac:dyDescent="0.25">
      <c r="A4918" s="3">
        <v>45943</v>
      </c>
      <c r="B4918">
        <v>6840.86</v>
      </c>
    </row>
    <row r="4919" spans="1:2" x14ac:dyDescent="0.25">
      <c r="A4919" s="3">
        <v>45944</v>
      </c>
      <c r="B4919">
        <v>6843.34</v>
      </c>
    </row>
    <row r="4920" spans="1:2" x14ac:dyDescent="0.25">
      <c r="A4920" s="3">
        <v>45945</v>
      </c>
      <c r="B4920">
        <v>6846.05</v>
      </c>
    </row>
    <row r="4921" spans="1:2" x14ac:dyDescent="0.25">
      <c r="A4921" s="3">
        <v>45946</v>
      </c>
      <c r="B4921">
        <v>6850.51</v>
      </c>
    </row>
    <row r="4922" spans="1:2" x14ac:dyDescent="0.25">
      <c r="A4922" s="3">
        <v>45947</v>
      </c>
      <c r="B4922">
        <v>6849.55</v>
      </c>
    </row>
    <row r="4923" spans="1:2" x14ac:dyDescent="0.25">
      <c r="A4923" s="3">
        <v>45950</v>
      </c>
      <c r="B4923">
        <v>6848.64</v>
      </c>
    </row>
    <row r="4924" spans="1:2" x14ac:dyDescent="0.25">
      <c r="A4924" s="3">
        <v>45951</v>
      </c>
      <c r="B4924">
        <v>6844.46</v>
      </c>
    </row>
    <row r="4925" spans="1:2" x14ac:dyDescent="0.25">
      <c r="A4925" s="3">
        <v>45952</v>
      </c>
      <c r="B4925">
        <v>6844.98</v>
      </c>
    </row>
    <row r="4926" spans="1:2" x14ac:dyDescent="0.25">
      <c r="A4926" s="3">
        <v>45953</v>
      </c>
      <c r="B4926">
        <v>6845.12</v>
      </c>
    </row>
    <row r="4927" spans="1:2" x14ac:dyDescent="0.25">
      <c r="A4927" s="3">
        <v>45954</v>
      </c>
      <c r="B4927">
        <v>6845.92</v>
      </c>
    </row>
    <row r="4928" spans="1:2" x14ac:dyDescent="0.25">
      <c r="A4928" s="3">
        <v>45957</v>
      </c>
      <c r="B4928">
        <v>6846.94</v>
      </c>
    </row>
    <row r="4929" spans="1:2" x14ac:dyDescent="0.25">
      <c r="A4929" s="3">
        <v>45958</v>
      </c>
      <c r="B4929">
        <v>6848.75</v>
      </c>
    </row>
    <row r="4930" spans="1:2" x14ac:dyDescent="0.25">
      <c r="A4930" s="3">
        <v>45959</v>
      </c>
      <c r="B4930">
        <v>6849.17</v>
      </c>
    </row>
    <row r="4931" spans="1:2" x14ac:dyDescent="0.25">
      <c r="A4931" s="3">
        <v>45960</v>
      </c>
      <c r="B4931">
        <v>6840.59</v>
      </c>
    </row>
    <row r="4932" spans="1:2" x14ac:dyDescent="0.25">
      <c r="A4932" s="3">
        <v>45961</v>
      </c>
      <c r="B4932">
        <v>6838.76</v>
      </c>
    </row>
    <row r="4933" spans="1:2" x14ac:dyDescent="0.25">
      <c r="A4933" s="3">
        <v>45964</v>
      </c>
      <c r="B4933">
        <v>6837.31</v>
      </c>
    </row>
    <row r="4934" spans="1:2" x14ac:dyDescent="0.25">
      <c r="A4934" s="3">
        <v>45965</v>
      </c>
      <c r="B4934">
        <v>6834.31</v>
      </c>
    </row>
    <row r="4935" spans="1:2" x14ac:dyDescent="0.25">
      <c r="A4935" s="3">
        <v>45966</v>
      </c>
      <c r="B4935">
        <v>6833.19</v>
      </c>
    </row>
    <row r="4936" spans="1:2" x14ac:dyDescent="0.25">
      <c r="A4936" s="3">
        <v>45967</v>
      </c>
      <c r="B4936">
        <v>6838.16</v>
      </c>
    </row>
    <row r="4937" spans="1:2" x14ac:dyDescent="0.25">
      <c r="A4937" s="3">
        <v>45968</v>
      </c>
      <c r="B4937">
        <v>6841.01</v>
      </c>
    </row>
    <row r="4938" spans="1:2" x14ac:dyDescent="0.25">
      <c r="A4938" s="3">
        <v>45971</v>
      </c>
      <c r="B4938">
        <v>6839.05</v>
      </c>
    </row>
    <row r="4939" spans="1:2" x14ac:dyDescent="0.25">
      <c r="A4939" s="3">
        <v>45972</v>
      </c>
      <c r="B4939">
        <v>6843.05</v>
      </c>
    </row>
    <row r="4940" spans="1:2" x14ac:dyDescent="0.25">
      <c r="A4940" s="3">
        <v>45973</v>
      </c>
      <c r="B4940">
        <v>6842.93</v>
      </c>
    </row>
    <row r="4941" spans="1:2" x14ac:dyDescent="0.25">
      <c r="A4941" s="3">
        <v>45974</v>
      </c>
      <c r="B4941">
        <v>6846.76</v>
      </c>
    </row>
    <row r="4942" spans="1:2" x14ac:dyDescent="0.25">
      <c r="A4942" s="3">
        <v>45975</v>
      </c>
      <c r="B4942">
        <v>6844.41</v>
      </c>
    </row>
    <row r="4943" spans="1:2" x14ac:dyDescent="0.25">
      <c r="A4943" s="3">
        <v>45978</v>
      </c>
      <c r="B4943">
        <v>6843.2</v>
      </c>
    </row>
    <row r="4944" spans="1:2" x14ac:dyDescent="0.25">
      <c r="A4944" s="3">
        <v>45979</v>
      </c>
      <c r="B4944">
        <v>6841.74</v>
      </c>
    </row>
    <row r="4945" spans="1:2" x14ac:dyDescent="0.25">
      <c r="A4945" s="3">
        <v>45980</v>
      </c>
      <c r="B4945">
        <v>6838.62</v>
      </c>
    </row>
    <row r="4946" spans="1:2" x14ac:dyDescent="0.25">
      <c r="A4946" s="3">
        <v>45981</v>
      </c>
      <c r="B4946">
        <v>6836.99</v>
      </c>
    </row>
    <row r="4947" spans="1:2" x14ac:dyDescent="0.25">
      <c r="A4947" s="3">
        <v>45985</v>
      </c>
      <c r="B4947">
        <v>6837.22</v>
      </c>
    </row>
    <row r="4948" spans="1:2" x14ac:dyDescent="0.25">
      <c r="A4948" s="3">
        <v>45986</v>
      </c>
      <c r="B4948">
        <v>6840.11</v>
      </c>
    </row>
    <row r="4949" spans="1:2" x14ac:dyDescent="0.25">
      <c r="A4949" s="3">
        <v>45987</v>
      </c>
      <c r="B4949">
        <v>6842.68</v>
      </c>
    </row>
    <row r="4950" spans="1:2" x14ac:dyDescent="0.25">
      <c r="A4950" s="3">
        <v>45989</v>
      </c>
      <c r="B4950">
        <v>6844.22</v>
      </c>
    </row>
    <row r="4951" spans="1:2" x14ac:dyDescent="0.25">
      <c r="A4951" s="3">
        <v>45992</v>
      </c>
      <c r="B4951">
        <v>6846.18</v>
      </c>
    </row>
    <row r="4952" spans="1:2" x14ac:dyDescent="0.25">
      <c r="A4952" s="3">
        <v>45993</v>
      </c>
      <c r="B4952">
        <v>6844.15</v>
      </c>
    </row>
    <row r="4953" spans="1:2" x14ac:dyDescent="0.25">
      <c r="A4953" s="3">
        <v>45994</v>
      </c>
      <c r="B4953">
        <v>6849.11</v>
      </c>
    </row>
    <row r="4954" spans="1:2" x14ac:dyDescent="0.25">
      <c r="A4954" s="3">
        <v>45995</v>
      </c>
      <c r="B4954">
        <v>6850.29</v>
      </c>
    </row>
    <row r="4955" spans="1:2" x14ac:dyDescent="0.25">
      <c r="A4955" s="3">
        <v>45996</v>
      </c>
      <c r="B4955">
        <v>6848.23</v>
      </c>
    </row>
    <row r="4956" spans="1:2" x14ac:dyDescent="0.25">
      <c r="A4956" s="3">
        <v>45999</v>
      </c>
      <c r="B4956">
        <v>6846.21</v>
      </c>
    </row>
    <row r="4957" spans="1:2" x14ac:dyDescent="0.25">
      <c r="A4957" s="3">
        <v>46000</v>
      </c>
      <c r="B4957">
        <v>6846.54</v>
      </c>
    </row>
    <row r="4958" spans="1:2" x14ac:dyDescent="0.25">
      <c r="A4958" s="3">
        <v>46008</v>
      </c>
      <c r="B4958">
        <v>6985.38</v>
      </c>
    </row>
    <row r="4959" spans="1:2" x14ac:dyDescent="0.25">
      <c r="A4959" s="3">
        <v>46010</v>
      </c>
      <c r="B4959">
        <v>6978.21</v>
      </c>
    </row>
    <row r="4960" spans="1:2" x14ac:dyDescent="0.25">
      <c r="A4960" s="3">
        <v>46017</v>
      </c>
      <c r="B4960">
        <v>7011.76</v>
      </c>
    </row>
    <row r="4961" spans="1:2" x14ac:dyDescent="0.25">
      <c r="A4961" s="3">
        <v>46020</v>
      </c>
      <c r="B4961">
        <v>7010.83</v>
      </c>
    </row>
    <row r="4962" spans="1:2" x14ac:dyDescent="0.25">
      <c r="A4962" s="3">
        <v>46024</v>
      </c>
      <c r="B4962">
        <v>7009.53</v>
      </c>
    </row>
    <row r="4963" spans="1:2" x14ac:dyDescent="0.25">
      <c r="A4963" s="3">
        <v>46027</v>
      </c>
      <c r="B4963">
        <v>7005.83</v>
      </c>
    </row>
    <row r="4964" spans="1:2" x14ac:dyDescent="0.25">
      <c r="A4964" s="3">
        <v>46028</v>
      </c>
      <c r="B4964">
        <v>7005.21</v>
      </c>
    </row>
    <row r="4965" spans="1:2" x14ac:dyDescent="0.25">
      <c r="A4965" s="3">
        <v>46029</v>
      </c>
      <c r="B4965">
        <v>7004.58</v>
      </c>
    </row>
    <row r="4966" spans="1:2" x14ac:dyDescent="0.25">
      <c r="A4966" s="3">
        <v>46030</v>
      </c>
      <c r="B4966">
        <v>7002.48</v>
      </c>
    </row>
    <row r="4967" spans="1:2" x14ac:dyDescent="0.25">
      <c r="A4967" s="3">
        <v>46050</v>
      </c>
      <c r="B4967">
        <v>7027.37</v>
      </c>
    </row>
    <row r="4968" spans="1:2" x14ac:dyDescent="0.25">
      <c r="A4968" s="3">
        <v>46051</v>
      </c>
      <c r="B4968">
        <v>7026.08</v>
      </c>
    </row>
    <row r="4969" spans="1:2" x14ac:dyDescent="0.25">
      <c r="A4969" s="3">
        <v>46055</v>
      </c>
      <c r="B4969">
        <v>7014.31</v>
      </c>
    </row>
    <row r="4970" spans="1:2" x14ac:dyDescent="0.25">
      <c r="A4970" s="3">
        <v>46056</v>
      </c>
      <c r="B4970">
        <v>7016.53</v>
      </c>
    </row>
    <row r="4971" spans="1:2" x14ac:dyDescent="0.25">
      <c r="A4971" s="3">
        <v>46057</v>
      </c>
      <c r="B4971">
        <v>7014.84</v>
      </c>
    </row>
    <row r="4972" spans="1:2" x14ac:dyDescent="0.25">
      <c r="A4972" s="3">
        <v>46058</v>
      </c>
      <c r="B4972">
        <v>7013.82</v>
      </c>
    </row>
    <row r="4973" spans="1:2" x14ac:dyDescent="0.25">
      <c r="A4973" s="3">
        <v>46059</v>
      </c>
      <c r="B4973">
        <v>7016.97</v>
      </c>
    </row>
    <row r="4974" spans="1:2" x14ac:dyDescent="0.25">
      <c r="A4974" s="3">
        <v>46062</v>
      </c>
      <c r="B4974">
        <v>7025.3</v>
      </c>
    </row>
    <row r="4975" spans="1:2" x14ac:dyDescent="0.25">
      <c r="A4975" s="3">
        <v>46063</v>
      </c>
      <c r="B4975">
        <v>7025.42</v>
      </c>
    </row>
    <row r="4976" spans="1:2" x14ac:dyDescent="0.25">
      <c r="A4976" s="3">
        <v>46064</v>
      </c>
      <c r="B4976">
        <v>7020.91212</v>
      </c>
    </row>
    <row r="4977" spans="1:2" x14ac:dyDescent="0.25">
      <c r="A4977" s="3">
        <v>46065</v>
      </c>
      <c r="B4977">
        <v>7023.02</v>
      </c>
    </row>
    <row r="4978" spans="1:2" x14ac:dyDescent="0.25">
      <c r="A4978" s="3">
        <v>46071</v>
      </c>
      <c r="B4978">
        <v>7017.49</v>
      </c>
    </row>
    <row r="4979" spans="1:2" x14ac:dyDescent="0.25">
      <c r="A4979" s="3">
        <v>46072</v>
      </c>
      <c r="B4979">
        <v>7012.34</v>
      </c>
    </row>
    <row r="4980" spans="1:2" x14ac:dyDescent="0.25">
      <c r="A4980" s="3">
        <v>46073</v>
      </c>
      <c r="B4980">
        <v>7014.99</v>
      </c>
    </row>
    <row r="4981" spans="1:2" x14ac:dyDescent="0.25">
      <c r="A4981" s="3">
        <v>46076</v>
      </c>
      <c r="B4981">
        <v>7015.54</v>
      </c>
    </row>
    <row r="4982" spans="1:2" x14ac:dyDescent="0.25">
      <c r="A4982" s="3">
        <v>46077</v>
      </c>
      <c r="B4982">
        <v>7013.77</v>
      </c>
    </row>
    <row r="4983" spans="1:2" x14ac:dyDescent="0.25">
      <c r="A4983" s="3">
        <v>46078</v>
      </c>
      <c r="B4983">
        <v>7016.31</v>
      </c>
    </row>
    <row r="4984" spans="1:2" x14ac:dyDescent="0.25">
      <c r="A4984" s="3">
        <v>46083</v>
      </c>
      <c r="B4984">
        <v>7006.39</v>
      </c>
    </row>
    <row r="4985" spans="1:2" x14ac:dyDescent="0.25">
      <c r="A4985" s="3">
        <v>46084</v>
      </c>
      <c r="B4985">
        <v>6997.48</v>
      </c>
    </row>
    <row r="4986" spans="1:2" x14ac:dyDescent="0.25">
      <c r="A4986" s="3">
        <v>46085</v>
      </c>
      <c r="B4986">
        <v>7004.5</v>
      </c>
    </row>
    <row r="4987" spans="1:2" x14ac:dyDescent="0.25">
      <c r="A4987" s="3">
        <v>46086</v>
      </c>
      <c r="B4987">
        <v>7004.66</v>
      </c>
    </row>
    <row r="4988" spans="1:2" x14ac:dyDescent="0.25">
      <c r="A4988" s="3">
        <v>46097</v>
      </c>
      <c r="B4988">
        <v>7003.72</v>
      </c>
    </row>
    <row r="4989" spans="1:2" x14ac:dyDescent="0.25">
      <c r="A4989" s="3">
        <v>46098</v>
      </c>
      <c r="B4989">
        <v>7007.17</v>
      </c>
    </row>
    <row r="4990" spans="1:2" x14ac:dyDescent="0.25">
      <c r="A4990" s="3">
        <v>46099</v>
      </c>
      <c r="B4990">
        <v>7005.85</v>
      </c>
    </row>
    <row r="4991" spans="1:2" x14ac:dyDescent="0.25">
      <c r="A4991" s="3">
        <v>46100</v>
      </c>
      <c r="B4991">
        <v>7004.87</v>
      </c>
    </row>
    <row r="4992" spans="1:2" x14ac:dyDescent="0.25">
      <c r="A4992" s="3">
        <v>46101</v>
      </c>
      <c r="B4992">
        <v>7005.75</v>
      </c>
    </row>
    <row r="4993" spans="1:2" x14ac:dyDescent="0.25">
      <c r="A4993" s="3">
        <v>46104</v>
      </c>
      <c r="B4993">
        <v>7009.43</v>
      </c>
    </row>
    <row r="4994" spans="1:2" x14ac:dyDescent="0.25">
      <c r="A4994" s="3">
        <v>46106</v>
      </c>
      <c r="B4994">
        <v>7009.32</v>
      </c>
    </row>
    <row r="4995" spans="1:2" x14ac:dyDescent="0.25">
      <c r="A4995" s="3">
        <v>46108</v>
      </c>
      <c r="B4995">
        <v>7004.98</v>
      </c>
    </row>
    <row r="4996" spans="1:2" x14ac:dyDescent="0.25">
      <c r="A4996" s="3">
        <v>46111</v>
      </c>
      <c r="B4996">
        <v>6997.4500699999999</v>
      </c>
    </row>
    <row r="4997" spans="1:2" x14ac:dyDescent="0.25">
      <c r="A4997" s="3">
        <v>46126</v>
      </c>
      <c r="B4997">
        <v>7012.23</v>
      </c>
    </row>
    <row r="4998" spans="1:2" x14ac:dyDescent="0.25">
      <c r="A4998" s="3">
        <v>46129</v>
      </c>
      <c r="B4998">
        <v>7012.7</v>
      </c>
    </row>
    <row r="4999" spans="1:2" x14ac:dyDescent="0.25">
      <c r="A4999" s="3">
        <v>46132</v>
      </c>
      <c r="B4999">
        <v>7009.44</v>
      </c>
    </row>
    <row r="5000" spans="1:2" x14ac:dyDescent="0.25">
      <c r="A5000" s="3">
        <v>46133</v>
      </c>
      <c r="B5000">
        <v>7009.84</v>
      </c>
    </row>
    <row r="5001" spans="1:2" x14ac:dyDescent="0.25">
      <c r="A5001" s="3">
        <v>46134</v>
      </c>
      <c r="B5001">
        <v>7104.96</v>
      </c>
    </row>
    <row r="5002" spans="1:2" x14ac:dyDescent="0.25">
      <c r="A5002" s="3">
        <v>46135</v>
      </c>
      <c r="B5002">
        <v>7104.71</v>
      </c>
    </row>
    <row r="5003" spans="1:2" x14ac:dyDescent="0.25">
      <c r="A5003" s="3">
        <v>46136</v>
      </c>
      <c r="B5003">
        <v>7104.07</v>
      </c>
    </row>
    <row r="5004" spans="1:2" x14ac:dyDescent="0.25">
      <c r="A5004" s="3">
        <v>46139</v>
      </c>
      <c r="B5004">
        <v>7107.32</v>
      </c>
    </row>
    <row r="5005" spans="1:2" x14ac:dyDescent="0.25">
      <c r="A5005" s="3">
        <v>46140</v>
      </c>
      <c r="B5005">
        <v>7103.39</v>
      </c>
    </row>
    <row r="5006" spans="1:2" x14ac:dyDescent="0.25">
      <c r="A5006" s="3">
        <v>46141</v>
      </c>
      <c r="B5006">
        <v>7107.46</v>
      </c>
    </row>
    <row r="5007" spans="1:2" x14ac:dyDescent="0.25">
      <c r="A5007" s="3">
        <v>46143</v>
      </c>
      <c r="B5007">
        <v>7112.29</v>
      </c>
    </row>
    <row r="5008" spans="1:2" x14ac:dyDescent="0.25">
      <c r="A5008" s="3">
        <v>46146</v>
      </c>
      <c r="B5008">
        <v>7106.26</v>
      </c>
    </row>
    <row r="5009" spans="1:2" x14ac:dyDescent="0.25">
      <c r="A5009" s="3">
        <v>46147</v>
      </c>
      <c r="B5009">
        <v>7106.93</v>
      </c>
    </row>
    <row r="5010" spans="1:2" x14ac:dyDescent="0.25">
      <c r="A5010" s="3">
        <v>46148</v>
      </c>
      <c r="B5010">
        <v>7114.34</v>
      </c>
    </row>
    <row r="5011" spans="1:2" x14ac:dyDescent="0.25">
      <c r="A5011" s="3">
        <v>46149</v>
      </c>
      <c r="B5011">
        <v>7113.85</v>
      </c>
    </row>
    <row r="5012" spans="1:2" x14ac:dyDescent="0.25">
      <c r="A5012" s="3">
        <v>46153</v>
      </c>
      <c r="B5012">
        <v>7114.08</v>
      </c>
    </row>
    <row r="5013" spans="1:2" x14ac:dyDescent="0.25">
      <c r="A5013" s="3">
        <v>46155</v>
      </c>
      <c r="B5013">
        <v>7107.62</v>
      </c>
    </row>
    <row r="5014" spans="1:2" x14ac:dyDescent="0.25">
      <c r="A5014" s="3">
        <v>46156</v>
      </c>
      <c r="B5014">
        <v>7105.02</v>
      </c>
    </row>
    <row r="5015" spans="1:2" x14ac:dyDescent="0.25">
      <c r="A5015" s="3">
        <v>46157</v>
      </c>
      <c r="B5015">
        <v>7100.06</v>
      </c>
    </row>
    <row r="5016" spans="1:2" x14ac:dyDescent="0.25">
      <c r="A5016" s="3">
        <v>46160</v>
      </c>
      <c r="B5016">
        <v>7101.26</v>
      </c>
    </row>
    <row r="5017" spans="1:2" x14ac:dyDescent="0.25">
      <c r="A5017" s="3">
        <v>46161</v>
      </c>
      <c r="B5017">
        <v>7097.21</v>
      </c>
    </row>
    <row r="5018" spans="1:2" x14ac:dyDescent="0.25">
      <c r="A5018" s="3">
        <v>46162</v>
      </c>
      <c r="B5018">
        <v>7099.59</v>
      </c>
    </row>
    <row r="5019" spans="1:2" x14ac:dyDescent="0.25">
      <c r="A5019" s="3">
        <v>46163</v>
      </c>
      <c r="B5019">
        <v>7097.21</v>
      </c>
    </row>
    <row r="5020" spans="1:2" x14ac:dyDescent="0.25">
      <c r="A5020" s="3">
        <v>46164</v>
      </c>
      <c r="B5020">
        <v>7097.62</v>
      </c>
    </row>
    <row r="5021" spans="1:2" x14ac:dyDescent="0.25">
      <c r="A5021" s="3">
        <v>46168</v>
      </c>
      <c r="B5021">
        <v>7100.03</v>
      </c>
    </row>
    <row r="5022" spans="1:2" x14ac:dyDescent="0.25">
      <c r="A5022" s="3">
        <v>46169</v>
      </c>
      <c r="B5022">
        <v>7099.93</v>
      </c>
    </row>
    <row r="5023" spans="1:2" x14ac:dyDescent="0.25">
      <c r="A5023" s="3">
        <v>46170</v>
      </c>
      <c r="B5023">
        <v>7101.82</v>
      </c>
    </row>
    <row r="5024" spans="1:2" x14ac:dyDescent="0.25">
      <c r="A5024" s="3">
        <v>46171</v>
      </c>
      <c r="B5024">
        <v>7104.01</v>
      </c>
    </row>
    <row r="5025" spans="1:2" x14ac:dyDescent="0.25">
      <c r="A5025" s="3">
        <v>46174</v>
      </c>
      <c r="B5025">
        <v>7099.25</v>
      </c>
    </row>
    <row r="5026" spans="1:2" x14ac:dyDescent="0.25">
      <c r="A5026" s="3">
        <v>46175</v>
      </c>
      <c r="B5026">
        <v>7101.73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9EDD-01A3-4AA5-9B76-31CB2FDB242A}">
  <dimension ref="A1:B319"/>
  <sheetViews>
    <sheetView tabSelected="1" workbookViewId="0">
      <selection activeCell="G14" sqref="G14"/>
    </sheetView>
  </sheetViews>
  <sheetFormatPr defaultRowHeight="15" x14ac:dyDescent="0.25"/>
  <cols>
    <col min="1" max="1" width="11.28515625" bestFit="1" customWidth="1"/>
    <col min="2" max="2" width="13.5703125" style="21" bestFit="1" customWidth="1"/>
  </cols>
  <sheetData>
    <row r="1" spans="1:2" x14ac:dyDescent="0.25">
      <c r="A1" t="s">
        <v>3</v>
      </c>
      <c r="B1" s="21" t="s">
        <v>138</v>
      </c>
    </row>
    <row r="2" spans="1:2" x14ac:dyDescent="0.25">
      <c r="A2" s="3">
        <v>36556</v>
      </c>
      <c r="B2" s="21">
        <v>1394.4599609375</v>
      </c>
    </row>
    <row r="3" spans="1:2" x14ac:dyDescent="0.25">
      <c r="A3" s="3">
        <v>36585</v>
      </c>
      <c r="B3" s="21">
        <v>1366.420043945312</v>
      </c>
    </row>
    <row r="4" spans="1:2" x14ac:dyDescent="0.25">
      <c r="A4" s="3">
        <v>36616</v>
      </c>
      <c r="B4" s="21">
        <v>1498.579956054688</v>
      </c>
    </row>
    <row r="5" spans="1:2" x14ac:dyDescent="0.25">
      <c r="A5" s="3">
        <v>36646</v>
      </c>
      <c r="B5" s="21">
        <v>1452.430053710938</v>
      </c>
    </row>
    <row r="6" spans="1:2" x14ac:dyDescent="0.25">
      <c r="A6" s="3">
        <v>36677</v>
      </c>
      <c r="B6" s="21">
        <v>1420.599975585938</v>
      </c>
    </row>
    <row r="7" spans="1:2" x14ac:dyDescent="0.25">
      <c r="A7" s="3">
        <v>36707</v>
      </c>
      <c r="B7" s="21">
        <v>1454.599975585938</v>
      </c>
    </row>
    <row r="8" spans="1:2" x14ac:dyDescent="0.25">
      <c r="A8" s="3">
        <v>36738</v>
      </c>
      <c r="B8" s="21">
        <v>1430.829956054688</v>
      </c>
    </row>
    <row r="9" spans="1:2" x14ac:dyDescent="0.25">
      <c r="A9" s="3">
        <v>36769</v>
      </c>
      <c r="B9" s="21">
        <v>1517.680053710938</v>
      </c>
    </row>
    <row r="10" spans="1:2" x14ac:dyDescent="0.25">
      <c r="A10" s="3">
        <v>36799</v>
      </c>
      <c r="B10" s="21">
        <v>1436.510009765625</v>
      </c>
    </row>
    <row r="11" spans="1:2" x14ac:dyDescent="0.25">
      <c r="A11" s="3">
        <v>36830</v>
      </c>
      <c r="B11" s="21">
        <v>1429.400024414062</v>
      </c>
    </row>
    <row r="12" spans="1:2" x14ac:dyDescent="0.25">
      <c r="A12" s="3">
        <v>36860</v>
      </c>
      <c r="B12" s="21">
        <v>1314.949951171875</v>
      </c>
    </row>
    <row r="13" spans="1:2" x14ac:dyDescent="0.25">
      <c r="A13" s="3">
        <v>36891</v>
      </c>
      <c r="B13" s="21">
        <v>1320.280029296875</v>
      </c>
    </row>
    <row r="14" spans="1:2" x14ac:dyDescent="0.25">
      <c r="A14" s="3">
        <v>36922</v>
      </c>
      <c r="B14" s="21">
        <v>1366.010009765625</v>
      </c>
    </row>
    <row r="15" spans="1:2" x14ac:dyDescent="0.25">
      <c r="A15" s="3">
        <v>36950</v>
      </c>
      <c r="B15" s="21">
        <v>1239.93994140625</v>
      </c>
    </row>
    <row r="16" spans="1:2" x14ac:dyDescent="0.25">
      <c r="A16" s="3">
        <v>36981</v>
      </c>
      <c r="B16" s="21">
        <v>1160.329956054688</v>
      </c>
    </row>
    <row r="17" spans="1:2" x14ac:dyDescent="0.25">
      <c r="A17" s="3">
        <v>37011</v>
      </c>
      <c r="B17" s="21">
        <v>1249.4599609375</v>
      </c>
    </row>
    <row r="18" spans="1:2" x14ac:dyDescent="0.25">
      <c r="A18" s="3">
        <v>37042</v>
      </c>
      <c r="B18" s="21">
        <v>1255.819946289062</v>
      </c>
    </row>
    <row r="19" spans="1:2" x14ac:dyDescent="0.25">
      <c r="A19" s="3">
        <v>37072</v>
      </c>
      <c r="B19" s="21">
        <v>1224.380004882812</v>
      </c>
    </row>
    <row r="20" spans="1:2" x14ac:dyDescent="0.25">
      <c r="A20" s="3">
        <v>37103</v>
      </c>
      <c r="B20" s="21">
        <v>1211.22998046875</v>
      </c>
    </row>
    <row r="21" spans="1:2" x14ac:dyDescent="0.25">
      <c r="A21" s="3">
        <v>37134</v>
      </c>
      <c r="B21" s="21">
        <v>1133.579956054688</v>
      </c>
    </row>
    <row r="22" spans="1:2" x14ac:dyDescent="0.25">
      <c r="A22" s="3">
        <v>37164</v>
      </c>
      <c r="B22" s="21">
        <v>1040.93994140625</v>
      </c>
    </row>
    <row r="23" spans="1:2" x14ac:dyDescent="0.25">
      <c r="A23" s="3">
        <v>37195</v>
      </c>
      <c r="B23" s="21">
        <v>1059.780029296875</v>
      </c>
    </row>
    <row r="24" spans="1:2" x14ac:dyDescent="0.25">
      <c r="A24" s="3">
        <v>37225</v>
      </c>
      <c r="B24" s="21">
        <v>1139.449951171875</v>
      </c>
    </row>
    <row r="25" spans="1:2" x14ac:dyDescent="0.25">
      <c r="A25" s="3">
        <v>37256</v>
      </c>
      <c r="B25" s="21">
        <v>1148.079956054688</v>
      </c>
    </row>
    <row r="26" spans="1:2" x14ac:dyDescent="0.25">
      <c r="A26" s="3">
        <v>37287</v>
      </c>
      <c r="B26" s="21">
        <v>1130.199951171875</v>
      </c>
    </row>
    <row r="27" spans="1:2" x14ac:dyDescent="0.25">
      <c r="A27" s="3">
        <v>37315</v>
      </c>
      <c r="B27" s="21">
        <v>1106.72998046875</v>
      </c>
    </row>
    <row r="28" spans="1:2" x14ac:dyDescent="0.25">
      <c r="A28" s="3">
        <v>37346</v>
      </c>
      <c r="B28" s="21">
        <v>1147.390014648438</v>
      </c>
    </row>
    <row r="29" spans="1:2" x14ac:dyDescent="0.25">
      <c r="A29" s="3">
        <v>37376</v>
      </c>
      <c r="B29" s="21">
        <v>1076.920043945312</v>
      </c>
    </row>
    <row r="30" spans="1:2" x14ac:dyDescent="0.25">
      <c r="A30" s="3">
        <v>37407</v>
      </c>
      <c r="B30" s="21">
        <v>1067.140014648438</v>
      </c>
    </row>
    <row r="31" spans="1:2" x14ac:dyDescent="0.25">
      <c r="A31" s="3">
        <v>37437</v>
      </c>
      <c r="B31" s="21">
        <v>989.82000732421875</v>
      </c>
    </row>
    <row r="32" spans="1:2" x14ac:dyDescent="0.25">
      <c r="A32" s="3">
        <v>37468</v>
      </c>
      <c r="B32" s="21">
        <v>911.6199951171875</v>
      </c>
    </row>
    <row r="33" spans="1:2" x14ac:dyDescent="0.25">
      <c r="A33" s="3">
        <v>37499</v>
      </c>
      <c r="B33" s="21">
        <v>916.07000732421875</v>
      </c>
    </row>
    <row r="34" spans="1:2" x14ac:dyDescent="0.25">
      <c r="A34" s="3">
        <v>37529</v>
      </c>
      <c r="B34" s="21">
        <v>815.280029296875</v>
      </c>
    </row>
    <row r="35" spans="1:2" x14ac:dyDescent="0.25">
      <c r="A35" s="3">
        <v>37560</v>
      </c>
      <c r="B35" s="21">
        <v>885.760009765625</v>
      </c>
    </row>
    <row r="36" spans="1:2" x14ac:dyDescent="0.25">
      <c r="A36" s="3">
        <v>37590</v>
      </c>
      <c r="B36" s="21">
        <v>936.30999755859375</v>
      </c>
    </row>
    <row r="37" spans="1:2" x14ac:dyDescent="0.25">
      <c r="A37" s="3">
        <v>37621</v>
      </c>
      <c r="B37" s="21">
        <v>879.82000732421875</v>
      </c>
    </row>
    <row r="38" spans="1:2" x14ac:dyDescent="0.25">
      <c r="A38" s="3">
        <v>37652</v>
      </c>
      <c r="B38" s="21">
        <v>855.70001220703125</v>
      </c>
    </row>
    <row r="39" spans="1:2" x14ac:dyDescent="0.25">
      <c r="A39" s="3">
        <v>37680</v>
      </c>
      <c r="B39" s="21">
        <v>841.1500244140625</v>
      </c>
    </row>
    <row r="40" spans="1:2" x14ac:dyDescent="0.25">
      <c r="A40" s="3">
        <v>37711</v>
      </c>
      <c r="B40" s="21">
        <v>848.17999267578125</v>
      </c>
    </row>
    <row r="41" spans="1:2" x14ac:dyDescent="0.25">
      <c r="A41" s="3">
        <v>37741</v>
      </c>
      <c r="B41" s="21">
        <v>916.91998291015625</v>
      </c>
    </row>
    <row r="42" spans="1:2" x14ac:dyDescent="0.25">
      <c r="A42" s="3">
        <v>37772</v>
      </c>
      <c r="B42" s="21">
        <v>963.59002685546875</v>
      </c>
    </row>
    <row r="43" spans="1:2" x14ac:dyDescent="0.25">
      <c r="A43" s="3">
        <v>37802</v>
      </c>
      <c r="B43" s="21">
        <v>974.5</v>
      </c>
    </row>
    <row r="44" spans="1:2" x14ac:dyDescent="0.25">
      <c r="A44" s="3">
        <v>37833</v>
      </c>
      <c r="B44" s="21">
        <v>990.30999755859375</v>
      </c>
    </row>
    <row r="45" spans="1:2" x14ac:dyDescent="0.25">
      <c r="A45" s="3">
        <v>37864</v>
      </c>
      <c r="B45" s="21">
        <v>1008.010009765625</v>
      </c>
    </row>
    <row r="46" spans="1:2" x14ac:dyDescent="0.25">
      <c r="A46" s="3">
        <v>37894</v>
      </c>
      <c r="B46" s="21">
        <v>995.969970703125</v>
      </c>
    </row>
    <row r="47" spans="1:2" x14ac:dyDescent="0.25">
      <c r="A47" s="3">
        <v>37925</v>
      </c>
      <c r="B47" s="21">
        <v>1050.7099609375</v>
      </c>
    </row>
    <row r="48" spans="1:2" x14ac:dyDescent="0.25">
      <c r="A48" s="3">
        <v>37955</v>
      </c>
      <c r="B48" s="21">
        <v>1058.199951171875</v>
      </c>
    </row>
    <row r="49" spans="1:2" x14ac:dyDescent="0.25">
      <c r="A49" s="3">
        <v>37986</v>
      </c>
      <c r="B49" s="21">
        <v>1111.920043945312</v>
      </c>
    </row>
    <row r="50" spans="1:2" x14ac:dyDescent="0.25">
      <c r="A50" s="3">
        <v>38017</v>
      </c>
      <c r="B50" s="21">
        <v>1131.130004882812</v>
      </c>
    </row>
    <row r="51" spans="1:2" x14ac:dyDescent="0.25">
      <c r="A51" s="3">
        <v>38046</v>
      </c>
      <c r="B51" s="21">
        <v>1144.93994140625</v>
      </c>
    </row>
    <row r="52" spans="1:2" x14ac:dyDescent="0.25">
      <c r="A52" s="3">
        <v>38077</v>
      </c>
      <c r="B52" s="21">
        <v>1126.2099609375</v>
      </c>
    </row>
    <row r="53" spans="1:2" x14ac:dyDescent="0.25">
      <c r="A53" s="3">
        <v>38107</v>
      </c>
      <c r="B53" s="21">
        <v>1107.300048828125</v>
      </c>
    </row>
    <row r="54" spans="1:2" x14ac:dyDescent="0.25">
      <c r="A54" s="3">
        <v>38138</v>
      </c>
      <c r="B54" s="21">
        <v>1120.680053710938</v>
      </c>
    </row>
    <row r="55" spans="1:2" x14ac:dyDescent="0.25">
      <c r="A55" s="3">
        <v>38168</v>
      </c>
      <c r="B55" s="21">
        <v>1140.839965820312</v>
      </c>
    </row>
    <row r="56" spans="1:2" x14ac:dyDescent="0.25">
      <c r="A56" s="3">
        <v>38199</v>
      </c>
      <c r="B56" s="21">
        <v>1101.719970703125</v>
      </c>
    </row>
    <row r="57" spans="1:2" x14ac:dyDescent="0.25">
      <c r="A57" s="3">
        <v>38230</v>
      </c>
      <c r="B57" s="21">
        <v>1104.239990234375</v>
      </c>
    </row>
    <row r="58" spans="1:2" x14ac:dyDescent="0.25">
      <c r="A58" s="3">
        <v>38260</v>
      </c>
      <c r="B58" s="21">
        <v>1114.579956054688</v>
      </c>
    </row>
    <row r="59" spans="1:2" x14ac:dyDescent="0.25">
      <c r="A59" s="3">
        <v>38291</v>
      </c>
      <c r="B59" s="21">
        <v>1130.199951171875</v>
      </c>
    </row>
    <row r="60" spans="1:2" x14ac:dyDescent="0.25">
      <c r="A60" s="3">
        <v>38321</v>
      </c>
      <c r="B60" s="21">
        <v>1173.819946289062</v>
      </c>
    </row>
    <row r="61" spans="1:2" x14ac:dyDescent="0.25">
      <c r="A61" s="3">
        <v>38352</v>
      </c>
      <c r="B61" s="21">
        <v>1211.920043945312</v>
      </c>
    </row>
    <row r="62" spans="1:2" x14ac:dyDescent="0.25">
      <c r="A62" s="3">
        <v>38383</v>
      </c>
      <c r="B62" s="21">
        <v>1181.27001953125</v>
      </c>
    </row>
    <row r="63" spans="1:2" x14ac:dyDescent="0.25">
      <c r="A63" s="3">
        <v>38411</v>
      </c>
      <c r="B63" s="21">
        <v>1203.599975585938</v>
      </c>
    </row>
    <row r="64" spans="1:2" x14ac:dyDescent="0.25">
      <c r="A64" s="3">
        <v>38442</v>
      </c>
      <c r="B64" s="21">
        <v>1180.589965820312</v>
      </c>
    </row>
    <row r="65" spans="1:2" x14ac:dyDescent="0.25">
      <c r="A65" s="3">
        <v>38472</v>
      </c>
      <c r="B65" s="21">
        <v>1156.849975585938</v>
      </c>
    </row>
    <row r="66" spans="1:2" x14ac:dyDescent="0.25">
      <c r="A66" s="3">
        <v>38503</v>
      </c>
      <c r="B66" s="21">
        <v>1191.5</v>
      </c>
    </row>
    <row r="67" spans="1:2" x14ac:dyDescent="0.25">
      <c r="A67" s="3">
        <v>38533</v>
      </c>
      <c r="B67" s="21">
        <v>1191.329956054688</v>
      </c>
    </row>
    <row r="68" spans="1:2" x14ac:dyDescent="0.25">
      <c r="A68" s="3">
        <v>38564</v>
      </c>
      <c r="B68" s="21">
        <v>1234.180053710938</v>
      </c>
    </row>
    <row r="69" spans="1:2" x14ac:dyDescent="0.25">
      <c r="A69" s="3">
        <v>38595</v>
      </c>
      <c r="B69" s="21">
        <v>1220.329956054688</v>
      </c>
    </row>
    <row r="70" spans="1:2" x14ac:dyDescent="0.25">
      <c r="A70" s="3">
        <v>38625</v>
      </c>
      <c r="B70" s="21">
        <v>1228.81005859375</v>
      </c>
    </row>
    <row r="71" spans="1:2" x14ac:dyDescent="0.25">
      <c r="A71" s="3">
        <v>38656</v>
      </c>
      <c r="B71" s="21">
        <v>1207.010009765625</v>
      </c>
    </row>
    <row r="72" spans="1:2" x14ac:dyDescent="0.25">
      <c r="A72" s="3">
        <v>38686</v>
      </c>
      <c r="B72" s="21">
        <v>1249.47998046875</v>
      </c>
    </row>
    <row r="73" spans="1:2" x14ac:dyDescent="0.25">
      <c r="A73" s="3">
        <v>38717</v>
      </c>
      <c r="B73" s="21">
        <v>1248.2900390625</v>
      </c>
    </row>
    <row r="74" spans="1:2" x14ac:dyDescent="0.25">
      <c r="A74" s="3">
        <v>38748</v>
      </c>
      <c r="B74" s="21">
        <v>1280.079956054688</v>
      </c>
    </row>
    <row r="75" spans="1:2" x14ac:dyDescent="0.25">
      <c r="A75" s="3">
        <v>38776</v>
      </c>
      <c r="B75" s="21">
        <v>1280.660034179688</v>
      </c>
    </row>
    <row r="76" spans="1:2" x14ac:dyDescent="0.25">
      <c r="A76" s="3">
        <v>38807</v>
      </c>
      <c r="B76" s="21">
        <v>1294.869995117188</v>
      </c>
    </row>
    <row r="77" spans="1:2" x14ac:dyDescent="0.25">
      <c r="A77" s="3">
        <v>38837</v>
      </c>
      <c r="B77" s="21">
        <v>1310.609985351562</v>
      </c>
    </row>
    <row r="78" spans="1:2" x14ac:dyDescent="0.25">
      <c r="A78" s="3">
        <v>38868</v>
      </c>
      <c r="B78" s="21">
        <v>1270.089965820312</v>
      </c>
    </row>
    <row r="79" spans="1:2" x14ac:dyDescent="0.25">
      <c r="A79" s="3">
        <v>38898</v>
      </c>
      <c r="B79" s="21">
        <v>1270.199951171875</v>
      </c>
    </row>
    <row r="80" spans="1:2" x14ac:dyDescent="0.25">
      <c r="A80" s="3">
        <v>38929</v>
      </c>
      <c r="B80" s="21">
        <v>1276.660034179688</v>
      </c>
    </row>
    <row r="81" spans="1:2" x14ac:dyDescent="0.25">
      <c r="A81" s="3">
        <v>38960</v>
      </c>
      <c r="B81" s="21">
        <v>1303.819946289062</v>
      </c>
    </row>
    <row r="82" spans="1:2" x14ac:dyDescent="0.25">
      <c r="A82" s="3">
        <v>38990</v>
      </c>
      <c r="B82" s="21">
        <v>1335.849975585938</v>
      </c>
    </row>
    <row r="83" spans="1:2" x14ac:dyDescent="0.25">
      <c r="A83" s="3">
        <v>39021</v>
      </c>
      <c r="B83" s="21">
        <v>1377.93994140625</v>
      </c>
    </row>
    <row r="84" spans="1:2" x14ac:dyDescent="0.25">
      <c r="A84" s="3">
        <v>39051</v>
      </c>
      <c r="B84" s="21">
        <v>1400.630004882812</v>
      </c>
    </row>
    <row r="85" spans="1:2" x14ac:dyDescent="0.25">
      <c r="A85" s="3">
        <v>39082</v>
      </c>
      <c r="B85" s="21">
        <v>1418.300048828125</v>
      </c>
    </row>
    <row r="86" spans="1:2" x14ac:dyDescent="0.25">
      <c r="A86" s="3">
        <v>39113</v>
      </c>
      <c r="B86" s="21">
        <v>1438.239990234375</v>
      </c>
    </row>
    <row r="87" spans="1:2" x14ac:dyDescent="0.25">
      <c r="A87" s="3">
        <v>39141</v>
      </c>
      <c r="B87" s="21">
        <v>1406.819946289062</v>
      </c>
    </row>
    <row r="88" spans="1:2" x14ac:dyDescent="0.25">
      <c r="A88" s="3">
        <v>39172</v>
      </c>
      <c r="B88" s="21">
        <v>1420.859985351562</v>
      </c>
    </row>
    <row r="89" spans="1:2" x14ac:dyDescent="0.25">
      <c r="A89" s="3">
        <v>39202</v>
      </c>
      <c r="B89" s="21">
        <v>1482.369995117188</v>
      </c>
    </row>
    <row r="90" spans="1:2" x14ac:dyDescent="0.25">
      <c r="A90" s="3">
        <v>39233</v>
      </c>
      <c r="B90" s="21">
        <v>1530.619995117188</v>
      </c>
    </row>
    <row r="91" spans="1:2" x14ac:dyDescent="0.25">
      <c r="A91" s="3">
        <v>39263</v>
      </c>
      <c r="B91" s="21">
        <v>1503.349975585938</v>
      </c>
    </row>
    <row r="92" spans="1:2" x14ac:dyDescent="0.25">
      <c r="A92" s="3">
        <v>39294</v>
      </c>
      <c r="B92" s="21">
        <v>1455.27001953125</v>
      </c>
    </row>
    <row r="93" spans="1:2" x14ac:dyDescent="0.25">
      <c r="A93" s="3">
        <v>39325</v>
      </c>
      <c r="B93" s="21">
        <v>1473.989990234375</v>
      </c>
    </row>
    <row r="94" spans="1:2" x14ac:dyDescent="0.25">
      <c r="A94" s="3">
        <v>39355</v>
      </c>
      <c r="B94" s="21">
        <v>1526.75</v>
      </c>
    </row>
    <row r="95" spans="1:2" x14ac:dyDescent="0.25">
      <c r="A95" s="3">
        <v>39386</v>
      </c>
      <c r="B95" s="21">
        <v>1549.380004882812</v>
      </c>
    </row>
    <row r="96" spans="1:2" x14ac:dyDescent="0.25">
      <c r="A96" s="3">
        <v>39416</v>
      </c>
      <c r="B96" s="21">
        <v>1481.140014648438</v>
      </c>
    </row>
    <row r="97" spans="1:2" x14ac:dyDescent="0.25">
      <c r="A97" s="3">
        <v>39447</v>
      </c>
      <c r="B97" s="21">
        <v>1468.359985351562</v>
      </c>
    </row>
    <row r="98" spans="1:2" x14ac:dyDescent="0.25">
      <c r="A98" s="3">
        <v>39478</v>
      </c>
      <c r="B98" s="21">
        <v>1378.550048828125</v>
      </c>
    </row>
    <row r="99" spans="1:2" x14ac:dyDescent="0.25">
      <c r="A99" s="3">
        <v>39507</v>
      </c>
      <c r="B99" s="21">
        <v>1330.630004882812</v>
      </c>
    </row>
    <row r="100" spans="1:2" x14ac:dyDescent="0.25">
      <c r="A100" s="3">
        <v>39538</v>
      </c>
      <c r="B100" s="21">
        <v>1322.699951171875</v>
      </c>
    </row>
    <row r="101" spans="1:2" x14ac:dyDescent="0.25">
      <c r="A101" s="3">
        <v>39568</v>
      </c>
      <c r="B101" s="21">
        <v>1385.589965820312</v>
      </c>
    </row>
    <row r="102" spans="1:2" x14ac:dyDescent="0.25">
      <c r="A102" s="3">
        <v>39599</v>
      </c>
      <c r="B102" s="21">
        <v>1400.380004882812</v>
      </c>
    </row>
    <row r="103" spans="1:2" x14ac:dyDescent="0.25">
      <c r="A103" s="3">
        <v>39629</v>
      </c>
      <c r="B103" s="21">
        <v>1280</v>
      </c>
    </row>
    <row r="104" spans="1:2" x14ac:dyDescent="0.25">
      <c r="A104" s="3">
        <v>39660</v>
      </c>
      <c r="B104" s="21">
        <v>1267.380004882812</v>
      </c>
    </row>
    <row r="105" spans="1:2" x14ac:dyDescent="0.25">
      <c r="A105" s="3">
        <v>39691</v>
      </c>
      <c r="B105" s="21">
        <v>1282.829956054688</v>
      </c>
    </row>
    <row r="106" spans="1:2" x14ac:dyDescent="0.25">
      <c r="A106" s="3">
        <v>39721</v>
      </c>
      <c r="B106" s="21">
        <v>1166.359985351562</v>
      </c>
    </row>
    <row r="107" spans="1:2" x14ac:dyDescent="0.25">
      <c r="A107" s="3">
        <v>39752</v>
      </c>
      <c r="B107" s="21">
        <v>968.75</v>
      </c>
    </row>
    <row r="108" spans="1:2" x14ac:dyDescent="0.25">
      <c r="A108" s="3">
        <v>39782</v>
      </c>
      <c r="B108" s="21">
        <v>896.239990234375</v>
      </c>
    </row>
    <row r="109" spans="1:2" x14ac:dyDescent="0.25">
      <c r="A109" s="3">
        <v>39813</v>
      </c>
      <c r="B109" s="21">
        <v>903.25</v>
      </c>
    </row>
    <row r="110" spans="1:2" x14ac:dyDescent="0.25">
      <c r="A110" s="3">
        <v>39844</v>
      </c>
      <c r="B110" s="21">
        <v>825.8800048828125</v>
      </c>
    </row>
    <row r="111" spans="1:2" x14ac:dyDescent="0.25">
      <c r="A111" s="3">
        <v>39872</v>
      </c>
      <c r="B111" s="21">
        <v>735.09002685546875</v>
      </c>
    </row>
    <row r="112" spans="1:2" x14ac:dyDescent="0.25">
      <c r="A112" s="3">
        <v>39903</v>
      </c>
      <c r="B112" s="21">
        <v>797.8699951171875</v>
      </c>
    </row>
    <row r="113" spans="1:2" x14ac:dyDescent="0.25">
      <c r="A113" s="3">
        <v>39933</v>
      </c>
      <c r="B113" s="21">
        <v>872.80999755859375</v>
      </c>
    </row>
    <row r="114" spans="1:2" x14ac:dyDescent="0.25">
      <c r="A114" s="3">
        <v>39964</v>
      </c>
      <c r="B114" s="21">
        <v>919.1400146484375</v>
      </c>
    </row>
    <row r="115" spans="1:2" x14ac:dyDescent="0.25">
      <c r="A115" s="3">
        <v>39994</v>
      </c>
      <c r="B115" s="21">
        <v>919.32000732421875</v>
      </c>
    </row>
    <row r="116" spans="1:2" x14ac:dyDescent="0.25">
      <c r="A116" s="3">
        <v>40025</v>
      </c>
      <c r="B116" s="21">
        <v>987.47998046875</v>
      </c>
    </row>
    <row r="117" spans="1:2" x14ac:dyDescent="0.25">
      <c r="A117" s="3">
        <v>40056</v>
      </c>
      <c r="B117" s="21">
        <v>1020.619995117188</v>
      </c>
    </row>
    <row r="118" spans="1:2" x14ac:dyDescent="0.25">
      <c r="A118" s="3">
        <v>40086</v>
      </c>
      <c r="B118" s="21">
        <v>1057.079956054688</v>
      </c>
    </row>
    <row r="119" spans="1:2" x14ac:dyDescent="0.25">
      <c r="A119" s="3">
        <v>40117</v>
      </c>
      <c r="B119" s="21">
        <v>1036.18994140625</v>
      </c>
    </row>
    <row r="120" spans="1:2" x14ac:dyDescent="0.25">
      <c r="A120" s="3">
        <v>40147</v>
      </c>
      <c r="B120" s="21">
        <v>1095.630004882812</v>
      </c>
    </row>
    <row r="121" spans="1:2" x14ac:dyDescent="0.25">
      <c r="A121" s="3">
        <v>40178</v>
      </c>
      <c r="B121" s="21">
        <v>1115.099975585938</v>
      </c>
    </row>
    <row r="122" spans="1:2" x14ac:dyDescent="0.25">
      <c r="A122" s="3">
        <v>40209</v>
      </c>
      <c r="B122" s="21">
        <v>1073.869995117188</v>
      </c>
    </row>
    <row r="123" spans="1:2" x14ac:dyDescent="0.25">
      <c r="A123" s="3">
        <v>40237</v>
      </c>
      <c r="B123" s="21">
        <v>1104.489990234375</v>
      </c>
    </row>
    <row r="124" spans="1:2" x14ac:dyDescent="0.25">
      <c r="A124" s="3">
        <v>40268</v>
      </c>
      <c r="B124" s="21">
        <v>1169.430053710938</v>
      </c>
    </row>
    <row r="125" spans="1:2" x14ac:dyDescent="0.25">
      <c r="A125" s="3">
        <v>40298</v>
      </c>
      <c r="B125" s="21">
        <v>1186.68994140625</v>
      </c>
    </row>
    <row r="126" spans="1:2" x14ac:dyDescent="0.25">
      <c r="A126" s="3">
        <v>40329</v>
      </c>
      <c r="B126" s="21">
        <v>1089.410034179688</v>
      </c>
    </row>
    <row r="127" spans="1:2" x14ac:dyDescent="0.25">
      <c r="A127" s="3">
        <v>40359</v>
      </c>
      <c r="B127" s="21">
        <v>1030.7099609375</v>
      </c>
    </row>
    <row r="128" spans="1:2" x14ac:dyDescent="0.25">
      <c r="A128" s="3">
        <v>40390</v>
      </c>
      <c r="B128" s="21">
        <v>1101.599975585938</v>
      </c>
    </row>
    <row r="129" spans="1:2" x14ac:dyDescent="0.25">
      <c r="A129" s="3">
        <v>40421</v>
      </c>
      <c r="B129" s="21">
        <v>1049.329956054688</v>
      </c>
    </row>
    <row r="130" spans="1:2" x14ac:dyDescent="0.25">
      <c r="A130" s="3">
        <v>40451</v>
      </c>
      <c r="B130" s="21">
        <v>1141.199951171875</v>
      </c>
    </row>
    <row r="131" spans="1:2" x14ac:dyDescent="0.25">
      <c r="A131" s="3">
        <v>40482</v>
      </c>
      <c r="B131" s="21">
        <v>1183.260009765625</v>
      </c>
    </row>
    <row r="132" spans="1:2" x14ac:dyDescent="0.25">
      <c r="A132" s="3">
        <v>40512</v>
      </c>
      <c r="B132" s="21">
        <v>1180.550048828125</v>
      </c>
    </row>
    <row r="133" spans="1:2" x14ac:dyDescent="0.25">
      <c r="A133" s="3">
        <v>40543</v>
      </c>
      <c r="B133" s="21">
        <v>1257.640014648438</v>
      </c>
    </row>
    <row r="134" spans="1:2" x14ac:dyDescent="0.25">
      <c r="A134" s="3">
        <v>40574</v>
      </c>
      <c r="B134" s="21">
        <v>1286.119995117188</v>
      </c>
    </row>
    <row r="135" spans="1:2" x14ac:dyDescent="0.25">
      <c r="A135" s="3">
        <v>40602</v>
      </c>
      <c r="B135" s="21">
        <v>1327.219970703125</v>
      </c>
    </row>
    <row r="136" spans="1:2" x14ac:dyDescent="0.25">
      <c r="A136" s="3">
        <v>40633</v>
      </c>
      <c r="B136" s="21">
        <v>1325.829956054688</v>
      </c>
    </row>
    <row r="137" spans="1:2" x14ac:dyDescent="0.25">
      <c r="A137" s="3">
        <v>40663</v>
      </c>
      <c r="B137" s="21">
        <v>1363.609985351562</v>
      </c>
    </row>
    <row r="138" spans="1:2" x14ac:dyDescent="0.25">
      <c r="A138" s="3">
        <v>40694</v>
      </c>
      <c r="B138" s="21">
        <v>1345.199951171875</v>
      </c>
    </row>
    <row r="139" spans="1:2" x14ac:dyDescent="0.25">
      <c r="A139" s="3">
        <v>40724</v>
      </c>
      <c r="B139" s="21">
        <v>1320.640014648438</v>
      </c>
    </row>
    <row r="140" spans="1:2" x14ac:dyDescent="0.25">
      <c r="A140" s="3">
        <v>40755</v>
      </c>
      <c r="B140" s="21">
        <v>1292.280029296875</v>
      </c>
    </row>
    <row r="141" spans="1:2" x14ac:dyDescent="0.25">
      <c r="A141" s="3">
        <v>40786</v>
      </c>
      <c r="B141" s="21">
        <v>1218.890014648438</v>
      </c>
    </row>
    <row r="142" spans="1:2" x14ac:dyDescent="0.25">
      <c r="A142" s="3">
        <v>40816</v>
      </c>
      <c r="B142" s="21">
        <v>1131.420043945312</v>
      </c>
    </row>
    <row r="143" spans="1:2" x14ac:dyDescent="0.25">
      <c r="A143" s="3">
        <v>40847</v>
      </c>
      <c r="B143" s="21">
        <v>1253.300048828125</v>
      </c>
    </row>
    <row r="144" spans="1:2" x14ac:dyDescent="0.25">
      <c r="A144" s="3">
        <v>40877</v>
      </c>
      <c r="B144" s="21">
        <v>1246.9599609375</v>
      </c>
    </row>
    <row r="145" spans="1:2" x14ac:dyDescent="0.25">
      <c r="A145" s="3">
        <v>40908</v>
      </c>
      <c r="B145" s="21">
        <v>1257.599975585938</v>
      </c>
    </row>
    <row r="146" spans="1:2" x14ac:dyDescent="0.25">
      <c r="A146" s="3">
        <v>40939</v>
      </c>
      <c r="B146" s="21">
        <v>1312.410034179688</v>
      </c>
    </row>
    <row r="147" spans="1:2" x14ac:dyDescent="0.25">
      <c r="A147" s="3">
        <v>40968</v>
      </c>
      <c r="B147" s="21">
        <v>1365.680053710938</v>
      </c>
    </row>
    <row r="148" spans="1:2" x14ac:dyDescent="0.25">
      <c r="A148" s="3">
        <v>40999</v>
      </c>
      <c r="B148" s="21">
        <v>1408.469970703125</v>
      </c>
    </row>
    <row r="149" spans="1:2" x14ac:dyDescent="0.25">
      <c r="A149" s="3">
        <v>41029</v>
      </c>
      <c r="B149" s="21">
        <v>1397.910034179688</v>
      </c>
    </row>
    <row r="150" spans="1:2" x14ac:dyDescent="0.25">
      <c r="A150" s="3">
        <v>41060</v>
      </c>
      <c r="B150" s="21">
        <v>1310.329956054688</v>
      </c>
    </row>
    <row r="151" spans="1:2" x14ac:dyDescent="0.25">
      <c r="A151" s="3">
        <v>41090</v>
      </c>
      <c r="B151" s="21">
        <v>1362.160034179688</v>
      </c>
    </row>
    <row r="152" spans="1:2" x14ac:dyDescent="0.25">
      <c r="A152" s="3">
        <v>41121</v>
      </c>
      <c r="B152" s="21">
        <v>1379.319946289062</v>
      </c>
    </row>
    <row r="153" spans="1:2" x14ac:dyDescent="0.25">
      <c r="A153" s="3">
        <v>41152</v>
      </c>
      <c r="B153" s="21">
        <v>1406.579956054688</v>
      </c>
    </row>
    <row r="154" spans="1:2" x14ac:dyDescent="0.25">
      <c r="A154" s="3">
        <v>41182</v>
      </c>
      <c r="B154" s="21">
        <v>1440.670043945312</v>
      </c>
    </row>
    <row r="155" spans="1:2" x14ac:dyDescent="0.25">
      <c r="A155" s="3">
        <v>41213</v>
      </c>
      <c r="B155" s="21">
        <v>1412.160034179688</v>
      </c>
    </row>
    <row r="156" spans="1:2" x14ac:dyDescent="0.25">
      <c r="A156" s="3">
        <v>41243</v>
      </c>
      <c r="B156" s="21">
        <v>1416.180053710938</v>
      </c>
    </row>
    <row r="157" spans="1:2" x14ac:dyDescent="0.25">
      <c r="A157" s="3">
        <v>41274</v>
      </c>
      <c r="B157" s="21">
        <v>1426.18994140625</v>
      </c>
    </row>
    <row r="158" spans="1:2" x14ac:dyDescent="0.25">
      <c r="A158" s="3">
        <v>41305</v>
      </c>
      <c r="B158" s="21">
        <v>1498.109985351562</v>
      </c>
    </row>
    <row r="159" spans="1:2" x14ac:dyDescent="0.25">
      <c r="A159" s="3">
        <v>41333</v>
      </c>
      <c r="B159" s="21">
        <v>1514.680053710938</v>
      </c>
    </row>
    <row r="160" spans="1:2" x14ac:dyDescent="0.25">
      <c r="A160" s="3">
        <v>41364</v>
      </c>
      <c r="B160" s="21">
        <v>1569.18994140625</v>
      </c>
    </row>
    <row r="161" spans="1:2" x14ac:dyDescent="0.25">
      <c r="A161" s="3">
        <v>41394</v>
      </c>
      <c r="B161" s="21">
        <v>1597.569946289062</v>
      </c>
    </row>
    <row r="162" spans="1:2" x14ac:dyDescent="0.25">
      <c r="A162" s="3">
        <v>41425</v>
      </c>
      <c r="B162" s="21">
        <v>1630.739990234375</v>
      </c>
    </row>
    <row r="163" spans="1:2" x14ac:dyDescent="0.25">
      <c r="A163" s="3">
        <v>41455</v>
      </c>
      <c r="B163" s="21">
        <v>1606.280029296875</v>
      </c>
    </row>
    <row r="164" spans="1:2" x14ac:dyDescent="0.25">
      <c r="A164" s="3">
        <v>41486</v>
      </c>
      <c r="B164" s="21">
        <v>1685.72998046875</v>
      </c>
    </row>
    <row r="165" spans="1:2" x14ac:dyDescent="0.25">
      <c r="A165" s="3">
        <v>41517</v>
      </c>
      <c r="B165" s="21">
        <v>1632.969970703125</v>
      </c>
    </row>
    <row r="166" spans="1:2" x14ac:dyDescent="0.25">
      <c r="A166" s="3">
        <v>41547</v>
      </c>
      <c r="B166" s="21">
        <v>1681.550048828125</v>
      </c>
    </row>
    <row r="167" spans="1:2" x14ac:dyDescent="0.25">
      <c r="A167" s="3">
        <v>41578</v>
      </c>
      <c r="B167" s="21">
        <v>1756.5400390625</v>
      </c>
    </row>
    <row r="168" spans="1:2" x14ac:dyDescent="0.25">
      <c r="A168" s="3">
        <v>41608</v>
      </c>
      <c r="B168" s="21">
        <v>1805.81005859375</v>
      </c>
    </row>
    <row r="169" spans="1:2" x14ac:dyDescent="0.25">
      <c r="A169" s="3">
        <v>41639</v>
      </c>
      <c r="B169" s="21">
        <v>1848.359985351562</v>
      </c>
    </row>
    <row r="170" spans="1:2" x14ac:dyDescent="0.25">
      <c r="A170" s="3">
        <v>41670</v>
      </c>
      <c r="B170" s="21">
        <v>1782.589965820312</v>
      </c>
    </row>
    <row r="171" spans="1:2" x14ac:dyDescent="0.25">
      <c r="A171" s="3">
        <v>41698</v>
      </c>
      <c r="B171" s="21">
        <v>1859.449951171875</v>
      </c>
    </row>
    <row r="172" spans="1:2" x14ac:dyDescent="0.25">
      <c r="A172" s="3">
        <v>41729</v>
      </c>
      <c r="B172" s="21">
        <v>1872.339965820312</v>
      </c>
    </row>
    <row r="173" spans="1:2" x14ac:dyDescent="0.25">
      <c r="A173" s="3">
        <v>41759</v>
      </c>
      <c r="B173" s="21">
        <v>1883.949951171875</v>
      </c>
    </row>
    <row r="174" spans="1:2" x14ac:dyDescent="0.25">
      <c r="A174" s="3">
        <v>41790</v>
      </c>
      <c r="B174" s="21">
        <v>1923.569946289062</v>
      </c>
    </row>
    <row r="175" spans="1:2" x14ac:dyDescent="0.25">
      <c r="A175" s="3">
        <v>41820</v>
      </c>
      <c r="B175" s="21">
        <v>1960.22998046875</v>
      </c>
    </row>
    <row r="176" spans="1:2" x14ac:dyDescent="0.25">
      <c r="A176" s="3">
        <v>41851</v>
      </c>
      <c r="B176" s="21">
        <v>1930.670043945312</v>
      </c>
    </row>
    <row r="177" spans="1:2" x14ac:dyDescent="0.25">
      <c r="A177" s="3">
        <v>41882</v>
      </c>
      <c r="B177" s="21">
        <v>2003.369995117188</v>
      </c>
    </row>
    <row r="178" spans="1:2" x14ac:dyDescent="0.25">
      <c r="A178" s="3">
        <v>41912</v>
      </c>
      <c r="B178" s="21">
        <v>1972.2900390625</v>
      </c>
    </row>
    <row r="179" spans="1:2" x14ac:dyDescent="0.25">
      <c r="A179" s="3">
        <v>41943</v>
      </c>
      <c r="B179" s="21">
        <v>2018.050048828125</v>
      </c>
    </row>
    <row r="180" spans="1:2" x14ac:dyDescent="0.25">
      <c r="A180" s="3">
        <v>41973</v>
      </c>
      <c r="B180" s="21">
        <v>2067.56005859375</v>
      </c>
    </row>
    <row r="181" spans="1:2" x14ac:dyDescent="0.25">
      <c r="A181" s="3">
        <v>42004</v>
      </c>
      <c r="B181" s="21">
        <v>2058.89990234375</v>
      </c>
    </row>
    <row r="182" spans="1:2" x14ac:dyDescent="0.25">
      <c r="A182" s="3">
        <v>42035</v>
      </c>
      <c r="B182" s="21">
        <v>1994.989990234375</v>
      </c>
    </row>
    <row r="183" spans="1:2" x14ac:dyDescent="0.25">
      <c r="A183" s="3">
        <v>42063</v>
      </c>
      <c r="B183" s="21">
        <v>2104.5</v>
      </c>
    </row>
    <row r="184" spans="1:2" x14ac:dyDescent="0.25">
      <c r="A184" s="3">
        <v>42094</v>
      </c>
      <c r="B184" s="21">
        <v>2067.889892578125</v>
      </c>
    </row>
    <row r="185" spans="1:2" x14ac:dyDescent="0.25">
      <c r="A185" s="3">
        <v>42124</v>
      </c>
      <c r="B185" s="21">
        <v>2085.510009765625</v>
      </c>
    </row>
    <row r="186" spans="1:2" x14ac:dyDescent="0.25">
      <c r="A186" s="3">
        <v>42155</v>
      </c>
      <c r="B186" s="21">
        <v>2107.389892578125</v>
      </c>
    </row>
    <row r="187" spans="1:2" x14ac:dyDescent="0.25">
      <c r="A187" s="3">
        <v>42185</v>
      </c>
      <c r="B187" s="21">
        <v>2063.110107421875</v>
      </c>
    </row>
    <row r="188" spans="1:2" x14ac:dyDescent="0.25">
      <c r="A188" s="3">
        <v>42216</v>
      </c>
      <c r="B188" s="21">
        <v>2103.840087890625</v>
      </c>
    </row>
    <row r="189" spans="1:2" x14ac:dyDescent="0.25">
      <c r="A189" s="3">
        <v>42247</v>
      </c>
      <c r="B189" s="21">
        <v>1972.180053710938</v>
      </c>
    </row>
    <row r="190" spans="1:2" x14ac:dyDescent="0.25">
      <c r="A190" s="3">
        <v>42277</v>
      </c>
      <c r="B190" s="21">
        <v>1920.030029296875</v>
      </c>
    </row>
    <row r="191" spans="1:2" x14ac:dyDescent="0.25">
      <c r="A191" s="3">
        <v>42308</v>
      </c>
      <c r="B191" s="21">
        <v>2079.360107421875</v>
      </c>
    </row>
    <row r="192" spans="1:2" x14ac:dyDescent="0.25">
      <c r="A192" s="3">
        <v>42338</v>
      </c>
      <c r="B192" s="21">
        <v>2080.409912109375</v>
      </c>
    </row>
    <row r="193" spans="1:2" x14ac:dyDescent="0.25">
      <c r="A193" s="3">
        <v>42369</v>
      </c>
      <c r="B193" s="21">
        <v>2043.93994140625</v>
      </c>
    </row>
    <row r="194" spans="1:2" x14ac:dyDescent="0.25">
      <c r="A194" s="3">
        <v>42400</v>
      </c>
      <c r="B194" s="21">
        <v>1940.239990234375</v>
      </c>
    </row>
    <row r="195" spans="1:2" x14ac:dyDescent="0.25">
      <c r="A195" s="3">
        <v>42429</v>
      </c>
      <c r="B195" s="21">
        <v>1932.22998046875</v>
      </c>
    </row>
    <row r="196" spans="1:2" x14ac:dyDescent="0.25">
      <c r="A196" s="3">
        <v>42460</v>
      </c>
      <c r="B196" s="21">
        <v>2059.739990234375</v>
      </c>
    </row>
    <row r="197" spans="1:2" x14ac:dyDescent="0.25">
      <c r="A197" s="3">
        <v>42490</v>
      </c>
      <c r="B197" s="21">
        <v>2065.300048828125</v>
      </c>
    </row>
    <row r="198" spans="1:2" x14ac:dyDescent="0.25">
      <c r="A198" s="3">
        <v>42521</v>
      </c>
      <c r="B198" s="21">
        <v>2096.949951171875</v>
      </c>
    </row>
    <row r="199" spans="1:2" x14ac:dyDescent="0.25">
      <c r="A199" s="3">
        <v>42551</v>
      </c>
      <c r="B199" s="21">
        <v>2098.860107421875</v>
      </c>
    </row>
    <row r="200" spans="1:2" x14ac:dyDescent="0.25">
      <c r="A200" s="3">
        <v>42582</v>
      </c>
      <c r="B200" s="21">
        <v>2173.60009765625</v>
      </c>
    </row>
    <row r="201" spans="1:2" x14ac:dyDescent="0.25">
      <c r="A201" s="3">
        <v>42613</v>
      </c>
      <c r="B201" s="21">
        <v>2170.949951171875</v>
      </c>
    </row>
    <row r="202" spans="1:2" x14ac:dyDescent="0.25">
      <c r="A202" s="3">
        <v>42643</v>
      </c>
      <c r="B202" s="21">
        <v>2168.27001953125</v>
      </c>
    </row>
    <row r="203" spans="1:2" x14ac:dyDescent="0.25">
      <c r="A203" s="3">
        <v>42674</v>
      </c>
      <c r="B203" s="21">
        <v>2126.14990234375</v>
      </c>
    </row>
    <row r="204" spans="1:2" x14ac:dyDescent="0.25">
      <c r="A204" s="3">
        <v>42704</v>
      </c>
      <c r="B204" s="21">
        <v>2198.81005859375</v>
      </c>
    </row>
    <row r="205" spans="1:2" x14ac:dyDescent="0.25">
      <c r="A205" s="3">
        <v>42735</v>
      </c>
      <c r="B205" s="21">
        <v>2238.830078125</v>
      </c>
    </row>
    <row r="206" spans="1:2" x14ac:dyDescent="0.25">
      <c r="A206" s="3">
        <v>42766</v>
      </c>
      <c r="B206" s="21">
        <v>2278.8701171875</v>
      </c>
    </row>
    <row r="207" spans="1:2" x14ac:dyDescent="0.25">
      <c r="A207" s="3">
        <v>42794</v>
      </c>
      <c r="B207" s="21">
        <v>2363.639892578125</v>
      </c>
    </row>
    <row r="208" spans="1:2" x14ac:dyDescent="0.25">
      <c r="A208" s="3">
        <v>42825</v>
      </c>
      <c r="B208" s="21">
        <v>2362.719970703125</v>
      </c>
    </row>
    <row r="209" spans="1:2" x14ac:dyDescent="0.25">
      <c r="A209" s="3">
        <v>42855</v>
      </c>
      <c r="B209" s="21">
        <v>2384.199951171875</v>
      </c>
    </row>
    <row r="210" spans="1:2" x14ac:dyDescent="0.25">
      <c r="A210" s="3">
        <v>42886</v>
      </c>
      <c r="B210" s="21">
        <v>2411.800048828125</v>
      </c>
    </row>
    <row r="211" spans="1:2" x14ac:dyDescent="0.25">
      <c r="A211" s="3">
        <v>42916</v>
      </c>
      <c r="B211" s="21">
        <v>2423.409912109375</v>
      </c>
    </row>
    <row r="212" spans="1:2" x14ac:dyDescent="0.25">
      <c r="A212" s="3">
        <v>42947</v>
      </c>
      <c r="B212" s="21">
        <v>2470.300048828125</v>
      </c>
    </row>
    <row r="213" spans="1:2" x14ac:dyDescent="0.25">
      <c r="A213" s="3">
        <v>42978</v>
      </c>
      <c r="B213" s="21">
        <v>2471.64990234375</v>
      </c>
    </row>
    <row r="214" spans="1:2" x14ac:dyDescent="0.25">
      <c r="A214" s="3">
        <v>43008</v>
      </c>
      <c r="B214" s="21">
        <v>2519.360107421875</v>
      </c>
    </row>
    <row r="215" spans="1:2" x14ac:dyDescent="0.25">
      <c r="A215" s="3">
        <v>43039</v>
      </c>
      <c r="B215" s="21">
        <v>2575.260009765625</v>
      </c>
    </row>
    <row r="216" spans="1:2" x14ac:dyDescent="0.25">
      <c r="A216" s="3">
        <v>43069</v>
      </c>
      <c r="B216" s="21">
        <v>2647.580078125</v>
      </c>
    </row>
    <row r="217" spans="1:2" x14ac:dyDescent="0.25">
      <c r="A217" s="3">
        <v>43100</v>
      </c>
      <c r="B217" s="21">
        <v>2673.610107421875</v>
      </c>
    </row>
    <row r="218" spans="1:2" x14ac:dyDescent="0.25">
      <c r="A218" s="3">
        <v>43131</v>
      </c>
      <c r="B218" s="21">
        <v>2823.81005859375</v>
      </c>
    </row>
    <row r="219" spans="1:2" x14ac:dyDescent="0.25">
      <c r="A219" s="3">
        <v>43159</v>
      </c>
      <c r="B219" s="21">
        <v>2713.830078125</v>
      </c>
    </row>
    <row r="220" spans="1:2" x14ac:dyDescent="0.25">
      <c r="A220" s="3">
        <v>43190</v>
      </c>
      <c r="B220" s="21">
        <v>2640.8701171875</v>
      </c>
    </row>
    <row r="221" spans="1:2" x14ac:dyDescent="0.25">
      <c r="A221" s="3">
        <v>43220</v>
      </c>
      <c r="B221" s="21">
        <v>2648.050048828125</v>
      </c>
    </row>
    <row r="222" spans="1:2" x14ac:dyDescent="0.25">
      <c r="A222" s="3">
        <v>43251</v>
      </c>
      <c r="B222" s="21">
        <v>2705.27001953125</v>
      </c>
    </row>
    <row r="223" spans="1:2" x14ac:dyDescent="0.25">
      <c r="A223" s="3">
        <v>43281</v>
      </c>
      <c r="B223" s="21">
        <v>2718.3701171875</v>
      </c>
    </row>
    <row r="224" spans="1:2" x14ac:dyDescent="0.25">
      <c r="A224" s="3">
        <v>43312</v>
      </c>
      <c r="B224" s="21">
        <v>2816.2900390625</v>
      </c>
    </row>
    <row r="225" spans="1:2" x14ac:dyDescent="0.25">
      <c r="A225" s="3">
        <v>43343</v>
      </c>
      <c r="B225" s="21">
        <v>2901.52001953125</v>
      </c>
    </row>
    <row r="226" spans="1:2" x14ac:dyDescent="0.25">
      <c r="A226" s="3">
        <v>43373</v>
      </c>
      <c r="B226" s="21">
        <v>2913.97998046875</v>
      </c>
    </row>
    <row r="227" spans="1:2" x14ac:dyDescent="0.25">
      <c r="A227" s="3">
        <v>43404</v>
      </c>
      <c r="B227" s="21">
        <v>2711.739990234375</v>
      </c>
    </row>
    <row r="228" spans="1:2" x14ac:dyDescent="0.25">
      <c r="A228" s="3">
        <v>43434</v>
      </c>
      <c r="B228" s="21">
        <v>2760.169921875</v>
      </c>
    </row>
    <row r="229" spans="1:2" x14ac:dyDescent="0.25">
      <c r="A229" s="3">
        <v>43465</v>
      </c>
      <c r="B229" s="21">
        <v>2506.85009765625</v>
      </c>
    </row>
    <row r="230" spans="1:2" x14ac:dyDescent="0.25">
      <c r="A230" s="3">
        <v>43496</v>
      </c>
      <c r="B230" s="21">
        <v>2704.10009765625</v>
      </c>
    </row>
    <row r="231" spans="1:2" x14ac:dyDescent="0.25">
      <c r="A231" s="3">
        <v>43524</v>
      </c>
      <c r="B231" s="21">
        <v>2784.489990234375</v>
      </c>
    </row>
    <row r="232" spans="1:2" x14ac:dyDescent="0.25">
      <c r="A232" s="3">
        <v>43555</v>
      </c>
      <c r="B232" s="21">
        <v>2834.39990234375</v>
      </c>
    </row>
    <row r="233" spans="1:2" x14ac:dyDescent="0.25">
      <c r="A233" s="3">
        <v>43585</v>
      </c>
      <c r="B233" s="21">
        <v>2945.830078125</v>
      </c>
    </row>
    <row r="234" spans="1:2" x14ac:dyDescent="0.25">
      <c r="A234" s="3">
        <v>43616</v>
      </c>
      <c r="B234" s="21">
        <v>2752.06005859375</v>
      </c>
    </row>
    <row r="235" spans="1:2" x14ac:dyDescent="0.25">
      <c r="A235" s="3">
        <v>43646</v>
      </c>
      <c r="B235" s="21">
        <v>2941.760009765625</v>
      </c>
    </row>
    <row r="236" spans="1:2" x14ac:dyDescent="0.25">
      <c r="A236" s="3">
        <v>43677</v>
      </c>
      <c r="B236" s="21">
        <v>2980.3798828125</v>
      </c>
    </row>
    <row r="237" spans="1:2" x14ac:dyDescent="0.25">
      <c r="A237" s="3">
        <v>43708</v>
      </c>
      <c r="B237" s="21">
        <v>2926.4599609375</v>
      </c>
    </row>
    <row r="238" spans="1:2" x14ac:dyDescent="0.25">
      <c r="A238" s="3">
        <v>43738</v>
      </c>
      <c r="B238" s="21">
        <v>2976.739990234375</v>
      </c>
    </row>
    <row r="239" spans="1:2" x14ac:dyDescent="0.25">
      <c r="A239" s="3">
        <v>43769</v>
      </c>
      <c r="B239" s="21">
        <v>3037.56005859375</v>
      </c>
    </row>
    <row r="240" spans="1:2" x14ac:dyDescent="0.25">
      <c r="A240" s="3">
        <v>43799</v>
      </c>
      <c r="B240" s="21">
        <v>3140.97998046875</v>
      </c>
    </row>
    <row r="241" spans="1:2" x14ac:dyDescent="0.25">
      <c r="A241" s="3">
        <v>43830</v>
      </c>
      <c r="B241" s="21">
        <v>3230.780029296875</v>
      </c>
    </row>
    <row r="242" spans="1:2" x14ac:dyDescent="0.25">
      <c r="A242" s="3">
        <v>43861</v>
      </c>
      <c r="B242" s="21">
        <v>3225.52001953125</v>
      </c>
    </row>
    <row r="243" spans="1:2" x14ac:dyDescent="0.25">
      <c r="A243" s="3">
        <v>43890</v>
      </c>
      <c r="B243" s="21">
        <v>2954.219970703125</v>
      </c>
    </row>
    <row r="244" spans="1:2" x14ac:dyDescent="0.25">
      <c r="A244" s="3">
        <v>43921</v>
      </c>
      <c r="B244" s="21">
        <v>2584.590087890625</v>
      </c>
    </row>
    <row r="245" spans="1:2" x14ac:dyDescent="0.25">
      <c r="A245" s="3">
        <v>43951</v>
      </c>
      <c r="B245" s="21">
        <v>2912.429931640625</v>
      </c>
    </row>
    <row r="246" spans="1:2" x14ac:dyDescent="0.25">
      <c r="A246" s="3">
        <v>43982</v>
      </c>
      <c r="B246" s="21">
        <v>3044.31005859375</v>
      </c>
    </row>
    <row r="247" spans="1:2" x14ac:dyDescent="0.25">
      <c r="A247" s="3">
        <v>44012</v>
      </c>
      <c r="B247" s="21">
        <v>3100.2900390625</v>
      </c>
    </row>
    <row r="248" spans="1:2" x14ac:dyDescent="0.25">
      <c r="A248" s="3">
        <v>44043</v>
      </c>
      <c r="B248" s="21">
        <v>3271.1201171875</v>
      </c>
    </row>
    <row r="249" spans="1:2" x14ac:dyDescent="0.25">
      <c r="A249" s="3">
        <v>44074</v>
      </c>
      <c r="B249" s="21">
        <v>3500.31005859375</v>
      </c>
    </row>
    <row r="250" spans="1:2" x14ac:dyDescent="0.25">
      <c r="A250" s="3">
        <v>44104</v>
      </c>
      <c r="B250" s="21">
        <v>3363</v>
      </c>
    </row>
    <row r="251" spans="1:2" x14ac:dyDescent="0.25">
      <c r="A251" s="3">
        <v>44135</v>
      </c>
      <c r="B251" s="21">
        <v>3269.9599609375</v>
      </c>
    </row>
    <row r="252" spans="1:2" x14ac:dyDescent="0.25">
      <c r="A252" s="3">
        <v>44165</v>
      </c>
      <c r="B252" s="21">
        <v>3621.6298828125</v>
      </c>
    </row>
    <row r="253" spans="1:2" x14ac:dyDescent="0.25">
      <c r="A253" s="3">
        <v>44196</v>
      </c>
      <c r="B253" s="21">
        <v>3756.070068359375</v>
      </c>
    </row>
    <row r="254" spans="1:2" x14ac:dyDescent="0.25">
      <c r="A254" s="3">
        <v>44227</v>
      </c>
      <c r="B254" s="21">
        <v>3714.239990234375</v>
      </c>
    </row>
    <row r="255" spans="1:2" x14ac:dyDescent="0.25">
      <c r="A255" s="3">
        <v>44255</v>
      </c>
      <c r="B255" s="21">
        <v>3811.14990234375</v>
      </c>
    </row>
    <row r="256" spans="1:2" x14ac:dyDescent="0.25">
      <c r="A256" s="3">
        <v>44286</v>
      </c>
      <c r="B256" s="21">
        <v>3972.889892578125</v>
      </c>
    </row>
    <row r="257" spans="1:2" x14ac:dyDescent="0.25">
      <c r="A257" s="3">
        <v>44316</v>
      </c>
      <c r="B257" s="21">
        <v>4181.169921875</v>
      </c>
    </row>
    <row r="258" spans="1:2" x14ac:dyDescent="0.25">
      <c r="A258" s="3">
        <v>44347</v>
      </c>
      <c r="B258" s="21">
        <v>4204.10986328125</v>
      </c>
    </row>
    <row r="259" spans="1:2" x14ac:dyDescent="0.25">
      <c r="A259" s="3">
        <v>44377</v>
      </c>
      <c r="B259" s="21">
        <v>4297.5</v>
      </c>
    </row>
    <row r="260" spans="1:2" x14ac:dyDescent="0.25">
      <c r="A260" s="3">
        <v>44408</v>
      </c>
      <c r="B260" s="21">
        <v>4395.259765625</v>
      </c>
    </row>
    <row r="261" spans="1:2" x14ac:dyDescent="0.25">
      <c r="A261" s="3">
        <v>44439</v>
      </c>
      <c r="B261" s="21">
        <v>4522.68017578125</v>
      </c>
    </row>
    <row r="262" spans="1:2" x14ac:dyDescent="0.25">
      <c r="A262" s="3">
        <v>44469</v>
      </c>
      <c r="B262" s="21">
        <v>4307.5400390625</v>
      </c>
    </row>
    <row r="263" spans="1:2" x14ac:dyDescent="0.25">
      <c r="A263" s="3">
        <v>44500</v>
      </c>
      <c r="B263" s="21">
        <v>4605.3798828125</v>
      </c>
    </row>
    <row r="264" spans="1:2" x14ac:dyDescent="0.25">
      <c r="A264" s="3">
        <v>44530</v>
      </c>
      <c r="B264" s="21">
        <v>4567</v>
      </c>
    </row>
    <row r="265" spans="1:2" x14ac:dyDescent="0.25">
      <c r="A265" s="3">
        <v>44561</v>
      </c>
      <c r="B265" s="21">
        <v>4766.18017578125</v>
      </c>
    </row>
    <row r="266" spans="1:2" x14ac:dyDescent="0.25">
      <c r="A266" s="3">
        <v>44592</v>
      </c>
      <c r="B266" s="21">
        <v>4515.5498046875</v>
      </c>
    </row>
    <row r="267" spans="1:2" x14ac:dyDescent="0.25">
      <c r="A267" s="3">
        <v>44620</v>
      </c>
      <c r="B267" s="21">
        <v>4373.93994140625</v>
      </c>
    </row>
    <row r="268" spans="1:2" x14ac:dyDescent="0.25">
      <c r="A268" s="3">
        <v>44651</v>
      </c>
      <c r="B268" s="21">
        <v>4530.41015625</v>
      </c>
    </row>
    <row r="269" spans="1:2" x14ac:dyDescent="0.25">
      <c r="A269" s="3">
        <v>44681</v>
      </c>
      <c r="B269" s="21">
        <v>4131.93017578125</v>
      </c>
    </row>
    <row r="270" spans="1:2" x14ac:dyDescent="0.25">
      <c r="A270" s="3">
        <v>44712</v>
      </c>
      <c r="B270" s="21">
        <v>4132.14990234375</v>
      </c>
    </row>
    <row r="271" spans="1:2" x14ac:dyDescent="0.25">
      <c r="A271" s="3">
        <v>44742</v>
      </c>
      <c r="B271" s="21">
        <v>3785.3798828125</v>
      </c>
    </row>
    <row r="272" spans="1:2" x14ac:dyDescent="0.25">
      <c r="A272" s="3">
        <v>44773</v>
      </c>
      <c r="B272" s="21">
        <v>4130.2900390625</v>
      </c>
    </row>
    <row r="273" spans="1:2" x14ac:dyDescent="0.25">
      <c r="A273" s="3">
        <v>44804</v>
      </c>
      <c r="B273" s="21">
        <v>3955</v>
      </c>
    </row>
    <row r="274" spans="1:2" x14ac:dyDescent="0.25">
      <c r="A274" s="3">
        <v>44834</v>
      </c>
      <c r="B274" s="21">
        <v>3585.6201171875</v>
      </c>
    </row>
    <row r="275" spans="1:2" x14ac:dyDescent="0.25">
      <c r="A275" s="3">
        <v>44865</v>
      </c>
      <c r="B275" s="21">
        <v>3871.97998046875</v>
      </c>
    </row>
    <row r="276" spans="1:2" x14ac:dyDescent="0.25">
      <c r="A276" s="3">
        <v>44895</v>
      </c>
      <c r="B276" s="21">
        <v>4080.110107421875</v>
      </c>
    </row>
    <row r="277" spans="1:2" x14ac:dyDescent="0.25">
      <c r="A277" s="3">
        <v>44926</v>
      </c>
      <c r="B277" s="21">
        <v>3839.5</v>
      </c>
    </row>
    <row r="278" spans="1:2" x14ac:dyDescent="0.25">
      <c r="A278" s="3">
        <v>44957</v>
      </c>
      <c r="B278" s="21">
        <v>4076.60009765625</v>
      </c>
    </row>
    <row r="279" spans="1:2" x14ac:dyDescent="0.25">
      <c r="A279" s="3">
        <v>44985</v>
      </c>
      <c r="B279" s="21">
        <v>3970.14990234375</v>
      </c>
    </row>
    <row r="280" spans="1:2" x14ac:dyDescent="0.25">
      <c r="A280" s="3">
        <v>45016</v>
      </c>
      <c r="B280" s="21">
        <v>4109.31005859375</v>
      </c>
    </row>
    <row r="281" spans="1:2" x14ac:dyDescent="0.25">
      <c r="A281" s="3">
        <v>45046</v>
      </c>
      <c r="B281" s="21">
        <v>4169.47998046875</v>
      </c>
    </row>
    <row r="282" spans="1:2" x14ac:dyDescent="0.25">
      <c r="A282" s="3">
        <v>45077</v>
      </c>
      <c r="B282" s="21">
        <v>4179.830078125</v>
      </c>
    </row>
    <row r="283" spans="1:2" x14ac:dyDescent="0.25">
      <c r="A283" s="3">
        <v>45107</v>
      </c>
      <c r="B283" s="21">
        <v>4450.3798828125</v>
      </c>
    </row>
    <row r="284" spans="1:2" x14ac:dyDescent="0.25">
      <c r="A284" s="3">
        <v>45138</v>
      </c>
      <c r="B284" s="21">
        <v>4588.9599609375</v>
      </c>
    </row>
    <row r="285" spans="1:2" x14ac:dyDescent="0.25">
      <c r="A285" s="3">
        <v>45169</v>
      </c>
      <c r="B285" s="21">
        <v>4507.66015625</v>
      </c>
    </row>
    <row r="286" spans="1:2" x14ac:dyDescent="0.25">
      <c r="A286" s="3">
        <v>45199</v>
      </c>
      <c r="B286" s="21">
        <v>4288.0498046875</v>
      </c>
    </row>
    <row r="287" spans="1:2" x14ac:dyDescent="0.25">
      <c r="A287" s="3">
        <v>45230</v>
      </c>
      <c r="B287" s="21">
        <v>4193.7998046875</v>
      </c>
    </row>
    <row r="288" spans="1:2" x14ac:dyDescent="0.25">
      <c r="A288" s="3">
        <v>45260</v>
      </c>
      <c r="B288" s="21">
        <v>4567.7998046875</v>
      </c>
    </row>
    <row r="289" spans="1:2" x14ac:dyDescent="0.25">
      <c r="A289" s="3">
        <v>45291</v>
      </c>
      <c r="B289" s="21">
        <v>4769.830078125</v>
      </c>
    </row>
    <row r="290" spans="1:2" x14ac:dyDescent="0.25">
      <c r="A290" s="3">
        <v>45322</v>
      </c>
      <c r="B290" s="21">
        <v>4845.64990234375</v>
      </c>
    </row>
    <row r="291" spans="1:2" x14ac:dyDescent="0.25">
      <c r="A291" s="3">
        <v>45351</v>
      </c>
      <c r="B291" s="21">
        <v>5096.27001953125</v>
      </c>
    </row>
    <row r="292" spans="1:2" x14ac:dyDescent="0.25">
      <c r="A292" s="3">
        <v>45382</v>
      </c>
      <c r="B292" s="21">
        <v>5254.35009765625</v>
      </c>
    </row>
    <row r="293" spans="1:2" x14ac:dyDescent="0.25">
      <c r="A293" s="3">
        <v>45412</v>
      </c>
      <c r="B293" s="21">
        <v>5035.68994140625</v>
      </c>
    </row>
    <row r="294" spans="1:2" x14ac:dyDescent="0.25">
      <c r="A294" s="3">
        <v>45443</v>
      </c>
      <c r="B294" s="21">
        <v>5277.509765625</v>
      </c>
    </row>
    <row r="295" spans="1:2" x14ac:dyDescent="0.25">
      <c r="A295" s="3">
        <v>45473</v>
      </c>
      <c r="B295" s="21">
        <v>5460.47998046875</v>
      </c>
    </row>
    <row r="296" spans="1:2" x14ac:dyDescent="0.25">
      <c r="A296" s="3">
        <v>45504</v>
      </c>
      <c r="B296" s="21">
        <v>5522.2998046875</v>
      </c>
    </row>
    <row r="297" spans="1:2" x14ac:dyDescent="0.25">
      <c r="A297" s="3">
        <v>45535</v>
      </c>
      <c r="B297" s="21">
        <v>5648.39990234375</v>
      </c>
    </row>
    <row r="298" spans="1:2" x14ac:dyDescent="0.25">
      <c r="A298" s="3">
        <v>45565</v>
      </c>
      <c r="B298" s="21">
        <v>5762.47998046875</v>
      </c>
    </row>
    <row r="299" spans="1:2" x14ac:dyDescent="0.25">
      <c r="A299" s="3">
        <v>45596</v>
      </c>
      <c r="B299" s="21">
        <v>5705.4501953125</v>
      </c>
    </row>
    <row r="300" spans="1:2" x14ac:dyDescent="0.25">
      <c r="A300" s="3">
        <v>45626</v>
      </c>
      <c r="B300" s="21">
        <v>6032.3798828125</v>
      </c>
    </row>
    <row r="301" spans="1:2" x14ac:dyDescent="0.25">
      <c r="A301" s="3">
        <v>45657</v>
      </c>
      <c r="B301" s="21">
        <v>5881.6298828125</v>
      </c>
    </row>
    <row r="302" spans="1:2" x14ac:dyDescent="0.25">
      <c r="A302" s="3">
        <v>45688</v>
      </c>
      <c r="B302" s="21">
        <v>6040.52978515625</v>
      </c>
    </row>
    <row r="303" spans="1:2" x14ac:dyDescent="0.25">
      <c r="A303" s="3">
        <v>45716</v>
      </c>
      <c r="B303" s="21">
        <v>5954.5</v>
      </c>
    </row>
    <row r="304" spans="1:2" x14ac:dyDescent="0.25">
      <c r="A304" s="3">
        <v>45747</v>
      </c>
      <c r="B304" s="21">
        <v>5611.85009765625</v>
      </c>
    </row>
    <row r="305" spans="1:2" x14ac:dyDescent="0.25">
      <c r="A305" s="3">
        <v>45777</v>
      </c>
      <c r="B305" s="21">
        <v>5569.06005859375</v>
      </c>
    </row>
    <row r="306" spans="1:2" x14ac:dyDescent="0.25">
      <c r="A306" s="3">
        <v>45808</v>
      </c>
      <c r="B306" s="21">
        <v>5911.68994140625</v>
      </c>
    </row>
    <row r="307" spans="1:2" x14ac:dyDescent="0.25">
      <c r="A307" s="3">
        <v>45838</v>
      </c>
      <c r="B307" s="21">
        <v>6204.9501953125</v>
      </c>
    </row>
    <row r="308" spans="1:2" x14ac:dyDescent="0.25">
      <c r="A308" s="3">
        <v>45869</v>
      </c>
      <c r="B308" s="21">
        <v>6339.39013671875</v>
      </c>
    </row>
    <row r="309" spans="1:2" x14ac:dyDescent="0.25">
      <c r="A309" s="3">
        <v>45900</v>
      </c>
      <c r="B309" s="21">
        <v>6460.259765625</v>
      </c>
    </row>
    <row r="310" spans="1:2" x14ac:dyDescent="0.25">
      <c r="A310" s="3">
        <v>45930</v>
      </c>
      <c r="B310" s="21">
        <v>6688.4599609375</v>
      </c>
    </row>
    <row r="311" spans="1:2" x14ac:dyDescent="0.25">
      <c r="A311" s="3">
        <v>45961</v>
      </c>
      <c r="B311" s="21">
        <v>6840.2001953125</v>
      </c>
    </row>
    <row r="312" spans="1:2" x14ac:dyDescent="0.25">
      <c r="A312" s="3">
        <v>45991</v>
      </c>
      <c r="B312" s="21">
        <v>6849.08984375</v>
      </c>
    </row>
    <row r="313" spans="1:2" x14ac:dyDescent="0.25">
      <c r="A313" s="3">
        <v>46022</v>
      </c>
      <c r="B313" s="21">
        <v>6845.5</v>
      </c>
    </row>
    <row r="314" spans="1:2" x14ac:dyDescent="0.25">
      <c r="A314" s="3">
        <v>46053</v>
      </c>
      <c r="B314" s="21">
        <v>6939.02978515625</v>
      </c>
    </row>
    <row r="315" spans="1:2" x14ac:dyDescent="0.25">
      <c r="A315" s="3">
        <v>46081</v>
      </c>
      <c r="B315" s="21">
        <v>6878.8798828125</v>
      </c>
    </row>
    <row r="316" spans="1:2" x14ac:dyDescent="0.25">
      <c r="A316" s="3">
        <v>46112</v>
      </c>
      <c r="B316" s="21">
        <v>6528.52001953125</v>
      </c>
    </row>
    <row r="317" spans="1:2" x14ac:dyDescent="0.25">
      <c r="A317" s="3">
        <v>46142</v>
      </c>
      <c r="B317" s="21">
        <v>7209.009765625</v>
      </c>
    </row>
    <row r="318" spans="1:2" x14ac:dyDescent="0.25">
      <c r="A318" s="3">
        <v>46173</v>
      </c>
      <c r="B318" s="21">
        <v>7580.06005859375</v>
      </c>
    </row>
    <row r="319" spans="1:2" x14ac:dyDescent="0.25">
      <c r="A319" s="3">
        <v>46203</v>
      </c>
      <c r="B319" s="21">
        <v>7266.990234375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c4b767-81a9-4964-9cba-5e0dcfc5f91d">
      <Terms xmlns="http://schemas.microsoft.com/office/infopath/2007/PartnerControls"/>
    </lcf76f155ced4ddcb4097134ff3c332f>
    <TaxCatchAll xmlns="bcb6379d-5402-4ed7-9167-0c02804ceeec" xsi:nil="true"/>
  </documentManagement>
</p:properties>
</file>

<file path=customXml/itemProps1.xml><?xml version="1.0" encoding="utf-8"?>
<ds:datastoreItem xmlns:ds="http://schemas.openxmlformats.org/officeDocument/2006/customXml" ds:itemID="{7884E25A-4AEE-4B55-8676-B7A7EFAE0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0DFB4-A111-4BCB-91CD-8A65E045A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77906C-862B-468D-BB2E-9DEFB5DF6BA4}">
  <ds:schemaRefs>
    <ds:schemaRef ds:uri="http://purl.org/dc/elements/1.1/"/>
    <ds:schemaRef ds:uri="http://schemas.openxmlformats.org/package/2006/metadata/core-properties"/>
    <ds:schemaRef ds:uri="http://purl.org/dc/terms/"/>
    <ds:schemaRef ds:uri="bcb6379d-5402-4ed7-9167-0c02804ceee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4b767-81a9-4964-9cba-5e0dcfc5f91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fund_performance</vt:lpstr>
      <vt:lpstr>pivot</vt:lpstr>
      <vt:lpstr>fund_metadata</vt:lpstr>
      <vt:lpstr>pitchbook_index</vt:lpstr>
      <vt:lpstr>stepstone_pm_index</vt:lpstr>
      <vt:lpstr>sp500_index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2026-06-11T03:58:06Z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0x01010035B04DF9C75CAB4DAB32342A81611457</vt:lpwstr>
  </property>
</Properties>
</file>