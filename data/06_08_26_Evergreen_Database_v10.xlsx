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Intern - Cai/Evergreen Fund Monitor/"/>
    </mc:Choice>
  </mc:AlternateContent>
  <xr:revisionPtr revIDLastSave="195" documentId="13_ncr:1_{8F6CC447-A370-43D8-9375-6363B8E0C012}" xr6:coauthVersionLast="47" xr6:coauthVersionMax="47" xr10:uidLastSave="{E314F7B3-619A-4230-A815-148BBE612A1E}"/>
  <bookViews>
    <workbookView xWindow="-28920" yWindow="-120" windowWidth="29040" windowHeight="15720" tabRatio="928" activeTab="2" xr2:uid="{00000000-000D-0000-FFFF-FFFF00000000}"/>
  </bookViews>
  <sheets>
    <sheet name="fund_performance" sheetId="1" r:id="rId1"/>
    <sheet name="pivot" sheetId="4" r:id="rId2"/>
    <sheet name="fund_metadata" sheetId="2" r:id="rId3"/>
    <sheet name="pitchbook_tri_index" sheetId="3" r:id="rId4"/>
  </sheets>
  <definedNames>
    <definedName name="__FDS_HYPERLINK_TOGGLE_STATE__" hidden="1">"ON"</definedName>
    <definedName name="_DLX1.USE">#REF!</definedName>
    <definedName name="_Regression_Int">1</definedName>
    <definedName name="_xlcn.WorksheetConnection_2022Q1PitchBookGlobalMADeals.xlsxTable11" hidden="1">#REF!</definedName>
    <definedName name="_xlcn.WorksheetConnection_2022Q1PitchBookGlobalMADeals.xlsxTable41" hidden="1">Table4</definedName>
    <definedName name="_xlcn.WorksheetConnection_Deal_FlowABO" hidden="1">#REF!</definedName>
    <definedName name="a">#REF!</definedName>
    <definedName name="aa">#REF!</definedName>
    <definedName name="aaa">INDEX(#REF!,COUNTA(#REF!)-#REF!+1):INDEX(#REF!,COUNTA(#REF!))</definedName>
    <definedName name="abc" hidden="1">39545.6064814815</definedName>
    <definedName name="ac">#REF!</definedName>
    <definedName name="asdfasdfasdfasdfasdfasdf">INDEX(#REF!,COUNTA(#REF!)-#REF!+1):INDEX(#REF!,COUNTA(#REF!))</definedName>
    <definedName name="b">#REF!</definedName>
    <definedName name="BHYDailyYield">OFFSET(#REF!,COUNTA(#REF!)-1,0,-254,1)</definedName>
    <definedName name="BLoansDailyYield">OFFSET(#REF!,COUNTA(#REF!)-1,0,-254,1)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ond_Swap_Date">OFFSET(#REF!,COUNTA(#REF!)-1,0,-96,1)</definedName>
    <definedName name="Bond_Swap_Worst">OFFSET(#REF!,COUNTA(#REF!)-1,0,-96,1)</definedName>
    <definedName name="BR">#REF!</definedName>
    <definedName name="Business_Stat_Hist">OFFSET(#REF!,0,0,COUNTA(#REF!),5)</definedName>
    <definedName name="Ccy">#REF!</definedName>
    <definedName name="Chart_2">#REF!</definedName>
    <definedName name="Chart_3" hidden="1">#REF!</definedName>
    <definedName name="Chart_3_1" hidden="1">#REF!</definedName>
    <definedName name="CHART_8" hidden="1">41578.5393981481</definedName>
    <definedName name="CHART_9a">#REF!</definedName>
    <definedName name="CHART_9b" hidden="1">41578.5393981481</definedName>
    <definedName name="CHART1">#REF!</definedName>
    <definedName name="CHART10">#REF!</definedName>
    <definedName name="Chart100">#REF!</definedName>
    <definedName name="chart11">#REF!</definedName>
    <definedName name="CHART12">#REF!</definedName>
    <definedName name="CHART13">#REF!</definedName>
    <definedName name="CHART14">#REF!</definedName>
    <definedName name="CHART15">#REF!</definedName>
    <definedName name="CHART16">#REF!</definedName>
    <definedName name="Chart1x" hidden="1">Table4</definedName>
    <definedName name="CHART2">#REF!</definedName>
    <definedName name="Chart2x">INDEX(#REF!,COUNTA(#REF!)-#REF!+1):INDEX(#REF!,COUNTA(#REF!))</definedName>
    <definedName name="CHART3">#REF!</definedName>
    <definedName name="Chart3x">#N/A</definedName>
    <definedName name="CHART4">#REF!</definedName>
    <definedName name="CHART5">#REF!</definedName>
    <definedName name="CHART6">#REF!</definedName>
    <definedName name="CHART7">#REF!</definedName>
    <definedName name="CHART8">#REF!</definedName>
    <definedName name="CHART9">#REF!</definedName>
    <definedName name="CHART9a">#REF!</definedName>
    <definedName name="CIQWBGuid" hidden="1">"d5c96f1c-0b8a-4f1d-9499-e87469d8b72c"</definedName>
    <definedName name="CIQWBGuid_1" hidden="1">"36eab537-9225-4c46-85ab-05c18190aca1"</definedName>
    <definedName name="CIQWBGuid_1_1" hidden="1">"Calendar.xls"</definedName>
    <definedName name="CIQWBGuid_1_1_1" hidden="1">"36eab537-9225-4c46-85ab-05c18190aca1"</definedName>
    <definedName name="CIQWBGuid_2" hidden="1">"HY stats.xls"</definedName>
    <definedName name="CIQWBGuid_2_1" hidden="1">"HY stats.xls"</definedName>
    <definedName name="CIQWBGuid_3" hidden="1">"LIPPER 2014 shared version.xls"</definedName>
    <definedName name="CIQWBGuid_4" hidden="1">"eb115120-dfd8-4ab1-a371-267a4654e132"</definedName>
    <definedName name="CIQWBInfo" hidden="1">"{ ""CIQVersion"":""9.45.614.5792"" }"</definedName>
    <definedName name="clean_spreads">#REF!</definedName>
    <definedName name="CLPercent">INDEX(#REF!,COUNTA(#REF!)-#REF!+1):INDEX(#REF!,COUNTA(#REF!))</definedName>
    <definedName name="CLpercentYR">INDEX(#REF!,COUNTA(#REF!)-#REF!+1):INDEX(#REF!,COUNTA(#REF!))</definedName>
    <definedName name="CLQTR">#REF!</definedName>
    <definedName name="CLVolMN">#REF!</definedName>
    <definedName name="CLVolume">INDEX(#REF!,COUNTA(#REF!)-#REF!+1):INDEX(#REF!,COUNTA(#REF!))</definedName>
    <definedName name="CLVolumeYR">INDEX(#REF!,COUNTA(#REF!)-#REF!+1):INDEX(#REF!,COUNTA(#REF!))</definedName>
    <definedName name="CommercialExAIGMetrics">#REF!</definedName>
    <definedName name="Copyright">#REF!</definedName>
    <definedName name="CopyrightAnalytics">#REF!</definedName>
    <definedName name="CreatedFor">#REF!</definedName>
    <definedName name="CreatedForTitle">#REF!</definedName>
    <definedName name="CS_ALL">OFFSET(#REF!, COUNTA(#REF!)-1,0,-13,1)</definedName>
    <definedName name="CS_LBO">OFFSET(#REF!, COUNTA(#REF!)-1,0,-13,1)</definedName>
    <definedName name="CS_MA">OFFSET(#REF!, COUNTA(#REF!)-1,0,-13,1)</definedName>
    <definedName name="CS_Period">OFFSET(#REF!, COUNTA(#REF!)-1,0,-13,1)</definedName>
    <definedName name="Currency_Table">OFFSET(#REF!,0,0,COUNTA(#REF!)-1,5)</definedName>
    <definedName name="Currency_Table2">OFFSET(#REF!,0,0,COUNTA(#REF!)-1,5)</definedName>
    <definedName name="Currency_Table3">OFFSET(#REF!,0,0,COUNTA(#REF!)-1,5)</definedName>
    <definedName name="CurrencyInput">#REF!</definedName>
    <definedName name="d">#REF!</definedName>
    <definedName name="dasdfasdfasdf">INDEX(#REF!,COUNTA(#REF!)-#REF!+1):INDEX(#REF!,COUNTA(#REF!))</definedName>
    <definedName name="Date">OFFSET(#REF!,COUNTA(#REF!)-1,0,-47,1)</definedName>
    <definedName name="DateHY">OFFSET(#REF!,COUNTA(#REF!)-1,0,-254,1)</definedName>
    <definedName name="DateLoans">OFFSET(#REF!,COUNTA(#REF!)-3,0,-61,1)</definedName>
    <definedName name="Daterange">INDEX(#REF!,COUNTA(#REF!)-#REF!+1):INDEX(#REF!,COUNTA(#REF!))</definedName>
    <definedName name="Daterangebonds">INDEX(#REF!,COUNTA(#REF!)-#REF!+1):INDEX(#REF!,COUNTA(#REF!))</definedName>
    <definedName name="DaterangebondsYR">INDEX(#REF!,COUNTA(#REF!)-#REF!+1):INDEX(#REF!,COUNTA(#REF!))</definedName>
    <definedName name="DaterangeCL">INDEX(#REF!,COUNTA(#REF!)-#REF!+1):INDEX(#REF!,COUNTA(#REF!))</definedName>
    <definedName name="DaterangeCLYR">INDEX(#REF!,COUNTA(#REF!)-#REF!+1):INDEX(#REF!,COUNTA(#REF!))</definedName>
    <definedName name="DATERANGEEURO">INDEX(#REF!,COUNTA(#REF!)-#REF!+1):INDEX(#REF!,COUNTA(#REF!))</definedName>
    <definedName name="DATERANGEEURO_YR">INDEX(#REF!,COUNTA(#REF!)-#REF!+1):INDEX(#REF!,COUNTA(#REF!))</definedName>
    <definedName name="DaterangeMA">INDEX(#REF!,COUNTA(#REF!)-#REF!+1):INDEX(#REF!,COUNTA(#REF!))</definedName>
    <definedName name="DateRangeMAYR">INDEX(#REF!,COUNTA(#REF!)-#REF!+1):INDEX(#REF!,COUNTA(#REF!))</definedName>
    <definedName name="DaterangeMM">INDEX(#REF!,COUNTA(#REF!)-#REF!+1):INDEX(#REF!,COUNTA(#REF!))</definedName>
    <definedName name="DaterangeMMYR">INDEX(#REF!,COUNTA(#REF!)-#REF!+1):INDEX(#REF!,COUNTA(#REF!))</definedName>
    <definedName name="DateRangeSLTL">INDEX(#REF!,COUNTA(#REF!)-#REF!+1):INDEX(#REF!,COUNTA(#REF!))</definedName>
    <definedName name="DATERANGESLTL_YR">INDEX(#REF!,COUNTA(#REF!)-#REF!+1):INDEX(#REF!,COUNTA(#REF!))</definedName>
    <definedName name="DaterangeSP">INDEX(#REF!,COUNTA(#REF!)-#REF!+1):INDEX(#REF!,COUNTA(#REF!))</definedName>
    <definedName name="daterangeSPYR">INDEX(#REF!,COUNTA(#REF!)-#REF!+1):INDEX(#REF!,COUNTA(#REF!))</definedName>
    <definedName name="DaterangeYR">INDEX(#REF!,COUNTA(#REF!)-#REF!+1):INDEX(#REF!,COUNTA(#REF!))</definedName>
    <definedName name="Dates_B_and_BB">OFFSET(#REF!,COUNTA(#REF!)-3,0,-61,1)</definedName>
    <definedName name="Dates_CovLite">OFFSET(#REF!,COUNT(#REF!)-1,0,-61,1)</definedName>
    <definedName name="Dates_FL_SL">OFFSET(#REF!,COUNT(#REF!)-1,0,-61,1)</definedName>
    <definedName name="Dates_FL_SL_B">OFFSET(#REF!,COUNT(#REF!)-1,0,-61,1)</definedName>
    <definedName name="Dates_LC">OFFSET(#REF!,COUNT(#REF!)-1,0,-61,1)</definedName>
    <definedName name="dd">#REF!</definedName>
    <definedName name="de">INDEX(#REF!,COUNTA(#REF!)-#REF!+1):INDEX(#REF!,COUNTA(#REF!))</definedName>
    <definedName name="Deal_Flow_New">OFFSET(#REF!,0,0,COUNTA(#REF!)-1,COUNTA(#REF!))</definedName>
    <definedName name="Deal_Flow_New2">OFFSET(#REF!,0,0,COUNTA(#REF!)-1,COUNTA(#REF!))</definedName>
    <definedName name="Deal_Types">OFFSET(#REF!,0,0,COUNTA(#REF!),6)</definedName>
    <definedName name="Denominator">#REF!</definedName>
    <definedName name="DLX1.USE">#REF!</definedName>
    <definedName name="DownloadedOn">#REF!</definedName>
    <definedName name="DownlodedOn">#REF!</definedName>
    <definedName name="dsBlueHeaderTitle">#REF!</definedName>
    <definedName name="dynamic">OFFSET(#REF!,,,COUNTA(#REF!),COUNTA(#REF!))</definedName>
    <definedName name="DynamicPipe">OFFSET(#REF!,,,COUNTA(#REF!),COUNTA(#REF!))</definedName>
    <definedName name="DynamicPipeline">OFFSET(#REF!,,,COUNTA(#REF!),COUNTA(#REF!))</definedName>
    <definedName name="EuroDynamic">OFFSET(#REF!,0,0,COUNTA(#REF!)-1,COUNTA(#REF!)+1)</definedName>
    <definedName name="EUROIVOLUME">INDEX(#REF!,COUNTA(#REF!)-#REF!+1):INDEX(#REF!,COUNTA(#REF!))</definedName>
    <definedName name="EUROIVOLUME_YR">INDEX(#REF!,COUNTA(#REF!)-#REF!+1):INDEX(#REF!,COUNTA(#REF!))</definedName>
    <definedName name="EUROPRVOLUME">INDEX(#REF!,COUNTA(#REF!)-#REF!+1):INDEX(#REF!,COUNTA(#REF!))</definedName>
    <definedName name="EUROPRVOLUME_YR">INDEX(#REF!,COUNTA(#REF!)-#REF!+1):INDEX(#REF!,COUNTA(#REF!))</definedName>
    <definedName name="EUROQTR">#REF!</definedName>
    <definedName name="EUROVOL">#REF!</definedName>
    <definedName name="EUROVOLUMEMN">#REF!</definedName>
    <definedName name="EUROVOLYR">#REF!</definedName>
    <definedName name="ExitYear">OFFSET(#REF!,0,0,COUNTA(#REF!)-1,8)</definedName>
    <definedName name="Extrap_Lookup">OFFSET(#REF!,0,0,COUNTA(#REF!)-1,COUNTA(#REF!)-2)</definedName>
    <definedName name="Extrap_Lookup2">OFFSET(#REF!,0,0,COUNTA(#REF!)-1,COUNTA(#REF!)-2)</definedName>
    <definedName name="Financing_Status">OFFSET(#REF!,0,0,COUNTA(#REF!),2)</definedName>
    <definedName name="flData">#REF!</definedName>
    <definedName name="flDataBottom">#REF!</definedName>
    <definedName name="flow" hidden="1">"LIPPER 2014 shared version.xls"</definedName>
    <definedName name="Formatted">INDEX(#REF!,COUNTA(#REF!)-#REF!+1):INDEX(#REF!,COUNTA(#REF!))</definedName>
    <definedName name="Former_Investor">OFFSET(#REF!,0,0,COUNTA(#REF!),1)</definedName>
    <definedName name="Forward_Calendar_Date">OFFSET(#REF!, COUNTA(#REF!)-1,0,-53,1)</definedName>
    <definedName name="Forward_Calendar_Volume">OFFSET(#REF!, COUNTA(#REF!)-1,0,-53,1)</definedName>
    <definedName name="fsdgsdf">#REF!</definedName>
    <definedName name="Fundraising_Data">OFFSET(#REF!,0,0,COUNTA(#REF!)-1,COUNTA(#REF!))</definedName>
    <definedName name="g">#REF!</definedName>
    <definedName name="gfdsgdf">#REF!</definedName>
    <definedName name="ggg">INDEX(#REF!,COUNTA(#REF!)-#REF!+1):INDEX(#REF!,COUNTA(#REF!))</definedName>
    <definedName name="gghjh">#REF!</definedName>
    <definedName name="gh">INDEX(#REF!,COUNTA(#REF!)-#REF!+1):INDEX(#REF!,COUNTA(#REF!))</definedName>
    <definedName name="gsdfgs">#REF!</definedName>
    <definedName name="gsdfsd">#REF!</definedName>
    <definedName name="gsdgsd">#REF!</definedName>
    <definedName name="h" hidden="1">"LIPPER 2014 shared version.xls"</definedName>
    <definedName name="HYdaily">OFFSET(#REF!,COUNTA(#REF!)-1,0,-254,1)</definedName>
    <definedName name="HYQTR">#REF!</definedName>
    <definedName name="HYVolMN">#REF!</definedName>
    <definedName name="HYVolumeYR">#REF!</definedName>
    <definedName name="Imputed">OFFSET(#REF!,COUNTA(#REF!)-1,0,-47,1)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"hexion"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42233.8803240741</definedName>
    <definedName name="IQ_NAMES_REVISION_DATE__1" hidden="1">41578.8845486111</definedName>
    <definedName name="IQ_NAMES_REVISION_DATE__1_1" hidden="1">43038.5379513889</definedName>
    <definedName name="IQ_NAMES_REVISION_DATE__1_1_1" hidden="1">41578.8845486111</definedName>
    <definedName name="IQ_NAMES_REVISION_DATE__1_1_1_1" hidden="1">43038.5379513889</definedName>
    <definedName name="IQ_NAMES_REVISION_DATE__1_1_1_1_1" hidden="1">41578.8845486111</definedName>
    <definedName name="IQ_NAMES_REVISION_DATE__1_1_2" hidden="1">43858.8338425926</definedName>
    <definedName name="IQ_NAMES_REVISION_DATE__1_2" hidden="1">41578.5393981481</definedName>
    <definedName name="IQ_NAMES_REVISION_DATE__2" hidden="1">41578.5393981481</definedName>
    <definedName name="IQ_NAMES_REVISION_DATE__2_1" hidden="1">41578.8845486111</definedName>
    <definedName name="IQ_NAMES_REVISION_DATE__3" hidden="1">42493.0614351852</definedName>
    <definedName name="IQ_NAMES_REVISION_DATE__3_1" hidden="1">42493.0614351852</definedName>
    <definedName name="IQ_NAMES_REVISION_DATE__4" hidden="1">43858.8338425926</definedName>
    <definedName name="IQ_NAMES_REVISION_DATE__4_1" hidden="1">43857.5293865741</definedName>
    <definedName name="IQ_NAMES_REVISION_DATE__5" hidden="1">43700.5408564815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" hidden="1">39545.6064814815</definedName>
    <definedName name="IQ_REVISION_DATE_" hidden="1">39545.6064814815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volumeMM">INDEX(#REF!,COUNTA(#REF!)-#REF!+1):INDEX(#REF!,COUNTA(#REF!))</definedName>
    <definedName name="IvolumeMMYR">INDEX(#REF!,COUNTA(#REF!)-#REF!+1):INDEX(#REF!,COUNTA(#REF!))</definedName>
    <definedName name="IvolumeSP">INDEX(#REF!,COUNTA(#REF!)-#REF!+1):INDEX(#REF!,COUNTA(#REF!))</definedName>
    <definedName name="ivolumeSPYR">INDEX(#REF!,COUNTA(#REF!)-#REF!+1):INDEX(#REF!,COUNTA(#REF!))</definedName>
    <definedName name="k">INDEX(#REF!,COUNTA(#REF!)-#REF!+1):INDEX(#REF!,COUNTA(#REF!))</definedName>
    <definedName name="l">INDEX(#REF!,COUNTA(#REF!)-#REF!+1):INDEX(#REF!,COUNTA(#REF!))</definedName>
    <definedName name="LastCell">#REF!</definedName>
    <definedName name="loanvolume">INDEX(#REF!,COUNTA(#REF!)-#REF!+1):INDEX(#REF!,COUNTA(#REF!))</definedName>
    <definedName name="LoanYieldDaily">OFFSET(#REF!,COUNTA(#REF!)-1,0,-254,1)</definedName>
    <definedName name="LTMAmount">OFFSET(#REF!,COUNTA(#REF!)-1,0,-47,1)</definedName>
    <definedName name="LTMCount">OFFSET(#REF!,COUNTA(#REF!)-1,0,-47,1)</definedName>
    <definedName name="MAIVolume">INDEX(#REF!,COUNTA(#REF!)-#REF!+1):INDEX(#REF!,COUNTA(#REF!))</definedName>
    <definedName name="MAIVolumeYR">INDEX(#REF!,COUNTA(#REF!)-#REF!+1):INDEX(#REF!,COUNTA(#REF!))</definedName>
    <definedName name="MAPRVol">INDEX(#REF!,COUNTA(#REF!)-#REF!+1):INDEX(#REF!,COUNTA(#REF!))</definedName>
    <definedName name="MAPRVolYR">INDEX(#REF!,COUNTA(#REF!)-#REF!+1):INDEX(#REF!,COUNTA(#REF!))</definedName>
    <definedName name="MAQTR">#REF!</definedName>
    <definedName name="MMQTR">#REF!</definedName>
    <definedName name="MMVolMN">#REF!</definedName>
    <definedName name="MMVolumeYR">#REF!</definedName>
    <definedName name="NUMBERQTR">#REF!</definedName>
    <definedName name="o">#REF!</definedName>
    <definedName name="ok">OFFSET(#REF!,0,0,COUNTA(#REF!)-1,COUNTA(#REF!)-2)</definedName>
    <definedName name="Ownership_Status">OFFSET(#REF!,0,0,COUNTA(#REF!),2)</definedName>
    <definedName name="p">OFFSET(#REF!,0,0,COUNTA(#REF!),COUNTA(#REF!))</definedName>
    <definedName name="Page_20_18_29">OFFSET(#REF!,0,0,COUNTA(#REF!)-17)</definedName>
    <definedName name="Page_20_30_39">OFFSET(#REF!,0,0,COUNTA(#REF!)-17)</definedName>
    <definedName name="Page_20_40_49">OFFSET(#REF!,0,0,COUNTA(#REF!)-17)</definedName>
    <definedName name="Page_20_50_59">OFFSET(#REF!,0,0,COUNTA(#REF!)-17)</definedName>
    <definedName name="Page_20_60_69">OFFSET(#REF!,0,0,COUNTA(#REF!)-17)</definedName>
    <definedName name="Page_20_70plus">OFFSET(#REF!,0,0,COUNTA(#REF!)-17)</definedName>
    <definedName name="Page_22_18">OFFSET(#REF!,0,0,COUNTA(#REF!)-13)</definedName>
    <definedName name="Page_22_30">OFFSET(#REF!,0,0,COUNTA(#REF!)-13)</definedName>
    <definedName name="Page_22_40">OFFSET(#REF!,0,0,COUNTA(#REF!)-13)</definedName>
    <definedName name="Page_22_50">OFFSET(#REF!,0,0,COUNTA(#REF!)-13)</definedName>
    <definedName name="Page_22_60">OFFSET(#REF!,0,0,COUNTA(#REF!)-13)</definedName>
    <definedName name="Page_22_70">OFFSET(#REF!,0,0,COUNTA(#REF!)-13)</definedName>
    <definedName name="Page_22_Date">OFFSET(#REF!,0,0,COUNTA(#REF!)-15)</definedName>
    <definedName name="Page_23_18">OFFSET(#REF!,0,0,COUNTA(#REF!)-13)</definedName>
    <definedName name="Page_23_30">OFFSET(#REF!,0,0,COUNTA(#REF!)-13)</definedName>
    <definedName name="Page_23_40">OFFSET(#REF!,0,0,COUNTA(#REF!)-13)</definedName>
    <definedName name="Page_23_50">OFFSET(#REF!,0,0,COUNTA(#REF!)-13)</definedName>
    <definedName name="Page_23_60">OFFSET(#REF!,0,0,COUNTA(#REF!)-13)</definedName>
    <definedName name="Page_23_70">OFFSET(#REF!,0,0,COUNTA(#REF!)-13)</definedName>
    <definedName name="Page_23_Date">OFFSET(#REF!,0,0,COUNTA(#REF!)-15)</definedName>
    <definedName name="Page_24_18">OFFSET(#REF!,0,0,COUNTA(#REF!)-13)</definedName>
    <definedName name="Page_24_30">OFFSET(#REF!,0,0,COUNTA(#REF!)-13)</definedName>
    <definedName name="Page_24_40">OFFSET(#REF!,0,0,COUNTA(#REF!)-13)</definedName>
    <definedName name="Page_24_50">OFFSET(#REF!,0,0,COUNTA(#REF!)-13)</definedName>
    <definedName name="Page_24_60">OFFSET(#REF!,0,0,COUNTA(#REF!)-13)</definedName>
    <definedName name="Page_24_70">OFFSET(#REF!,0,0,COUNTA(#REF!)-13)</definedName>
    <definedName name="Page_24_Date">OFFSET(#REF!,0,0,COUNTA(#REF!)-15)</definedName>
    <definedName name="Page_25_18">OFFSET(#REF!,0,0,COUNTA(#REF!)-13)</definedName>
    <definedName name="Page_25_30">OFFSET(#REF!,0,0,COUNTA(#REF!)-13)</definedName>
    <definedName name="Page_25_40">OFFSET(#REF!,0,0,COUNTA(#REF!)-13)</definedName>
    <definedName name="Page_25_50">OFFSET(#REF!,0,0,COUNTA(#REF!)-13)</definedName>
    <definedName name="Page_25_60">OFFSET(#REF!,0,0,COUNTA(#REF!)-13)</definedName>
    <definedName name="Page_25_70">OFFSET(#REF!,0,0,COUNTA(#REF!)-13)</definedName>
    <definedName name="Page_25_all">OFFSET(#REF!,0,0,COUNTA(#REF!)-13)</definedName>
    <definedName name="Page_25_Date">OFFSET(#REF!,0,0,COUNTA(#REF!)-15)</definedName>
    <definedName name="Page_26_18">OFFSET(#REF!,0,0,COUNTA(#REF!)-13)</definedName>
    <definedName name="Page_26_30">OFFSET(#REF!,0,0,COUNTA(#REF!)-13)</definedName>
    <definedName name="Page_26_40">OFFSET(#REF!,0,0,COUNTA(#REF!)-13)</definedName>
    <definedName name="Page_26_50">OFFSET(#REF!,0,0,COUNTA(#REF!)-13)</definedName>
    <definedName name="Page_26_60">OFFSET(#REF!,0,0,COUNTA(#REF!)-13)</definedName>
    <definedName name="Page_26_70">OFFSET(#REF!,0,0,COUNTA(#REF!)-13)</definedName>
    <definedName name="Page_26_all">OFFSET(#REF!,0,0,COUNTA(#REF!)-13)</definedName>
    <definedName name="Page_26_Date">OFFSET(#REF!,0,0,COUNTA(#REF!)-15)</definedName>
    <definedName name="Page_27_18">OFFSET(#REF!,0,0,COUNTA(#REF!)-13)</definedName>
    <definedName name="Page_27_30">OFFSET(#REF!,0,0,COUNTA(#REF!)-13)</definedName>
    <definedName name="Page_27_40">OFFSET(#REF!,0,0,COUNTA(#REF!)-13)</definedName>
    <definedName name="Page_27_50">OFFSET(#REF!,0,0,COUNTA(#REF!)-13)</definedName>
    <definedName name="Page_27_60">OFFSET(#REF!,0,0,COUNTA(#REF!)-13)</definedName>
    <definedName name="Page_27_70">OFFSET(#REF!,0,0,COUNTA(#REF!)-13)</definedName>
    <definedName name="Page_27_all">OFFSET(#REF!,0,0,COUNTA(#REF!)-13)</definedName>
    <definedName name="Page_27_Date">OFFSET(#REF!,0,0,COUNTA(#REF!)-15)</definedName>
    <definedName name="Page_28_18">OFFSET(#REF!,0,0,COUNTA(#REF!)-17)</definedName>
    <definedName name="Page_28_30">OFFSET(#REF!,0,0,COUNTA(#REF!)-17)</definedName>
    <definedName name="Page_28_40">OFFSET(#REF!,0,0,COUNTA(#REF!)-17)</definedName>
    <definedName name="Page_28_50">OFFSET(#REF!,0,0,COUNTA(#REF!)-17)</definedName>
    <definedName name="Page_28_all">OFFSET(#REF!,0,0,COUNTA(#REF!)-17)</definedName>
    <definedName name="Page_28_Date">OFFSET(#REF!,0,0,COUNTA(#REF!)-15)</definedName>
    <definedName name="Page_29_18">OFFSET(#REF!,0,0,COUNTA(#REF!)-13)</definedName>
    <definedName name="Page_29_30">OFFSET(#REF!,0,0,COUNTA(#REF!)-13)</definedName>
    <definedName name="Page_29_40">OFFSET(#REF!,0,0,COUNTA(#REF!)-13)</definedName>
    <definedName name="Page_29_50">OFFSET(#REF!,0,0,COUNTA(#REF!)-13)</definedName>
    <definedName name="Page_29_60">OFFSET(#REF!,0,0,COUNTA(#REF!)-13)</definedName>
    <definedName name="Page_29_70">OFFSET(#REF!,0,0,COUNTA(#REF!)-13)</definedName>
    <definedName name="Page_29_Date">OFFSET(#REF!,0,0,COUNTA(#REF!)-15)</definedName>
    <definedName name="Page_30_18">OFFSET(#REF!,0,0,COUNTA(#REF!)-13)</definedName>
    <definedName name="Page_30_30">OFFSET(#REF!,0,0,COUNTA(#REF!)-13)</definedName>
    <definedName name="Page_30_40">OFFSET(#REF!,0,0,COUNTA(#REF!)-13)</definedName>
    <definedName name="Page_30_50">OFFSET(#REF!,0,0,COUNTA(#REF!)-13)</definedName>
    <definedName name="Page_30_60">OFFSET(#REF!,0,0,COUNTA(#REF!)-13)</definedName>
    <definedName name="Page_30_70">OFFSET(#REF!,0,0,COUNTA(#REF!)-13)</definedName>
    <definedName name="Page_30_Date">OFFSET(#REF!,0,0,COUNTA(#REF!)-15)</definedName>
    <definedName name="Page10_CCavailable">OFFSET(#REF!,0,0,COUNTA(#REF!)+65)</definedName>
    <definedName name="Page10_CCbalance">OFFSET(#REF!,0,0,COUNTA(#REF!)+65)</definedName>
    <definedName name="Page10_CClimit">OFFSET(#REF!,0,0,COUNTA(#REF!)+65)</definedName>
    <definedName name="Page10_Date">OFFSET(#REF!,0,0,COUNTA(#REF!)+63)</definedName>
    <definedName name="Page10_HELOC">OFFSET(#REF!,0,0,COUNTA(#REF!)+65)</definedName>
    <definedName name="Page10_HELOCavailable">OFFSET(#REF!,0,0,COUNTA(#REF!)+65)</definedName>
    <definedName name="Page10_HELOClimit">OFFSET(#REF!,0,0,COUNTA(#REF!)+65)</definedName>
    <definedName name="Page11_120">OFFSET(#REF!,0,0,COUNTA(#REF!)-1)</definedName>
    <definedName name="Page11_30">OFFSET(#REF!,0,0,COUNTA(#REF!)-1)</definedName>
    <definedName name="Page11_60">OFFSET(#REF!,0,0,COUNTA(#REF!)-1)</definedName>
    <definedName name="Page11_90">OFFSET(#REF!,0,0,COUNTA(#REF!)-1)</definedName>
    <definedName name="Page11_Current">OFFSET(#REF!,0,0,COUNTA(#REF!)-1)</definedName>
    <definedName name="Page11_Date">OFFSET(#REF!,0,0,COUNTA(#REF!)-3)</definedName>
    <definedName name="Page11_SD">OFFSET(#REF!,0,0,COUNTA(#REF!)-1)</definedName>
    <definedName name="Page12_Auto">OFFSET(#REF!,0,0,COUNTA(#REF!)-1)</definedName>
    <definedName name="Page12_CC">OFFSET(#REF!,0,0,COUNTA(#REF!)-1)</definedName>
    <definedName name="Page12_Date">OFFSET(#REF!,0,0,COUNTA(#REF!)-3)</definedName>
    <definedName name="Page12_HELOC">OFFSET(#REF!,0,0,COUNTA(#REF!)-1)</definedName>
    <definedName name="Page12_Mortgage">OFFSET(#REF!,0,0,COUNTA(#REF!)-1)</definedName>
    <definedName name="Page12_Other">OFFSET(#REF!,0,0,COUNTA(#REF!)-1)</definedName>
    <definedName name="Page12_SL">OFFSET(#REF!,0,0,COUNTA(#REF!)-1)</definedName>
    <definedName name="Page13_Auto">OFFSET(#REF!,0,0,COUNTA(#REF!)-1)</definedName>
    <definedName name="Page13_CC">OFFSET(#REF!,0,0,COUNTA(#REF!)-1)</definedName>
    <definedName name="Page13_Date">OFFSET(#REF!,0,0,COUNTA(#REF!)-4)</definedName>
    <definedName name="Page13_HELOC">OFFSET(#REF!,0,0,COUNTA(#REF!)-2)</definedName>
    <definedName name="Page13_Mortgage">OFFSET(#REF!,0,0,COUNTA(#REF!)-1)</definedName>
    <definedName name="Page13_Other">OFFSET(#REF!,0,0,COUNTA(#REF!)-1)</definedName>
    <definedName name="Page13_SL">OFFSET(#REF!,0,0,COUNTA(#REF!)+3)</definedName>
    <definedName name="Page14_Auto">OFFSET(#REF!,0,0,COUNTA(#REF!)-1)</definedName>
    <definedName name="Page14_CC">OFFSET(#REF!,0,0,COUNTA(#REF!)-1)</definedName>
    <definedName name="Page14_Date">OFFSET(#REF!,0,0,COUNTA(#REF!)-4)</definedName>
    <definedName name="Page14_HELOC">OFFSET(#REF!,0,0,COUNTA(#REF!)-2)</definedName>
    <definedName name="Page14_Mortgage">OFFSET(#REF!,0,0,COUNTA(#REF!)-1)</definedName>
    <definedName name="Page14_Other">OFFSET(#REF!,0,0,COUNTA(#REF!)-1)</definedName>
    <definedName name="Page14_SL">OFFSET(#REF!,0,0,COUNTA(#REF!)+3)</definedName>
    <definedName name="Page15_3060">OFFSET(#REF!,0,0,COUNTA(#REF!)-1)</definedName>
    <definedName name="Page15_90">OFFSET(#REF!,0,0,COUNTA(#REF!)-1)</definedName>
    <definedName name="Page15_Date">OFFSET(#REF!,0,0,COUNTA(#REF!)-3)</definedName>
    <definedName name="Page16_90">OFFSET(#REF!,0,0,COUNTA(#REF!)-1)</definedName>
    <definedName name="Page16_Current">OFFSET(#REF!,0,0,COUNTA(#REF!)-1)</definedName>
    <definedName name="Page16_Date">OFFSET(#REF!,0,0,COUNTA(#REF!)-3)</definedName>
    <definedName name="Page17" hidden="1">#REF!</definedName>
    <definedName name="Page17_Bankruptcy">OFFSET(#REF!,0,0,COUNTA(#REF!)-1)</definedName>
    <definedName name="Page17_Date">OFFSET(#REF!,0,0,COUNTA(#REF!)-3)</definedName>
    <definedName name="Page17_Foreclosure">OFFSET(#REF!,0,0,COUNTA(#REF!)-1)</definedName>
    <definedName name="Page18_avgcollection">OFFSET(#REF!,0,0,COUNTA(#REF!)-1)</definedName>
    <definedName name="Page18_Date">OFFSET(#REF!,0,0,COUNTA(#REF!)-3)</definedName>
    <definedName name="Page18_numcollection">OFFSET(#REF!,0,0,COUNTA(#REF!)-1)</definedName>
    <definedName name="Page20_Date">OFFSET(#REF!,0,0,COUNTA(#REF!)-19)</definedName>
    <definedName name="Page21_Age">OFFSET(#REF!,0,0,1,COUNTA(#REF!))</definedName>
    <definedName name="Page21_Auto">OFFSET(#REF!,0,0,1,COUNTA(#REF!))</definedName>
    <definedName name="Page21_CC">OFFSET(#REF!,0,0,1,COUNTA(#REF!))</definedName>
    <definedName name="Page21_HELOC">OFFSET(#REF!,0,0,1,COUNTA(#REF!))</definedName>
    <definedName name="Page21_Mortgage">OFFSET(#REF!,0,0,1,COUNTA(#REF!))</definedName>
    <definedName name="Page21_Other">OFFSET(#REF!,0,0,1,COUNTA(#REF!))</definedName>
    <definedName name="Page21_SL">OFFSET(#REF!,0,0,1,COUNTA(#REF!))</definedName>
    <definedName name="Page3_Auto">OFFSET(#REF!,0,0,COUNTA(#REF!)-1)</definedName>
    <definedName name="Page3_CC">OFFSET(#REF!,0,0,COUNTA(#REF!)-1)</definedName>
    <definedName name="Page3_Date">OFFSET(#REF!,0,0,COUNTA(#REF!)-1)</definedName>
    <definedName name="Page3_HELOC">OFFSET(#REF!,0,0,COUNTA(#REF!)-1)</definedName>
    <definedName name="Page3_Mortgage">OFFSET(#REF!,0,0,COUNTA(#REF!)-1)</definedName>
    <definedName name="Page3_Other">OFFSET(#REF!,0,0,COUNTA(#REF!)-1)</definedName>
    <definedName name="Page3_SL">OFFSET(#REF!,0,0,COUNTA(#REF!)-1)</definedName>
    <definedName name="Page3_Total">OFFSET(#REF!,0,0,COUNTA(#REF!)-1)</definedName>
    <definedName name="Page32_All">OFFSET(#REF!,0,0,1,COUNTA(#REF!))</definedName>
    <definedName name="Page32_AZ">OFFSET(#REF!,0,0,1,COUNTA(#REF!))</definedName>
    <definedName name="Page32_CA">OFFSET(#REF!,0,0,1,COUNTA(#REF!))</definedName>
    <definedName name="Page32_Date">OFFSET(#REF!,0,0,1,COUNTA(#REF!))</definedName>
    <definedName name="Page32_FL">OFFSET(#REF!,0,0,1,COUNTA(#REF!))</definedName>
    <definedName name="Page32_IL">OFFSET(#REF!,0,0,1,COUNTA(#REF!))</definedName>
    <definedName name="Page32_MI">OFFSET(#REF!,0,0,1,COUNTA(#REF!))</definedName>
    <definedName name="Page32_NJ">OFFSET(#REF!,0,0,1,COUNTA(#REF!))</definedName>
    <definedName name="Page32_NV">OFFSET(#REF!,0,0,1,COUNTA(#REF!))</definedName>
    <definedName name="Page32_NY">OFFSET(#REF!,0,0,1,COUNTA(#REF!))</definedName>
    <definedName name="Page32_OH">OFFSET(#REF!,0,0,1,COUNTA(#REF!))</definedName>
    <definedName name="Page32_PA">OFFSET(#REF!,0,0,1,COUNTA(#REF!))</definedName>
    <definedName name="Page32_TX">OFFSET(#REF!,0,0,1,COUNTA(#REF!))</definedName>
    <definedName name="Page33_Auto">OFFSET(#REF!,0,0,COUNTA(#REF!)-1)</definedName>
    <definedName name="Page33_CC">OFFSET(#REF!,0,0,COUNTA(#REF!)-1)</definedName>
    <definedName name="Page33_HELOC">OFFSET(#REF!,0,0,COUNTA(#REF!)-1)</definedName>
    <definedName name="Page33_Mortgage">OFFSET(#REF!,0,0,COUNTA(#REF!)-1)</definedName>
    <definedName name="Page33_Other">OFFSET(#REF!,0,0,COUNTA(#REF!)-1)</definedName>
    <definedName name="Page33_SL">OFFSET(#REF!,0,0,COUNTA(#REF!)-1)</definedName>
    <definedName name="Page33_State">OFFSET(#REF!,0,0,COUNTA(#REF!)-5)</definedName>
    <definedName name="Page34_120">OFFSET(#REF!,0,0,COUNTA(#REF!)-1)</definedName>
    <definedName name="Page34_30">OFFSET(#REF!,0,0,COUNTA(#REF!)-1)</definedName>
    <definedName name="Page34_60">OFFSET(#REF!,0,0,COUNTA(#REF!)-1)</definedName>
    <definedName name="Page34_90">OFFSET(#REF!,0,0,COUNTA(#REF!)-1)</definedName>
    <definedName name="Page34_Current">OFFSET(#REF!,0,0,COUNTA(#REF!)-1)</definedName>
    <definedName name="Page34_Severe">OFFSET(#REF!,0,0,COUNTA(#REF!)-1)</definedName>
    <definedName name="Page34_State">OFFSET(#REF!,0,0,COUNTA(#REF!)-5)</definedName>
    <definedName name="Page35_All">OFFSET(#REF!,0,0,1,COUNTA(#REF!))</definedName>
    <definedName name="Page35_AZ">OFFSET(#REF!,0,0,1,COUNTA(#REF!))</definedName>
    <definedName name="Page35_CA">OFFSET(#REF!,0,0,1,COUNTA(#REF!))</definedName>
    <definedName name="Page35_Date">OFFSET(#REF!,0,0,1,COUNTA(#REF!))</definedName>
    <definedName name="Page35_FL">OFFSET(#REF!,0,0,1,COUNTA(#REF!))</definedName>
    <definedName name="Page35_IL">OFFSET(#REF!,0,0,1,COUNTA(#REF!))</definedName>
    <definedName name="Page35_MI">OFFSET(#REF!,0,0,1,COUNTA(#REF!))</definedName>
    <definedName name="Page35_NJ">OFFSET(#REF!,0,0,1,COUNTA(#REF!))</definedName>
    <definedName name="Page35_NV">OFFSET(#REF!,0,0,1,COUNTA(#REF!))</definedName>
    <definedName name="Page35_NY">OFFSET(#REF!,0,0,1,COUNTA(#REF!))</definedName>
    <definedName name="Page35_OH">OFFSET(#REF!,0,0,1,COUNTA(#REF!))</definedName>
    <definedName name="Page35_PA">OFFSET(#REF!,0,0,1,COUNTA(#REF!))</definedName>
    <definedName name="Page35_TX">OFFSET(#REF!,0,0,1,COUNTA(#REF!))</definedName>
    <definedName name="Page36_All">OFFSET(#REF!,0,0,1,COUNTA(#REF!))</definedName>
    <definedName name="Page36_AZ">OFFSET(#REF!,0,0,1,COUNTA(#REF!))</definedName>
    <definedName name="Page36_CA">OFFSET(#REF!,0,0,1,COUNTA(#REF!))</definedName>
    <definedName name="Page36_Date">OFFSET(#REF!,0,0,1,COUNTA(#REF!))</definedName>
    <definedName name="Page36_FL">OFFSET(#REF!,0,0,1,COUNTA(#REF!))</definedName>
    <definedName name="Page36_IL">OFFSET(#REF!,0,0,1,COUNTA(#REF!))</definedName>
    <definedName name="Page36_MI">OFFSET(#REF!,0,0,1,COUNTA(#REF!))</definedName>
    <definedName name="Page36_NJ">OFFSET(#REF!,0,0,1,COUNTA(#REF!))</definedName>
    <definedName name="Page36_NV">OFFSET(#REF!,0,0,1,COUNTA(#REF!))</definedName>
    <definedName name="Page36_NY">OFFSET(#REF!,0,0,1,COUNTA(#REF!))</definedName>
    <definedName name="Page36_OH">OFFSET(#REF!,0,0,1,COUNTA(#REF!))</definedName>
    <definedName name="Page36_PA">OFFSET(#REF!,0,0,1,COUNTA(#REF!))</definedName>
    <definedName name="Page36_TX">OFFSET(#REF!,0,0,1,COUNTA(#REF!))</definedName>
    <definedName name="Page37_AZ">OFFSET(#REF!,0,0,1,COUNTA(#REF!))</definedName>
    <definedName name="Page37_CA">OFFSET(#REF!,0,0,1,COUNTA(#REF!))</definedName>
    <definedName name="Page37_Date">OFFSET(#REF!,0,0,1,COUNTA(#REF!))</definedName>
    <definedName name="Page37_FL">OFFSET(#REF!,0,0,1,COUNTA(#REF!))</definedName>
    <definedName name="Page37_IL">OFFSET(#REF!,0,0,1,COUNTA(#REF!))</definedName>
    <definedName name="Page37_MI">OFFSET(#REF!,0,0,1,COUNTA(#REF!))</definedName>
    <definedName name="Page37_NJ">OFFSET(#REF!,0,0,1,COUNTA(#REF!))</definedName>
    <definedName name="Page37_NV">OFFSET(#REF!,0,0,1,COUNTA(#REF!))</definedName>
    <definedName name="Page37_NY">OFFSET(#REF!,0,0,1,COUNTA(#REF!))</definedName>
    <definedName name="Page37_OH">OFFSET(#REF!,0,0,1,COUNTA(#REF!))</definedName>
    <definedName name="Page37_PA">OFFSET(#REF!,0,0,1,COUNTA(#REF!))</definedName>
    <definedName name="Page37_TX">OFFSET(#REF!,0,0,1,COUNTA(#REF!))</definedName>
    <definedName name="Page37_US">OFFSET(#REF!,0,0,1,COUNTA(#REF!))</definedName>
    <definedName name="Page38_AZ">OFFSET(#REF!,0,0,1,COUNTA(#REF!))</definedName>
    <definedName name="Page38_CA">OFFSET(#REF!,0,0,1,COUNTA(#REF!))</definedName>
    <definedName name="Page38_Date">OFFSET(#REF!,0,0,1,COUNTA(#REF!))</definedName>
    <definedName name="Page38_FL">OFFSET(#REF!,0,0,1,COUNTA(#REF!))</definedName>
    <definedName name="Page38_IL">OFFSET(#REF!,0,0,1,COUNTA(#REF!))</definedName>
    <definedName name="Page38_MI">OFFSET(#REF!,0,0,1,COUNTA(#REF!))</definedName>
    <definedName name="Page38_NJ">OFFSET(#REF!,0,0,1,COUNTA(#REF!))</definedName>
    <definedName name="Page38_NV">OFFSET(#REF!,0,0,1,COUNTA(#REF!))</definedName>
    <definedName name="Page38_NY">OFFSET(#REF!,0,0,1,COUNTA(#REF!))</definedName>
    <definedName name="Page38_OH">OFFSET(#REF!,0,0,1,COUNTA(#REF!))</definedName>
    <definedName name="Page38_PA">OFFSET(#REF!,0,0,1,COUNTA(#REF!))</definedName>
    <definedName name="Page38_TX">OFFSET(#REF!,0,0,1,COUNTA(#REF!))</definedName>
    <definedName name="Page38_US">OFFSET(#REF!,0,0,1,COUNTA(#REF!))</definedName>
    <definedName name="Page39_ALL">OFFSET(#REF!,0,0,1,COUNTA(#REF!))</definedName>
    <definedName name="Page39_AZ">OFFSET(#REF!,0,0,1,COUNTA(#REF!))</definedName>
    <definedName name="Page39_CA">OFFSET(#REF!,0,0,1,COUNTA(#REF!))</definedName>
    <definedName name="Page39_Date">OFFSET(#REF!,0,0,1,COUNTA(#REF!))</definedName>
    <definedName name="Page39_FL">OFFSET(#REF!,0,0,1,COUNTA(#REF!))</definedName>
    <definedName name="Page39_IL">OFFSET(#REF!,0,0,1,COUNTA(#REF!))</definedName>
    <definedName name="Page39_MI">OFFSET(#REF!,0,0,1,COUNTA(#REF!))</definedName>
    <definedName name="Page39_NJ">OFFSET(#REF!,0,0,1,COUNTA(#REF!))</definedName>
    <definedName name="Page39_NV">OFFSET(#REF!,0,0,1,COUNTA(#REF!))</definedName>
    <definedName name="Page39_NY">OFFSET(#REF!,0,0,1,COUNTA(#REF!))</definedName>
    <definedName name="Page39_OH">OFFSET(#REF!,0,0,1,COUNTA(#REF!))</definedName>
    <definedName name="Page39_PA">OFFSET(#REF!,0,0,1,COUNTA(#REF!))</definedName>
    <definedName name="Page39_TX">OFFSET(#REF!,0,0,1,COUNTA(#REF!))</definedName>
    <definedName name="Page4_Auto">OFFSET(#REF!,0,0,COUNTA(#REF!)-1)</definedName>
    <definedName name="Page4_CC">OFFSET(#REF!,0,0,COUNTA(#REF!)-1)</definedName>
    <definedName name="Page4_Date">OFFSET(#REF!,0,0,COUNTA(#REF!)-1)</definedName>
    <definedName name="Page4_HELOC">OFFSET(#REF!,0,0,COUNTA(#REF!)-1)</definedName>
    <definedName name="Page4_Mortgage">OFFSET(#REF!,0,0,COUNTA(#REF!)-1)</definedName>
    <definedName name="Page40_ALL">OFFSET(#REF!,0,0,1,COUNTA(#REF!))</definedName>
    <definedName name="Page40_AZ">OFFSET(#REF!,0,0,1,COUNTA(#REF!))</definedName>
    <definedName name="Page40_CA">OFFSET(#REF!,0,0,1,COUNTA(#REF!))</definedName>
    <definedName name="Page40_Date">OFFSET(#REF!,0,0,1,COUNTA(#REF!))</definedName>
    <definedName name="Page40_FL">OFFSET(#REF!,0,0,1,COUNTA(#REF!))</definedName>
    <definedName name="Page40_IL">OFFSET(#REF!,0,0,1,COUNTA(#REF!))</definedName>
    <definedName name="Page40_MI">OFFSET(#REF!,0,0,1,COUNTA(#REF!))</definedName>
    <definedName name="Page40_NJ">OFFSET(#REF!,0,0,1,COUNTA(#REF!))</definedName>
    <definedName name="Page40_NV">OFFSET(#REF!,0,0,1,COUNTA(#REF!))</definedName>
    <definedName name="Page40_NY">OFFSET(#REF!,0,0,1,COUNTA(#REF!))</definedName>
    <definedName name="Page40_OH">OFFSET(#REF!,0,0,1,COUNTA(#REF!))</definedName>
    <definedName name="Page40_PA">OFFSET(#REF!,0,0,1,COUNTA(#REF!))</definedName>
    <definedName name="Page40_TX">OFFSET(#REF!,0,0,1,COUNTA(#REF!))</definedName>
    <definedName name="Page5_Closed">OFFSET(#REF!,0,0,COUNTA(#REF!)-1)</definedName>
    <definedName name="Page5_Date">OFFSET(#REF!,0,0,COUNTA(#REF!)-3)</definedName>
    <definedName name="Page5_Inquiry">OFFSET(#REF!,0,0,COUNTA(#REF!)-1)</definedName>
    <definedName name="Page5_Open">OFFSET(#REF!,0,0,COUNTA(#REF!)-1)</definedName>
    <definedName name="Page6_620">OFFSET(#REF!,0,0,COUNTA(#REF!)-1)</definedName>
    <definedName name="Page6_620to659">OFFSET(#REF!,0,0,COUNTA(#REF!)-1)</definedName>
    <definedName name="Page6_660to719">OFFSET(#REF!,0,0,COUNTA(#REF!)-1)</definedName>
    <definedName name="Page6_720to759">OFFSET(#REF!,0,0,COUNTA(#REF!)-1)</definedName>
    <definedName name="Page6_760">OFFSET(#REF!,0,0,COUNTA(#REF!)-1)</definedName>
    <definedName name="Page6_Date">OFFSET(#REF!,0,0,COUNTA(#REF!)-3)</definedName>
    <definedName name="Page7_10th">OFFSET(#REF!,0,0,COUNTA(#REF!)-16)</definedName>
    <definedName name="Page7_25th">OFFSET(#REF!,0,0,COUNTA(#REF!)-16)</definedName>
    <definedName name="Page7_Date">OFFSET(#REF!,0,0,COUNTA(#REF!)-17)</definedName>
    <definedName name="Page7_Median">OFFSET(#REF!,0,0,COUNTA(#REF!)-16)</definedName>
    <definedName name="Page8_620">OFFSET(#REF!,0,0,COUNTA(#REF!)-1)</definedName>
    <definedName name="Page8_620to659">OFFSET(#REF!,0,0,COUNTA(#REF!)-1)</definedName>
    <definedName name="Page8_660to719">OFFSET(#REF!,0,0,COUNTA(#REF!)-1)</definedName>
    <definedName name="Page8_720to759">OFFSET(#REF!,0,0,COUNTA(#REF!)-1)</definedName>
    <definedName name="Page8_760">OFFSET(#REF!,0,0,COUNTA(#REF!)-1)</definedName>
    <definedName name="Page8_Date">OFFSET(#REF!,0,0,COUNTA(#REF!)-3)</definedName>
    <definedName name="Page9_10th">OFFSET(#REF!,0,0,COUNTA(#REF!)-16)</definedName>
    <definedName name="Page9_25th">OFFSET(#REF!,0,0,COUNTA(#REF!)-16)</definedName>
    <definedName name="Page9_Date">OFFSET(#REF!,0,0,COUNTA(#REF!)-17)</definedName>
    <definedName name="Page9_Median">OFFSET(#REF!,0,0,COUNTA(#REF!)-17)</definedName>
    <definedName name="PRvolume">INDEX(#REF!,COUNTA(#REF!)-#REF!+1):INDEX(#REF!,COUNTA(#REF!))</definedName>
    <definedName name="PRvolumeMM">INDEX(#REF!,COUNTA(#REF!)-#REF!+1):INDEX(#REF!,COUNTA(#REF!))</definedName>
    <definedName name="PRVolumeMMYR">INDEX(#REF!,COUNTA(#REF!)-#REF!+1):INDEX(#REF!,COUNTA(#REF!))</definedName>
    <definedName name="PRvolumeSP">INDEX(#REF!,COUNTA(#REF!)-#REF!+1):INDEX(#REF!,COUNTA(#REF!))</definedName>
    <definedName name="PRVolumeSPYR">INDEX(#REF!,COUNTA(#REF!)-#REF!+1):INDEX(#REF!,COUNTA(#REF!))</definedName>
    <definedName name="PRvolumeYR">INDEX(#REF!,COUNTA(#REF!)-#REF!+1):INDEX(#REF!,COUNTA(#REF!))</definedName>
    <definedName name="ptData1">#REF!</definedName>
    <definedName name="ptData2">#REF!</definedName>
    <definedName name="ptHeader1">#REF!</definedName>
    <definedName name="ptHeader2">#REF!</definedName>
    <definedName name="ptHeader3">#REF!</definedName>
    <definedName name="q">#REF!</definedName>
    <definedName name="sd">INDEX(#REF!,COUNTA(#REF!)-#REF!+1):INDEX(#REF!,COUNTA(#REF!))</definedName>
    <definedName name="sdf">#REF!</definedName>
    <definedName name="SearchCriteria">#REF!</definedName>
    <definedName name="SearchCriteriaType">#REF!</definedName>
    <definedName name="Securedvolume">INDEX(#REF!,COUNTA(#REF!)-#REF!+1):INDEX(#REF!,COUNTA(#REF!))</definedName>
    <definedName name="securedvolumeYR">INDEX(#REF!,COUNTA(#REF!)-#REF!+1):INDEX(#REF!,COUNTA(#REF!))</definedName>
    <definedName name="selectedchart">CHOOSE(#REF!,CHART1,CHART2,CHART3,CHART4,CHART5,CHART6,CHART7,CHART8,CHART9,CHART10,chart11,CHART12,CHART13,CHART14,CHART15,CHART16)</definedName>
    <definedName name="selectedchart1">CHOOSE(#REF!,CHART1,CHART2,CHART9a,CHART4,CHART5,CHART6,CHART7,CHART_9a,CHART9,CHART10,chart11,CHART12,CHART13,CHART14,CHART15,CHART16)</definedName>
    <definedName name="SLTLPERCENT">INDEX(#REF!,COUNTA(#REF!)-#REF!+1):INDEX(#REF!,COUNTA(#REF!))</definedName>
    <definedName name="SLTLPERCENT_YR">INDEX(#REF!,COUNTA(#REF!)-#REF!+1):INDEX(#REF!,COUNTA(#REF!))</definedName>
    <definedName name="SLTLQTR">#REF!</definedName>
    <definedName name="SLTLVOL">INDEX(#REF!,COUNTA(#REF!)-#REF!+1):INDEX(#REF!,COUNTA(#REF!))</definedName>
    <definedName name="SLTLVOLUME_YR">INDEX(#REF!,COUNTA(#REF!)-#REF!+1):INDEX(#REF!,COUNTA(#REF!))</definedName>
    <definedName name="SLTLVOLUMEMN">#REF!</definedName>
    <definedName name="SLTLVOLYR">#REF!</definedName>
    <definedName name="SPVolMN">#REF!</definedName>
    <definedName name="SPVOLQTR">#REF!</definedName>
    <definedName name="SPVolumeYR">#REF!</definedName>
    <definedName name="SPWS_WBID">"D59E1A16-371E-4D0F-A93D-481B765CD67C"</definedName>
    <definedName name="Stats">INDEX(#REF!,COUNTA(#REF!)-#REF!+1):INDEX(#REF!,COUNTA(#REF!))</definedName>
    <definedName name="STM_100">OFFSET(#REF!,COUNTA(#REF!)-1,0,-61,1)</definedName>
    <definedName name="STM_ALL">OFFSET(#REF!,COUNTA(#REF!)-1,0,-61,1)</definedName>
    <definedName name="STM_B">OFFSET(#REF!,COUNTA(#REF!)-1,0,-61,1)</definedName>
    <definedName name="STM_BB">OFFSET(#REF!,COUNTA(#REF!)-1,0,-61,1)</definedName>
    <definedName name="STM_CovHeavy">OFFSET(#REF!,COUNT(#REF!)-1,0,-61,1)</definedName>
    <definedName name="STM_CovLite">OFFSET(#REF!,COUNT(#REF!)-1,0,-61,1)</definedName>
    <definedName name="STM_FL">OFFSET(#REF!,COUNT(#REF!)-1,0,-61,1)</definedName>
    <definedName name="STM_FL_B">OFFSET(#REF!,COUNT(#REF!)-1,0,-61,1)</definedName>
    <definedName name="STM_LC">OFFSET(#REF!,COUNT(#REF!)-1,0,-61,1)</definedName>
    <definedName name="STM_MM">OFFSET(#REF!,COUNT(#REF!)-1,0,-61,1)</definedName>
    <definedName name="STM_SL">OFFSET(#REF!,COUNT(#REF!)-1,0,-61,1)</definedName>
    <definedName name="STM_SL_B">OFFSET(#REF!,COUNT(#REF!)-1,0,-61,1)</definedName>
    <definedName name="subvolume">INDEX(#REF!,COUNTA(#REF!)-#REF!+1):INDEX(#REF!,COUNTA(#REF!))</definedName>
    <definedName name="subvolumeYR">INDEX(#REF!,COUNTA(#REF!)-#REF!+1):INDEX(#REF!,COUNTA(#REF!))</definedName>
    <definedName name="test">#REF!</definedName>
    <definedName name="test2">#REF!</definedName>
    <definedName name="unsecvolume">INDEX(#REF!,COUNTA(#REF!)-#REF!+1):INDEX(#REF!,COUNTA(#REF!))</definedName>
    <definedName name="unsecvolumeYR">INDEX(#REF!,COUNTA(#REF!)-#REF!+1):INDEX(#REF!,COUNTA(#REF!))</definedName>
    <definedName name="USDynamic">OFFSET(#REF!,0,0,COUNTA(#REF!),COUNTA(#REF!))</definedName>
    <definedName name="valSelOption">#REF!</definedName>
    <definedName name="vol">#REF!</definedName>
    <definedName name="VolbyCCRYR">#REF!</definedName>
    <definedName name="VolbyIndYR">#REF!</definedName>
    <definedName name="VolbypurpYR">#REF!</definedName>
    <definedName name="VolMN">#REF!</definedName>
    <definedName name="VOLUMEQTR">#REF!</definedName>
    <definedName name="volumerange">INDEX(#REF!,COUNTA(#REF!)-#REF!+1):INDEX(#REF!,COUNTA(#REF!))</definedName>
    <definedName name="volumerange1">INDEX(#REF!,COUNTA(#REF!)-#REF!+1):INDEX(#REF!,COUNTA(#REF!))</definedName>
    <definedName name="VolumerangeYR">INDEX(#REF!,COUNTA(#REF!)-#REF!+1):INDEX(#REF!,COUNTA(#REF!))</definedName>
    <definedName name="VolumeYR">#REF!</definedName>
    <definedName name="x" hidden="1">Table4</definedName>
    <definedName name="xdg">OFFSET(#REF!,0,0,COUNTA(#REF!)-1,COUNTA(#REF!)-2)</definedName>
    <definedName name="YTMBHY">OFFSET(#REF!,COUNTA(#REF!)-1,0,-758,1)</definedName>
    <definedName name="YTMBL">OFFSET(#REF!,COUNTA(#REF!)-1,0,-758,1)</definedName>
    <definedName name="YTMDateHY">OFFSET(#REF!,COUNTA(#REF!)-1,0,-758,1)</definedName>
    <definedName name="YTMHY">OFFSET(#REF!,COUNTA(#REF!)-1,0,-758,1)</definedName>
    <definedName name="YTMLLY">OFFSET(#REF!,COUNTA(#REF!)-1,0,-758,1)</definedName>
  </definedName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7" i="1" l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6" i="1"/>
  <c r="AD465" i="1"/>
  <c r="AC465" i="1"/>
  <c r="AD466" i="1"/>
  <c r="AC466" i="1"/>
  <c r="AD467" i="1"/>
  <c r="AC467" i="1"/>
  <c r="AD468" i="1"/>
  <c r="AC468" i="1"/>
  <c r="AD469" i="1"/>
  <c r="AC469" i="1"/>
  <c r="AD470" i="1"/>
  <c r="AC470" i="1"/>
  <c r="AD471" i="1"/>
  <c r="AC471" i="1"/>
  <c r="AD472" i="1"/>
  <c r="AC472" i="1"/>
  <c r="AD473" i="1"/>
  <c r="AC473" i="1"/>
  <c r="AD474" i="1"/>
  <c r="AC474" i="1"/>
  <c r="AD475" i="1"/>
  <c r="AC475" i="1"/>
  <c r="AD476" i="1"/>
  <c r="AC476" i="1"/>
  <c r="AD481" i="1"/>
  <c r="AC481" i="1"/>
  <c r="AD177" i="1"/>
  <c r="AC177" i="1"/>
  <c r="AD191" i="1"/>
  <c r="AC191" i="1"/>
  <c r="AD192" i="1"/>
  <c r="AC192" i="1"/>
  <c r="AD193" i="1"/>
  <c r="AC193" i="1"/>
  <c r="AD194" i="1"/>
  <c r="AC194" i="1"/>
  <c r="AD195" i="1"/>
  <c r="AC195" i="1"/>
  <c r="AD196" i="1"/>
  <c r="AC196" i="1"/>
  <c r="AD197" i="1"/>
  <c r="AC197" i="1"/>
  <c r="AC391" i="1"/>
  <c r="AD391" i="1"/>
  <c r="AC390" i="1"/>
  <c r="AD390" i="1"/>
  <c r="AC389" i="1"/>
  <c r="AD389" i="1"/>
  <c r="AC388" i="1"/>
  <c r="AD388" i="1"/>
  <c r="AC387" i="1"/>
  <c r="AD387" i="1"/>
  <c r="AC386" i="1"/>
  <c r="AD386" i="1"/>
  <c r="AC385" i="1"/>
  <c r="AD385" i="1"/>
  <c r="AC384" i="1"/>
  <c r="AD384" i="1"/>
  <c r="AC383" i="1"/>
  <c r="AD383" i="1"/>
  <c r="AC382" i="1"/>
  <c r="AD382" i="1"/>
  <c r="AC381" i="1"/>
  <c r="AD381" i="1"/>
  <c r="AC380" i="1"/>
  <c r="AD380" i="1"/>
  <c r="AC379" i="1"/>
  <c r="AD379" i="1"/>
  <c r="AC378" i="1"/>
  <c r="AD378" i="1"/>
  <c r="AC377" i="1"/>
  <c r="AD377" i="1"/>
  <c r="AC376" i="1"/>
  <c r="AD376" i="1"/>
  <c r="AC375" i="1"/>
  <c r="AD375" i="1"/>
  <c r="AC374" i="1"/>
  <c r="AD374" i="1"/>
  <c r="AC373" i="1"/>
  <c r="AD373" i="1"/>
  <c r="AC372" i="1"/>
  <c r="AD372" i="1"/>
  <c r="AC371" i="1"/>
  <c r="AD371" i="1"/>
  <c r="AC370" i="1"/>
  <c r="AD370" i="1"/>
  <c r="AC369" i="1"/>
  <c r="AD369" i="1"/>
  <c r="AC368" i="1"/>
  <c r="AD368" i="1"/>
  <c r="AC367" i="1"/>
  <c r="AD367" i="1"/>
  <c r="AC366" i="1"/>
  <c r="AD366" i="1"/>
  <c r="AC365" i="1"/>
  <c r="AD365" i="1"/>
  <c r="AC364" i="1"/>
  <c r="AD364" i="1"/>
  <c r="AC363" i="1"/>
  <c r="AD363" i="1"/>
  <c r="AC362" i="1"/>
  <c r="AD362" i="1"/>
  <c r="AC361" i="1"/>
  <c r="AD361" i="1"/>
  <c r="AC360" i="1"/>
  <c r="AD360" i="1"/>
  <c r="AC359" i="1"/>
  <c r="AD359" i="1"/>
  <c r="AC358" i="1"/>
  <c r="AD358" i="1"/>
  <c r="AC357" i="1"/>
  <c r="AD357" i="1"/>
  <c r="AC356" i="1"/>
  <c r="AD356" i="1"/>
  <c r="AC355" i="1"/>
  <c r="AD355" i="1"/>
  <c r="AC354" i="1"/>
  <c r="AD354" i="1"/>
  <c r="AC353" i="1"/>
  <c r="AD353" i="1"/>
  <c r="AC352" i="1"/>
  <c r="AD352" i="1"/>
  <c r="AC351" i="1"/>
  <c r="AD351" i="1"/>
  <c r="AC350" i="1"/>
  <c r="AD350" i="1"/>
  <c r="AC349" i="1"/>
  <c r="AD349" i="1"/>
  <c r="AC348" i="1"/>
  <c r="AD348" i="1"/>
  <c r="AC347" i="1"/>
  <c r="AD347" i="1"/>
  <c r="AC346" i="1"/>
  <c r="AD346" i="1"/>
  <c r="AC345" i="1"/>
  <c r="AD345" i="1"/>
  <c r="AC344" i="1"/>
  <c r="AD344" i="1"/>
  <c r="AC343" i="1"/>
  <c r="AD343" i="1"/>
  <c r="AC342" i="1"/>
  <c r="AD342" i="1"/>
  <c r="AC341" i="1"/>
  <c r="AD341" i="1"/>
  <c r="AC340" i="1"/>
  <c r="AD340" i="1"/>
  <c r="AC339" i="1"/>
  <c r="AD339" i="1"/>
  <c r="AC338" i="1"/>
  <c r="AD338" i="1"/>
  <c r="AC337" i="1"/>
  <c r="AD337" i="1"/>
  <c r="AD306" i="1"/>
  <c r="AC306" i="1"/>
  <c r="AD305" i="1"/>
  <c r="AC305" i="1"/>
  <c r="AD304" i="1"/>
  <c r="AC304" i="1"/>
  <c r="AD303" i="1"/>
  <c r="AC303" i="1"/>
  <c r="AD302" i="1"/>
  <c r="AC302" i="1"/>
  <c r="AD301" i="1"/>
  <c r="AC301" i="1"/>
  <c r="AD300" i="1"/>
  <c r="AC300" i="1"/>
  <c r="AD299" i="1"/>
  <c r="AC299" i="1"/>
  <c r="AD298" i="1"/>
  <c r="AC298" i="1"/>
  <c r="AD297" i="1"/>
  <c r="AC297" i="1"/>
  <c r="AD296" i="1"/>
  <c r="AC296" i="1"/>
  <c r="AD295" i="1"/>
  <c r="AC295" i="1"/>
  <c r="AD294" i="1"/>
  <c r="AC294" i="1"/>
  <c r="AD190" i="1"/>
  <c r="AC190" i="1"/>
  <c r="AD189" i="1"/>
  <c r="AC189" i="1"/>
  <c r="AD188" i="1"/>
  <c r="AC188" i="1"/>
  <c r="AD187" i="1"/>
  <c r="AC187" i="1"/>
  <c r="AD186" i="1"/>
  <c r="AC186" i="1"/>
  <c r="AD185" i="1"/>
  <c r="AC185" i="1"/>
  <c r="AD184" i="1"/>
  <c r="AC184" i="1"/>
  <c r="AD183" i="1"/>
  <c r="AC183" i="1"/>
  <c r="AD182" i="1"/>
  <c r="AC182" i="1"/>
  <c r="AD181" i="1"/>
  <c r="AC181" i="1"/>
  <c r="AD180" i="1"/>
  <c r="AC180" i="1"/>
  <c r="AD179" i="1"/>
  <c r="AC179" i="1"/>
  <c r="AD178" i="1"/>
  <c r="AC178" i="1"/>
  <c r="AD477" i="1"/>
  <c r="AC477" i="1"/>
  <c r="AD478" i="1"/>
  <c r="AC478" i="1"/>
  <c r="AD479" i="1"/>
  <c r="AC479" i="1"/>
  <c r="AD480" i="1"/>
  <c r="AC480" i="1"/>
  <c r="AD332" i="1"/>
  <c r="AC332" i="1"/>
  <c r="AD333" i="1"/>
  <c r="AC333" i="1"/>
  <c r="AD334" i="1"/>
  <c r="AC334" i="1"/>
  <c r="AD335" i="1"/>
  <c r="AC335" i="1"/>
  <c r="AD198" i="1"/>
  <c r="AC198" i="1"/>
  <c r="AD199" i="1"/>
  <c r="AC199" i="1"/>
  <c r="AD200" i="1"/>
  <c r="AC200" i="1"/>
  <c r="AD226" i="1"/>
  <c r="AC226" i="1"/>
  <c r="AD227" i="1"/>
  <c r="AC227" i="1"/>
  <c r="AD228" i="1"/>
  <c r="AC228" i="1"/>
  <c r="AD229" i="1"/>
  <c r="AC229" i="1"/>
  <c r="AD230" i="1"/>
  <c r="AC230" i="1"/>
  <c r="AD231" i="1"/>
  <c r="AC231" i="1"/>
  <c r="AD232" i="1"/>
  <c r="AC232" i="1"/>
  <c r="AD233" i="1"/>
  <c r="AC233" i="1"/>
  <c r="AD234" i="1"/>
  <c r="AC234" i="1"/>
  <c r="AD235" i="1"/>
  <c r="AC235" i="1"/>
  <c r="AD236" i="1"/>
  <c r="AC236" i="1"/>
  <c r="AD237" i="1"/>
  <c r="AC237" i="1"/>
  <c r="AD238" i="1"/>
  <c r="AC238" i="1"/>
  <c r="AD239" i="1"/>
  <c r="AC239" i="1"/>
  <c r="AD240" i="1"/>
  <c r="AC240" i="1"/>
  <c r="AD241" i="1"/>
  <c r="AC241" i="1"/>
  <c r="AD242" i="1"/>
  <c r="AC242" i="1"/>
  <c r="AD243" i="1"/>
  <c r="AC243" i="1"/>
  <c r="AD244" i="1"/>
  <c r="AC244" i="1"/>
  <c r="AD245" i="1"/>
  <c r="AC245" i="1"/>
  <c r="AD246" i="1"/>
  <c r="AC246" i="1"/>
  <c r="AD247" i="1"/>
  <c r="AC247" i="1"/>
  <c r="AD248" i="1"/>
  <c r="AC248" i="1"/>
  <c r="AD249" i="1"/>
  <c r="AC249" i="1"/>
  <c r="AD250" i="1"/>
  <c r="AC250" i="1"/>
  <c r="AD251" i="1"/>
  <c r="AC251" i="1"/>
  <c r="AD252" i="1"/>
  <c r="AC252" i="1"/>
  <c r="AD253" i="1"/>
  <c r="AC253" i="1"/>
  <c r="AD254" i="1"/>
  <c r="AC254" i="1"/>
  <c r="AD255" i="1"/>
  <c r="AC255" i="1"/>
  <c r="AD256" i="1"/>
  <c r="AC256" i="1"/>
  <c r="AD257" i="1"/>
  <c r="AC257" i="1"/>
  <c r="AD258" i="1"/>
  <c r="AC258" i="1"/>
  <c r="AD259" i="1"/>
  <c r="AC259" i="1"/>
  <c r="AD260" i="1"/>
  <c r="AC260" i="1"/>
  <c r="AD261" i="1"/>
  <c r="AC261" i="1"/>
  <c r="AD262" i="1"/>
  <c r="AC262" i="1"/>
  <c r="AD263" i="1"/>
  <c r="AC263" i="1"/>
  <c r="AD264" i="1"/>
  <c r="AC264" i="1"/>
  <c r="AD265" i="1"/>
  <c r="AC265" i="1"/>
  <c r="AD266" i="1"/>
  <c r="AC266" i="1"/>
  <c r="AD267" i="1"/>
  <c r="AC267" i="1"/>
  <c r="AD268" i="1"/>
  <c r="AC268" i="1"/>
  <c r="AD269" i="1"/>
  <c r="AC269" i="1"/>
  <c r="AD270" i="1"/>
  <c r="AC270" i="1"/>
  <c r="AD271" i="1"/>
  <c r="AC271" i="1"/>
  <c r="AD272" i="1"/>
  <c r="AC272" i="1"/>
  <c r="AD273" i="1"/>
  <c r="AC273" i="1"/>
  <c r="AD274" i="1"/>
  <c r="AC274" i="1"/>
  <c r="AD275" i="1"/>
  <c r="AC275" i="1"/>
  <c r="AD276" i="1"/>
  <c r="AC276" i="1"/>
  <c r="AD277" i="1"/>
  <c r="AC277" i="1"/>
  <c r="AD278" i="1"/>
  <c r="AC278" i="1"/>
  <c r="AD279" i="1"/>
  <c r="AC279" i="1"/>
  <c r="AD280" i="1"/>
  <c r="AC280" i="1"/>
  <c r="AD281" i="1"/>
  <c r="AC281" i="1"/>
  <c r="AD282" i="1"/>
  <c r="AC282" i="1"/>
  <c r="AD283" i="1"/>
  <c r="AC283" i="1"/>
  <c r="AD284" i="1"/>
  <c r="AC284" i="1"/>
  <c r="AD285" i="1"/>
  <c r="AC285" i="1"/>
  <c r="AD286" i="1"/>
  <c r="AC286" i="1"/>
  <c r="AD287" i="1"/>
  <c r="AC287" i="1"/>
  <c r="AD288" i="1"/>
  <c r="AC288" i="1"/>
  <c r="AD289" i="1"/>
  <c r="AC289" i="1"/>
  <c r="AD290" i="1"/>
  <c r="AC290" i="1"/>
  <c r="AD291" i="1"/>
  <c r="AC291" i="1"/>
  <c r="AD292" i="1"/>
  <c r="AC292" i="1"/>
  <c r="AD293" i="1"/>
  <c r="AC293" i="1"/>
  <c r="AD201" i="1"/>
  <c r="AC201" i="1"/>
  <c r="AD202" i="1"/>
  <c r="AC202" i="1"/>
  <c r="AD203" i="1"/>
  <c r="AC203" i="1"/>
  <c r="AD204" i="1"/>
  <c r="AC204" i="1"/>
  <c r="AD205" i="1"/>
  <c r="AC205" i="1"/>
  <c r="AD206" i="1"/>
  <c r="AC206" i="1"/>
  <c r="AD207" i="1"/>
  <c r="AC207" i="1"/>
  <c r="AD208" i="1"/>
  <c r="AC208" i="1"/>
  <c r="AD209" i="1"/>
  <c r="AC209" i="1"/>
  <c r="AD210" i="1"/>
  <c r="AC210" i="1"/>
  <c r="AD211" i="1"/>
  <c r="AC211" i="1"/>
  <c r="AD212" i="1"/>
  <c r="AC212" i="1"/>
  <c r="AD213" i="1"/>
  <c r="AC213" i="1"/>
  <c r="AD214" i="1"/>
  <c r="AC214" i="1"/>
  <c r="AD215" i="1"/>
  <c r="AC215" i="1"/>
  <c r="AD216" i="1"/>
  <c r="AC216" i="1"/>
  <c r="AD217" i="1"/>
  <c r="AC217" i="1"/>
  <c r="AD218" i="1"/>
  <c r="AC218" i="1"/>
  <c r="AD219" i="1"/>
  <c r="AC219" i="1"/>
  <c r="AD220" i="1"/>
  <c r="AC220" i="1"/>
  <c r="AD221" i="1"/>
  <c r="AC221" i="1"/>
  <c r="AD222" i="1"/>
  <c r="AC222" i="1"/>
  <c r="AD223" i="1"/>
  <c r="AC223" i="1"/>
  <c r="AD224" i="1"/>
  <c r="AC224" i="1"/>
  <c r="AD225" i="1"/>
  <c r="AC225" i="1"/>
  <c r="AD547" i="1"/>
  <c r="AC547" i="1"/>
  <c r="AD548" i="1"/>
  <c r="AC548" i="1"/>
  <c r="AD549" i="1"/>
  <c r="AC549" i="1"/>
  <c r="AD550" i="1"/>
  <c r="AC550" i="1"/>
  <c r="AD551" i="1"/>
  <c r="AC551" i="1"/>
  <c r="AD552" i="1"/>
  <c r="AC552" i="1"/>
  <c r="AD553" i="1"/>
  <c r="AC553" i="1"/>
  <c r="AD554" i="1"/>
  <c r="AC554" i="1"/>
  <c r="AD555" i="1"/>
  <c r="AC555" i="1"/>
  <c r="AD556" i="1"/>
  <c r="AC556" i="1"/>
  <c r="AD557" i="1"/>
  <c r="AC557" i="1"/>
  <c r="AD558" i="1"/>
  <c r="AC558" i="1"/>
  <c r="AD559" i="1"/>
  <c r="AC559" i="1"/>
  <c r="AD560" i="1"/>
  <c r="AC560" i="1"/>
  <c r="AD561" i="1"/>
  <c r="AC561" i="1"/>
  <c r="AD562" i="1"/>
  <c r="AC562" i="1"/>
  <c r="AD563" i="1"/>
  <c r="AC563" i="1"/>
  <c r="AD564" i="1"/>
  <c r="AC564" i="1"/>
  <c r="AD565" i="1"/>
  <c r="AC565" i="1"/>
  <c r="AD566" i="1"/>
  <c r="AC566" i="1"/>
  <c r="AD567" i="1"/>
  <c r="AC567" i="1"/>
  <c r="AD568" i="1"/>
  <c r="AC568" i="1"/>
  <c r="AD569" i="1"/>
  <c r="AC569" i="1"/>
  <c r="AD570" i="1"/>
  <c r="AC570" i="1"/>
  <c r="AD571" i="1"/>
  <c r="AC571" i="1"/>
  <c r="AD572" i="1"/>
  <c r="AC572" i="1"/>
  <c r="AD573" i="1"/>
  <c r="AC573" i="1"/>
  <c r="AD574" i="1"/>
  <c r="AC574" i="1"/>
  <c r="AD575" i="1"/>
  <c r="AC575" i="1"/>
  <c r="AD576" i="1"/>
  <c r="AC576" i="1"/>
  <c r="AD577" i="1"/>
  <c r="AC577" i="1"/>
  <c r="AD578" i="1"/>
  <c r="AC578" i="1"/>
  <c r="AD579" i="1"/>
  <c r="AC579" i="1"/>
  <c r="AD580" i="1"/>
  <c r="AC580" i="1"/>
  <c r="AD581" i="1"/>
  <c r="AC581" i="1"/>
  <c r="AD482" i="1"/>
  <c r="AC482" i="1"/>
  <c r="AD483" i="1"/>
  <c r="AC483" i="1"/>
  <c r="AD484" i="1"/>
  <c r="AC484" i="1"/>
  <c r="AD485" i="1"/>
  <c r="AC485" i="1"/>
  <c r="AD486" i="1"/>
  <c r="AC486" i="1"/>
  <c r="AD487" i="1"/>
  <c r="AC487" i="1"/>
  <c r="AD488" i="1"/>
  <c r="AC488" i="1"/>
  <c r="AD489" i="1"/>
  <c r="AC489" i="1"/>
  <c r="AD490" i="1"/>
  <c r="AC490" i="1"/>
  <c r="AD491" i="1"/>
  <c r="AC491" i="1"/>
  <c r="AD492" i="1"/>
  <c r="AC492" i="1"/>
  <c r="AD493" i="1"/>
  <c r="AC493" i="1"/>
  <c r="AD494" i="1"/>
  <c r="AC494" i="1"/>
  <c r="AD495" i="1"/>
  <c r="AC495" i="1"/>
  <c r="AD496" i="1"/>
  <c r="AC496" i="1"/>
  <c r="AD497" i="1"/>
  <c r="AC497" i="1"/>
  <c r="AD498" i="1"/>
  <c r="AC498" i="1"/>
  <c r="AD499" i="1"/>
  <c r="AC499" i="1"/>
  <c r="AD500" i="1"/>
  <c r="AC500" i="1"/>
  <c r="AD501" i="1"/>
  <c r="AC501" i="1"/>
  <c r="AD502" i="1"/>
  <c r="AC502" i="1"/>
  <c r="AD503" i="1"/>
  <c r="AC503" i="1"/>
  <c r="AD504" i="1"/>
  <c r="AC504" i="1"/>
  <c r="AD505" i="1"/>
  <c r="AC505" i="1"/>
  <c r="AD506" i="1"/>
  <c r="AC506" i="1"/>
  <c r="AD507" i="1"/>
  <c r="AC507" i="1"/>
  <c r="AD508" i="1"/>
  <c r="AC508" i="1"/>
  <c r="AD509" i="1"/>
  <c r="AC509" i="1"/>
  <c r="AD510" i="1"/>
  <c r="AC510" i="1"/>
  <c r="AD511" i="1"/>
  <c r="AC511" i="1"/>
  <c r="AD512" i="1"/>
  <c r="AC512" i="1"/>
  <c r="AD513" i="1"/>
  <c r="AC513" i="1"/>
  <c r="AD514" i="1"/>
  <c r="AC514" i="1"/>
  <c r="AD515" i="1"/>
  <c r="AC515" i="1"/>
  <c r="AD516" i="1"/>
  <c r="AC516" i="1"/>
  <c r="AD517" i="1"/>
  <c r="AC517" i="1"/>
  <c r="AD518" i="1"/>
  <c r="AC518" i="1"/>
  <c r="AD519" i="1"/>
  <c r="AC519" i="1"/>
  <c r="AD520" i="1"/>
  <c r="AC520" i="1"/>
  <c r="AD521" i="1"/>
  <c r="AC521" i="1"/>
  <c r="AD522" i="1"/>
  <c r="AC522" i="1"/>
  <c r="AD523" i="1"/>
  <c r="AC523" i="1"/>
  <c r="AD524" i="1"/>
  <c r="AC524" i="1"/>
  <c r="AD525" i="1"/>
  <c r="AC525" i="1"/>
  <c r="AD526" i="1"/>
  <c r="AC526" i="1"/>
  <c r="AD527" i="1"/>
  <c r="AC527" i="1"/>
  <c r="AD528" i="1"/>
  <c r="AC528" i="1"/>
  <c r="AD529" i="1"/>
  <c r="AC529" i="1"/>
  <c r="AD530" i="1"/>
  <c r="AC530" i="1"/>
  <c r="AD531" i="1"/>
  <c r="AC531" i="1"/>
  <c r="AD532" i="1"/>
  <c r="AC532" i="1"/>
  <c r="AD533" i="1"/>
  <c r="AC533" i="1"/>
  <c r="AD534" i="1"/>
  <c r="AC534" i="1"/>
  <c r="AD535" i="1"/>
  <c r="AC535" i="1"/>
  <c r="AD536" i="1"/>
  <c r="AC536" i="1"/>
  <c r="AD537" i="1"/>
  <c r="AC537" i="1"/>
  <c r="AD538" i="1"/>
  <c r="AC538" i="1"/>
  <c r="AD539" i="1"/>
  <c r="AC539" i="1"/>
  <c r="AD540" i="1"/>
  <c r="AC540" i="1"/>
  <c r="AD541" i="1"/>
  <c r="AC541" i="1"/>
  <c r="AD542" i="1"/>
  <c r="AC542" i="1"/>
  <c r="AD543" i="1"/>
  <c r="AC543" i="1"/>
  <c r="AD544" i="1"/>
  <c r="AC544" i="1"/>
  <c r="AD545" i="1"/>
  <c r="AC545" i="1"/>
  <c r="AD546" i="1"/>
  <c r="AC546" i="1"/>
  <c r="AD117" i="1"/>
  <c r="AC117" i="1"/>
  <c r="AD118" i="1"/>
  <c r="AC118" i="1"/>
  <c r="AD119" i="1"/>
  <c r="AC119" i="1"/>
  <c r="AD120" i="1"/>
  <c r="AC120" i="1"/>
  <c r="AD121" i="1"/>
  <c r="AC121" i="1"/>
  <c r="AD122" i="1"/>
  <c r="AC122" i="1"/>
  <c r="AD123" i="1"/>
  <c r="AC123" i="1"/>
  <c r="AD124" i="1"/>
  <c r="AC124" i="1"/>
  <c r="AD125" i="1"/>
  <c r="AC125" i="1"/>
  <c r="AD126" i="1"/>
  <c r="AC126" i="1"/>
  <c r="AD127" i="1"/>
  <c r="AC127" i="1"/>
  <c r="AD128" i="1"/>
  <c r="AC128" i="1"/>
  <c r="AD129" i="1"/>
  <c r="AC129" i="1"/>
  <c r="AD130" i="1"/>
  <c r="AC130" i="1"/>
  <c r="AD131" i="1"/>
  <c r="AC131" i="1"/>
  <c r="AD132" i="1"/>
  <c r="AC132" i="1"/>
  <c r="AD133" i="1"/>
  <c r="AC133" i="1"/>
  <c r="AD134" i="1"/>
  <c r="AC134" i="1"/>
  <c r="AD135" i="1"/>
  <c r="AC135" i="1"/>
  <c r="AD136" i="1"/>
  <c r="AC136" i="1"/>
  <c r="AD137" i="1"/>
  <c r="AC137" i="1"/>
  <c r="AD138" i="1"/>
  <c r="AC138" i="1"/>
  <c r="AD139" i="1"/>
  <c r="AC139" i="1"/>
  <c r="AD140" i="1"/>
  <c r="AC140" i="1"/>
  <c r="AD141" i="1"/>
  <c r="AC141" i="1"/>
  <c r="AD142" i="1"/>
  <c r="AC142" i="1"/>
  <c r="AD143" i="1"/>
  <c r="AC143" i="1"/>
  <c r="AD144" i="1"/>
  <c r="AC144" i="1"/>
  <c r="AD145" i="1"/>
  <c r="AC145" i="1"/>
  <c r="AD146" i="1"/>
  <c r="AC146" i="1"/>
  <c r="AD147" i="1"/>
  <c r="AC147" i="1"/>
  <c r="AD148" i="1"/>
  <c r="AC148" i="1"/>
  <c r="AD149" i="1"/>
  <c r="AC149" i="1"/>
  <c r="AD150" i="1"/>
  <c r="AC150" i="1"/>
  <c r="AD151" i="1"/>
  <c r="AC151" i="1"/>
  <c r="AD152" i="1"/>
  <c r="AC152" i="1"/>
  <c r="AD153" i="1"/>
  <c r="AC153" i="1"/>
  <c r="AD154" i="1"/>
  <c r="AC154" i="1"/>
  <c r="AD155" i="1"/>
  <c r="AC155" i="1"/>
  <c r="AD156" i="1"/>
  <c r="AC156" i="1"/>
  <c r="AD157" i="1"/>
  <c r="AC157" i="1"/>
  <c r="AD158" i="1"/>
  <c r="AC158" i="1"/>
  <c r="AD159" i="1"/>
  <c r="AC159" i="1"/>
  <c r="AD160" i="1"/>
  <c r="AC160" i="1"/>
  <c r="AD161" i="1"/>
  <c r="AC161" i="1"/>
  <c r="AD162" i="1"/>
  <c r="AC162" i="1"/>
  <c r="AD163" i="1"/>
  <c r="AC163" i="1"/>
  <c r="AD164" i="1"/>
  <c r="AC164" i="1"/>
  <c r="AD165" i="1"/>
  <c r="AC165" i="1"/>
  <c r="AD166" i="1"/>
  <c r="AC166" i="1"/>
  <c r="AD167" i="1"/>
  <c r="AC167" i="1"/>
  <c r="AD168" i="1"/>
  <c r="AC168" i="1"/>
  <c r="AD169" i="1"/>
  <c r="AC169" i="1"/>
  <c r="AD170" i="1"/>
  <c r="AC170" i="1"/>
  <c r="AD171" i="1"/>
  <c r="AC171" i="1"/>
  <c r="AD172" i="1"/>
  <c r="AC172" i="1"/>
  <c r="AD173" i="1"/>
  <c r="AC173" i="1"/>
  <c r="AD174" i="1"/>
  <c r="AC174" i="1"/>
  <c r="AD175" i="1"/>
  <c r="AC175" i="1"/>
  <c r="AD176" i="1"/>
  <c r="AC176" i="1"/>
  <c r="AD75" i="1"/>
  <c r="AC75" i="1"/>
  <c r="AD76" i="1"/>
  <c r="AC76" i="1"/>
  <c r="AD77" i="1"/>
  <c r="AC77" i="1"/>
  <c r="AD78" i="1"/>
  <c r="AC78" i="1"/>
  <c r="AD79" i="1"/>
  <c r="AC79" i="1"/>
  <c r="AD80" i="1"/>
  <c r="AC80" i="1"/>
  <c r="AD81" i="1"/>
  <c r="AC81" i="1"/>
  <c r="AD82" i="1"/>
  <c r="AC82" i="1"/>
  <c r="AD83" i="1"/>
  <c r="AC83" i="1"/>
  <c r="AD84" i="1"/>
  <c r="AC84" i="1"/>
  <c r="AD85" i="1"/>
  <c r="AC85" i="1"/>
  <c r="AD86" i="1"/>
  <c r="AC86" i="1"/>
  <c r="AD87" i="1"/>
  <c r="AC87" i="1"/>
  <c r="AD88" i="1"/>
  <c r="AC88" i="1"/>
  <c r="AD89" i="1"/>
  <c r="AC89" i="1"/>
  <c r="AD90" i="1"/>
  <c r="AC90" i="1"/>
  <c r="AD91" i="1"/>
  <c r="AC91" i="1"/>
  <c r="AD92" i="1"/>
  <c r="AC92" i="1"/>
  <c r="AD93" i="1"/>
  <c r="AC93" i="1"/>
  <c r="AD94" i="1"/>
  <c r="AC94" i="1"/>
  <c r="AD95" i="1"/>
  <c r="AC95" i="1"/>
  <c r="AD96" i="1"/>
  <c r="AC96" i="1"/>
  <c r="AD97" i="1"/>
  <c r="AC97" i="1"/>
  <c r="AD98" i="1"/>
  <c r="AC98" i="1"/>
  <c r="AD99" i="1"/>
  <c r="AC99" i="1"/>
  <c r="AD100" i="1"/>
  <c r="AC100" i="1"/>
  <c r="AD101" i="1"/>
  <c r="AC101" i="1"/>
  <c r="AD102" i="1"/>
  <c r="AC102" i="1"/>
  <c r="AD103" i="1"/>
  <c r="AC103" i="1"/>
  <c r="AD104" i="1"/>
  <c r="AC104" i="1"/>
  <c r="AD105" i="1"/>
  <c r="AC105" i="1"/>
  <c r="AD106" i="1"/>
  <c r="AC106" i="1"/>
  <c r="AD107" i="1"/>
  <c r="AC107" i="1"/>
  <c r="AD108" i="1"/>
  <c r="AC108" i="1"/>
  <c r="AD109" i="1"/>
  <c r="AC109" i="1"/>
  <c r="AD110" i="1"/>
  <c r="AC110" i="1"/>
  <c r="AD111" i="1"/>
  <c r="AC111" i="1"/>
  <c r="AD112" i="1"/>
  <c r="AC112" i="1"/>
  <c r="AD113" i="1"/>
  <c r="AC113" i="1"/>
  <c r="AD114" i="1"/>
  <c r="AC114" i="1"/>
  <c r="AD115" i="1"/>
  <c r="AC115" i="1"/>
  <c r="AD116" i="1"/>
  <c r="AC116" i="1"/>
  <c r="AD392" i="1"/>
  <c r="AC392" i="1"/>
  <c r="AD393" i="1"/>
  <c r="AC393" i="1"/>
  <c r="AD394" i="1"/>
  <c r="AC394" i="1"/>
  <c r="AD395" i="1"/>
  <c r="AC395" i="1"/>
  <c r="AD396" i="1"/>
  <c r="AC396" i="1"/>
  <c r="AD397" i="1"/>
  <c r="AC397" i="1"/>
  <c r="AD398" i="1"/>
  <c r="AC398" i="1"/>
  <c r="AD399" i="1"/>
  <c r="AC399" i="1"/>
  <c r="AD400" i="1"/>
  <c r="AC400" i="1"/>
  <c r="AD401" i="1"/>
  <c r="AC401" i="1"/>
  <c r="AD402" i="1"/>
  <c r="AC402" i="1"/>
  <c r="AD403" i="1"/>
  <c r="AC403" i="1"/>
  <c r="AD404" i="1"/>
  <c r="AC404" i="1"/>
  <c r="AD405" i="1"/>
  <c r="AC405" i="1"/>
  <c r="AD406" i="1"/>
  <c r="AC406" i="1"/>
  <c r="AD407" i="1"/>
  <c r="AC407" i="1"/>
  <c r="AD408" i="1"/>
  <c r="AC408" i="1"/>
  <c r="AD409" i="1"/>
  <c r="AC409" i="1"/>
  <c r="AD410" i="1"/>
  <c r="AC410" i="1"/>
  <c r="AD411" i="1"/>
  <c r="AC411" i="1"/>
  <c r="AD412" i="1"/>
  <c r="AC412" i="1"/>
  <c r="AD413" i="1"/>
  <c r="AC413" i="1"/>
  <c r="AD414" i="1"/>
  <c r="AC414" i="1"/>
  <c r="AD415" i="1"/>
  <c r="AC415" i="1"/>
  <c r="AD416" i="1"/>
  <c r="AC416" i="1"/>
  <c r="AD417" i="1"/>
  <c r="AC417" i="1"/>
  <c r="AD418" i="1"/>
  <c r="AC418" i="1"/>
  <c r="AD419" i="1"/>
  <c r="AC419" i="1"/>
  <c r="AD420" i="1"/>
  <c r="AC420" i="1"/>
  <c r="AD421" i="1"/>
  <c r="AC421" i="1"/>
  <c r="AD422" i="1"/>
  <c r="AC422" i="1"/>
  <c r="AD423" i="1"/>
  <c r="AC423" i="1"/>
  <c r="AD424" i="1"/>
  <c r="AC424" i="1"/>
  <c r="AD425" i="1"/>
  <c r="AC425" i="1"/>
  <c r="AD426" i="1"/>
  <c r="AC426" i="1"/>
  <c r="AD427" i="1"/>
  <c r="AC427" i="1"/>
  <c r="AD428" i="1"/>
  <c r="AC428" i="1"/>
  <c r="AD429" i="1"/>
  <c r="AC429" i="1"/>
  <c r="AD430" i="1"/>
  <c r="AC430" i="1"/>
  <c r="AD431" i="1"/>
  <c r="AC431" i="1"/>
  <c r="AD432" i="1"/>
  <c r="AC432" i="1"/>
  <c r="AD433" i="1"/>
  <c r="AC433" i="1"/>
  <c r="AD434" i="1"/>
  <c r="AC434" i="1"/>
  <c r="AD435" i="1"/>
  <c r="AC435" i="1"/>
  <c r="AD436" i="1"/>
  <c r="AC436" i="1"/>
  <c r="AD437" i="1"/>
  <c r="AC437" i="1"/>
  <c r="AD438" i="1"/>
  <c r="AC438" i="1"/>
  <c r="AD439" i="1"/>
  <c r="AC439" i="1"/>
  <c r="AD440" i="1"/>
  <c r="AC440" i="1"/>
  <c r="AD441" i="1"/>
  <c r="AC441" i="1"/>
  <c r="AD442" i="1"/>
  <c r="AC442" i="1"/>
  <c r="AD443" i="1"/>
  <c r="AC443" i="1"/>
  <c r="AD444" i="1"/>
  <c r="AC444" i="1"/>
  <c r="AD445" i="1"/>
  <c r="AC445" i="1"/>
  <c r="AD446" i="1"/>
  <c r="AC446" i="1"/>
  <c r="AD447" i="1"/>
  <c r="AC447" i="1"/>
  <c r="AD448" i="1"/>
  <c r="AC448" i="1"/>
  <c r="AD449" i="1"/>
  <c r="AC449" i="1"/>
  <c r="AD450" i="1"/>
  <c r="AC450" i="1"/>
  <c r="AD451" i="1"/>
  <c r="AC451" i="1"/>
  <c r="AD452" i="1"/>
  <c r="AC452" i="1"/>
  <c r="AD453" i="1"/>
  <c r="AC453" i="1"/>
  <c r="AD454" i="1"/>
  <c r="AC454" i="1"/>
  <c r="AD455" i="1"/>
  <c r="AC455" i="1"/>
  <c r="AD456" i="1"/>
  <c r="AC456" i="1"/>
  <c r="AD457" i="1"/>
  <c r="AC457" i="1"/>
  <c r="AD458" i="1"/>
  <c r="AC458" i="1"/>
  <c r="AD459" i="1"/>
  <c r="AC459" i="1"/>
  <c r="AD460" i="1"/>
  <c r="AC460" i="1"/>
  <c r="AD461" i="1"/>
  <c r="AC461" i="1"/>
  <c r="AD462" i="1"/>
  <c r="AC462" i="1"/>
  <c r="AD463" i="1"/>
  <c r="AC463" i="1"/>
  <c r="AD464" i="1"/>
  <c r="AC464" i="1"/>
  <c r="AD2" i="1"/>
  <c r="AC2" i="1"/>
  <c r="AD3" i="1"/>
  <c r="AC3" i="1"/>
  <c r="AD4" i="1"/>
  <c r="AC4" i="1"/>
  <c r="AD5" i="1"/>
  <c r="AC5" i="1"/>
  <c r="AD6" i="1"/>
  <c r="AC6" i="1"/>
  <c r="AD7" i="1"/>
  <c r="AC7" i="1"/>
  <c r="AD8" i="1"/>
  <c r="AC8" i="1"/>
  <c r="AD9" i="1"/>
  <c r="AC9" i="1"/>
  <c r="AD10" i="1"/>
  <c r="AC10" i="1"/>
  <c r="AD11" i="1"/>
  <c r="AC11" i="1"/>
  <c r="AD12" i="1"/>
  <c r="AC12" i="1"/>
  <c r="AD13" i="1"/>
  <c r="AC13" i="1"/>
  <c r="AD14" i="1"/>
  <c r="AC14" i="1"/>
  <c r="AD15" i="1"/>
  <c r="AC15" i="1"/>
  <c r="AD16" i="1"/>
  <c r="AC16" i="1"/>
  <c r="AD17" i="1"/>
  <c r="AC17" i="1"/>
  <c r="AD18" i="1"/>
  <c r="AC18" i="1"/>
  <c r="AD19" i="1"/>
  <c r="AC19" i="1"/>
  <c r="AD20" i="1"/>
  <c r="AC20" i="1"/>
  <c r="AD21" i="1"/>
  <c r="AC21" i="1"/>
  <c r="AD22" i="1"/>
  <c r="AC22" i="1"/>
  <c r="AD23" i="1"/>
  <c r="AC23" i="1"/>
  <c r="AD24" i="1"/>
  <c r="AC24" i="1"/>
  <c r="AD25" i="1"/>
  <c r="AC25" i="1"/>
  <c r="AD26" i="1"/>
  <c r="AC26" i="1"/>
  <c r="AD27" i="1"/>
  <c r="AC27" i="1"/>
  <c r="AD28" i="1"/>
  <c r="AC28" i="1"/>
  <c r="AD29" i="1"/>
  <c r="AC29" i="1"/>
  <c r="AD30" i="1"/>
  <c r="AC30" i="1"/>
  <c r="AD31" i="1"/>
  <c r="AC31" i="1"/>
  <c r="AD32" i="1"/>
  <c r="AC32" i="1"/>
  <c r="AD33" i="1"/>
  <c r="AC33" i="1"/>
  <c r="AD34" i="1"/>
  <c r="AC34" i="1"/>
  <c r="AD35" i="1"/>
  <c r="AC35" i="1"/>
  <c r="AD36" i="1"/>
  <c r="AC36" i="1"/>
  <c r="AD37" i="1"/>
  <c r="AC37" i="1"/>
  <c r="AD38" i="1"/>
  <c r="AC38" i="1"/>
  <c r="AD39" i="1"/>
  <c r="AC39" i="1"/>
  <c r="AD40" i="1"/>
  <c r="AC40" i="1"/>
  <c r="AD41" i="1"/>
  <c r="AC41" i="1"/>
  <c r="AD42" i="1"/>
  <c r="AC42" i="1"/>
  <c r="AD43" i="1"/>
  <c r="AC43" i="1"/>
  <c r="AD44" i="1"/>
  <c r="AC44" i="1"/>
  <c r="AD45" i="1"/>
  <c r="AC45" i="1"/>
  <c r="AD46" i="1"/>
  <c r="AC46" i="1"/>
  <c r="AD47" i="1"/>
  <c r="AC47" i="1"/>
  <c r="AD48" i="1"/>
  <c r="AC48" i="1"/>
  <c r="AD49" i="1"/>
  <c r="AC49" i="1"/>
  <c r="AD50" i="1"/>
  <c r="AC50" i="1"/>
  <c r="AD51" i="1"/>
  <c r="AC51" i="1"/>
  <c r="AD52" i="1"/>
  <c r="AC52" i="1"/>
  <c r="AD53" i="1"/>
  <c r="AC53" i="1"/>
  <c r="AD54" i="1"/>
  <c r="AC54" i="1"/>
  <c r="AD55" i="1"/>
  <c r="AC55" i="1"/>
  <c r="AD56" i="1"/>
  <c r="AC56" i="1"/>
  <c r="AD57" i="1"/>
  <c r="AC57" i="1"/>
  <c r="AD58" i="1"/>
  <c r="AC58" i="1"/>
  <c r="AD59" i="1"/>
  <c r="AC59" i="1"/>
  <c r="AD60" i="1"/>
  <c r="AC60" i="1"/>
  <c r="AD61" i="1"/>
  <c r="AC61" i="1"/>
  <c r="AD62" i="1"/>
  <c r="AC62" i="1"/>
  <c r="AD63" i="1"/>
  <c r="AC63" i="1"/>
  <c r="AD64" i="1"/>
  <c r="AC64" i="1"/>
  <c r="AD65" i="1"/>
  <c r="AC65" i="1"/>
  <c r="AD66" i="1"/>
  <c r="AC66" i="1"/>
  <c r="AD67" i="1"/>
  <c r="AC67" i="1"/>
  <c r="AD68" i="1"/>
  <c r="AC68" i="1"/>
  <c r="AD69" i="1"/>
  <c r="AC69" i="1"/>
  <c r="AD70" i="1"/>
  <c r="AC70" i="1"/>
  <c r="AD71" i="1"/>
  <c r="AC71" i="1"/>
  <c r="AD72" i="1"/>
  <c r="AC72" i="1"/>
  <c r="AD73" i="1"/>
  <c r="AC73" i="1"/>
  <c r="AD74" i="1"/>
  <c r="AC74" i="1"/>
</calcChain>
</file>

<file path=xl/sharedStrings.xml><?xml version="1.0" encoding="utf-8"?>
<sst xmlns="http://schemas.openxmlformats.org/spreadsheetml/2006/main" count="1990" uniqueCount="131">
  <si>
    <t>fund_id</t>
  </si>
  <si>
    <t>fund_name</t>
  </si>
  <si>
    <t>ticker</t>
  </si>
  <si>
    <t>month_end</t>
  </si>
  <si>
    <t>nav</t>
  </si>
  <si>
    <t>nav_per_share</t>
  </si>
  <si>
    <t>monthly_return</t>
  </si>
  <si>
    <t>cik</t>
  </si>
  <si>
    <t>fund_type</t>
  </si>
  <si>
    <t>yfinance_link</t>
  </si>
  <si>
    <t>share_class</t>
  </si>
  <si>
    <t>expense_ratio</t>
  </si>
  <si>
    <t>sec_name</t>
  </si>
  <si>
    <t>direct_statement_name</t>
  </si>
  <si>
    <t>icapital_name</t>
  </si>
  <si>
    <t>ms_name</t>
  </si>
  <si>
    <t>website_link</t>
  </si>
  <si>
    <t>Bow River Evergreen PE</t>
  </si>
  <si>
    <t>Carlyle Alpinvest</t>
  </si>
  <si>
    <t>Cliffwater</t>
  </si>
  <si>
    <t>Coller Secondaries</t>
  </si>
  <si>
    <t>Stepstone PC Income</t>
  </si>
  <si>
    <t>Stepstone Private Markets</t>
  </si>
  <si>
    <t>Stepstone PV/Growth</t>
  </si>
  <si>
    <t>AMG Pantheon</t>
  </si>
  <si>
    <t>Hamilton Lane</t>
  </si>
  <si>
    <t>JPMF</t>
  </si>
  <si>
    <t>FLEX</t>
  </si>
  <si>
    <t>Tender</t>
  </si>
  <si>
    <t>Interval</t>
  </si>
  <si>
    <t>https://www.bowriverevergreen.com/</t>
  </si>
  <si>
    <t>https://www.carlyle.com/capm</t>
  </si>
  <si>
    <t>https://www.cliffwaterfunds.com/celfx</t>
  </si>
  <si>
    <t>https://cspef.com/</t>
  </si>
  <si>
    <t>https://www.stepstonegroup.com/what-we-do/solutions-services/private-wealth-solutions/crdex/</t>
  </si>
  <si>
    <t>https://www.stepstonegroup.com/what-we-do/solutions-services/private-wealth-solutions/sprim/</t>
  </si>
  <si>
    <t>https://www.stepstonegroup.com/what-we-do/solutions-services/private-wealth-solutions/spring/</t>
  </si>
  <si>
    <t>https://www.pantheon.com/private-wealth-overview/amg-pantheon-fund/</t>
  </si>
  <si>
    <t>https://www.flexpe.com</t>
  </si>
  <si>
    <t>https://www.hamiltonlane.com/en-us/strategies/evergreen/us-private-wealth/private-assets-fund</t>
  </si>
  <si>
    <t>https://am.jpmorgan.com/us/en/asset-management/adv/products/jpmorgan-private-markets-fund-i-48130f306</t>
  </si>
  <si>
    <t>Class I</t>
  </si>
  <si>
    <t>Class 3</t>
  </si>
  <si>
    <t>EVERX</t>
  </si>
  <si>
    <t>XCPIX</t>
  </si>
  <si>
    <t>CELFX</t>
  </si>
  <si>
    <t>CRDEX</t>
  </si>
  <si>
    <t>XPMIX</t>
  </si>
  <si>
    <t>XSPIX</t>
  </si>
  <si>
    <t>XPEIX</t>
  </si>
  <si>
    <t>XHLIX</t>
  </si>
  <si>
    <t>Bow River Capital Evergreen Fund</t>
  </si>
  <si>
    <t>Carlyle AlpInvest Private Markets Fund</t>
  </si>
  <si>
    <t>Cliffwater Enhanced Lending Fund</t>
  </si>
  <si>
    <t>Coller Secondaries Private Equity Opportunities Fund</t>
  </si>
  <si>
    <t>StepStone Private Credit Income Fund</t>
  </si>
  <si>
    <t>StepStone Private Markets</t>
  </si>
  <si>
    <t>StepStone Private Venture and Growth Fund</t>
  </si>
  <si>
    <t>Franklin Lexington Private Markets Fund</t>
  </si>
  <si>
    <t>Hamilton Lane Private Assets Fund</t>
  </si>
  <si>
    <t>JPMorgan Private Markets Fund</t>
  </si>
  <si>
    <t>BOW RIVER CAP EVERGREEN FD CL I</t>
  </si>
  <si>
    <t>Carlyle Alphinvest Prvte Mrkts I</t>
  </si>
  <si>
    <t>CLIFFWATER ENHANCED LENDING FUND CL I</t>
  </si>
  <si>
    <t>STEPSTONE PRIVATE CREDIT INCOME FD CL I</t>
  </si>
  <si>
    <t>STEPSTONE PRIVATE MARKETS I</t>
  </si>
  <si>
    <t>STEPSTONE PRIVATE VENTURE AND GROWTH FD CL I</t>
  </si>
  <si>
    <t>AMG PANTHEON FUND, LLC ESC</t>
  </si>
  <si>
    <t>FLEX - CLASS I ESC</t>
  </si>
  <si>
    <t>HAMILTON LANE PAF (I) ESC</t>
  </si>
  <si>
    <t>JPMF CLASS I ESC</t>
  </si>
  <si>
    <t>AMG PANTHEON FUND CLASS 3</t>
  </si>
  <si>
    <t>HAMILTON LANE PVT ASSET FUND CL I</t>
  </si>
  <si>
    <t>JPMORGAN PRIVATE MARKETS FUND - I</t>
  </si>
  <si>
    <t>https://finance.yahoo.com/quote/EVERX/</t>
  </si>
  <si>
    <t>https://finance.yahoo.com/quote/XCPIX/</t>
  </si>
  <si>
    <t>https://finance.yahoo.com/quote/CELFX/</t>
  </si>
  <si>
    <t>https://finance.yahoo.com/quote/CRDEX/history/</t>
  </si>
  <si>
    <t>https://finance.yahoo.com/quote/XPMIX/</t>
  </si>
  <si>
    <t>https://finance.yahoo.com/quote/XSPIX/</t>
  </si>
  <si>
    <t>https://finance.yahoo.com/quote/XHLIX/</t>
  </si>
  <si>
    <t>gp_count</t>
  </si>
  <si>
    <t>nav_source</t>
  </si>
  <si>
    <t>nav_per_share_source</t>
  </si>
  <si>
    <t>monthly_return_source</t>
  </si>
  <si>
    <t>gp_count_source</t>
  </si>
  <si>
    <t>distributions_per_share</t>
  </si>
  <si>
    <t>gav</t>
  </si>
  <si>
    <t>gav_source</t>
  </si>
  <si>
    <t>pitchbook</t>
  </si>
  <si>
    <t>distributions_per_share_source</t>
  </si>
  <si>
    <t>strategy</t>
  </si>
  <si>
    <t>shares_owned</t>
  </si>
  <si>
    <t>sgg_nav</t>
  </si>
  <si>
    <t>shares_owned_source</t>
  </si>
  <si>
    <t>sgg_nav_source</t>
  </si>
  <si>
    <t>sgg_holding</t>
  </si>
  <si>
    <t>y</t>
  </si>
  <si>
    <t>sgg_purchases</t>
  </si>
  <si>
    <t>sgg_purchases_source</t>
  </si>
  <si>
    <t>sgg_redemptions</t>
  </si>
  <si>
    <t>sgg_distributions</t>
  </si>
  <si>
    <t>sgg_redemptions_source</t>
  </si>
  <si>
    <t>sgg_distributions_source</t>
  </si>
  <si>
    <t>black diamond</t>
  </si>
  <si>
    <t>direct fund statement</t>
  </si>
  <si>
    <t>icapital</t>
  </si>
  <si>
    <t>morgan stanley statement</t>
  </si>
  <si>
    <t>yfinance</t>
  </si>
  <si>
    <t>shares_outstanding</t>
  </si>
  <si>
    <t>shares_outstanding_source</t>
  </si>
  <si>
    <t>share_class_count</t>
  </si>
  <si>
    <t>nport_portfolio_count</t>
  </si>
  <si>
    <t>management_fee</t>
  </si>
  <si>
    <t>class_inception_date</t>
  </si>
  <si>
    <t>private_equity</t>
  </si>
  <si>
    <t>private_credit</t>
  </si>
  <si>
    <t>secondaries</t>
  </si>
  <si>
    <t>venture</t>
  </si>
  <si>
    <t>AMG Pantheon Fund, LLC</t>
  </si>
  <si>
    <t>N-CSRS</t>
  </si>
  <si>
    <t>N-CSR</t>
  </si>
  <si>
    <t>factsheet</t>
  </si>
  <si>
    <t>pitchbook_index</t>
  </si>
  <si>
    <t>gate</t>
  </si>
  <si>
    <t>incentive_fee</t>
  </si>
  <si>
    <t>redemptions</t>
  </si>
  <si>
    <t>Grand Total</t>
  </si>
  <si>
    <t xml:space="preserve">monthly_return </t>
  </si>
  <si>
    <t xml:space="preserve">sgg_nav </t>
  </si>
  <si>
    <t xml:space="preserve">nav_per_share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</si>
</sst>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mm/dd/yyyy"/>
    <numFmt numFmtId="167" formatCode="&quot;$&quot;#,##0"/>
    <numFmt numFmtId="168" formatCode="&quot;$&quot;#,##0.00"/>
    <numFmt numFmtId="169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vertical="top" wrapText="1"/>
    </xf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2" fillId="0" borderId="0" xfId="2"/>
    <xf numFmtId="10" fontId="0" fillId="0" borderId="0" xfId="3" applyNumberFormat="1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4">
    <cellStyle name="Hyperlink" xfId="2" builtinId="8"/>
    <cellStyle name="Normal" xfId="0" builtinId="0"/>
    <cellStyle name="Normal 2" xfId="1" xr:uid="{9056FB7C-326A-4195-865F-19F0531EFADC}"/>
    <cellStyle name="Percent" xfId="3" builtinId="5"/>
  </cellStyles>
  <dxfs count="39"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8" formatCode="&quot;$&quot;#,##0.00"/>
    </dxf>
    <dxf>
      <numFmt numFmtId="167" formatCode="&quot;$&quot;#,##0"/>
    </dxf>
    <dxf>
      <numFmt numFmtId="14" formatCode="0.00%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3" formatCode="#,##0"/>
    </dxf>
    <dxf>
      <numFmt numFmtId="14" formatCode="0.00%"/>
    </dxf>
    <dxf>
      <numFmt numFmtId="4" formatCode="#,##0.00"/>
    </dxf>
    <dxf>
      <numFmt numFmtId="4" formatCode="#,##0.00"/>
    </dxf>
    <dxf>
      <numFmt numFmtId="3" formatCode="#,##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y Cai" refreshedDate="46181.659184374999" createdVersion="8" refreshedVersion="8" minRefreshableVersion="3" recordCount="580" xr:uid="{F5B7F28C-D310-4EA9-A1BC-3BBB14F40E26}">
  <cacheSource type="worksheet">
    <worksheetSource name="FundPerfTbl"/>
  </cacheSource>
  <cacheFields count="30">
    <cacheField name="fund_id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month_end" numFmtId="14">
      <sharedItems containsSemiMixedTypes="0" containsNonDate="0" containsDate="1" containsString="0" minDate="2015-10-31T00:00:00" maxDate="2026-06-01T00:00:00" count="128"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</sharedItems>
    </cacheField>
    <cacheField name="redemptions" numFmtId="14">
      <sharedItems containsNonDate="0" containsString="0" containsBlank="1"/>
    </cacheField>
    <cacheField name="sgg_nav" numFmtId="0">
      <sharedItems containsString="0" containsBlank="1" containsNumber="1" minValue="4489879.72" maxValue="10396928.17"/>
    </cacheField>
    <cacheField name="sgg_nav_source" numFmtId="0">
      <sharedItems containsBlank="1"/>
    </cacheField>
    <cacheField name="nav" numFmtId="0">
      <sharedItems containsString="0" containsBlank="1" containsNumber="1" containsInteger="1" minValue="73970000" maxValue="8120000000"/>
    </cacheField>
    <cacheField name="nav_source" numFmtId="0">
      <sharedItems containsBlank="1"/>
    </cacheField>
    <cacheField name="nav_per_share" numFmtId="0">
      <sharedItems containsString="0" containsBlank="1" containsNumber="1" minValue="10" maxValue="63.92"/>
    </cacheField>
    <cacheField name="nav_per_share_source" numFmtId="0">
      <sharedItems containsBlank="1"/>
    </cacheField>
    <cacheField name="distributions_per_share" numFmtId="0">
      <sharedItems containsString="0" containsBlank="1" containsNumber="1" minValue="0" maxValue="1.137"/>
    </cacheField>
    <cacheField name="distributions_per_share_source" numFmtId="0">
      <sharedItems containsBlank="1"/>
    </cacheField>
    <cacheField name="monthly_return" numFmtId="0">
      <sharedItems containsString="0" containsBlank="1" containsNumber="1" minValue="-4.8000000000000001E-2" maxValue="0.15409999999999999"/>
    </cacheField>
    <cacheField name="monthly_return_source" numFmtId="0">
      <sharedItems containsBlank="1"/>
    </cacheField>
    <cacheField name="nport_portfolio_count" numFmtId="0">
      <sharedItems containsString="0" containsBlank="1" containsNumber="1" containsInteger="1" minValue="1" maxValue="1133"/>
    </cacheField>
    <cacheField name="gav" numFmtId="0">
      <sharedItems containsString="0" containsBlank="1" containsNumber="1" containsInteger="1" minValue="2700000" maxValue="7210000000"/>
    </cacheField>
    <cacheField name="gav_source" numFmtId="0">
      <sharedItems containsBlank="1"/>
    </cacheField>
    <cacheField name="shares_outstanding" numFmtId="0">
      <sharedItems containsString="0" containsBlank="1" containsNumber="1" containsInteger="1" minValue="2410487" maxValue="625004069"/>
    </cacheField>
    <cacheField name="shares_outstanding_source" numFmtId="0">
      <sharedItems containsBlank="1"/>
    </cacheField>
    <cacheField name="shares_owned" numFmtId="0">
      <sharedItems containsString="0" containsBlank="1" containsNumber="1" minValue="88825.724000000002" maxValue="1798496.4569999999"/>
    </cacheField>
    <cacheField name="shares_owned_source" numFmtId="0">
      <sharedItems containsBlank="1"/>
    </cacheField>
    <cacheField name="sgg_purchases" numFmtId="0">
      <sharedItems containsString="0" containsBlank="1" containsNumber="1" containsInteger="1" minValue="0" maxValue="10000000"/>
    </cacheField>
    <cacheField name="sgg_purchases_source" numFmtId="0">
      <sharedItems containsBlank="1"/>
    </cacheField>
    <cacheField name="sgg_redemptions" numFmtId="0">
      <sharedItems containsString="0" containsBlank="1" containsNumber="1" minValue="0" maxValue="5348745.12"/>
    </cacheField>
    <cacheField name="sgg_redemptions_source" numFmtId="0">
      <sharedItems containsBlank="1"/>
    </cacheField>
    <cacheField name="sgg_distributions" numFmtId="0">
      <sharedItems containsString="0" containsBlank="1" containsNumber="1" minValue="0" maxValue="262308.39"/>
    </cacheField>
    <cacheField name="sgg_distributions_source" numFmtId="0">
      <sharedItems containsBlank="1"/>
    </cacheField>
    <cacheField name="gp_count" numFmtId="0">
      <sharedItems containsNonDate="0" containsString="0" containsBlank="1"/>
    </cacheField>
    <cacheField name="gp_count_source" numFmtId="0">
      <sharedItems containsNonDate="0" containsString="0" containsBlank="1"/>
    </cacheField>
    <cacheField name="fund_name" numFmtId="0">
      <sharedItems/>
    </cacheField>
    <cacheField name="strateg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x v="0"/>
    <x v="0"/>
    <m/>
    <m/>
    <m/>
    <m/>
    <m/>
    <n v="26.04"/>
    <s v="pitchbook"/>
    <m/>
    <m/>
    <m/>
    <m/>
    <m/>
    <m/>
    <m/>
    <m/>
    <m/>
    <m/>
    <m/>
    <m/>
    <m/>
    <m/>
    <m/>
    <m/>
    <m/>
    <m/>
    <m/>
    <s v="Bow River Evergreen PE"/>
    <s v="private_equity"/>
  </r>
  <r>
    <x v="0"/>
    <x v="1"/>
    <m/>
    <m/>
    <m/>
    <m/>
    <m/>
    <n v="28.71"/>
    <s v="pitchbook"/>
    <m/>
    <m/>
    <n v="0.1024"/>
    <s v="pitchbook"/>
    <m/>
    <m/>
    <m/>
    <m/>
    <m/>
    <m/>
    <m/>
    <m/>
    <m/>
    <m/>
    <m/>
    <m/>
    <m/>
    <m/>
    <m/>
    <s v="Bow River Evergreen PE"/>
    <s v="private_equity"/>
  </r>
  <r>
    <x v="0"/>
    <x v="2"/>
    <m/>
    <m/>
    <m/>
    <m/>
    <m/>
    <n v="28.78"/>
    <s v="pitchbook"/>
    <m/>
    <m/>
    <n v="2.5999999999999999E-3"/>
    <s v="pitchbook"/>
    <m/>
    <m/>
    <m/>
    <m/>
    <m/>
    <m/>
    <m/>
    <m/>
    <m/>
    <m/>
    <m/>
    <m/>
    <m/>
    <m/>
    <m/>
    <s v="Bow River Evergreen PE"/>
    <s v="private_equity"/>
  </r>
  <r>
    <x v="0"/>
    <x v="3"/>
    <m/>
    <m/>
    <m/>
    <m/>
    <m/>
    <n v="28.83"/>
    <s v="pitchbook"/>
    <m/>
    <m/>
    <n v="1.6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4"/>
    <m/>
    <m/>
    <m/>
    <m/>
    <m/>
    <n v="29.26"/>
    <s v="pitchbook"/>
    <m/>
    <m/>
    <n v="1.49E-2"/>
    <s v="pitchbook"/>
    <m/>
    <m/>
    <m/>
    <m/>
    <m/>
    <m/>
    <m/>
    <m/>
    <m/>
    <m/>
    <m/>
    <m/>
    <m/>
    <m/>
    <m/>
    <s v="Bow River Evergreen PE"/>
    <s v="private_equity"/>
  </r>
  <r>
    <x v="0"/>
    <x v="5"/>
    <m/>
    <m/>
    <m/>
    <m/>
    <m/>
    <n v="29.26"/>
    <s v="pitchbook"/>
    <m/>
    <m/>
    <n v="1E-4"/>
    <s v="pitchbook"/>
    <m/>
    <m/>
    <m/>
    <m/>
    <m/>
    <m/>
    <m/>
    <m/>
    <m/>
    <m/>
    <m/>
    <m/>
    <m/>
    <m/>
    <m/>
    <s v="Bow River Evergreen PE"/>
    <s v="private_equity"/>
  </r>
  <r>
    <x v="0"/>
    <x v="6"/>
    <m/>
    <m/>
    <m/>
    <m/>
    <m/>
    <n v="29.6"/>
    <s v="pitchbook"/>
    <m/>
    <m/>
    <n v="1.18E-2"/>
    <s v="pitchbook"/>
    <m/>
    <m/>
    <m/>
    <m/>
    <m/>
    <m/>
    <m/>
    <m/>
    <m/>
    <m/>
    <m/>
    <m/>
    <m/>
    <m/>
    <m/>
    <s v="Bow River Evergreen PE"/>
    <s v="private_equity"/>
  </r>
  <r>
    <x v="0"/>
    <x v="7"/>
    <m/>
    <m/>
    <m/>
    <m/>
    <m/>
    <n v="29.58"/>
    <s v="pitchbook"/>
    <m/>
    <m/>
    <n v="-8.0000000000000004E-4"/>
    <s v="pitchbook"/>
    <m/>
    <m/>
    <m/>
    <m/>
    <m/>
    <m/>
    <m/>
    <m/>
    <m/>
    <m/>
    <m/>
    <m/>
    <m/>
    <m/>
    <m/>
    <s v="Bow River Evergreen PE"/>
    <s v="private_equity"/>
  </r>
  <r>
    <x v="0"/>
    <x v="8"/>
    <m/>
    <m/>
    <m/>
    <m/>
    <m/>
    <n v="30.39"/>
    <s v="pitchbook"/>
    <m/>
    <m/>
    <n v="2.73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9"/>
    <m/>
    <m/>
    <m/>
    <m/>
    <m/>
    <n v="31.19"/>
    <s v="pitchbook"/>
    <m/>
    <m/>
    <n v="2.64E-2"/>
    <s v="pitchbook"/>
    <m/>
    <m/>
    <m/>
    <m/>
    <m/>
    <m/>
    <m/>
    <m/>
    <m/>
    <m/>
    <m/>
    <m/>
    <m/>
    <m/>
    <m/>
    <s v="Bow River Evergreen PE"/>
    <s v="private_equity"/>
  </r>
  <r>
    <x v="0"/>
    <x v="10"/>
    <m/>
    <m/>
    <m/>
    <m/>
    <m/>
    <n v="31.77"/>
    <s v="pitchbook"/>
    <m/>
    <m/>
    <n v="1.8599999999999998E-2"/>
    <s v="pitchbook"/>
    <n v="32"/>
    <m/>
    <m/>
    <n v="2869318"/>
    <s v="N-CSR"/>
    <m/>
    <m/>
    <m/>
    <m/>
    <m/>
    <m/>
    <m/>
    <m/>
    <m/>
    <m/>
    <s v="Bow River Evergreen PE"/>
    <s v="private_equity"/>
  </r>
  <r>
    <x v="0"/>
    <x v="11"/>
    <m/>
    <m/>
    <m/>
    <m/>
    <m/>
    <n v="31.79"/>
    <s v="pitchbook"/>
    <m/>
    <m/>
    <n v="6.9999999999999999E-4"/>
    <s v="pitchbook"/>
    <m/>
    <m/>
    <m/>
    <m/>
    <m/>
    <m/>
    <m/>
    <m/>
    <m/>
    <m/>
    <m/>
    <m/>
    <m/>
    <m/>
    <m/>
    <s v="Bow River Evergreen PE"/>
    <s v="private_equity"/>
  </r>
  <r>
    <x v="0"/>
    <x v="12"/>
    <m/>
    <m/>
    <m/>
    <m/>
    <m/>
    <n v="33.04"/>
    <s v="pitchbook"/>
    <m/>
    <m/>
    <n v="3.93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13"/>
    <m/>
    <m/>
    <m/>
    <n v="127850000"/>
    <s v="pitchbook"/>
    <n v="33.840000000000003"/>
    <s v="pitchbook"/>
    <m/>
    <m/>
    <n v="2.4199999999999999E-2"/>
    <s v="pitchbook"/>
    <n v="40"/>
    <m/>
    <m/>
    <m/>
    <m/>
    <m/>
    <m/>
    <m/>
    <m/>
    <m/>
    <m/>
    <m/>
    <m/>
    <m/>
    <m/>
    <s v="Bow River Evergreen PE"/>
    <s v="private_equity"/>
  </r>
  <r>
    <x v="0"/>
    <x v="14"/>
    <m/>
    <m/>
    <m/>
    <n v="131660000"/>
    <s v="pitchbook"/>
    <n v="34.520000000000003"/>
    <s v="pitchbook"/>
    <m/>
    <m/>
    <n v="0.02"/>
    <s v="pitchbook"/>
    <m/>
    <m/>
    <m/>
    <m/>
    <m/>
    <m/>
    <m/>
    <m/>
    <m/>
    <m/>
    <m/>
    <m/>
    <m/>
    <m/>
    <m/>
    <s v="Bow River Evergreen PE"/>
    <s v="private_equity"/>
  </r>
  <r>
    <x v="0"/>
    <x v="15"/>
    <m/>
    <m/>
    <m/>
    <n v="141200000"/>
    <s v="pitchbook"/>
    <n v="36.01"/>
    <s v="pitchbook"/>
    <m/>
    <m/>
    <n v="4.3200000000000002E-2"/>
    <s v="pitchbook"/>
    <m/>
    <m/>
    <m/>
    <m/>
    <m/>
    <m/>
    <m/>
    <m/>
    <m/>
    <m/>
    <m/>
    <m/>
    <m/>
    <m/>
    <m/>
    <s v="Bow River Evergreen PE"/>
    <s v="private_equity"/>
  </r>
  <r>
    <x v="0"/>
    <x v="16"/>
    <m/>
    <m/>
    <m/>
    <n v="150110000"/>
    <s v="pitchbook"/>
    <n v="36.75"/>
    <s v="pitchbook"/>
    <m/>
    <m/>
    <n v="2.0400000000000001E-2"/>
    <s v="pitchbook"/>
    <n v="46"/>
    <m/>
    <m/>
    <n v="4085205"/>
    <s v="N-CSRS"/>
    <m/>
    <m/>
    <m/>
    <m/>
    <m/>
    <m/>
    <m/>
    <m/>
    <m/>
    <m/>
    <s v="Bow River Evergreen PE"/>
    <s v="private_equity"/>
  </r>
  <r>
    <x v="0"/>
    <x v="17"/>
    <m/>
    <m/>
    <m/>
    <n v="152780000"/>
    <s v="pitchbook"/>
    <n v="36.76"/>
    <s v="pitchbook"/>
    <m/>
    <m/>
    <n v="4.0000000000000002E-4"/>
    <s v="pitchbook"/>
    <m/>
    <m/>
    <m/>
    <m/>
    <m/>
    <m/>
    <m/>
    <m/>
    <m/>
    <m/>
    <m/>
    <m/>
    <m/>
    <m/>
    <m/>
    <s v="Bow River Evergreen PE"/>
    <s v="private_equity"/>
  </r>
  <r>
    <x v="0"/>
    <x v="18"/>
    <m/>
    <m/>
    <m/>
    <n v="172670000"/>
    <s v="pitchbook"/>
    <n v="38.409999999999997"/>
    <s v="pitchbook"/>
    <m/>
    <m/>
    <n v="4.4900000000000002E-2"/>
    <s v="pitchbook"/>
    <m/>
    <m/>
    <m/>
    <m/>
    <m/>
    <m/>
    <m/>
    <m/>
    <m/>
    <m/>
    <m/>
    <m/>
    <m/>
    <m/>
    <m/>
    <s v="Bow River Evergreen PE"/>
    <s v="private_equity"/>
  </r>
  <r>
    <x v="0"/>
    <x v="19"/>
    <m/>
    <m/>
    <m/>
    <n v="181180000"/>
    <s v="pitchbook"/>
    <n v="38.380000000000003"/>
    <s v="pitchbook"/>
    <m/>
    <m/>
    <n v="6.3E-3"/>
    <s v="pitchbook"/>
    <n v="53"/>
    <m/>
    <m/>
    <m/>
    <m/>
    <m/>
    <m/>
    <m/>
    <m/>
    <m/>
    <m/>
    <m/>
    <m/>
    <m/>
    <m/>
    <s v="Bow River Evergreen PE"/>
    <s v="private_equity"/>
  </r>
  <r>
    <x v="0"/>
    <x v="20"/>
    <m/>
    <m/>
    <m/>
    <n v="191620000"/>
    <s v="pitchbook"/>
    <n v="38.01"/>
    <s v="pitchbook"/>
    <m/>
    <m/>
    <n v="-9.7000000000000003E-3"/>
    <s v="pitchbook"/>
    <m/>
    <m/>
    <m/>
    <m/>
    <m/>
    <m/>
    <m/>
    <m/>
    <m/>
    <m/>
    <m/>
    <m/>
    <m/>
    <m/>
    <m/>
    <s v="Bow River Evergreen PE"/>
    <s v="private_equity"/>
  </r>
  <r>
    <x v="0"/>
    <x v="21"/>
    <m/>
    <m/>
    <m/>
    <n v="206170000"/>
    <s v="pitchbook"/>
    <n v="38.6"/>
    <s v="pitchbook"/>
    <m/>
    <m/>
    <n v="1.56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22"/>
    <m/>
    <m/>
    <m/>
    <n v="217280000"/>
    <s v="pitchbook"/>
    <n v="39.5"/>
    <s v="pitchbook"/>
    <m/>
    <m/>
    <n v="2.3199999999999998E-2"/>
    <s v="pitchbook"/>
    <n v="64"/>
    <n v="230020000"/>
    <s v="pitchbook"/>
    <n v="5341595"/>
    <s v="N-CSR"/>
    <m/>
    <m/>
    <m/>
    <m/>
    <m/>
    <m/>
    <m/>
    <m/>
    <m/>
    <m/>
    <s v="Bow River Evergreen PE"/>
    <s v="private_equity"/>
  </r>
  <r>
    <x v="0"/>
    <x v="23"/>
    <m/>
    <m/>
    <m/>
    <n v="227980000"/>
    <s v="pitchbook"/>
    <n v="39.68"/>
    <s v="pitchbook"/>
    <m/>
    <m/>
    <n v="4.4999999999999997E-3"/>
    <s v="pitchbook"/>
    <m/>
    <m/>
    <m/>
    <m/>
    <m/>
    <m/>
    <m/>
    <m/>
    <m/>
    <m/>
    <m/>
    <m/>
    <m/>
    <m/>
    <m/>
    <s v="Bow River Evergreen PE"/>
    <s v="private_equity"/>
  </r>
  <r>
    <x v="0"/>
    <x v="24"/>
    <m/>
    <m/>
    <m/>
    <n v="238290000"/>
    <s v="pitchbook"/>
    <n v="40.130000000000003"/>
    <s v="pitchbook"/>
    <m/>
    <m/>
    <n v="1.14E-2"/>
    <s v="pitchbook"/>
    <m/>
    <m/>
    <m/>
    <m/>
    <m/>
    <m/>
    <m/>
    <m/>
    <m/>
    <m/>
    <m/>
    <m/>
    <m/>
    <m/>
    <m/>
    <s v="Bow River Evergreen PE"/>
    <s v="private_equity"/>
  </r>
  <r>
    <x v="0"/>
    <x v="25"/>
    <m/>
    <m/>
    <m/>
    <n v="247830000"/>
    <s v="pitchbook"/>
    <n v="39.92"/>
    <s v="pitchbook"/>
    <m/>
    <m/>
    <n v="-5.3E-3"/>
    <s v="pitchbook"/>
    <n v="79"/>
    <m/>
    <m/>
    <m/>
    <m/>
    <m/>
    <m/>
    <m/>
    <m/>
    <m/>
    <m/>
    <m/>
    <m/>
    <m/>
    <m/>
    <s v="Bow River Evergreen PE"/>
    <s v="private_equity"/>
  </r>
  <r>
    <x v="0"/>
    <x v="26"/>
    <m/>
    <m/>
    <m/>
    <n v="257890000"/>
    <s v="pitchbook"/>
    <n v="39.76"/>
    <s v="pitchbook"/>
    <m/>
    <m/>
    <n v="-3.8999999999999998E-3"/>
    <s v="pitchbook"/>
    <m/>
    <m/>
    <m/>
    <m/>
    <m/>
    <m/>
    <m/>
    <m/>
    <m/>
    <m/>
    <m/>
    <m/>
    <m/>
    <m/>
    <m/>
    <s v="Bow River Evergreen PE"/>
    <s v="private_equity"/>
  </r>
  <r>
    <x v="0"/>
    <x v="27"/>
    <m/>
    <m/>
    <m/>
    <n v="269150000"/>
    <s v="pitchbook"/>
    <n v="39.94"/>
    <s v="pitchbook"/>
    <m/>
    <m/>
    <n v="4.4999999999999997E-3"/>
    <s v="pitchbook"/>
    <m/>
    <m/>
    <m/>
    <m/>
    <m/>
    <m/>
    <m/>
    <m/>
    <m/>
    <m/>
    <m/>
    <m/>
    <m/>
    <m/>
    <m/>
    <s v="Bow River Evergreen PE"/>
    <s v="private_equity"/>
  </r>
  <r>
    <x v="0"/>
    <x v="28"/>
    <m/>
    <m/>
    <m/>
    <n v="279610000"/>
    <s v="pitchbook"/>
    <n v="39.869999999999997"/>
    <s v="pitchbook"/>
    <m/>
    <m/>
    <n v="-1.8E-3"/>
    <s v="pitchbook"/>
    <n v="88"/>
    <n v="292180000"/>
    <s v="pitchbook"/>
    <n v="6459606"/>
    <s v="N-CSRS"/>
    <m/>
    <m/>
    <m/>
    <m/>
    <m/>
    <m/>
    <m/>
    <m/>
    <m/>
    <m/>
    <s v="Bow River Evergreen PE"/>
    <s v="private_equity"/>
  </r>
  <r>
    <x v="0"/>
    <x v="29"/>
    <m/>
    <m/>
    <m/>
    <n v="286020000"/>
    <s v="pitchbook"/>
    <n v="39.75"/>
    <s v="pitchbook"/>
    <m/>
    <m/>
    <n v="-3.0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30"/>
    <m/>
    <m/>
    <m/>
    <n v="296020000"/>
    <s v="pitchbook"/>
    <n v="40.18"/>
    <s v="pitchbook"/>
    <m/>
    <m/>
    <n v="1.06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31"/>
    <m/>
    <m/>
    <m/>
    <n v="299140000"/>
    <s v="pitchbook"/>
    <n v="39.39"/>
    <s v="pitchbook"/>
    <m/>
    <m/>
    <n v="8.0999999999999996E-3"/>
    <s v="pitchbook"/>
    <n v="96"/>
    <m/>
    <m/>
    <m/>
    <m/>
    <m/>
    <m/>
    <m/>
    <m/>
    <m/>
    <m/>
    <m/>
    <m/>
    <m/>
    <m/>
    <s v="Bow River Evergreen PE"/>
    <s v="private_equity"/>
  </r>
  <r>
    <x v="0"/>
    <x v="32"/>
    <m/>
    <m/>
    <m/>
    <n v="314370000"/>
    <s v="pitchbook"/>
    <n v="39.39"/>
    <s v="pitchbook"/>
    <m/>
    <m/>
    <n v="1E-4"/>
    <s v="pitchbook"/>
    <m/>
    <m/>
    <m/>
    <m/>
    <m/>
    <m/>
    <m/>
    <m/>
    <m/>
    <m/>
    <m/>
    <m/>
    <m/>
    <m/>
    <m/>
    <s v="Bow River Evergreen PE"/>
    <s v="private_equity"/>
  </r>
  <r>
    <x v="0"/>
    <x v="33"/>
    <m/>
    <m/>
    <m/>
    <n v="325700000"/>
    <s v="pitchbook"/>
    <n v="39.94"/>
    <s v="pitchbook"/>
    <m/>
    <m/>
    <n v="1.41E-2"/>
    <s v="pitchbook"/>
    <m/>
    <m/>
    <m/>
    <m/>
    <m/>
    <m/>
    <m/>
    <m/>
    <m/>
    <m/>
    <m/>
    <m/>
    <m/>
    <m/>
    <m/>
    <s v="Bow River Evergreen PE"/>
    <s v="private_equity"/>
  </r>
  <r>
    <x v="0"/>
    <x v="34"/>
    <m/>
    <m/>
    <m/>
    <n v="341380000"/>
    <s v="pitchbook"/>
    <n v="40.090000000000003"/>
    <s v="pitchbook"/>
    <m/>
    <m/>
    <n v="3.8E-3"/>
    <s v="pitchbook"/>
    <n v="98"/>
    <n v="353810000"/>
    <s v="pitchbook"/>
    <m/>
    <m/>
    <m/>
    <m/>
    <m/>
    <m/>
    <m/>
    <m/>
    <m/>
    <m/>
    <m/>
    <m/>
    <s v="Bow River Evergreen PE"/>
    <s v="private_equity"/>
  </r>
  <r>
    <x v="0"/>
    <x v="35"/>
    <m/>
    <m/>
    <m/>
    <n v="352740000"/>
    <s v="pitchbook"/>
    <n v="40.409999999999997"/>
    <s v="pitchbook"/>
    <m/>
    <m/>
    <n v="7.7999999999999996E-3"/>
    <s v="pitchbook"/>
    <m/>
    <m/>
    <m/>
    <m/>
    <m/>
    <m/>
    <m/>
    <m/>
    <m/>
    <m/>
    <m/>
    <m/>
    <m/>
    <m/>
    <m/>
    <s v="Bow River Evergreen PE"/>
    <s v="private_equity"/>
  </r>
  <r>
    <x v="0"/>
    <x v="36"/>
    <m/>
    <m/>
    <m/>
    <n v="357990000"/>
    <s v="pitchbook"/>
    <n v="40.409999999999997"/>
    <s v="pitchbook"/>
    <m/>
    <m/>
    <n v="2.0000000000000001E-4"/>
    <s v="pitchbook"/>
    <m/>
    <m/>
    <m/>
    <m/>
    <m/>
    <m/>
    <m/>
    <m/>
    <m/>
    <m/>
    <m/>
    <m/>
    <m/>
    <m/>
    <m/>
    <s v="Bow River Evergreen PE"/>
    <s v="private_equity"/>
  </r>
  <r>
    <x v="0"/>
    <x v="37"/>
    <m/>
    <m/>
    <m/>
    <n v="369270000"/>
    <s v="pitchbook"/>
    <n v="40.69"/>
    <s v="pitchbook"/>
    <m/>
    <m/>
    <n v="6.7999999999999996E-3"/>
    <s v="pitchbook"/>
    <n v="98"/>
    <m/>
    <m/>
    <m/>
    <m/>
    <m/>
    <m/>
    <m/>
    <m/>
    <m/>
    <m/>
    <m/>
    <m/>
    <m/>
    <m/>
    <s v="Bow River Evergreen PE"/>
    <s v="private_equity"/>
  </r>
  <r>
    <x v="0"/>
    <x v="38"/>
    <m/>
    <m/>
    <m/>
    <n v="380550000"/>
    <s v="pitchbook"/>
    <n v="41.15"/>
    <s v="pitchbook"/>
    <m/>
    <m/>
    <n v="1.12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39"/>
    <m/>
    <m/>
    <m/>
    <n v="395660000"/>
    <s v="pitchbook"/>
    <n v="42"/>
    <s v="pitchbook"/>
    <m/>
    <m/>
    <n v="2.06E-2"/>
    <s v="pitchbook"/>
    <m/>
    <m/>
    <m/>
    <m/>
    <m/>
    <m/>
    <m/>
    <m/>
    <m/>
    <m/>
    <m/>
    <m/>
    <m/>
    <m/>
    <m/>
    <s v="Bow River Evergreen PE"/>
    <s v="private_equity"/>
  </r>
  <r>
    <x v="0"/>
    <x v="40"/>
    <m/>
    <m/>
    <m/>
    <n v="400100000"/>
    <s v="pitchbook"/>
    <n v="41.9"/>
    <s v="pitchbook"/>
    <m/>
    <m/>
    <n v="-2.3E-3"/>
    <s v="pitchbook"/>
    <n v="105"/>
    <n v="412100000"/>
    <s v="pitchbook"/>
    <n v="8965808"/>
    <s v="N-CSRS"/>
    <m/>
    <m/>
    <m/>
    <m/>
    <m/>
    <m/>
    <m/>
    <m/>
    <m/>
    <m/>
    <s v="Bow River Evergreen PE"/>
    <s v="private_equity"/>
  </r>
  <r>
    <x v="0"/>
    <x v="41"/>
    <m/>
    <m/>
    <m/>
    <n v="427670000"/>
    <s v="pitchbook"/>
    <n v="43.45"/>
    <s v="pitchbook"/>
    <m/>
    <m/>
    <n v="3.71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42"/>
    <m/>
    <m/>
    <m/>
    <n v="438230000"/>
    <s v="pitchbook"/>
    <n v="43.98"/>
    <s v="pitchbook"/>
    <m/>
    <m/>
    <n v="1.2E-2"/>
    <s v="pitchbook"/>
    <m/>
    <m/>
    <m/>
    <m/>
    <m/>
    <m/>
    <m/>
    <m/>
    <m/>
    <m/>
    <m/>
    <m/>
    <m/>
    <m/>
    <m/>
    <s v="Bow River Evergreen PE"/>
    <s v="private_equity"/>
  </r>
  <r>
    <x v="0"/>
    <x v="43"/>
    <m/>
    <m/>
    <m/>
    <n v="446350000"/>
    <s v="pitchbook"/>
    <n v="43.37"/>
    <s v="pitchbook"/>
    <m/>
    <m/>
    <n v="1.8E-3"/>
    <s v="pitchbook"/>
    <n v="106"/>
    <m/>
    <m/>
    <m/>
    <m/>
    <m/>
    <m/>
    <m/>
    <m/>
    <m/>
    <m/>
    <m/>
    <m/>
    <m/>
    <m/>
    <s v="Bow River Evergreen PE"/>
    <s v="private_equity"/>
  </r>
  <r>
    <x v="0"/>
    <x v="44"/>
    <m/>
    <m/>
    <m/>
    <n v="459740000"/>
    <s v="pitchbook"/>
    <n v="43.36"/>
    <s v="pitchbook"/>
    <m/>
    <m/>
    <n v="-2.0000000000000001E-4"/>
    <s v="pitchbook"/>
    <m/>
    <m/>
    <m/>
    <m/>
    <m/>
    <m/>
    <m/>
    <m/>
    <m/>
    <m/>
    <m/>
    <m/>
    <m/>
    <m/>
    <m/>
    <s v="Bow River Evergreen PE"/>
    <s v="private_equity"/>
  </r>
  <r>
    <x v="0"/>
    <x v="45"/>
    <m/>
    <m/>
    <m/>
    <n v="476530000"/>
    <s v="pitchbook"/>
    <n v="43.93"/>
    <s v="pitchbook"/>
    <m/>
    <m/>
    <n v="1.31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46"/>
    <m/>
    <m/>
    <m/>
    <n v="486790000"/>
    <s v="pitchbook"/>
    <n v="44.29"/>
    <s v="pitchbook"/>
    <m/>
    <m/>
    <n v="8.2000000000000007E-3"/>
    <s v="pitchbook"/>
    <n v="112"/>
    <n v="519920000"/>
    <s v="pitchbook"/>
    <n v="10327322"/>
    <s v="N-CSR"/>
    <m/>
    <m/>
    <m/>
    <m/>
    <m/>
    <m/>
    <m/>
    <m/>
    <m/>
    <m/>
    <s v="Bow River Evergreen PE"/>
    <s v="private_equity"/>
  </r>
  <r>
    <x v="0"/>
    <x v="47"/>
    <m/>
    <m/>
    <m/>
    <n v="509290000"/>
    <s v="pitchbook"/>
    <n v="44.88"/>
    <s v="pitchbook"/>
    <m/>
    <m/>
    <n v="1.34E-2"/>
    <s v="pitchbook"/>
    <m/>
    <m/>
    <m/>
    <m/>
    <m/>
    <m/>
    <m/>
    <m/>
    <m/>
    <m/>
    <m/>
    <m/>
    <m/>
    <m/>
    <m/>
    <s v="Bow River Evergreen PE"/>
    <s v="private_equity"/>
  </r>
  <r>
    <x v="0"/>
    <x v="48"/>
    <m/>
    <m/>
    <m/>
    <n v="530130000"/>
    <s v="pitchbook"/>
    <n v="45.83"/>
    <s v="pitchbook"/>
    <m/>
    <m/>
    <n v="2.12E-2"/>
    <s v="pitchbook"/>
    <m/>
    <m/>
    <m/>
    <m/>
    <m/>
    <m/>
    <m/>
    <m/>
    <m/>
    <m/>
    <m/>
    <m/>
    <m/>
    <m/>
    <m/>
    <s v="Bow River Evergreen PE"/>
    <s v="private_equity"/>
  </r>
  <r>
    <x v="0"/>
    <x v="49"/>
    <m/>
    <m/>
    <m/>
    <n v="552750000"/>
    <s v="pitchbook"/>
    <n v="45.85"/>
    <s v="pitchbook"/>
    <n v="0"/>
    <s v="yfinance"/>
    <n v="4.0000000000000002E-4"/>
    <s v="pitchbook"/>
    <n v="121"/>
    <m/>
    <m/>
    <m/>
    <m/>
    <m/>
    <m/>
    <m/>
    <m/>
    <m/>
    <m/>
    <m/>
    <m/>
    <m/>
    <m/>
    <s v="Bow River Evergreen PE"/>
    <s v="private_equity"/>
  </r>
  <r>
    <x v="0"/>
    <x v="50"/>
    <m/>
    <m/>
    <m/>
    <n v="565090000"/>
    <s v="pitchbook"/>
    <n v="45.9"/>
    <s v="pitchbook"/>
    <n v="0"/>
    <s v="yfinance"/>
    <n v="1.1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51"/>
    <m/>
    <m/>
    <m/>
    <n v="600190000"/>
    <s v="pitchbook"/>
    <n v="47.24"/>
    <s v="pitchbook"/>
    <n v="0"/>
    <s v="yfinance"/>
    <n v="2.90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52"/>
    <m/>
    <m/>
    <m/>
    <n v="617640000"/>
    <s v="pitchbook"/>
    <n v="47.8"/>
    <s v="pitchbook"/>
    <n v="0"/>
    <s v="yfinance"/>
    <n v="1.1900000000000001E-2"/>
    <s v="pitchbook"/>
    <n v="131"/>
    <n v="632440000"/>
    <s v="pitchbook"/>
    <n v="12219603"/>
    <s v="N-CSRS"/>
    <m/>
    <m/>
    <m/>
    <m/>
    <m/>
    <m/>
    <m/>
    <m/>
    <m/>
    <m/>
    <s v="Bow River Evergreen PE"/>
    <s v="private_equity"/>
  </r>
  <r>
    <x v="0"/>
    <x v="53"/>
    <m/>
    <m/>
    <m/>
    <n v="633880000"/>
    <s v="pitchbook"/>
    <n v="47.94"/>
    <s v="pitchbook"/>
    <n v="0"/>
    <s v="yfinance"/>
    <n v="2.8E-3"/>
    <s v="pitchbook"/>
    <m/>
    <m/>
    <m/>
    <m/>
    <m/>
    <m/>
    <m/>
    <m/>
    <m/>
    <m/>
    <m/>
    <m/>
    <m/>
    <m/>
    <m/>
    <s v="Bow River Evergreen PE"/>
    <s v="private_equity"/>
  </r>
  <r>
    <x v="0"/>
    <x v="54"/>
    <m/>
    <m/>
    <m/>
    <n v="658210000"/>
    <s v="pitchbook"/>
    <n v="48.48"/>
    <s v="pitchbook"/>
    <n v="0"/>
    <s v="yfinance"/>
    <n v="1.15E-2"/>
    <s v="pitchbook"/>
    <m/>
    <m/>
    <m/>
    <m/>
    <m/>
    <m/>
    <m/>
    <m/>
    <m/>
    <m/>
    <m/>
    <m/>
    <m/>
    <m/>
    <m/>
    <s v="Bow River Evergreen PE"/>
    <s v="private_equity"/>
  </r>
  <r>
    <x v="0"/>
    <x v="55"/>
    <m/>
    <m/>
    <m/>
    <n v="669420000"/>
    <s v="pitchbook"/>
    <n v="47.54"/>
    <s v="pitchbook"/>
    <n v="1.137"/>
    <s v="yfinance"/>
    <n v="4.0000000000000001E-3"/>
    <s v="pitchbook"/>
    <n v="142"/>
    <m/>
    <m/>
    <m/>
    <m/>
    <m/>
    <m/>
    <m/>
    <m/>
    <m/>
    <m/>
    <m/>
    <m/>
    <m/>
    <m/>
    <s v="Bow River Evergreen PE"/>
    <s v="private_equity"/>
  </r>
  <r>
    <x v="0"/>
    <x v="56"/>
    <m/>
    <m/>
    <m/>
    <n v="701580000"/>
    <s v="pitchbook"/>
    <n v="47.77"/>
    <s v="pitchbook"/>
    <n v="0"/>
    <s v="yfinance"/>
    <n v="5.0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57"/>
    <m/>
    <m/>
    <m/>
    <n v="735550000"/>
    <s v="pitchbook"/>
    <n v="48.8"/>
    <s v="pitchbook"/>
    <n v="0"/>
    <s v="yfinance"/>
    <n v="2.14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58"/>
    <m/>
    <m/>
    <m/>
    <n v="774220000"/>
    <s v="pitchbook"/>
    <n v="49.69"/>
    <s v="pitchbook"/>
    <n v="0"/>
    <s v="yfinance"/>
    <n v="1.8200000000000001E-2"/>
    <s v="pitchbook"/>
    <n v="147"/>
    <n v="817800000"/>
    <s v="pitchbook"/>
    <n v="14550293"/>
    <s v="N-CSR"/>
    <m/>
    <m/>
    <m/>
    <m/>
    <m/>
    <m/>
    <m/>
    <m/>
    <m/>
    <m/>
    <s v="Bow River Evergreen PE"/>
    <s v="private_equity"/>
  </r>
  <r>
    <x v="0"/>
    <x v="59"/>
    <m/>
    <m/>
    <m/>
    <n v="807000000"/>
    <s v="pitchbook"/>
    <n v="50.09"/>
    <s v="pitchbook"/>
    <n v="0"/>
    <s v="yfinance"/>
    <n v="8.0999999999999996E-3"/>
    <s v="pitchbook"/>
    <m/>
    <m/>
    <m/>
    <m/>
    <m/>
    <m/>
    <m/>
    <m/>
    <m/>
    <m/>
    <m/>
    <m/>
    <m/>
    <m/>
    <m/>
    <s v="Bow River Evergreen PE"/>
    <s v="private_equity"/>
  </r>
  <r>
    <x v="0"/>
    <x v="60"/>
    <m/>
    <m/>
    <m/>
    <n v="826540000"/>
    <s v="pitchbook"/>
    <n v="50.8"/>
    <s v="pitchbook"/>
    <n v="0"/>
    <s v="yfinance"/>
    <n v="1.42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61"/>
    <m/>
    <m/>
    <m/>
    <n v="849670000"/>
    <s v="pitchbook"/>
    <n v="50.82"/>
    <s v="pitchbook"/>
    <n v="0"/>
    <s v="yfinance"/>
    <n v="4.0000000000000002E-4"/>
    <s v="pitchbook"/>
    <n v="157"/>
    <m/>
    <m/>
    <m/>
    <m/>
    <m/>
    <m/>
    <m/>
    <m/>
    <m/>
    <m/>
    <m/>
    <m/>
    <m/>
    <m/>
    <s v="Bow River Evergreen PE"/>
    <s v="private_equity"/>
  </r>
  <r>
    <x v="0"/>
    <x v="62"/>
    <m/>
    <m/>
    <m/>
    <n v="894140000"/>
    <s v="pitchbook"/>
    <n v="50.72"/>
    <s v="pitchbook"/>
    <m/>
    <m/>
    <n v="-2E-3"/>
    <s v="pitchbook"/>
    <m/>
    <m/>
    <m/>
    <m/>
    <m/>
    <m/>
    <m/>
    <m/>
    <m/>
    <m/>
    <m/>
    <m/>
    <m/>
    <m/>
    <m/>
    <s v="Bow River Evergreen PE"/>
    <s v="private_equity"/>
  </r>
  <r>
    <x v="0"/>
    <x v="63"/>
    <m/>
    <m/>
    <m/>
    <n v="942530000"/>
    <s v="pitchbook"/>
    <n v="51.69"/>
    <s v="pitchbook"/>
    <m/>
    <m/>
    <n v="1.90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64"/>
    <m/>
    <m/>
    <m/>
    <n v="1000000000"/>
    <s v="pitchbook"/>
    <n v="52.03"/>
    <s v="pitchbook"/>
    <m/>
    <m/>
    <n v="6.6E-3"/>
    <s v="pitchbook"/>
    <n v="176"/>
    <n v="1040000000"/>
    <s v="pitchbook"/>
    <n v="18405421"/>
    <s v="N-CSRS"/>
    <m/>
    <m/>
    <m/>
    <m/>
    <m/>
    <m/>
    <m/>
    <m/>
    <m/>
    <m/>
    <s v="Bow River Evergreen PE"/>
    <s v="private_equity"/>
  </r>
  <r>
    <x v="0"/>
    <x v="65"/>
    <m/>
    <m/>
    <m/>
    <n v="1050000000"/>
    <s v="pitchbook"/>
    <n v="52.68"/>
    <s v="pitchbook"/>
    <m/>
    <m/>
    <n v="1.25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66"/>
    <m/>
    <m/>
    <m/>
    <n v="1090000000"/>
    <s v="pitchbook"/>
    <n v="54.36"/>
    <s v="pitchbook"/>
    <m/>
    <m/>
    <n v="3.18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67"/>
    <m/>
    <m/>
    <m/>
    <n v="1120000000"/>
    <s v="pitchbook"/>
    <n v="53.75"/>
    <s v="pitchbook"/>
    <m/>
    <m/>
    <n v="-1.1299999999999999E-2"/>
    <s v="pitchbook"/>
    <n v="185"/>
    <m/>
    <m/>
    <m/>
    <m/>
    <m/>
    <m/>
    <m/>
    <m/>
    <m/>
    <m/>
    <m/>
    <m/>
    <m/>
    <m/>
    <s v="Bow River Evergreen PE"/>
    <s v="private_equity"/>
  </r>
  <r>
    <x v="0"/>
    <x v="68"/>
    <m/>
    <n v="5059902.13"/>
    <s v="direct fund statement"/>
    <n v="1160000000"/>
    <s v="pitchbook"/>
    <n v="54.39"/>
    <s v="pitchbook"/>
    <m/>
    <m/>
    <n v="1.2E-2"/>
    <s v="pitchbook"/>
    <m/>
    <m/>
    <m/>
    <m/>
    <m/>
    <n v="93030.179000000004"/>
    <s v="direct fund statement"/>
    <n v="5000000"/>
    <s v="direct fund statement"/>
    <n v="0"/>
    <s v="direct fund statement"/>
    <n v="0"/>
    <s v="direct fund statement"/>
    <m/>
    <m/>
    <s v="Bow River Evergreen PE"/>
    <s v="private_equity"/>
  </r>
  <r>
    <x v="0"/>
    <x v="69"/>
    <m/>
    <n v="5094704.72"/>
    <s v="direct fund statement"/>
    <n v="1190000000"/>
    <s v="pitchbook"/>
    <n v="54.76"/>
    <s v="pitchbook"/>
    <m/>
    <m/>
    <n v="6.8999999999999999E-3"/>
    <s v="pitchbook"/>
    <m/>
    <m/>
    <m/>
    <m/>
    <m/>
    <n v="93030.179000000004"/>
    <s v="direct fund statement"/>
    <n v="0"/>
    <s v="direct fund statement"/>
    <n v="0"/>
    <s v="direct fund statement"/>
    <n v="0"/>
    <s v="direct fund statement"/>
    <m/>
    <m/>
    <s v="Bow River Evergreen PE"/>
    <s v="private_equity"/>
  </r>
  <r>
    <x v="0"/>
    <x v="70"/>
    <m/>
    <n v="5114594.58"/>
    <s v="direct fund statement"/>
    <n v="1220000000"/>
    <s v="pitchbook"/>
    <n v="54.98"/>
    <s v="pitchbook"/>
    <m/>
    <m/>
    <n v="3.8999999999999998E-3"/>
    <s v="pitchbook"/>
    <n v="198"/>
    <m/>
    <m/>
    <m/>
    <m/>
    <n v="93030.179000000004"/>
    <s v="direct fund statement"/>
    <n v="0"/>
    <s v="direct fund statement"/>
    <n v="0"/>
    <s v="direct fund statement"/>
    <n v="0"/>
    <s v="direct fund statement"/>
    <m/>
    <m/>
    <s v="Bow River Evergreen PE"/>
    <s v="private_equity"/>
  </r>
  <r>
    <x v="0"/>
    <x v="71"/>
    <m/>
    <n v="5132009.82"/>
    <s v="black diamond"/>
    <n v="1240000000"/>
    <s v="pitchbook"/>
    <n v="55.17"/>
    <s v="pitchbook"/>
    <m/>
    <m/>
    <n v="3.3999999999999998E-3"/>
    <s v="pitchbook"/>
    <m/>
    <m/>
    <m/>
    <m/>
    <m/>
    <m/>
    <m/>
    <m/>
    <m/>
    <m/>
    <m/>
    <m/>
    <m/>
    <m/>
    <m/>
    <s v="Bow River Evergreen PE"/>
    <s v="private_equity"/>
  </r>
  <r>
    <x v="0"/>
    <x v="72"/>
    <m/>
    <m/>
    <m/>
    <m/>
    <m/>
    <n v="55.56"/>
    <s v="pitchbook"/>
    <m/>
    <m/>
    <m/>
    <m/>
    <m/>
    <m/>
    <m/>
    <m/>
    <m/>
    <m/>
    <m/>
    <m/>
    <m/>
    <m/>
    <m/>
    <m/>
    <m/>
    <m/>
    <m/>
    <s v="Bow River Evergreen PE"/>
    <s v="private_equity"/>
  </r>
  <r>
    <x v="1"/>
    <x v="31"/>
    <m/>
    <m/>
    <m/>
    <m/>
    <m/>
    <n v="10"/>
    <s v="pitchbook"/>
    <m/>
    <m/>
    <m/>
    <m/>
    <m/>
    <m/>
    <m/>
    <m/>
    <m/>
    <m/>
    <m/>
    <m/>
    <m/>
    <m/>
    <m/>
    <m/>
    <m/>
    <m/>
    <m/>
    <s v="Carlyle Alpinvest"/>
    <s v="private_equity"/>
  </r>
  <r>
    <x v="1"/>
    <x v="32"/>
    <m/>
    <m/>
    <m/>
    <n v="185800000"/>
    <s v="pitchbook"/>
    <n v="10.08"/>
    <s v="pitchbook"/>
    <m/>
    <m/>
    <n v="8.0000000000000002E-3"/>
    <s v="pitchbook"/>
    <m/>
    <m/>
    <m/>
    <m/>
    <m/>
    <m/>
    <m/>
    <m/>
    <m/>
    <m/>
    <m/>
    <m/>
    <m/>
    <m/>
    <m/>
    <s v="Carlyle Alpinvest"/>
    <s v="private_equity"/>
  </r>
  <r>
    <x v="1"/>
    <x v="33"/>
    <m/>
    <m/>
    <m/>
    <n v="189310000"/>
    <s v="pitchbook"/>
    <n v="10.27"/>
    <s v="pitchbook"/>
    <m/>
    <m/>
    <n v="1.8800000000000001E-2"/>
    <s v="pitchbook"/>
    <m/>
    <m/>
    <m/>
    <m/>
    <m/>
    <m/>
    <m/>
    <m/>
    <m/>
    <m/>
    <m/>
    <m/>
    <m/>
    <m/>
    <m/>
    <s v="Carlyle Alpinvest"/>
    <s v="private_equity"/>
  </r>
  <r>
    <x v="1"/>
    <x v="34"/>
    <m/>
    <m/>
    <m/>
    <n v="190250000"/>
    <s v="pitchbook"/>
    <n v="10.32"/>
    <s v="pitchbook"/>
    <m/>
    <m/>
    <n v="4.8999999999999998E-3"/>
    <s v="pitchbook"/>
    <n v="134"/>
    <m/>
    <m/>
    <n v="18427054"/>
    <s v="N-CSR"/>
    <m/>
    <m/>
    <m/>
    <m/>
    <m/>
    <m/>
    <m/>
    <m/>
    <m/>
    <m/>
    <s v="Carlyle Alpinvest"/>
    <s v="private_equity"/>
  </r>
  <r>
    <x v="1"/>
    <x v="35"/>
    <m/>
    <m/>
    <m/>
    <n v="190530000"/>
    <s v="pitchbook"/>
    <n v="10.34"/>
    <s v="pitchbook"/>
    <m/>
    <m/>
    <n v="1.9E-3"/>
    <s v="pitchbook"/>
    <m/>
    <m/>
    <m/>
    <m/>
    <m/>
    <m/>
    <m/>
    <m/>
    <m/>
    <m/>
    <m/>
    <m/>
    <m/>
    <m/>
    <m/>
    <s v="Carlyle Alpinvest"/>
    <s v="private_equity"/>
  </r>
  <r>
    <x v="1"/>
    <x v="36"/>
    <m/>
    <m/>
    <m/>
    <n v="198720000"/>
    <s v="pitchbook"/>
    <n v="10.74"/>
    <s v="pitchbook"/>
    <m/>
    <m/>
    <n v="3.8699999999999998E-2"/>
    <s v="pitchbook"/>
    <m/>
    <m/>
    <m/>
    <m/>
    <m/>
    <m/>
    <m/>
    <m/>
    <m/>
    <m/>
    <m/>
    <m/>
    <m/>
    <m/>
    <m/>
    <s v="Carlyle Alpinvest"/>
    <s v="private_equity"/>
  </r>
  <r>
    <x v="1"/>
    <x v="37"/>
    <m/>
    <m/>
    <m/>
    <n v="203490000"/>
    <s v="pitchbook"/>
    <n v="10.99"/>
    <s v="pitchbook"/>
    <m/>
    <m/>
    <n v="2.3300000000000001E-2"/>
    <s v="pitchbook"/>
    <n v="136"/>
    <m/>
    <m/>
    <m/>
    <m/>
    <m/>
    <m/>
    <m/>
    <m/>
    <m/>
    <m/>
    <m/>
    <m/>
    <m/>
    <m/>
    <s v="Carlyle Alpinvest"/>
    <s v="private_equity"/>
  </r>
  <r>
    <x v="1"/>
    <x v="38"/>
    <m/>
    <m/>
    <m/>
    <n v="208950000"/>
    <s v="pitchbook"/>
    <n v="11.19"/>
    <s v="pitchbook"/>
    <n v="0"/>
    <s v="yfinance"/>
    <n v="1.8200000000000001E-2"/>
    <s v="pitchbook"/>
    <m/>
    <m/>
    <m/>
    <m/>
    <m/>
    <m/>
    <m/>
    <m/>
    <m/>
    <m/>
    <m/>
    <m/>
    <m/>
    <m/>
    <m/>
    <s v="Carlyle Alpinvest"/>
    <s v="private_equity"/>
  </r>
  <r>
    <x v="1"/>
    <x v="39"/>
    <m/>
    <m/>
    <m/>
    <n v="224020000"/>
    <s v="pitchbook"/>
    <n v="11.18"/>
    <s v="pitchbook"/>
    <n v="0"/>
    <s v="yfinance"/>
    <n v="-8.9999999999999998E-4"/>
    <s v="pitchbook"/>
    <m/>
    <m/>
    <m/>
    <m/>
    <m/>
    <m/>
    <m/>
    <m/>
    <m/>
    <m/>
    <m/>
    <m/>
    <m/>
    <m/>
    <m/>
    <s v="Carlyle Alpinvest"/>
    <s v="private_equity"/>
  </r>
  <r>
    <x v="1"/>
    <x v="40"/>
    <m/>
    <m/>
    <m/>
    <n v="255740000"/>
    <s v="pitchbook"/>
    <n v="11.56"/>
    <s v="pitchbook"/>
    <n v="0"/>
    <s v="yfinance"/>
    <n v="3.39E-2"/>
    <s v="pitchbook"/>
    <n v="132"/>
    <m/>
    <m/>
    <n v="22123474"/>
    <s v="N-CSRS"/>
    <m/>
    <m/>
    <m/>
    <m/>
    <m/>
    <m/>
    <m/>
    <m/>
    <m/>
    <m/>
    <s v="Carlyle Alpinvest"/>
    <s v="private_equity"/>
  </r>
  <r>
    <x v="1"/>
    <x v="41"/>
    <m/>
    <m/>
    <m/>
    <n v="260590000"/>
    <s v="pitchbook"/>
    <n v="11.44"/>
    <s v="pitchbook"/>
    <n v="0"/>
    <s v="yfinance"/>
    <n v="-1.03E-2"/>
    <s v="pitchbook"/>
    <m/>
    <m/>
    <m/>
    <m/>
    <m/>
    <m/>
    <m/>
    <m/>
    <m/>
    <m/>
    <m/>
    <m/>
    <m/>
    <m/>
    <m/>
    <s v="Carlyle Alpinvest"/>
    <s v="private_equity"/>
  </r>
  <r>
    <x v="1"/>
    <x v="42"/>
    <m/>
    <m/>
    <m/>
    <n v="282750000"/>
    <s v="pitchbook"/>
    <n v="11.48"/>
    <s v="pitchbook"/>
    <n v="0"/>
    <s v="yfinance"/>
    <n v="3.5000000000000001E-3"/>
    <s v="pitchbook"/>
    <m/>
    <m/>
    <m/>
    <m/>
    <m/>
    <m/>
    <m/>
    <m/>
    <m/>
    <m/>
    <m/>
    <m/>
    <m/>
    <m/>
    <m/>
    <s v="Carlyle Alpinvest"/>
    <s v="private_equity"/>
  </r>
  <r>
    <x v="1"/>
    <x v="43"/>
    <m/>
    <m/>
    <m/>
    <n v="311630000"/>
    <s v="pitchbook"/>
    <n v="11.73"/>
    <s v="pitchbook"/>
    <n v="0"/>
    <s v="yfinance"/>
    <n v="2.3599999999999999E-2"/>
    <s v="pitchbook"/>
    <n v="157"/>
    <m/>
    <m/>
    <m/>
    <m/>
    <m/>
    <m/>
    <m/>
    <m/>
    <m/>
    <m/>
    <m/>
    <m/>
    <m/>
    <m/>
    <s v="Carlyle Alpinvest"/>
    <s v="private_equity"/>
  </r>
  <r>
    <x v="1"/>
    <x v="44"/>
    <m/>
    <m/>
    <m/>
    <n v="357360000"/>
    <s v="pitchbook"/>
    <n v="11.88"/>
    <s v="pitchbook"/>
    <n v="0"/>
    <s v="yfinance"/>
    <n v="1.2800000000000001E-2"/>
    <s v="pitchbook"/>
    <m/>
    <m/>
    <m/>
    <m/>
    <m/>
    <m/>
    <m/>
    <m/>
    <m/>
    <m/>
    <m/>
    <m/>
    <m/>
    <m/>
    <m/>
    <s v="Carlyle Alpinvest"/>
    <s v="private_equity"/>
  </r>
  <r>
    <x v="1"/>
    <x v="45"/>
    <m/>
    <m/>
    <m/>
    <n v="393340000"/>
    <s v="pitchbook"/>
    <n v="11.98"/>
    <s v="pitchbook"/>
    <n v="0"/>
    <s v="yfinance"/>
    <n v="8.3999999999999995E-3"/>
    <s v="pitchbook"/>
    <m/>
    <m/>
    <m/>
    <m/>
    <m/>
    <m/>
    <m/>
    <m/>
    <m/>
    <m/>
    <m/>
    <m/>
    <m/>
    <m/>
    <m/>
    <s v="Carlyle Alpinvest"/>
    <s v="private_equity"/>
  </r>
  <r>
    <x v="1"/>
    <x v="46"/>
    <m/>
    <m/>
    <m/>
    <n v="439700000"/>
    <s v="pitchbook"/>
    <n v="12.17"/>
    <s v="pitchbook"/>
    <n v="0"/>
    <s v="yfinance"/>
    <n v="1.5900000000000001E-2"/>
    <s v="pitchbook"/>
    <n v="162"/>
    <m/>
    <m/>
    <n v="36141096"/>
    <s v="N-CSR"/>
    <m/>
    <m/>
    <m/>
    <m/>
    <m/>
    <m/>
    <m/>
    <m/>
    <m/>
    <m/>
    <s v="Carlyle Alpinvest"/>
    <s v="private_equity"/>
  </r>
  <r>
    <x v="1"/>
    <x v="47"/>
    <m/>
    <m/>
    <m/>
    <n v="476210000"/>
    <s v="pitchbook"/>
    <n v="12.17"/>
    <s v="pitchbook"/>
    <n v="0"/>
    <s v="yfinance"/>
    <n v="0"/>
    <s v="pitchbook"/>
    <m/>
    <m/>
    <m/>
    <m/>
    <m/>
    <m/>
    <m/>
    <m/>
    <m/>
    <m/>
    <m/>
    <m/>
    <m/>
    <m/>
    <m/>
    <s v="Carlyle Alpinvest"/>
    <s v="private_equity"/>
  </r>
  <r>
    <x v="1"/>
    <x v="48"/>
    <m/>
    <m/>
    <m/>
    <n v="523910000"/>
    <s v="pitchbook"/>
    <n v="12.03"/>
    <s v="pitchbook"/>
    <n v="0"/>
    <s v="yfinance"/>
    <n v="-1.15E-2"/>
    <s v="pitchbook"/>
    <m/>
    <m/>
    <m/>
    <m/>
    <m/>
    <m/>
    <m/>
    <m/>
    <m/>
    <m/>
    <m/>
    <m/>
    <m/>
    <m/>
    <m/>
    <s v="Carlyle Alpinvest"/>
    <s v="private_equity"/>
  </r>
  <r>
    <x v="1"/>
    <x v="49"/>
    <m/>
    <m/>
    <m/>
    <n v="614060000"/>
    <s v="pitchbook"/>
    <n v="12.55"/>
    <s v="pitchbook"/>
    <n v="0"/>
    <s v="yfinance"/>
    <n v="4.3200000000000002E-2"/>
    <s v="pitchbook"/>
    <n v="180"/>
    <m/>
    <m/>
    <m/>
    <m/>
    <m/>
    <m/>
    <m/>
    <m/>
    <m/>
    <m/>
    <m/>
    <m/>
    <m/>
    <m/>
    <s v="Carlyle Alpinvest"/>
    <s v="private_equity"/>
  </r>
  <r>
    <x v="1"/>
    <x v="50"/>
    <m/>
    <m/>
    <m/>
    <n v="683190000"/>
    <s v="pitchbook"/>
    <n v="12.64"/>
    <s v="pitchbook"/>
    <n v="0"/>
    <s v="yfinance"/>
    <n v="7.1999999999999998E-3"/>
    <s v="pitchbook"/>
    <m/>
    <m/>
    <m/>
    <m/>
    <m/>
    <m/>
    <m/>
    <m/>
    <m/>
    <m/>
    <m/>
    <m/>
    <m/>
    <m/>
    <m/>
    <s v="Carlyle Alpinvest"/>
    <s v="private_equity"/>
  </r>
  <r>
    <x v="1"/>
    <x v="51"/>
    <m/>
    <m/>
    <m/>
    <n v="798380000"/>
    <s v="pitchbook"/>
    <n v="12.99"/>
    <s v="pitchbook"/>
    <m/>
    <m/>
    <n v="2.7699999999999999E-2"/>
    <s v="pitchbook"/>
    <m/>
    <m/>
    <m/>
    <m/>
    <m/>
    <m/>
    <m/>
    <m/>
    <m/>
    <m/>
    <m/>
    <m/>
    <m/>
    <m/>
    <m/>
    <s v="Carlyle Alpinvest"/>
    <s v="private_equity"/>
  </r>
  <r>
    <x v="1"/>
    <x v="52"/>
    <m/>
    <m/>
    <m/>
    <n v="916970000"/>
    <s v="pitchbook"/>
    <n v="13.23"/>
    <s v="pitchbook"/>
    <m/>
    <m/>
    <n v="1.8499999999999999E-2"/>
    <s v="pitchbook"/>
    <n v="201"/>
    <n v="986410000"/>
    <s v="pitchbook"/>
    <n v="64327455"/>
    <s v="N-CSRS"/>
    <m/>
    <m/>
    <m/>
    <m/>
    <m/>
    <m/>
    <m/>
    <m/>
    <m/>
    <m/>
    <s v="Carlyle Alpinvest"/>
    <s v="private_equity"/>
  </r>
  <r>
    <x v="1"/>
    <x v="53"/>
    <m/>
    <m/>
    <m/>
    <n v="1040000000"/>
    <s v="pitchbook"/>
    <n v="13.26"/>
    <s v="pitchbook"/>
    <m/>
    <m/>
    <n v="2.3E-3"/>
    <s v="pitchbook"/>
    <m/>
    <m/>
    <m/>
    <m/>
    <m/>
    <m/>
    <m/>
    <m/>
    <m/>
    <m/>
    <m/>
    <m/>
    <m/>
    <m/>
    <m/>
    <s v="Carlyle Alpinvest"/>
    <s v="private_equity"/>
  </r>
  <r>
    <x v="1"/>
    <x v="54"/>
    <m/>
    <m/>
    <m/>
    <n v="1190000000"/>
    <s v="pitchbook"/>
    <n v="13.27"/>
    <s v="pitchbook"/>
    <m/>
    <m/>
    <n v="8.0000000000000004E-4"/>
    <s v="pitchbook"/>
    <m/>
    <m/>
    <m/>
    <m/>
    <m/>
    <m/>
    <m/>
    <m/>
    <m/>
    <m/>
    <m/>
    <m/>
    <m/>
    <m/>
    <m/>
    <s v="Carlyle Alpinvest"/>
    <s v="private_equity"/>
  </r>
  <r>
    <x v="1"/>
    <x v="55"/>
    <m/>
    <m/>
    <m/>
    <n v="1350000000"/>
    <s v="pitchbook"/>
    <n v="13.65"/>
    <s v="pitchbook"/>
    <n v="0.03"/>
    <s v="pitchbook"/>
    <n v="3.0499999999999999E-2"/>
    <s v="pitchbook"/>
    <n v="237"/>
    <m/>
    <m/>
    <m/>
    <m/>
    <m/>
    <m/>
    <m/>
    <m/>
    <m/>
    <m/>
    <m/>
    <m/>
    <m/>
    <m/>
    <s v="Carlyle Alpinvest"/>
    <s v="private_equity"/>
  </r>
  <r>
    <x v="1"/>
    <x v="56"/>
    <m/>
    <m/>
    <m/>
    <n v="1530000000"/>
    <s v="pitchbook"/>
    <n v="13.89"/>
    <s v="pitchbook"/>
    <m/>
    <m/>
    <n v="1.7600000000000001E-2"/>
    <s v="pitchbook"/>
    <m/>
    <m/>
    <m/>
    <m/>
    <m/>
    <m/>
    <m/>
    <m/>
    <m/>
    <m/>
    <m/>
    <m/>
    <m/>
    <m/>
    <m/>
    <s v="Carlyle Alpinvest"/>
    <s v="private_equity"/>
  </r>
  <r>
    <x v="1"/>
    <x v="57"/>
    <m/>
    <m/>
    <m/>
    <n v="1680000000"/>
    <s v="pitchbook"/>
    <n v="13.97"/>
    <s v="pitchbook"/>
    <m/>
    <m/>
    <n v="5.7999999999999996E-3"/>
    <s v="pitchbook"/>
    <m/>
    <m/>
    <m/>
    <m/>
    <m/>
    <m/>
    <m/>
    <m/>
    <m/>
    <m/>
    <m/>
    <m/>
    <m/>
    <m/>
    <m/>
    <s v="Carlyle Alpinvest"/>
    <s v="private_equity"/>
  </r>
  <r>
    <x v="1"/>
    <x v="58"/>
    <m/>
    <m/>
    <m/>
    <n v="1870000000"/>
    <s v="pitchbook"/>
    <n v="14.21"/>
    <s v="pitchbook"/>
    <m/>
    <m/>
    <n v="1.72E-2"/>
    <s v="pitchbook"/>
    <n v="256"/>
    <n v="2000000000"/>
    <s v="pitchbook"/>
    <n v="109207969"/>
    <s v="N-CSR"/>
    <m/>
    <m/>
    <m/>
    <m/>
    <m/>
    <m/>
    <m/>
    <m/>
    <m/>
    <m/>
    <s v="Carlyle Alpinvest"/>
    <s v="private_equity"/>
  </r>
  <r>
    <x v="1"/>
    <x v="59"/>
    <m/>
    <m/>
    <m/>
    <n v="2040000000"/>
    <s v="pitchbook"/>
    <n v="14.26"/>
    <s v="pitchbook"/>
    <m/>
    <m/>
    <n v="3.5000000000000001E-3"/>
    <s v="pitchbook"/>
    <m/>
    <m/>
    <m/>
    <m/>
    <m/>
    <m/>
    <m/>
    <m/>
    <m/>
    <m/>
    <m/>
    <m/>
    <m/>
    <m/>
    <m/>
    <s v="Carlyle Alpinvest"/>
    <s v="private_equity"/>
  </r>
  <r>
    <x v="1"/>
    <x v="60"/>
    <m/>
    <m/>
    <m/>
    <n v="2250000000"/>
    <s v="pitchbook"/>
    <n v="14.61"/>
    <s v="pitchbook"/>
    <m/>
    <m/>
    <n v="2.4500000000000001E-2"/>
    <s v="pitchbook"/>
    <m/>
    <m/>
    <m/>
    <m/>
    <m/>
    <m/>
    <m/>
    <m/>
    <m/>
    <m/>
    <m/>
    <m/>
    <m/>
    <m/>
    <m/>
    <s v="Carlyle Alpinvest"/>
    <s v="private_equity"/>
  </r>
  <r>
    <x v="1"/>
    <x v="61"/>
    <m/>
    <m/>
    <m/>
    <n v="2520000000"/>
    <s v="pitchbook"/>
    <m/>
    <m/>
    <m/>
    <m/>
    <n v="2.6700000000000002E-2"/>
    <s v="pitchbook"/>
    <n v="276"/>
    <m/>
    <m/>
    <m/>
    <m/>
    <m/>
    <m/>
    <m/>
    <m/>
    <m/>
    <m/>
    <m/>
    <m/>
    <m/>
    <m/>
    <s v="Carlyle Alpinvest"/>
    <s v="private_equity"/>
  </r>
  <r>
    <x v="1"/>
    <x v="62"/>
    <m/>
    <m/>
    <m/>
    <n v="2670000000"/>
    <s v="pitchbook"/>
    <m/>
    <m/>
    <m/>
    <m/>
    <n v="3.3E-3"/>
    <s v="pitchbook"/>
    <m/>
    <m/>
    <m/>
    <m/>
    <m/>
    <m/>
    <m/>
    <m/>
    <m/>
    <m/>
    <m/>
    <m/>
    <m/>
    <m/>
    <m/>
    <s v="Carlyle Alpinvest"/>
    <s v="private_equity"/>
  </r>
  <r>
    <x v="1"/>
    <x v="63"/>
    <m/>
    <m/>
    <m/>
    <n v="2930000000"/>
    <s v="pitchbook"/>
    <m/>
    <m/>
    <m/>
    <m/>
    <n v="1.46E-2"/>
    <s v="pitchbook"/>
    <m/>
    <m/>
    <m/>
    <m/>
    <m/>
    <m/>
    <m/>
    <m/>
    <m/>
    <m/>
    <m/>
    <m/>
    <m/>
    <m/>
    <m/>
    <s v="Carlyle Alpinvest"/>
    <s v="private_equity"/>
  </r>
  <r>
    <x v="1"/>
    <x v="64"/>
    <m/>
    <m/>
    <m/>
    <n v="3220000000"/>
    <s v="pitchbook"/>
    <m/>
    <m/>
    <m/>
    <m/>
    <n v="1.5100000000000001E-2"/>
    <s v="pitchbook"/>
    <n v="214"/>
    <m/>
    <m/>
    <n v="160560646"/>
    <s v="N-CSRS"/>
    <m/>
    <m/>
    <m/>
    <m/>
    <m/>
    <m/>
    <m/>
    <m/>
    <m/>
    <m/>
    <s v="Carlyle Alpinvest"/>
    <s v="private_equity"/>
  </r>
  <r>
    <x v="1"/>
    <x v="65"/>
    <m/>
    <m/>
    <m/>
    <n v="3390000000"/>
    <s v="pitchbook"/>
    <m/>
    <m/>
    <m/>
    <m/>
    <n v="6.4999999999999997E-3"/>
    <s v="pitchbook"/>
    <m/>
    <m/>
    <m/>
    <m/>
    <m/>
    <m/>
    <m/>
    <m/>
    <m/>
    <m/>
    <m/>
    <m/>
    <m/>
    <m/>
    <m/>
    <s v="Carlyle Alpinvest"/>
    <s v="private_equity"/>
  </r>
  <r>
    <x v="1"/>
    <x v="66"/>
    <m/>
    <m/>
    <m/>
    <n v="3660000000"/>
    <s v="pitchbook"/>
    <m/>
    <m/>
    <m/>
    <m/>
    <n v="6.4000000000000003E-3"/>
    <s v="pitchbook"/>
    <m/>
    <m/>
    <m/>
    <m/>
    <m/>
    <m/>
    <m/>
    <m/>
    <m/>
    <m/>
    <m/>
    <m/>
    <m/>
    <m/>
    <m/>
    <s v="Carlyle Alpinvest"/>
    <s v="private_equity"/>
  </r>
  <r>
    <x v="1"/>
    <x v="67"/>
    <m/>
    <m/>
    <m/>
    <n v="3900000000"/>
    <s v="pitchbook"/>
    <m/>
    <m/>
    <n v="0.1"/>
    <s v="pitchbook"/>
    <n v="1.72E-2"/>
    <s v="pitchbook"/>
    <n v="274"/>
    <m/>
    <m/>
    <m/>
    <m/>
    <m/>
    <m/>
    <m/>
    <m/>
    <m/>
    <m/>
    <m/>
    <m/>
    <m/>
    <m/>
    <s v="Carlyle Alpinvest"/>
    <s v="private_equity"/>
  </r>
  <r>
    <x v="1"/>
    <x v="68"/>
    <m/>
    <m/>
    <m/>
    <n v="4080000000"/>
    <s v="pitchbook"/>
    <m/>
    <m/>
    <m/>
    <m/>
    <n v="1.5100000000000001E-2"/>
    <s v="pitchbook"/>
    <m/>
    <m/>
    <m/>
    <m/>
    <m/>
    <m/>
    <m/>
    <m/>
    <m/>
    <m/>
    <m/>
    <m/>
    <m/>
    <m/>
    <m/>
    <s v="Carlyle Alpinvest"/>
    <s v="private_equity"/>
  </r>
  <r>
    <x v="1"/>
    <x v="69"/>
    <m/>
    <n v="5075614.3600000003"/>
    <s v="direct fund statement"/>
    <n v="4330000000"/>
    <s v="pitchbook"/>
    <m/>
    <m/>
    <m/>
    <m/>
    <n v="2.3E-2"/>
    <s v="pitchbook"/>
    <m/>
    <m/>
    <m/>
    <m/>
    <m/>
    <n v="315059.86099999998"/>
    <s v="direct fund statement"/>
    <m/>
    <m/>
    <m/>
    <m/>
    <m/>
    <m/>
    <m/>
    <m/>
    <s v="Carlyle Alpinvest"/>
    <s v="private_equity"/>
  </r>
  <r>
    <x v="1"/>
    <x v="70"/>
    <m/>
    <n v="5078764.96"/>
    <s v="direct fund statement"/>
    <n v="4420000000"/>
    <s v="pitchbook"/>
    <m/>
    <m/>
    <m/>
    <m/>
    <n v="-2.18E-2"/>
    <s v="pitchbook"/>
    <n v="317"/>
    <m/>
    <m/>
    <m/>
    <m/>
    <n v="315059.86099999998"/>
    <s v="direct fund statement"/>
    <n v="0"/>
    <s v="direct fund statement"/>
    <n v="0"/>
    <s v="direct fund statement"/>
    <n v="0"/>
    <s v="direct fund statement"/>
    <m/>
    <m/>
    <s v="Carlyle Alpinvest"/>
    <s v="private_equity"/>
  </r>
  <r>
    <x v="1"/>
    <x v="71"/>
    <m/>
    <m/>
    <m/>
    <m/>
    <m/>
    <m/>
    <m/>
    <m/>
    <m/>
    <m/>
    <m/>
    <m/>
    <m/>
    <m/>
    <m/>
    <m/>
    <m/>
    <m/>
    <m/>
    <m/>
    <m/>
    <m/>
    <m/>
    <m/>
    <m/>
    <m/>
    <s v="Carlyle Alpinvest"/>
    <s v="private_equity"/>
  </r>
  <r>
    <x v="1"/>
    <x v="72"/>
    <m/>
    <m/>
    <m/>
    <m/>
    <m/>
    <m/>
    <m/>
    <m/>
    <m/>
    <m/>
    <m/>
    <m/>
    <m/>
    <m/>
    <m/>
    <m/>
    <m/>
    <m/>
    <m/>
    <m/>
    <m/>
    <m/>
    <m/>
    <m/>
    <m/>
    <m/>
    <s v="Carlyle Alpinvest"/>
    <s v="private_equity"/>
  </r>
  <r>
    <x v="2"/>
    <x v="13"/>
    <m/>
    <m/>
    <m/>
    <n v="85580000"/>
    <s v="pitchbook"/>
    <n v="10"/>
    <s v="pitchbook"/>
    <n v="0"/>
    <s v="yfinance"/>
    <m/>
    <m/>
    <m/>
    <m/>
    <m/>
    <m/>
    <m/>
    <m/>
    <m/>
    <m/>
    <m/>
    <m/>
    <m/>
    <m/>
    <m/>
    <m/>
    <m/>
    <s v="Cliffwater"/>
    <s v="private_credit"/>
  </r>
  <r>
    <x v="2"/>
    <x v="14"/>
    <m/>
    <m/>
    <m/>
    <n v="96430000"/>
    <s v="pitchbook"/>
    <n v="10.09"/>
    <s v="pitchbook"/>
    <n v="0"/>
    <s v="yfinance"/>
    <n v="8.9999999999999993E-3"/>
    <s v="pitchbook"/>
    <m/>
    <m/>
    <m/>
    <m/>
    <m/>
    <m/>
    <m/>
    <m/>
    <m/>
    <m/>
    <m/>
    <m/>
    <m/>
    <m/>
    <m/>
    <s v="Cliffwater"/>
    <s v="private_credit"/>
  </r>
  <r>
    <x v="2"/>
    <x v="15"/>
    <m/>
    <m/>
    <m/>
    <n v="136190000"/>
    <s v="pitchbook"/>
    <n v="10.24"/>
    <s v="pitchbook"/>
    <n v="0"/>
    <s v="yfinance"/>
    <n v="1.49E-2"/>
    <s v="pitchbook"/>
    <m/>
    <m/>
    <m/>
    <m/>
    <m/>
    <m/>
    <m/>
    <m/>
    <m/>
    <m/>
    <m/>
    <m/>
    <m/>
    <m/>
    <m/>
    <s v="Cliffwater"/>
    <s v="private_credit"/>
  </r>
  <r>
    <x v="2"/>
    <x v="16"/>
    <m/>
    <m/>
    <m/>
    <n v="163430000"/>
    <s v="pitchbook"/>
    <n v="10.4"/>
    <s v="pitchbook"/>
    <n v="0"/>
    <s v="yfinance"/>
    <n v="1.5599999999999999E-2"/>
    <s v="pitchbook"/>
    <n v="29"/>
    <n v="164090000"/>
    <s v="pitchbook"/>
    <n v="15764541"/>
    <s v="N-CSRS"/>
    <m/>
    <m/>
    <m/>
    <m/>
    <m/>
    <m/>
    <m/>
    <m/>
    <m/>
    <m/>
    <s v="Cliffwater"/>
    <s v="private_credit"/>
  </r>
  <r>
    <x v="2"/>
    <x v="17"/>
    <m/>
    <m/>
    <m/>
    <n v="188490000"/>
    <s v="pitchbook"/>
    <n v="10.47"/>
    <s v="pitchbook"/>
    <n v="0"/>
    <s v="yfinance"/>
    <n v="6.7000000000000002E-3"/>
    <s v="pitchbook"/>
    <m/>
    <m/>
    <m/>
    <m/>
    <m/>
    <m/>
    <m/>
    <m/>
    <m/>
    <m/>
    <m/>
    <m/>
    <m/>
    <m/>
    <m/>
    <s v="Cliffwater"/>
    <s v="private_credit"/>
  </r>
  <r>
    <x v="2"/>
    <x v="18"/>
    <m/>
    <m/>
    <m/>
    <n v="218920000"/>
    <s v="pitchbook"/>
    <n v="10.39"/>
    <s v="pitchbook"/>
    <n v="0.24"/>
    <s v="pitchbook"/>
    <n v="1.52E-2"/>
    <s v="pitchbook"/>
    <m/>
    <m/>
    <m/>
    <m/>
    <m/>
    <m/>
    <m/>
    <m/>
    <m/>
    <m/>
    <m/>
    <m/>
    <m/>
    <m/>
    <m/>
    <s v="Cliffwater"/>
    <s v="private_credit"/>
  </r>
  <r>
    <x v="2"/>
    <x v="19"/>
    <m/>
    <m/>
    <m/>
    <n v="268960000"/>
    <s v="pitchbook"/>
    <n v="10.41"/>
    <s v="pitchbook"/>
    <n v="0.08"/>
    <s v="pitchbook"/>
    <n v="0.01"/>
    <s v="pitchbook"/>
    <n v="52"/>
    <m/>
    <m/>
    <m/>
    <m/>
    <m/>
    <m/>
    <m/>
    <m/>
    <m/>
    <m/>
    <m/>
    <m/>
    <m/>
    <m/>
    <s v="Cliffwater"/>
    <s v="private_credit"/>
  </r>
  <r>
    <x v="2"/>
    <x v="20"/>
    <m/>
    <m/>
    <m/>
    <n v="322280000"/>
    <s v="pitchbook"/>
    <n v="10.5"/>
    <s v="pitchbook"/>
    <n v="0"/>
    <s v="yfinance"/>
    <n v="8.6E-3"/>
    <s v="pitchbook"/>
    <m/>
    <m/>
    <m/>
    <m/>
    <m/>
    <m/>
    <m/>
    <m/>
    <m/>
    <m/>
    <m/>
    <m/>
    <m/>
    <m/>
    <m/>
    <s v="Cliffwater"/>
    <s v="private_credit"/>
  </r>
  <r>
    <x v="2"/>
    <x v="21"/>
    <m/>
    <m/>
    <m/>
    <n v="414530000"/>
    <s v="pitchbook"/>
    <n v="10.6"/>
    <s v="pitchbook"/>
    <n v="0"/>
    <s v="yfinance"/>
    <n v="9.4999999999999998E-3"/>
    <s v="pitchbook"/>
    <m/>
    <m/>
    <m/>
    <m/>
    <m/>
    <m/>
    <m/>
    <m/>
    <m/>
    <m/>
    <m/>
    <m/>
    <m/>
    <m/>
    <m/>
    <s v="Cliffwater"/>
    <s v="private_credit"/>
  </r>
  <r>
    <x v="2"/>
    <x v="22"/>
    <m/>
    <m/>
    <m/>
    <n v="472560000"/>
    <s v="pitchbook"/>
    <n v="10.78"/>
    <s v="pitchbook"/>
    <n v="0"/>
    <s v="yfinance"/>
    <n v="1.7000000000000001E-2"/>
    <s v="pitchbook"/>
    <n v="63"/>
    <n v="504430000"/>
    <s v="pitchbook"/>
    <n v="43957538"/>
    <s v="N-CSR"/>
    <m/>
    <m/>
    <m/>
    <m/>
    <m/>
    <m/>
    <m/>
    <m/>
    <m/>
    <m/>
    <s v="Cliffwater"/>
    <s v="private_credit"/>
  </r>
  <r>
    <x v="2"/>
    <x v="23"/>
    <m/>
    <m/>
    <m/>
    <n v="545840000"/>
    <s v="pitchbook"/>
    <n v="10.63"/>
    <s v="pitchbook"/>
    <n v="0.24"/>
    <s v="pitchbook"/>
    <n v="8.6E-3"/>
    <s v="pitchbook"/>
    <m/>
    <m/>
    <m/>
    <m/>
    <m/>
    <m/>
    <m/>
    <m/>
    <m/>
    <m/>
    <m/>
    <m/>
    <m/>
    <m/>
    <m/>
    <s v="Cliffwater"/>
    <s v="private_credit"/>
  </r>
  <r>
    <x v="2"/>
    <x v="24"/>
    <m/>
    <m/>
    <m/>
    <n v="620190000"/>
    <s v="pitchbook"/>
    <n v="10.77"/>
    <s v="pitchbook"/>
    <n v="0"/>
    <s v="yfinance"/>
    <n v="1.32E-2"/>
    <s v="pitchbook"/>
    <m/>
    <m/>
    <m/>
    <m/>
    <m/>
    <m/>
    <m/>
    <m/>
    <m/>
    <m/>
    <m/>
    <m/>
    <m/>
    <m/>
    <m/>
    <s v="Cliffwater"/>
    <s v="private_credit"/>
  </r>
  <r>
    <x v="2"/>
    <x v="25"/>
    <m/>
    <m/>
    <m/>
    <n v="686370000"/>
    <s v="pitchbook"/>
    <n v="10.86"/>
    <s v="pitchbook"/>
    <n v="0"/>
    <s v="yfinance"/>
    <n v="8.3999999999999995E-3"/>
    <s v="pitchbook"/>
    <n v="103"/>
    <m/>
    <m/>
    <m/>
    <m/>
    <m/>
    <m/>
    <m/>
    <m/>
    <m/>
    <m/>
    <m/>
    <m/>
    <m/>
    <m/>
    <s v="Cliffwater"/>
    <s v="private_credit"/>
  </r>
  <r>
    <x v="2"/>
    <x v="26"/>
    <m/>
    <m/>
    <m/>
    <n v="743820000"/>
    <s v="pitchbook"/>
    <n v="10.69"/>
    <s v="pitchbook"/>
    <n v="0.24"/>
    <s v="pitchbook"/>
    <n v="6.8999999999999999E-3"/>
    <s v="pitchbook"/>
    <m/>
    <m/>
    <m/>
    <m/>
    <m/>
    <m/>
    <m/>
    <m/>
    <m/>
    <m/>
    <m/>
    <m/>
    <m/>
    <m/>
    <m/>
    <s v="Cliffwater"/>
    <s v="private_credit"/>
  </r>
  <r>
    <x v="2"/>
    <x v="27"/>
    <m/>
    <m/>
    <m/>
    <n v="852780000"/>
    <s v="pitchbook"/>
    <n v="10.76"/>
    <s v="pitchbook"/>
    <m/>
    <m/>
    <n v="6.4999999999999997E-3"/>
    <s v="pitchbook"/>
    <m/>
    <m/>
    <m/>
    <m/>
    <m/>
    <m/>
    <m/>
    <m/>
    <m/>
    <m/>
    <m/>
    <m/>
    <m/>
    <m/>
    <m/>
    <s v="Cliffwater"/>
    <s v="private_credit"/>
  </r>
  <r>
    <x v="2"/>
    <x v="28"/>
    <m/>
    <m/>
    <m/>
    <n v="948110000"/>
    <s v="pitchbook"/>
    <n v="10.8"/>
    <s v="pitchbook"/>
    <m/>
    <m/>
    <n v="3.7000000000000002E-3"/>
    <s v="pitchbook"/>
    <n v="102"/>
    <n v="983310000"/>
    <s v="pitchbook"/>
    <n v="88015209"/>
    <s v="N-CSRS"/>
    <m/>
    <m/>
    <m/>
    <m/>
    <m/>
    <m/>
    <m/>
    <m/>
    <m/>
    <m/>
    <s v="Cliffwater"/>
    <s v="private_credit"/>
  </r>
  <r>
    <x v="2"/>
    <x v="29"/>
    <m/>
    <m/>
    <m/>
    <n v="1010000000"/>
    <s v="pitchbook"/>
    <n v="10.62"/>
    <s v="pitchbook"/>
    <n v="0.24"/>
    <s v="pitchbook"/>
    <n v="5.8999999999999999E-3"/>
    <s v="pitchbook"/>
    <m/>
    <m/>
    <m/>
    <m/>
    <m/>
    <m/>
    <m/>
    <m/>
    <m/>
    <m/>
    <m/>
    <m/>
    <m/>
    <m/>
    <m/>
    <s v="Cliffwater"/>
    <s v="private_credit"/>
  </r>
  <r>
    <x v="2"/>
    <x v="30"/>
    <m/>
    <m/>
    <m/>
    <n v="1080000000"/>
    <s v="pitchbook"/>
    <n v="10.72"/>
    <s v="pitchbook"/>
    <m/>
    <m/>
    <n v="9.4000000000000004E-3"/>
    <s v="pitchbook"/>
    <m/>
    <m/>
    <m/>
    <m/>
    <m/>
    <m/>
    <m/>
    <m/>
    <m/>
    <m/>
    <m/>
    <m/>
    <m/>
    <m/>
    <m/>
    <s v="Cliffwater"/>
    <s v="private_credit"/>
  </r>
  <r>
    <x v="2"/>
    <x v="31"/>
    <m/>
    <m/>
    <m/>
    <n v="1170000000"/>
    <s v="pitchbook"/>
    <n v="10.58"/>
    <s v="pitchbook"/>
    <n v="0.27"/>
    <s v="pitchbook"/>
    <n v="1.2200000000000001E-2"/>
    <s v="pitchbook"/>
    <n v="112"/>
    <m/>
    <m/>
    <m/>
    <m/>
    <m/>
    <m/>
    <m/>
    <m/>
    <m/>
    <m/>
    <m/>
    <m/>
    <m/>
    <m/>
    <s v="Cliffwater"/>
    <s v="private_credit"/>
  </r>
  <r>
    <x v="2"/>
    <x v="32"/>
    <m/>
    <m/>
    <m/>
    <n v="1250000000"/>
    <s v="pitchbook"/>
    <n v="10.67"/>
    <s v="pitchbook"/>
    <m/>
    <m/>
    <n v="8.5000000000000006E-3"/>
    <s v="pitchbook"/>
    <m/>
    <m/>
    <m/>
    <m/>
    <m/>
    <m/>
    <m/>
    <m/>
    <m/>
    <m/>
    <m/>
    <m/>
    <m/>
    <m/>
    <m/>
    <s v="Cliffwater"/>
    <s v="private_credit"/>
  </r>
  <r>
    <x v="2"/>
    <x v="33"/>
    <m/>
    <m/>
    <m/>
    <n v="1390000000"/>
    <s v="pitchbook"/>
    <n v="10.76"/>
    <s v="pitchbook"/>
    <m/>
    <m/>
    <n v="8.3999999999999995E-3"/>
    <s v="pitchbook"/>
    <m/>
    <m/>
    <m/>
    <m/>
    <m/>
    <m/>
    <m/>
    <m/>
    <m/>
    <m/>
    <m/>
    <m/>
    <m/>
    <m/>
    <m/>
    <s v="Cliffwater"/>
    <s v="private_credit"/>
  </r>
  <r>
    <x v="2"/>
    <x v="34"/>
    <m/>
    <m/>
    <m/>
    <n v="1480000000"/>
    <s v="pitchbook"/>
    <n v="10.85"/>
    <s v="pitchbook"/>
    <m/>
    <m/>
    <n v="8.3999999999999995E-3"/>
    <s v="pitchbook"/>
    <n v="158"/>
    <n v="1510000000"/>
    <s v="pitchbook"/>
    <n v="136178510"/>
    <s v="N-CSR"/>
    <m/>
    <m/>
    <m/>
    <m/>
    <m/>
    <m/>
    <m/>
    <m/>
    <m/>
    <m/>
    <s v="Cliffwater"/>
    <s v="private_credit"/>
  </r>
  <r>
    <x v="2"/>
    <x v="35"/>
    <m/>
    <m/>
    <m/>
    <n v="1550000000"/>
    <s v="pitchbook"/>
    <n v="10.66"/>
    <s v="pitchbook"/>
    <n v="0.27"/>
    <s v="pitchbook"/>
    <n v="7.4999999999999997E-3"/>
    <s v="pitchbook"/>
    <m/>
    <m/>
    <m/>
    <m/>
    <m/>
    <m/>
    <m/>
    <m/>
    <m/>
    <m/>
    <m/>
    <m/>
    <m/>
    <m/>
    <m/>
    <s v="Cliffwater"/>
    <s v="private_credit"/>
  </r>
  <r>
    <x v="2"/>
    <x v="36"/>
    <m/>
    <m/>
    <m/>
    <n v="1690000000"/>
    <s v="pitchbook"/>
    <n v="10.77"/>
    <s v="pitchbook"/>
    <m/>
    <m/>
    <n v="1.03E-2"/>
    <s v="pitchbook"/>
    <m/>
    <m/>
    <m/>
    <m/>
    <m/>
    <m/>
    <m/>
    <m/>
    <m/>
    <m/>
    <m/>
    <m/>
    <m/>
    <m/>
    <m/>
    <s v="Cliffwater"/>
    <s v="private_credit"/>
  </r>
  <r>
    <x v="2"/>
    <x v="37"/>
    <m/>
    <m/>
    <m/>
    <n v="1830000000"/>
    <s v="pitchbook"/>
    <n v="10.9"/>
    <s v="pitchbook"/>
    <m/>
    <m/>
    <n v="1.21E-2"/>
    <s v="pitchbook"/>
    <n v="202"/>
    <m/>
    <m/>
    <m/>
    <m/>
    <m/>
    <m/>
    <m/>
    <m/>
    <m/>
    <m/>
    <m/>
    <m/>
    <m/>
    <m/>
    <s v="Cliffwater"/>
    <s v="private_credit"/>
  </r>
  <r>
    <x v="2"/>
    <x v="38"/>
    <m/>
    <m/>
    <m/>
    <n v="1900000000"/>
    <s v="pitchbook"/>
    <n v="10.74"/>
    <s v="pitchbook"/>
    <n v="0.27"/>
    <s v="pitchbook"/>
    <n v="1.06E-2"/>
    <s v="pitchbook"/>
    <m/>
    <m/>
    <m/>
    <m/>
    <m/>
    <m/>
    <m/>
    <m/>
    <m/>
    <m/>
    <m/>
    <m/>
    <m/>
    <m/>
    <m/>
    <s v="Cliffwater"/>
    <s v="private_credit"/>
  </r>
  <r>
    <x v="2"/>
    <x v="39"/>
    <m/>
    <m/>
    <m/>
    <n v="2040000000"/>
    <s v="pitchbook"/>
    <n v="10.85"/>
    <s v="pitchbook"/>
    <m/>
    <m/>
    <n v="1.0200000000000001E-2"/>
    <s v="pitchbook"/>
    <m/>
    <m/>
    <m/>
    <m/>
    <m/>
    <m/>
    <m/>
    <m/>
    <m/>
    <m/>
    <m/>
    <m/>
    <m/>
    <m/>
    <m/>
    <s v="Cliffwater"/>
    <s v="private_credit"/>
  </r>
  <r>
    <x v="2"/>
    <x v="40"/>
    <m/>
    <m/>
    <m/>
    <n v="2220000000"/>
    <s v="pitchbook"/>
    <n v="10.98"/>
    <s v="pitchbook"/>
    <m/>
    <m/>
    <n v="1.2E-2"/>
    <s v="pitchbook"/>
    <n v="262"/>
    <n v="2370000000"/>
    <s v="pitchbook"/>
    <n v="202250888"/>
    <s v="N-CSRS"/>
    <m/>
    <m/>
    <m/>
    <m/>
    <m/>
    <m/>
    <m/>
    <m/>
    <m/>
    <m/>
    <s v="Cliffwater"/>
    <s v="private_credit"/>
  </r>
  <r>
    <x v="2"/>
    <x v="41"/>
    <m/>
    <m/>
    <m/>
    <n v="2320000000"/>
    <s v="pitchbook"/>
    <n v="10.76"/>
    <s v="pitchbook"/>
    <n v="0.3"/>
    <s v="pitchbook"/>
    <n v="7.6E-3"/>
    <s v="pitchbook"/>
    <m/>
    <m/>
    <m/>
    <m/>
    <m/>
    <m/>
    <m/>
    <m/>
    <m/>
    <m/>
    <m/>
    <m/>
    <m/>
    <m/>
    <m/>
    <s v="Cliffwater"/>
    <s v="private_credit"/>
  </r>
  <r>
    <x v="2"/>
    <x v="42"/>
    <m/>
    <m/>
    <m/>
    <n v="2370000000"/>
    <s v="pitchbook"/>
    <n v="10.88"/>
    <s v="pitchbook"/>
    <m/>
    <m/>
    <n v="1.12E-2"/>
    <s v="pitchbook"/>
    <m/>
    <m/>
    <m/>
    <m/>
    <m/>
    <m/>
    <m/>
    <m/>
    <m/>
    <m/>
    <m/>
    <m/>
    <m/>
    <m/>
    <m/>
    <s v="Cliffwater"/>
    <s v="private_credit"/>
  </r>
  <r>
    <x v="2"/>
    <x v="43"/>
    <m/>
    <m/>
    <m/>
    <n v="2510000000"/>
    <s v="pitchbook"/>
    <n v="10.72"/>
    <s v="pitchbook"/>
    <n v="0.3"/>
    <s v="pitchbook"/>
    <n v="1.3100000000000001E-2"/>
    <s v="pitchbook"/>
    <n v="322"/>
    <m/>
    <m/>
    <m/>
    <m/>
    <m/>
    <m/>
    <m/>
    <m/>
    <m/>
    <m/>
    <m/>
    <m/>
    <m/>
    <m/>
    <s v="Cliffwater"/>
    <s v="private_credit"/>
  </r>
  <r>
    <x v="2"/>
    <x v="44"/>
    <m/>
    <m/>
    <m/>
    <n v="2670000000"/>
    <s v="pitchbook"/>
    <n v="10.83"/>
    <s v="pitchbook"/>
    <m/>
    <m/>
    <n v="1.03E-2"/>
    <s v="pitchbook"/>
    <m/>
    <m/>
    <m/>
    <m/>
    <m/>
    <m/>
    <m/>
    <m/>
    <m/>
    <m/>
    <m/>
    <m/>
    <m/>
    <m/>
    <m/>
    <s v="Cliffwater"/>
    <s v="private_credit"/>
  </r>
  <r>
    <x v="2"/>
    <x v="45"/>
    <m/>
    <m/>
    <m/>
    <n v="2870000000"/>
    <s v="pitchbook"/>
    <n v="10.91"/>
    <s v="pitchbook"/>
    <m/>
    <m/>
    <n v="7.4000000000000003E-3"/>
    <s v="pitchbook"/>
    <m/>
    <m/>
    <m/>
    <m/>
    <m/>
    <m/>
    <m/>
    <m/>
    <m/>
    <m/>
    <m/>
    <m/>
    <m/>
    <m/>
    <m/>
    <s v="Cliffwater"/>
    <s v="private_credit"/>
  </r>
  <r>
    <x v="2"/>
    <x v="46"/>
    <m/>
    <m/>
    <m/>
    <n v="2860000000"/>
    <s v="pitchbook"/>
    <n v="10.7"/>
    <s v="pitchbook"/>
    <n v="0.3"/>
    <s v="pitchbook"/>
    <n v="8.3999999999999995E-3"/>
    <s v="pitchbook"/>
    <n v="337"/>
    <m/>
    <m/>
    <n v="273382804"/>
    <s v="N-CSR"/>
    <m/>
    <m/>
    <m/>
    <m/>
    <m/>
    <m/>
    <m/>
    <m/>
    <m/>
    <m/>
    <s v="Cliffwater"/>
    <s v="private_credit"/>
  </r>
  <r>
    <x v="2"/>
    <x v="47"/>
    <m/>
    <m/>
    <m/>
    <n v="3110000000"/>
    <s v="pitchbook"/>
    <n v="10.9"/>
    <s v="pitchbook"/>
    <m/>
    <m/>
    <n v="1.8700000000000001E-2"/>
    <s v="pitchbook"/>
    <m/>
    <m/>
    <m/>
    <m/>
    <m/>
    <m/>
    <m/>
    <m/>
    <m/>
    <m/>
    <m/>
    <m/>
    <m/>
    <m/>
    <m/>
    <s v="Cliffwater"/>
    <s v="private_credit"/>
  </r>
  <r>
    <x v="2"/>
    <x v="48"/>
    <m/>
    <m/>
    <m/>
    <n v="3250000000"/>
    <s v="pitchbook"/>
    <n v="11.05"/>
    <s v="pitchbook"/>
    <m/>
    <m/>
    <n v="1.38E-2"/>
    <s v="pitchbook"/>
    <m/>
    <m/>
    <m/>
    <m/>
    <m/>
    <m/>
    <m/>
    <m/>
    <m/>
    <m/>
    <m/>
    <m/>
    <m/>
    <m/>
    <m/>
    <s v="Cliffwater"/>
    <s v="private_credit"/>
  </r>
  <r>
    <x v="2"/>
    <x v="49"/>
    <m/>
    <m/>
    <m/>
    <n v="3440000000"/>
    <s v="pitchbook"/>
    <n v="11.19"/>
    <s v="pitchbook"/>
    <m/>
    <m/>
    <n v="1.2699999999999999E-2"/>
    <s v="pitchbook"/>
    <n v="363"/>
    <m/>
    <m/>
    <m/>
    <m/>
    <m/>
    <m/>
    <m/>
    <m/>
    <m/>
    <m/>
    <m/>
    <m/>
    <m/>
    <m/>
    <s v="Cliffwater"/>
    <s v="private_credit"/>
  </r>
  <r>
    <x v="2"/>
    <x v="50"/>
    <m/>
    <m/>
    <m/>
    <n v="3570000000"/>
    <s v="pitchbook"/>
    <n v="10.97"/>
    <s v="pitchbook"/>
    <n v="0.31"/>
    <s v="pitchbook"/>
    <n v="8.0000000000000002E-3"/>
    <s v="pitchbook"/>
    <m/>
    <m/>
    <m/>
    <m/>
    <m/>
    <m/>
    <m/>
    <m/>
    <m/>
    <m/>
    <m/>
    <m/>
    <m/>
    <m/>
    <m/>
    <s v="Cliffwater"/>
    <s v="private_credit"/>
  </r>
  <r>
    <x v="2"/>
    <x v="51"/>
    <m/>
    <m/>
    <m/>
    <n v="3740000000"/>
    <s v="pitchbook"/>
    <n v="11.11"/>
    <s v="pitchbook"/>
    <m/>
    <m/>
    <n v="1.2800000000000001E-2"/>
    <s v="pitchbook"/>
    <m/>
    <m/>
    <m/>
    <m/>
    <m/>
    <m/>
    <m/>
    <m/>
    <m/>
    <m/>
    <m/>
    <m/>
    <m/>
    <m/>
    <m/>
    <s v="Cliffwater"/>
    <s v="private_credit"/>
  </r>
  <r>
    <x v="2"/>
    <x v="52"/>
    <m/>
    <m/>
    <m/>
    <n v="3960000000"/>
    <s v="pitchbook"/>
    <n v="11.18"/>
    <s v="pitchbook"/>
    <m/>
    <m/>
    <n v="6.3E-3"/>
    <s v="pitchbook"/>
    <n v="327"/>
    <n v="4130000000"/>
    <s v="pitchbook"/>
    <n v="355032566"/>
    <s v="N-CSRS"/>
    <m/>
    <m/>
    <m/>
    <m/>
    <m/>
    <m/>
    <m/>
    <m/>
    <m/>
    <m/>
    <s v="Cliffwater"/>
    <s v="private_credit"/>
  </r>
  <r>
    <x v="2"/>
    <x v="53"/>
    <m/>
    <m/>
    <m/>
    <n v="4140000000"/>
    <s v="pitchbook"/>
    <n v="10.96"/>
    <s v="pitchbook"/>
    <n v="0.31"/>
    <m/>
    <n v="7.9000000000000008E-3"/>
    <s v="pitchbook"/>
    <m/>
    <m/>
    <m/>
    <m/>
    <m/>
    <m/>
    <m/>
    <m/>
    <m/>
    <m/>
    <m/>
    <m/>
    <m/>
    <m/>
    <m/>
    <s v="Cliffwater"/>
    <s v="private_credit"/>
  </r>
  <r>
    <x v="2"/>
    <x v="54"/>
    <m/>
    <m/>
    <m/>
    <n v="4330000000"/>
    <s v="pitchbook"/>
    <n v="11.06"/>
    <s v="pitchbook"/>
    <m/>
    <m/>
    <n v="9.1000000000000004E-3"/>
    <s v="pitchbook"/>
    <m/>
    <m/>
    <m/>
    <m/>
    <m/>
    <m/>
    <m/>
    <m/>
    <m/>
    <m/>
    <m/>
    <m/>
    <m/>
    <m/>
    <m/>
    <s v="Cliffwater"/>
    <s v="private_credit"/>
  </r>
  <r>
    <x v="2"/>
    <x v="55"/>
    <m/>
    <m/>
    <m/>
    <n v="4560000000"/>
    <s v="pitchbook"/>
    <n v="10.84"/>
    <s v="pitchbook"/>
    <n v="0.31"/>
    <s v="pitchbook"/>
    <n v="7.7999999999999996E-3"/>
    <s v="pitchbook"/>
    <n v="396"/>
    <m/>
    <m/>
    <m/>
    <m/>
    <m/>
    <m/>
    <m/>
    <m/>
    <m/>
    <m/>
    <m/>
    <m/>
    <m/>
    <m/>
    <s v="Cliffwater"/>
    <s v="private_credit"/>
  </r>
  <r>
    <x v="2"/>
    <x v="56"/>
    <m/>
    <m/>
    <m/>
    <n v="4820000000"/>
    <s v="pitchbook"/>
    <n v="10.91"/>
    <s v="pitchbook"/>
    <m/>
    <m/>
    <n v="6.4999999999999997E-3"/>
    <s v="pitchbook"/>
    <m/>
    <m/>
    <m/>
    <m/>
    <m/>
    <m/>
    <m/>
    <m/>
    <m/>
    <m/>
    <m/>
    <m/>
    <m/>
    <m/>
    <m/>
    <s v="Cliffwater"/>
    <s v="private_credit"/>
  </r>
  <r>
    <x v="2"/>
    <x v="57"/>
    <m/>
    <m/>
    <m/>
    <n v="5110000000"/>
    <s v="pitchbook"/>
    <n v="10.99"/>
    <s v="pitchbook"/>
    <m/>
    <m/>
    <n v="7.3000000000000001E-3"/>
    <s v="pitchbook"/>
    <m/>
    <m/>
    <m/>
    <m/>
    <m/>
    <m/>
    <m/>
    <m/>
    <m/>
    <m/>
    <m/>
    <m/>
    <m/>
    <m/>
    <m/>
    <s v="Cliffwater"/>
    <s v="private_credit"/>
  </r>
  <r>
    <x v="2"/>
    <x v="58"/>
    <m/>
    <m/>
    <m/>
    <n v="5320000000"/>
    <s v="pitchbook"/>
    <n v="11.15"/>
    <s v="pitchbook"/>
    <m/>
    <m/>
    <n v="1.46E-2"/>
    <s v="pitchbook"/>
    <n v="420"/>
    <n v="5650000000"/>
    <s v="pitchbook"/>
    <n v="477664544"/>
    <s v="N-CSR"/>
    <m/>
    <m/>
    <m/>
    <m/>
    <m/>
    <m/>
    <m/>
    <m/>
    <m/>
    <m/>
    <s v="Cliffwater"/>
    <s v="private_credit"/>
  </r>
  <r>
    <x v="2"/>
    <x v="59"/>
    <m/>
    <m/>
    <m/>
    <n v="5460000000"/>
    <s v="pitchbook"/>
    <n v="10.91"/>
    <s v="pitchbook"/>
    <n v="0.31"/>
    <s v="pitchbook"/>
    <n v="6.1000000000000004E-3"/>
    <s v="pitchbook"/>
    <m/>
    <m/>
    <m/>
    <m/>
    <m/>
    <m/>
    <m/>
    <m/>
    <m/>
    <m/>
    <m/>
    <m/>
    <m/>
    <m/>
    <m/>
    <s v="Cliffwater"/>
    <s v="private_credit"/>
  </r>
  <r>
    <x v="2"/>
    <x v="60"/>
    <m/>
    <m/>
    <m/>
    <n v="5810000000"/>
    <s v="pitchbook"/>
    <n v="11.07"/>
    <s v="pitchbook"/>
    <m/>
    <m/>
    <n v="1.47E-2"/>
    <s v="pitchbook"/>
    <m/>
    <m/>
    <m/>
    <m/>
    <m/>
    <m/>
    <m/>
    <m/>
    <m/>
    <m/>
    <m/>
    <m/>
    <m/>
    <m/>
    <m/>
    <s v="Cliffwater"/>
    <s v="private_credit"/>
  </r>
  <r>
    <x v="2"/>
    <x v="61"/>
    <m/>
    <m/>
    <m/>
    <n v="5970000000"/>
    <s v="pitchbook"/>
    <n v="11.16"/>
    <s v="pitchbook"/>
    <m/>
    <m/>
    <n v="8.0999999999999996E-3"/>
    <s v="pitchbook"/>
    <n v="461"/>
    <m/>
    <m/>
    <m/>
    <m/>
    <m/>
    <m/>
    <m/>
    <m/>
    <m/>
    <m/>
    <m/>
    <m/>
    <m/>
    <m/>
    <s v="Cliffwater"/>
    <s v="private_credit"/>
  </r>
  <r>
    <x v="2"/>
    <x v="62"/>
    <m/>
    <m/>
    <m/>
    <n v="6260000000"/>
    <s v="pitchbook"/>
    <n v="10.92"/>
    <s v="pitchbook"/>
    <n v="0.31"/>
    <s v="pitchbook"/>
    <n v="6.1000000000000004E-3"/>
    <s v="pitchbook"/>
    <m/>
    <m/>
    <m/>
    <m/>
    <m/>
    <m/>
    <m/>
    <m/>
    <m/>
    <m/>
    <m/>
    <m/>
    <m/>
    <m/>
    <m/>
    <s v="Cliffwater"/>
    <s v="private_credit"/>
  </r>
  <r>
    <x v="2"/>
    <x v="63"/>
    <m/>
    <m/>
    <m/>
    <n v="6610000000"/>
    <s v="pitchbook"/>
    <n v="11.01"/>
    <s v="pitchbook"/>
    <m/>
    <m/>
    <n v="8.2000000000000007E-3"/>
    <s v="pitchbook"/>
    <m/>
    <m/>
    <m/>
    <m/>
    <m/>
    <m/>
    <m/>
    <m/>
    <m/>
    <m/>
    <m/>
    <m/>
    <m/>
    <m/>
    <m/>
    <s v="Cliffwater"/>
    <s v="private_credit"/>
  </r>
  <r>
    <x v="2"/>
    <x v="64"/>
    <m/>
    <m/>
    <m/>
    <n v="6930000000"/>
    <s v="pitchbook"/>
    <n v="11.11"/>
    <s v="pitchbook"/>
    <m/>
    <m/>
    <n v="9.1000000000000004E-3"/>
    <s v="pitchbook"/>
    <n v="442"/>
    <n v="7210000000"/>
    <s v="pitchbook"/>
    <n v="625004069"/>
    <s v="N-CSRS"/>
    <m/>
    <m/>
    <m/>
    <m/>
    <m/>
    <m/>
    <m/>
    <m/>
    <m/>
    <m/>
    <s v="Cliffwater"/>
    <s v="private_credit"/>
  </r>
  <r>
    <x v="2"/>
    <x v="65"/>
    <m/>
    <m/>
    <m/>
    <n v="7210000000"/>
    <s v="pitchbook"/>
    <n v="10.91"/>
    <s v="pitchbook"/>
    <n v="0.31"/>
    <s v="pitchbook"/>
    <n v="9.7000000000000003E-3"/>
    <s v="pitchbook"/>
    <m/>
    <m/>
    <m/>
    <m/>
    <m/>
    <m/>
    <m/>
    <m/>
    <m/>
    <m/>
    <m/>
    <m/>
    <m/>
    <m/>
    <m/>
    <s v="Cliffwater"/>
    <s v="private_credit"/>
  </r>
  <r>
    <x v="2"/>
    <x v="66"/>
    <m/>
    <m/>
    <m/>
    <n v="7550000000"/>
    <s v="pitchbook"/>
    <n v="11.02"/>
    <s v="pitchbook"/>
    <m/>
    <m/>
    <n v="1.01E-2"/>
    <s v="pitchbook"/>
    <m/>
    <m/>
    <m/>
    <m/>
    <m/>
    <m/>
    <m/>
    <m/>
    <m/>
    <m/>
    <m/>
    <m/>
    <m/>
    <m/>
    <m/>
    <s v="Cliffwater"/>
    <s v="private_credit"/>
  </r>
  <r>
    <x v="2"/>
    <x v="67"/>
    <m/>
    <n v="9747520.2899999991"/>
    <s v="direct fund statement"/>
    <n v="7460000000"/>
    <s v="pitchbook"/>
    <n v="10.81"/>
    <s v="pitchbook"/>
    <n v="0.28999999999999998"/>
    <s v="pitchbook"/>
    <n v="7.4000000000000003E-3"/>
    <s v="pitchbook"/>
    <n v="501"/>
    <m/>
    <m/>
    <m/>
    <m/>
    <n v="901713.255"/>
    <s v="direct fund statement"/>
    <n v="10000000"/>
    <s v="direct fund statement"/>
    <n v="0"/>
    <s v="direct fund statement"/>
    <n v="262308.39"/>
    <s v="direct fund statement"/>
    <m/>
    <m/>
    <s v="Cliffwater"/>
    <s v="private_credit"/>
  </r>
  <r>
    <x v="2"/>
    <x v="68"/>
    <m/>
    <n v="9810640.2100000009"/>
    <s v="direct fund statement"/>
    <n v="7840000000"/>
    <s v="pitchbook"/>
    <n v="10.88"/>
    <s v="pitchbook"/>
    <m/>
    <m/>
    <n v="6.4999999999999997E-3"/>
    <s v="pitchbook"/>
    <m/>
    <m/>
    <m/>
    <m/>
    <m/>
    <n v="901713.255"/>
    <s v="direct fund statement"/>
    <n v="0"/>
    <s v="direct fund statement"/>
    <n v="0"/>
    <s v="direct fund statement"/>
    <n v="0"/>
    <s v="direct fund statement"/>
    <m/>
    <m/>
    <s v="Cliffwater"/>
    <s v="private_credit"/>
  </r>
  <r>
    <x v="2"/>
    <x v="69"/>
    <m/>
    <n v="9855725.8800000008"/>
    <s v="direct fund statement"/>
    <n v="8120000000"/>
    <s v="pitchbook"/>
    <n v="10.93"/>
    <s v="pitchbook"/>
    <m/>
    <m/>
    <n v="4.5999999999999999E-3"/>
    <s v="pitchbook"/>
    <m/>
    <m/>
    <m/>
    <m/>
    <m/>
    <n v="901713.255"/>
    <s v="direct fund statement"/>
    <m/>
    <m/>
    <m/>
    <m/>
    <m/>
    <m/>
    <m/>
    <m/>
    <s v="Cliffwater"/>
    <s v="private_credit"/>
  </r>
  <r>
    <x v="2"/>
    <x v="70"/>
    <m/>
    <n v="4564503.76"/>
    <s v="direct fund statement"/>
    <n v="7800000000"/>
    <s v="pitchbook"/>
    <n v="11.01"/>
    <s v="pitchbook"/>
    <m/>
    <m/>
    <n v="7.3000000000000001E-3"/>
    <s v="pitchbook"/>
    <n v="587"/>
    <m/>
    <m/>
    <m/>
    <m/>
    <n v="414577.99800000002"/>
    <s v="direct fund statement"/>
    <n v="0"/>
    <s v="direct fund statement"/>
    <n v="5348745.12"/>
    <s v="direct fund statement"/>
    <n v="0"/>
    <s v="direct fund statement"/>
    <m/>
    <m/>
    <s v="Cliffwater"/>
    <s v="private_credit"/>
  </r>
  <r>
    <x v="2"/>
    <x v="71"/>
    <m/>
    <n v="4489879.72"/>
    <s v="direct fund statement"/>
    <n v="7860000000"/>
    <s v="pitchbook"/>
    <n v="10.83"/>
    <s v="pitchbook"/>
    <n v="0.27"/>
    <s v="pitchbook"/>
    <n v="8.8000000000000005E-3"/>
    <s v="pitchbook"/>
    <m/>
    <m/>
    <m/>
    <m/>
    <m/>
    <n v="414577.99800000002"/>
    <s v="direct fund statement"/>
    <n v="0"/>
    <s v="direct fund statement"/>
    <n v="0"/>
    <s v="direct fund statement"/>
    <n v="113801.66"/>
    <s v="direct fund statement"/>
    <m/>
    <m/>
    <s v="Cliffwater"/>
    <s v="private_credit"/>
  </r>
  <r>
    <x v="2"/>
    <x v="72"/>
    <m/>
    <m/>
    <m/>
    <m/>
    <m/>
    <n v="10.87"/>
    <s v="pitchbook"/>
    <m/>
    <m/>
    <m/>
    <m/>
    <m/>
    <m/>
    <m/>
    <m/>
    <m/>
    <m/>
    <m/>
    <m/>
    <m/>
    <m/>
    <m/>
    <m/>
    <m/>
    <m/>
    <m/>
    <s v="Cliffwater"/>
    <s v="private_credit"/>
  </r>
  <r>
    <x v="3"/>
    <x v="47"/>
    <m/>
    <m/>
    <m/>
    <m/>
    <m/>
    <m/>
    <m/>
    <m/>
    <m/>
    <n v="1.34E-2"/>
    <s v="factsheet"/>
    <m/>
    <m/>
    <m/>
    <m/>
    <m/>
    <m/>
    <m/>
    <m/>
    <m/>
    <m/>
    <m/>
    <m/>
    <m/>
    <m/>
    <m/>
    <s v="Coller Secondaries"/>
    <s v="secondaries"/>
  </r>
  <r>
    <x v="3"/>
    <x v="48"/>
    <m/>
    <m/>
    <m/>
    <m/>
    <m/>
    <m/>
    <m/>
    <m/>
    <m/>
    <n v="8.6999999999999994E-3"/>
    <s v="factsheet"/>
    <m/>
    <m/>
    <m/>
    <m/>
    <m/>
    <m/>
    <m/>
    <m/>
    <m/>
    <m/>
    <m/>
    <m/>
    <m/>
    <m/>
    <m/>
    <s v="Coller Secondaries"/>
    <s v="secondaries"/>
  </r>
  <r>
    <x v="3"/>
    <x v="49"/>
    <m/>
    <m/>
    <m/>
    <m/>
    <m/>
    <m/>
    <m/>
    <m/>
    <m/>
    <n v="1.3599999999999999E-2"/>
    <s v="factsheet"/>
    <n v="60"/>
    <m/>
    <m/>
    <m/>
    <m/>
    <m/>
    <m/>
    <m/>
    <m/>
    <m/>
    <m/>
    <m/>
    <m/>
    <m/>
    <m/>
    <s v="Coller Secondaries"/>
    <s v="secondaries"/>
  </r>
  <r>
    <x v="3"/>
    <x v="50"/>
    <m/>
    <m/>
    <m/>
    <m/>
    <m/>
    <m/>
    <m/>
    <m/>
    <m/>
    <n v="1.9E-3"/>
    <s v="factsheet"/>
    <m/>
    <m/>
    <m/>
    <m/>
    <m/>
    <m/>
    <m/>
    <m/>
    <m/>
    <m/>
    <m/>
    <m/>
    <m/>
    <m/>
    <m/>
    <s v="Coller Secondaries"/>
    <s v="secondaries"/>
  </r>
  <r>
    <x v="3"/>
    <x v="51"/>
    <m/>
    <m/>
    <m/>
    <m/>
    <m/>
    <m/>
    <m/>
    <m/>
    <m/>
    <n v="4.8999999999999998E-3"/>
    <s v="factsheet"/>
    <m/>
    <m/>
    <m/>
    <m/>
    <m/>
    <m/>
    <m/>
    <m/>
    <m/>
    <m/>
    <m/>
    <m/>
    <m/>
    <m/>
    <m/>
    <s v="Coller Secondaries"/>
    <s v="secondaries"/>
  </r>
  <r>
    <x v="3"/>
    <x v="52"/>
    <m/>
    <m/>
    <m/>
    <m/>
    <m/>
    <m/>
    <m/>
    <m/>
    <m/>
    <n v="4.0000000000000002E-4"/>
    <s v="factsheet"/>
    <n v="63"/>
    <m/>
    <m/>
    <n v="67286832"/>
    <s v="N-CSRS"/>
    <m/>
    <m/>
    <m/>
    <m/>
    <m/>
    <m/>
    <m/>
    <m/>
    <m/>
    <m/>
    <s v="Coller Secondaries"/>
    <s v="secondaries"/>
  </r>
  <r>
    <x v="3"/>
    <x v="53"/>
    <m/>
    <m/>
    <m/>
    <m/>
    <m/>
    <m/>
    <m/>
    <m/>
    <m/>
    <n v="2.24E-2"/>
    <s v="factsheet"/>
    <m/>
    <m/>
    <m/>
    <m/>
    <m/>
    <m/>
    <m/>
    <m/>
    <m/>
    <m/>
    <m/>
    <m/>
    <m/>
    <m/>
    <m/>
    <s v="Coller Secondaries"/>
    <s v="secondaries"/>
  </r>
  <r>
    <x v="3"/>
    <x v="54"/>
    <m/>
    <m/>
    <m/>
    <m/>
    <m/>
    <m/>
    <m/>
    <m/>
    <m/>
    <n v="6.1999999999999998E-3"/>
    <s v="factsheet"/>
    <m/>
    <m/>
    <m/>
    <m/>
    <m/>
    <m/>
    <m/>
    <m/>
    <m/>
    <m/>
    <m/>
    <m/>
    <m/>
    <m/>
    <m/>
    <s v="Coller Secondaries"/>
    <s v="secondaries"/>
  </r>
  <r>
    <x v="3"/>
    <x v="55"/>
    <m/>
    <m/>
    <m/>
    <m/>
    <m/>
    <m/>
    <m/>
    <m/>
    <m/>
    <n v="4.82E-2"/>
    <s v="factsheet"/>
    <n v="81"/>
    <m/>
    <m/>
    <m/>
    <m/>
    <m/>
    <m/>
    <m/>
    <m/>
    <m/>
    <m/>
    <m/>
    <m/>
    <m/>
    <m/>
    <s v="Coller Secondaries"/>
    <s v="secondaries"/>
  </r>
  <r>
    <x v="3"/>
    <x v="56"/>
    <m/>
    <m/>
    <m/>
    <m/>
    <m/>
    <m/>
    <m/>
    <m/>
    <m/>
    <n v="1.5E-3"/>
    <s v="factsheet"/>
    <m/>
    <m/>
    <m/>
    <m/>
    <m/>
    <m/>
    <m/>
    <m/>
    <m/>
    <m/>
    <m/>
    <m/>
    <m/>
    <m/>
    <m/>
    <s v="Coller Secondaries"/>
    <s v="secondaries"/>
  </r>
  <r>
    <x v="3"/>
    <x v="57"/>
    <m/>
    <m/>
    <m/>
    <m/>
    <m/>
    <m/>
    <m/>
    <m/>
    <m/>
    <n v="-5.9999999999999995E-4"/>
    <s v="factsheet"/>
    <m/>
    <m/>
    <m/>
    <m/>
    <m/>
    <m/>
    <m/>
    <m/>
    <m/>
    <m/>
    <m/>
    <m/>
    <m/>
    <m/>
    <m/>
    <s v="Coller Secondaries"/>
    <s v="secondaries"/>
  </r>
  <r>
    <x v="3"/>
    <x v="58"/>
    <m/>
    <m/>
    <m/>
    <m/>
    <m/>
    <m/>
    <m/>
    <m/>
    <m/>
    <n v="3.2599999999999997E-2"/>
    <s v="factsheet"/>
    <n v="90"/>
    <m/>
    <m/>
    <m/>
    <m/>
    <m/>
    <m/>
    <m/>
    <m/>
    <m/>
    <m/>
    <m/>
    <m/>
    <m/>
    <m/>
    <s v="Coller Secondaries"/>
    <s v="secondaries"/>
  </r>
  <r>
    <x v="3"/>
    <x v="59"/>
    <m/>
    <m/>
    <m/>
    <m/>
    <m/>
    <m/>
    <m/>
    <m/>
    <m/>
    <n v="1.0200000000000001E-2"/>
    <s v="factsheet"/>
    <m/>
    <m/>
    <m/>
    <m/>
    <m/>
    <m/>
    <m/>
    <m/>
    <m/>
    <m/>
    <m/>
    <m/>
    <m/>
    <m/>
    <m/>
    <s v="Coller Secondaries"/>
    <s v="secondaries"/>
  </r>
  <r>
    <x v="3"/>
    <x v="60"/>
    <m/>
    <m/>
    <m/>
    <m/>
    <m/>
    <m/>
    <m/>
    <m/>
    <m/>
    <n v="7.3000000000000001E-3"/>
    <s v="factsheet"/>
    <m/>
    <m/>
    <m/>
    <m/>
    <m/>
    <m/>
    <m/>
    <m/>
    <m/>
    <m/>
    <m/>
    <m/>
    <m/>
    <m/>
    <m/>
    <s v="Coller Secondaries"/>
    <s v="secondaries"/>
  </r>
  <r>
    <x v="3"/>
    <x v="61"/>
    <m/>
    <m/>
    <m/>
    <m/>
    <m/>
    <m/>
    <m/>
    <m/>
    <m/>
    <n v="3.7600000000000001E-2"/>
    <s v="factsheet"/>
    <m/>
    <m/>
    <m/>
    <m/>
    <m/>
    <m/>
    <m/>
    <m/>
    <m/>
    <m/>
    <m/>
    <m/>
    <m/>
    <m/>
    <m/>
    <s v="Coller Secondaries"/>
    <s v="secondaries"/>
  </r>
  <r>
    <x v="3"/>
    <x v="62"/>
    <m/>
    <m/>
    <m/>
    <m/>
    <m/>
    <m/>
    <m/>
    <m/>
    <m/>
    <n v="1.1900000000000001E-2"/>
    <s v="factsheet"/>
    <m/>
    <m/>
    <m/>
    <m/>
    <m/>
    <m/>
    <m/>
    <m/>
    <m/>
    <m/>
    <m/>
    <m/>
    <m/>
    <m/>
    <m/>
    <s v="Coller Secondaries"/>
    <s v="secondaries"/>
  </r>
  <r>
    <x v="3"/>
    <x v="63"/>
    <m/>
    <m/>
    <m/>
    <m/>
    <m/>
    <m/>
    <m/>
    <m/>
    <m/>
    <n v="1.1299999999999999E-2"/>
    <s v="factsheet"/>
    <m/>
    <m/>
    <m/>
    <m/>
    <m/>
    <m/>
    <m/>
    <m/>
    <m/>
    <m/>
    <m/>
    <m/>
    <m/>
    <m/>
    <m/>
    <s v="Coller Secondaries"/>
    <s v="secondaries"/>
  </r>
  <r>
    <x v="3"/>
    <x v="64"/>
    <m/>
    <m/>
    <m/>
    <m/>
    <m/>
    <m/>
    <m/>
    <m/>
    <m/>
    <n v="1.9099999999999999E-2"/>
    <s v="factsheet"/>
    <m/>
    <m/>
    <m/>
    <m/>
    <m/>
    <m/>
    <m/>
    <m/>
    <m/>
    <m/>
    <m/>
    <m/>
    <m/>
    <m/>
    <m/>
    <s v="Coller Secondaries"/>
    <s v="secondaries"/>
  </r>
  <r>
    <x v="3"/>
    <x v="65"/>
    <m/>
    <m/>
    <m/>
    <m/>
    <m/>
    <m/>
    <m/>
    <m/>
    <m/>
    <n v="5.7000000000000002E-3"/>
    <s v="factsheet"/>
    <m/>
    <m/>
    <m/>
    <m/>
    <m/>
    <m/>
    <m/>
    <m/>
    <m/>
    <m/>
    <m/>
    <m/>
    <m/>
    <m/>
    <m/>
    <s v="Coller Secondaries"/>
    <s v="secondaries"/>
  </r>
  <r>
    <x v="3"/>
    <x v="66"/>
    <m/>
    <m/>
    <m/>
    <m/>
    <m/>
    <m/>
    <m/>
    <m/>
    <m/>
    <n v="5.7999999999999996E-3"/>
    <s v="factsheet"/>
    <m/>
    <m/>
    <m/>
    <m/>
    <m/>
    <m/>
    <m/>
    <m/>
    <m/>
    <m/>
    <m/>
    <m/>
    <m/>
    <m/>
    <m/>
    <s v="Coller Secondaries"/>
    <s v="secondaries"/>
  </r>
  <r>
    <x v="3"/>
    <x v="67"/>
    <m/>
    <m/>
    <m/>
    <m/>
    <m/>
    <m/>
    <m/>
    <m/>
    <m/>
    <n v="1.44E-2"/>
    <s v="factsheet"/>
    <m/>
    <m/>
    <m/>
    <m/>
    <m/>
    <m/>
    <m/>
    <m/>
    <m/>
    <m/>
    <m/>
    <m/>
    <m/>
    <m/>
    <m/>
    <s v="Coller Secondaries"/>
    <s v="secondaries"/>
  </r>
  <r>
    <x v="3"/>
    <x v="68"/>
    <m/>
    <n v="9973022.5500000007"/>
    <s v="direct fund statement"/>
    <m/>
    <m/>
    <m/>
    <m/>
    <m/>
    <m/>
    <n v="-2.7000000000000001E-3"/>
    <s v="factsheet"/>
    <m/>
    <m/>
    <m/>
    <m/>
    <m/>
    <n v="1798496.4569999999"/>
    <s v="direct fund statement"/>
    <n v="10000000"/>
    <s v="direct fund statement"/>
    <n v="0"/>
    <s v="direct fund statement"/>
    <n v="0"/>
    <s v="direct fund statement"/>
    <m/>
    <m/>
    <s v="Coller Secondaries"/>
    <s v="secondaries"/>
  </r>
  <r>
    <x v="3"/>
    <x v="69"/>
    <m/>
    <n v="10199273.41"/>
    <s v="direct fund statement"/>
    <m/>
    <m/>
    <m/>
    <m/>
    <m/>
    <m/>
    <n v="2.2700000000000001E-2"/>
    <s v="factsheet"/>
    <m/>
    <m/>
    <m/>
    <m/>
    <m/>
    <n v="1798496.4569999999"/>
    <s v="direct fund statement"/>
    <n v="0"/>
    <s v="direct fund statement"/>
    <n v="0"/>
    <s v="direct fund statement"/>
    <n v="0"/>
    <s v="direct fund statement"/>
    <m/>
    <m/>
    <s v="Coller Secondaries"/>
    <s v="secondaries"/>
  </r>
  <r>
    <x v="3"/>
    <x v="70"/>
    <m/>
    <n v="10396928.17"/>
    <s v="direct fund statement"/>
    <m/>
    <m/>
    <m/>
    <m/>
    <m/>
    <m/>
    <n v="1.9400000000000001E-2"/>
    <s v="factsheet"/>
    <n v="180"/>
    <m/>
    <m/>
    <m/>
    <m/>
    <n v="1798496.4569999999"/>
    <s v="direct fund statement"/>
    <n v="0"/>
    <s v="direct fund statement"/>
    <n v="0"/>
    <s v="direct fund statement"/>
    <n v="0"/>
    <s v="direct fund statement"/>
    <m/>
    <m/>
    <s v="Coller Secondaries"/>
    <s v="secondaries"/>
  </r>
  <r>
    <x v="4"/>
    <x v="48"/>
    <m/>
    <m/>
    <m/>
    <m/>
    <m/>
    <n v="10"/>
    <s v="pitchbook"/>
    <m/>
    <m/>
    <m/>
    <m/>
    <m/>
    <m/>
    <m/>
    <m/>
    <m/>
    <m/>
    <m/>
    <m/>
    <m/>
    <m/>
    <m/>
    <m/>
    <m/>
    <m/>
    <m/>
    <s v="Stepstone PC Income"/>
    <s v="private_credit"/>
  </r>
  <r>
    <x v="4"/>
    <x v="49"/>
    <m/>
    <m/>
    <m/>
    <n v="73970000"/>
    <s v="pitchbook"/>
    <n v="10.039999999999999"/>
    <s v="pitchbook"/>
    <m/>
    <m/>
    <n v="4.0000000000000001E-3"/>
    <s v="pitchbook"/>
    <n v="55"/>
    <n v="73680000"/>
    <s v="pitchbook"/>
    <m/>
    <m/>
    <m/>
    <m/>
    <m/>
    <m/>
    <m/>
    <m/>
    <m/>
    <m/>
    <m/>
    <m/>
    <s v="Stepstone PC Income"/>
    <s v="private_credit"/>
  </r>
  <r>
    <x v="4"/>
    <x v="50"/>
    <m/>
    <m/>
    <m/>
    <n v="76100000"/>
    <s v="pitchbook"/>
    <n v="10.119999999999999"/>
    <s v="pitchbook"/>
    <m/>
    <m/>
    <n v="8.0000000000000002E-3"/>
    <s v="pitchbook"/>
    <m/>
    <m/>
    <m/>
    <m/>
    <m/>
    <m/>
    <m/>
    <m/>
    <m/>
    <m/>
    <m/>
    <m/>
    <m/>
    <m/>
    <m/>
    <s v="Stepstone PC Income"/>
    <s v="private_credit"/>
  </r>
  <r>
    <x v="4"/>
    <x v="51"/>
    <m/>
    <m/>
    <m/>
    <n v="94630000"/>
    <s v="pitchbook"/>
    <n v="10.19"/>
    <s v="pitchbook"/>
    <m/>
    <m/>
    <n v="6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2"/>
    <m/>
    <m/>
    <m/>
    <n v="115850000"/>
    <s v="pitchbook"/>
    <n v="10.26"/>
    <s v="pitchbook"/>
    <m/>
    <m/>
    <n v="6.8999999999999999E-3"/>
    <s v="pitchbook"/>
    <n v="196"/>
    <m/>
    <m/>
    <m/>
    <m/>
    <m/>
    <m/>
    <m/>
    <m/>
    <m/>
    <m/>
    <m/>
    <m/>
    <m/>
    <m/>
    <s v="Stepstone PC Income"/>
    <s v="private_credit"/>
  </r>
  <r>
    <x v="4"/>
    <x v="53"/>
    <m/>
    <m/>
    <m/>
    <n v="153260000"/>
    <s v="pitchbook"/>
    <n v="10.14"/>
    <s v="pitchbook"/>
    <n v="0.2"/>
    <s v="pitchbook"/>
    <n v="8.0000000000000002E-3"/>
    <s v="pitchbook"/>
    <m/>
    <m/>
    <m/>
    <m/>
    <m/>
    <m/>
    <m/>
    <m/>
    <m/>
    <m/>
    <m/>
    <m/>
    <m/>
    <m/>
    <m/>
    <s v="Stepstone PC Income"/>
    <s v="private_credit"/>
  </r>
  <r>
    <x v="4"/>
    <x v="54"/>
    <m/>
    <m/>
    <m/>
    <n v="165000000"/>
    <s v="pitchbook"/>
    <n v="10.199999999999999"/>
    <s v="pitchbook"/>
    <m/>
    <m/>
    <n v="5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5"/>
    <m/>
    <m/>
    <m/>
    <n v="167640000"/>
    <s v="pitchbook"/>
    <n v="10.07"/>
    <s v="pitchbook"/>
    <n v="0.21"/>
    <s v="pitchbook"/>
    <n v="7.6E-3"/>
    <s v="pitchbook"/>
    <n v="298"/>
    <n v="222330000"/>
    <s v="pitchbook"/>
    <n v="16744559"/>
    <s v="N-CSR"/>
    <m/>
    <m/>
    <m/>
    <m/>
    <m/>
    <m/>
    <m/>
    <m/>
    <m/>
    <m/>
    <s v="Stepstone PC Income"/>
    <s v="private_credit"/>
  </r>
  <r>
    <x v="4"/>
    <x v="56"/>
    <m/>
    <m/>
    <m/>
    <n v="761750000"/>
    <s v="pitchbook"/>
    <n v="10.15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57"/>
    <m/>
    <m/>
    <m/>
    <n v="782190000"/>
    <s v="pitchbook"/>
    <n v="10.210000000000001"/>
    <s v="pitchbook"/>
    <m/>
    <m/>
    <n v="5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8"/>
    <m/>
    <m/>
    <m/>
    <n v="807060000"/>
    <s v="pitchbook"/>
    <n v="10.28"/>
    <s v="pitchbook"/>
    <m/>
    <m/>
    <n v="6.8999999999999999E-3"/>
    <s v="pitchbook"/>
    <n v="544"/>
    <m/>
    <m/>
    <m/>
    <m/>
    <m/>
    <m/>
    <m/>
    <m/>
    <m/>
    <m/>
    <m/>
    <m/>
    <m/>
    <m/>
    <s v="Stepstone PC Income"/>
    <s v="private_credit"/>
  </r>
  <r>
    <x v="4"/>
    <x v="59"/>
    <m/>
    <m/>
    <m/>
    <n v="865860000"/>
    <s v="pitchbook"/>
    <n v="10.119999999999999"/>
    <s v="pitchbook"/>
    <n v="0.2"/>
    <s v="pitchbook"/>
    <n v="4.4999999999999997E-3"/>
    <s v="pitchbook"/>
    <m/>
    <m/>
    <m/>
    <m/>
    <m/>
    <m/>
    <m/>
    <m/>
    <m/>
    <m/>
    <m/>
    <m/>
    <m/>
    <m/>
    <m/>
    <s v="Stepstone PC Income"/>
    <s v="private_credit"/>
  </r>
  <r>
    <x v="4"/>
    <x v="60"/>
    <m/>
    <m/>
    <m/>
    <n v="889040000"/>
    <s v="pitchbook"/>
    <n v="10.199999999999999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61"/>
    <m/>
    <m/>
    <m/>
    <n v="896730000"/>
    <s v="pitchbook"/>
    <n v="10.29"/>
    <s v="pitchbook"/>
    <m/>
    <m/>
    <n v="8.8000000000000005E-3"/>
    <s v="pitchbook"/>
    <n v="710"/>
    <n v="1110000000"/>
    <s v="pitchbook"/>
    <n v="87517119"/>
    <s v="N-CSRS"/>
    <m/>
    <m/>
    <m/>
    <m/>
    <m/>
    <m/>
    <m/>
    <m/>
    <m/>
    <m/>
    <s v="Stepstone PC Income"/>
    <s v="private_credit"/>
  </r>
  <r>
    <x v="4"/>
    <x v="62"/>
    <m/>
    <m/>
    <m/>
    <n v="935790000"/>
    <s v="pitchbook"/>
    <n v="10.130000000000001"/>
    <s v="pitchbook"/>
    <n v="0.23"/>
    <s v="pitchbook"/>
    <n v="6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63"/>
    <m/>
    <m/>
    <m/>
    <n v="954000000"/>
    <s v="pitchbook"/>
    <n v="10.220000000000001"/>
    <s v="pitchbook"/>
    <m/>
    <m/>
    <n v="8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64"/>
    <m/>
    <m/>
    <m/>
    <n v="966850000"/>
    <s v="pitchbook"/>
    <n v="10.29"/>
    <s v="pitchbook"/>
    <m/>
    <m/>
    <n v="6.7999999999999996E-3"/>
    <s v="pitchbook"/>
    <n v="846"/>
    <m/>
    <m/>
    <m/>
    <m/>
    <m/>
    <m/>
    <m/>
    <m/>
    <m/>
    <m/>
    <m/>
    <m/>
    <m/>
    <m/>
    <s v="Stepstone PC Income"/>
    <s v="private_credit"/>
  </r>
  <r>
    <x v="4"/>
    <x v="65"/>
    <m/>
    <m/>
    <m/>
    <n v="978760000"/>
    <s v="pitchbook"/>
    <n v="10.14"/>
    <s v="pitchbook"/>
    <n v="0.24"/>
    <s v="pitchbook"/>
    <n v="9.1000000000000004E-3"/>
    <s v="pitchbook"/>
    <m/>
    <m/>
    <m/>
    <m/>
    <m/>
    <m/>
    <m/>
    <m/>
    <m/>
    <m/>
    <m/>
    <m/>
    <m/>
    <m/>
    <m/>
    <s v="Stepstone PC Income"/>
    <s v="private_credit"/>
  </r>
  <r>
    <x v="4"/>
    <x v="66"/>
    <m/>
    <m/>
    <m/>
    <n v="1000000000"/>
    <s v="pitchbook"/>
    <n v="10.220000000000001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67"/>
    <m/>
    <n v="4897959.18"/>
    <s v="direct fund statement"/>
    <n v="1020000000"/>
    <s v="pitchbook"/>
    <n v="10.08"/>
    <s v="pitchbook"/>
    <n v="0.24"/>
    <s v="pitchbook"/>
    <n v="1.0200000000000001E-2"/>
    <s v="pitchbook"/>
    <n v="1017"/>
    <n v="1370000000"/>
    <s v="pitchbook"/>
    <n v="101338975"/>
    <s v="N-CSR"/>
    <n v="485908.64899999998"/>
    <s v="direct fund statement"/>
    <n v="5000000"/>
    <s v="direct fund statement"/>
    <n v="0"/>
    <s v="direct fund statement"/>
    <n v="118561.71"/>
    <s v="direct fund statement"/>
    <m/>
    <m/>
    <s v="Stepstone PC Income"/>
    <s v="private_credit"/>
  </r>
  <r>
    <x v="4"/>
    <x v="68"/>
    <m/>
    <n v="4936831.87"/>
    <s v="direct fund statement"/>
    <n v="1050000000"/>
    <s v="pitchbook"/>
    <n v="10.16"/>
    <s v="pitchbook"/>
    <m/>
    <m/>
    <n v="7.9000000000000008E-3"/>
    <s v="pitchbook"/>
    <m/>
    <m/>
    <m/>
    <m/>
    <m/>
    <n v="485908.64899999998"/>
    <s v="direct fund statement"/>
    <m/>
    <m/>
    <m/>
    <m/>
    <m/>
    <m/>
    <m/>
    <m/>
    <s v="Stepstone PC Income"/>
    <s v="private_credit"/>
  </r>
  <r>
    <x v="4"/>
    <x v="69"/>
    <m/>
    <n v="4956268.22"/>
    <s v="direct fund statement"/>
    <n v="1070000000"/>
    <s v="pitchbook"/>
    <n v="10.199999999999999"/>
    <s v="pitchbook"/>
    <m/>
    <m/>
    <n v="3.8999999999999998E-3"/>
    <s v="pitchbook"/>
    <m/>
    <m/>
    <m/>
    <m/>
    <m/>
    <n v="485908.64899999998"/>
    <s v="direct fund statement"/>
    <n v="0"/>
    <s v="direct fund statement"/>
    <n v="0"/>
    <s v="direct fund statement"/>
    <n v="0"/>
    <s v="direct fund statement"/>
    <m/>
    <m/>
    <s v="Stepstone PC Income"/>
    <s v="private_credit"/>
  </r>
  <r>
    <x v="4"/>
    <x v="70"/>
    <m/>
    <n v="4975704.57"/>
    <s v="direct fund statement"/>
    <n v="1050000000"/>
    <s v="pitchbook"/>
    <n v="10.24"/>
    <s v="pitchbook"/>
    <m/>
    <m/>
    <n v="3.8999999999999998E-3"/>
    <s v="pitchbook"/>
    <n v="1133"/>
    <m/>
    <m/>
    <m/>
    <m/>
    <n v="485908.64899999998"/>
    <s v="direct fund statement"/>
    <n v="0"/>
    <s v="direct fund statement"/>
    <n v="0"/>
    <s v="direct fund statement"/>
    <n v="0"/>
    <s v="direct fund statement"/>
    <m/>
    <m/>
    <s v="Stepstone PC Income"/>
    <s v="private_credit"/>
  </r>
  <r>
    <x v="4"/>
    <x v="71"/>
    <m/>
    <n v="4888241.01"/>
    <s v="direct fund statement"/>
    <n v="1080000000"/>
    <s v="pitchbook"/>
    <n v="10.06"/>
    <s v="pitchbook"/>
    <n v="0.25"/>
    <s v="pitchbook"/>
    <n v="6.7000000000000002E-3"/>
    <s v="pitchbook"/>
    <m/>
    <m/>
    <m/>
    <m/>
    <m/>
    <n v="485908.64899999998"/>
    <s v="direct fund statement"/>
    <n v="0"/>
    <s v="direct fund statement"/>
    <n v="0"/>
    <s v="direct fund statement"/>
    <n v="119970.85"/>
    <s v="direct fund statement"/>
    <m/>
    <m/>
    <s v="Stepstone PC Income"/>
    <s v="private_credit"/>
  </r>
  <r>
    <x v="4"/>
    <x v="72"/>
    <m/>
    <m/>
    <m/>
    <m/>
    <m/>
    <n v="10.119999999999999"/>
    <s v="pitchbook"/>
    <m/>
    <m/>
    <m/>
    <m/>
    <m/>
    <m/>
    <m/>
    <m/>
    <m/>
    <m/>
    <m/>
    <m/>
    <m/>
    <m/>
    <m/>
    <m/>
    <m/>
    <m/>
    <m/>
    <s v="Stepstone PC Income"/>
    <s v="private_credit"/>
  </r>
  <r>
    <x v="5"/>
    <x v="5"/>
    <m/>
    <m/>
    <m/>
    <m/>
    <m/>
    <n v="26.72"/>
    <s v="pitchbook"/>
    <n v="0"/>
    <s v="yfinance"/>
    <m/>
    <m/>
    <m/>
    <m/>
    <m/>
    <m/>
    <m/>
    <m/>
    <m/>
    <m/>
    <m/>
    <m/>
    <m/>
    <m/>
    <m/>
    <m/>
    <m/>
    <s v="Stepstone Private Markets"/>
    <s v="secondaries"/>
  </r>
  <r>
    <x v="5"/>
    <x v="6"/>
    <m/>
    <m/>
    <m/>
    <m/>
    <m/>
    <n v="27.06"/>
    <s v="pitchbook"/>
    <n v="0"/>
    <s v="yfinance"/>
    <n v="1.26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7"/>
    <m/>
    <m/>
    <m/>
    <m/>
    <m/>
    <n v="31.23"/>
    <s v="pitchbook"/>
    <n v="0"/>
    <s v="yfinance"/>
    <n v="0.15409999999999999"/>
    <s v="pitchbook"/>
    <n v="22"/>
    <m/>
    <m/>
    <m/>
    <m/>
    <m/>
    <m/>
    <m/>
    <m/>
    <m/>
    <m/>
    <m/>
    <m/>
    <m/>
    <m/>
    <s v="Stepstone Private Markets"/>
    <s v="secondaries"/>
  </r>
  <r>
    <x v="5"/>
    <x v="8"/>
    <m/>
    <m/>
    <m/>
    <m/>
    <m/>
    <n v="31.29"/>
    <s v="pitchbook"/>
    <n v="0"/>
    <s v="yfinance"/>
    <n v="1.9E-3"/>
    <s v="pitchbook"/>
    <m/>
    <m/>
    <m/>
    <m/>
    <m/>
    <m/>
    <m/>
    <m/>
    <m/>
    <m/>
    <m/>
    <m/>
    <m/>
    <m/>
    <m/>
    <s v="Stepstone Private Markets"/>
    <s v="secondaries"/>
  </r>
  <r>
    <x v="5"/>
    <x v="9"/>
    <m/>
    <m/>
    <m/>
    <m/>
    <m/>
    <n v="31.77"/>
    <s v="pitchbook"/>
    <n v="0"/>
    <s v="yfinance"/>
    <n v="1.52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10"/>
    <m/>
    <m/>
    <m/>
    <m/>
    <m/>
    <n v="32.729999999999997"/>
    <s v="pitchbook"/>
    <n v="0"/>
    <s v="yfinance"/>
    <n v="3.0200000000000001E-2"/>
    <s v="pitchbook"/>
    <n v="43"/>
    <n v="115180000"/>
    <s v="pitchbook"/>
    <n v="2410487"/>
    <s v="N-CSR"/>
    <m/>
    <m/>
    <m/>
    <m/>
    <m/>
    <m/>
    <m/>
    <m/>
    <m/>
    <m/>
    <s v="Stepstone Private Markets"/>
    <s v="secondaries"/>
  </r>
  <r>
    <x v="5"/>
    <x v="11"/>
    <m/>
    <m/>
    <m/>
    <m/>
    <m/>
    <n v="33.99"/>
    <s v="pitchbook"/>
    <n v="0"/>
    <s v="yfinance"/>
    <n v="3.85E-2"/>
    <s v="pitchbook"/>
    <m/>
    <m/>
    <m/>
    <m/>
    <m/>
    <m/>
    <m/>
    <m/>
    <m/>
    <m/>
    <m/>
    <m/>
    <m/>
    <m/>
    <m/>
    <s v="Stepstone Private Markets"/>
    <s v="secondaries"/>
  </r>
  <r>
    <x v="5"/>
    <x v="12"/>
    <m/>
    <m/>
    <m/>
    <m/>
    <m/>
    <n v="35.770000000000003"/>
    <s v="pitchbook"/>
    <n v="0"/>
    <s v="yfinance"/>
    <n v="5.2400000000000002E-2"/>
    <s v="pitchbook"/>
    <m/>
    <m/>
    <m/>
    <m/>
    <m/>
    <m/>
    <m/>
    <m/>
    <m/>
    <m/>
    <m/>
    <m/>
    <m/>
    <m/>
    <m/>
    <s v="Stepstone Private Markets"/>
    <s v="secondaries"/>
  </r>
  <r>
    <x v="5"/>
    <x v="13"/>
    <m/>
    <m/>
    <m/>
    <m/>
    <m/>
    <n v="36.159999999999997"/>
    <s v="pitchbook"/>
    <n v="0"/>
    <s v="yfinance"/>
    <n v="1.09E-2"/>
    <s v="pitchbook"/>
    <n v="57"/>
    <m/>
    <m/>
    <m/>
    <m/>
    <m/>
    <m/>
    <m/>
    <m/>
    <m/>
    <m/>
    <m/>
    <m/>
    <m/>
    <m/>
    <s v="Stepstone Private Markets"/>
    <s v="secondaries"/>
  </r>
  <r>
    <x v="5"/>
    <x v="14"/>
    <m/>
    <m/>
    <m/>
    <m/>
    <m/>
    <n v="38"/>
    <s v="pitchbook"/>
    <n v="0"/>
    <s v="yfinance"/>
    <n v="5.0900000000000001E-2"/>
    <s v="pitchbook"/>
    <m/>
    <m/>
    <m/>
    <m/>
    <m/>
    <m/>
    <m/>
    <m/>
    <m/>
    <m/>
    <m/>
    <m/>
    <m/>
    <m/>
    <m/>
    <s v="Stepstone Private Markets"/>
    <s v="secondaries"/>
  </r>
  <r>
    <x v="5"/>
    <x v="15"/>
    <m/>
    <m/>
    <m/>
    <m/>
    <m/>
    <n v="40.270000000000003"/>
    <s v="pitchbook"/>
    <n v="0"/>
    <s v="yfinance"/>
    <n v="5.9700000000000003E-2"/>
    <s v="pitchbook"/>
    <m/>
    <m/>
    <m/>
    <m/>
    <m/>
    <m/>
    <m/>
    <m/>
    <m/>
    <m/>
    <m/>
    <m/>
    <m/>
    <m/>
    <m/>
    <s v="Stepstone Private Markets"/>
    <s v="secondaries"/>
  </r>
  <r>
    <x v="5"/>
    <x v="16"/>
    <m/>
    <m/>
    <m/>
    <m/>
    <m/>
    <n v="40.22"/>
    <s v="pitchbook"/>
    <n v="0"/>
    <s v="yfinance"/>
    <n v="-1.1999999999999999E-3"/>
    <s v="pitchbook"/>
    <n v="69"/>
    <n v="222650000"/>
    <s v="pitchbook"/>
    <n v="4725736"/>
    <s v="N-CSRS"/>
    <m/>
    <m/>
    <m/>
    <m/>
    <m/>
    <m/>
    <m/>
    <m/>
    <m/>
    <m/>
    <s v="Stepstone Private Markets"/>
    <s v="secondaries"/>
  </r>
  <r>
    <x v="5"/>
    <x v="17"/>
    <m/>
    <m/>
    <m/>
    <m/>
    <m/>
    <n v="39.840000000000003"/>
    <s v="pitchbook"/>
    <n v="0.14000000000000001"/>
    <s v="pitchbook"/>
    <n v="-9.4000000000000004E-3"/>
    <s v="pitchbook"/>
    <m/>
    <m/>
    <m/>
    <m/>
    <m/>
    <m/>
    <m/>
    <m/>
    <m/>
    <m/>
    <m/>
    <m/>
    <m/>
    <m/>
    <m/>
    <s v="Stepstone Private Markets"/>
    <s v="secondaries"/>
  </r>
  <r>
    <x v="5"/>
    <x v="18"/>
    <m/>
    <m/>
    <m/>
    <m/>
    <m/>
    <n v="40.6"/>
    <s v="pitchbook"/>
    <m/>
    <m/>
    <n v="1.90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19"/>
    <m/>
    <m/>
    <m/>
    <m/>
    <m/>
    <n v="41.17"/>
    <s v="pitchbook"/>
    <m/>
    <m/>
    <n v="2.3599999999999999E-2"/>
    <s v="pitchbook"/>
    <n v="98"/>
    <m/>
    <m/>
    <m/>
    <m/>
    <m/>
    <m/>
    <m/>
    <m/>
    <m/>
    <m/>
    <m/>
    <m/>
    <m/>
    <m/>
    <s v="Stepstone Private Markets"/>
    <s v="secondaries"/>
  </r>
  <r>
    <x v="5"/>
    <x v="20"/>
    <m/>
    <m/>
    <m/>
    <m/>
    <m/>
    <n v="41.33"/>
    <s v="pitchbook"/>
    <n v="0.09"/>
    <s v="pitchbook"/>
    <n v="3.8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21"/>
    <m/>
    <m/>
    <m/>
    <m/>
    <m/>
    <n v="41.67"/>
    <s v="pitchbook"/>
    <m/>
    <m/>
    <n v="8.2000000000000007E-3"/>
    <s v="pitchbook"/>
    <m/>
    <m/>
    <m/>
    <m/>
    <m/>
    <m/>
    <m/>
    <m/>
    <m/>
    <m/>
    <m/>
    <m/>
    <m/>
    <m/>
    <m/>
    <s v="Stepstone Private Markets"/>
    <s v="secondaries"/>
  </r>
  <r>
    <x v="5"/>
    <x v="22"/>
    <m/>
    <m/>
    <m/>
    <m/>
    <m/>
    <n v="43.07"/>
    <s v="pitchbook"/>
    <m/>
    <m/>
    <n v="3.5900000000000001E-2"/>
    <s v="pitchbook"/>
    <n v="107"/>
    <n v="496220000"/>
    <s v="pitchbook"/>
    <n v="10337778"/>
    <s v="N-CSR"/>
    <m/>
    <m/>
    <m/>
    <m/>
    <m/>
    <m/>
    <m/>
    <m/>
    <m/>
    <m/>
    <s v="Stepstone Private Markets"/>
    <s v="secondaries"/>
  </r>
  <r>
    <x v="5"/>
    <x v="23"/>
    <m/>
    <m/>
    <m/>
    <m/>
    <m/>
    <n v="43.65"/>
    <s v="pitchbook"/>
    <m/>
    <m/>
    <n v="1.35E-2"/>
    <s v="pitchbook"/>
    <m/>
    <m/>
    <m/>
    <m/>
    <m/>
    <m/>
    <m/>
    <m/>
    <m/>
    <m/>
    <m/>
    <m/>
    <m/>
    <m/>
    <m/>
    <s v="Stepstone Private Markets"/>
    <s v="secondaries"/>
  </r>
  <r>
    <x v="5"/>
    <x v="24"/>
    <m/>
    <m/>
    <m/>
    <m/>
    <m/>
    <n v="43.97"/>
    <s v="pitchbook"/>
    <m/>
    <m/>
    <n v="7.3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25"/>
    <m/>
    <m/>
    <m/>
    <m/>
    <m/>
    <n v="43.6"/>
    <s v="pitchbook"/>
    <m/>
    <m/>
    <n v="-1.1000000000000001E-3"/>
    <s v="pitchbook"/>
    <n v="135"/>
    <m/>
    <m/>
    <m/>
    <m/>
    <m/>
    <m/>
    <m/>
    <m/>
    <m/>
    <m/>
    <m/>
    <m/>
    <m/>
    <m/>
    <s v="Stepstone Private Markets"/>
    <s v="secondaries"/>
  </r>
  <r>
    <x v="5"/>
    <x v="26"/>
    <m/>
    <m/>
    <m/>
    <m/>
    <m/>
    <n v="43.71"/>
    <s v="pitchbook"/>
    <m/>
    <m/>
    <n v="2.5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27"/>
    <m/>
    <m/>
    <m/>
    <m/>
    <m/>
    <n v="43.32"/>
    <s v="pitchbook"/>
    <m/>
    <m/>
    <n v="-8.8999999999999999E-3"/>
    <s v="pitchbook"/>
    <m/>
    <m/>
    <m/>
    <m/>
    <m/>
    <m/>
    <m/>
    <m/>
    <m/>
    <m/>
    <m/>
    <m/>
    <m/>
    <m/>
    <m/>
    <s v="Stepstone Private Markets"/>
    <s v="secondaries"/>
  </r>
  <r>
    <x v="5"/>
    <x v="28"/>
    <m/>
    <m/>
    <m/>
    <m/>
    <m/>
    <n v="43.26"/>
    <s v="pitchbook"/>
    <m/>
    <m/>
    <n v="-1.4E-3"/>
    <s v="pitchbook"/>
    <n v="140"/>
    <n v="869720000"/>
    <s v="pitchbook"/>
    <n v="16729144"/>
    <s v="N-CSRS"/>
    <m/>
    <m/>
    <m/>
    <m/>
    <m/>
    <m/>
    <m/>
    <m/>
    <m/>
    <m/>
    <s v="Stepstone Private Markets"/>
    <s v="secondaries"/>
  </r>
  <r>
    <x v="5"/>
    <x v="29"/>
    <m/>
    <m/>
    <m/>
    <m/>
    <m/>
    <n v="43.5"/>
    <s v="pitchbook"/>
    <n v="0.4"/>
    <s v="pitchbook"/>
    <n v="5.4999999999999997E-3"/>
    <s v="pitchbook"/>
    <m/>
    <m/>
    <m/>
    <m/>
    <m/>
    <m/>
    <m/>
    <m/>
    <m/>
    <m/>
    <m/>
    <m/>
    <m/>
    <m/>
    <m/>
    <s v="Stepstone Private Markets"/>
    <s v="secondaries"/>
  </r>
  <r>
    <x v="5"/>
    <x v="30"/>
    <m/>
    <m/>
    <m/>
    <m/>
    <m/>
    <n v="44.16"/>
    <s v="pitchbook"/>
    <m/>
    <m/>
    <n v="1.52E-2"/>
    <s v="pitchbook"/>
    <m/>
    <m/>
    <m/>
    <m/>
    <m/>
    <m/>
    <m/>
    <m/>
    <m/>
    <m/>
    <m/>
    <m/>
    <m/>
    <m/>
    <m/>
    <s v="Stepstone Private Markets"/>
    <s v="secondaries"/>
  </r>
  <r>
    <x v="5"/>
    <x v="31"/>
    <m/>
    <m/>
    <m/>
    <m/>
    <m/>
    <n v="43.75"/>
    <s v="pitchbook"/>
    <m/>
    <m/>
    <n v="4.8999999999999998E-3"/>
    <s v="pitchbook"/>
    <n v="150"/>
    <m/>
    <m/>
    <m/>
    <m/>
    <m/>
    <m/>
    <m/>
    <m/>
    <m/>
    <m/>
    <m/>
    <m/>
    <m/>
    <m/>
    <s v="Stepstone Private Markets"/>
    <s v="secondaries"/>
  </r>
  <r>
    <x v="5"/>
    <x v="32"/>
    <m/>
    <m/>
    <m/>
    <m/>
    <m/>
    <n v="45.98"/>
    <s v="pitchbook"/>
    <m/>
    <m/>
    <n v="5.0999999999999997E-2"/>
    <s v="pitchbook"/>
    <m/>
    <m/>
    <m/>
    <m/>
    <m/>
    <m/>
    <m/>
    <m/>
    <m/>
    <m/>
    <m/>
    <m/>
    <m/>
    <m/>
    <m/>
    <s v="Stepstone Private Markets"/>
    <s v="secondaries"/>
  </r>
  <r>
    <x v="5"/>
    <x v="33"/>
    <m/>
    <m/>
    <m/>
    <m/>
    <m/>
    <n v="45.74"/>
    <s v="pitchbook"/>
    <m/>
    <m/>
    <n v="-5.1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34"/>
    <m/>
    <m/>
    <m/>
    <n v="1050000000"/>
    <s v="pitchbook"/>
    <n v="46.15"/>
    <s v="pitchbook"/>
    <m/>
    <m/>
    <n v="8.9999999999999993E-3"/>
    <s v="pitchbook"/>
    <n v="158"/>
    <n v="1150000000"/>
    <s v="pitchbook"/>
    <m/>
    <m/>
    <m/>
    <m/>
    <m/>
    <m/>
    <m/>
    <m/>
    <m/>
    <m/>
    <m/>
    <m/>
    <s v="Stepstone Private Markets"/>
    <s v="secondaries"/>
  </r>
  <r>
    <x v="5"/>
    <x v="35"/>
    <m/>
    <m/>
    <m/>
    <m/>
    <m/>
    <n v="46.46"/>
    <s v="pitchbook"/>
    <m/>
    <m/>
    <n v="6.7000000000000002E-3"/>
    <s v="pitchbook"/>
    <m/>
    <m/>
    <m/>
    <m/>
    <m/>
    <m/>
    <m/>
    <m/>
    <m/>
    <m/>
    <m/>
    <m/>
    <m/>
    <m/>
    <m/>
    <s v="Stepstone Private Markets"/>
    <s v="secondaries"/>
  </r>
  <r>
    <x v="5"/>
    <x v="36"/>
    <m/>
    <m/>
    <m/>
    <m/>
    <m/>
    <n v="46.22"/>
    <s v="pitchbook"/>
    <m/>
    <m/>
    <n v="-5.1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37"/>
    <m/>
    <m/>
    <m/>
    <m/>
    <m/>
    <n v="47.44"/>
    <s v="pitchbook"/>
    <m/>
    <m/>
    <n v="2.64E-2"/>
    <s v="pitchbook"/>
    <n v="166"/>
    <m/>
    <m/>
    <m/>
    <m/>
    <m/>
    <m/>
    <m/>
    <m/>
    <m/>
    <m/>
    <m/>
    <m/>
    <m/>
    <m/>
    <s v="Stepstone Private Markets"/>
    <s v="secondaries"/>
  </r>
  <r>
    <x v="5"/>
    <x v="38"/>
    <m/>
    <m/>
    <m/>
    <n v="1360000000"/>
    <s v="pitchbook"/>
    <n v="48.29"/>
    <s v="pitchbook"/>
    <m/>
    <m/>
    <n v="1.78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39"/>
    <m/>
    <m/>
    <m/>
    <n v="1450000000"/>
    <s v="pitchbook"/>
    <n v="47.45"/>
    <s v="pitchbook"/>
    <m/>
    <m/>
    <n v="-1.73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40"/>
    <m/>
    <m/>
    <m/>
    <n v="1540000000"/>
    <s v="pitchbook"/>
    <n v="47.2"/>
    <s v="pitchbook"/>
    <m/>
    <m/>
    <n v="-5.3E-3"/>
    <s v="pitchbook"/>
    <n v="178"/>
    <n v="1560000000"/>
    <s v="pitchbook"/>
    <m/>
    <m/>
    <m/>
    <m/>
    <m/>
    <m/>
    <m/>
    <m/>
    <m/>
    <m/>
    <m/>
    <m/>
    <s v="Stepstone Private Markets"/>
    <s v="secondaries"/>
  </r>
  <r>
    <x v="5"/>
    <x v="41"/>
    <m/>
    <m/>
    <m/>
    <n v="1570000000"/>
    <s v="pitchbook"/>
    <n v="47.19"/>
    <s v="pitchbook"/>
    <m/>
    <m/>
    <n v="-2.0000000000000001E-4"/>
    <s v="pitchbook"/>
    <m/>
    <m/>
    <m/>
    <m/>
    <m/>
    <m/>
    <m/>
    <m/>
    <m/>
    <m/>
    <m/>
    <m/>
    <m/>
    <m/>
    <m/>
    <s v="Stepstone Private Markets"/>
    <s v="secondaries"/>
  </r>
  <r>
    <x v="5"/>
    <x v="42"/>
    <m/>
    <m/>
    <m/>
    <n v="1690000000"/>
    <s v="pitchbook"/>
    <n v="48.51"/>
    <s v="pitchbook"/>
    <m/>
    <m/>
    <n v="3.1399999999999997E-2"/>
    <s v="pitchbook"/>
    <m/>
    <m/>
    <m/>
    <m/>
    <m/>
    <m/>
    <m/>
    <m/>
    <m/>
    <m/>
    <m/>
    <m/>
    <m/>
    <m/>
    <m/>
    <s v="Stepstone Private Markets"/>
    <s v="secondaries"/>
  </r>
  <r>
    <x v="5"/>
    <x v="43"/>
    <m/>
    <m/>
    <m/>
    <n v="1790000000"/>
    <s v="pitchbook"/>
    <n v="49.39"/>
    <s v="pitchbook"/>
    <m/>
    <m/>
    <n v="1.8100000000000002E-2"/>
    <s v="pitchbook"/>
    <n v="190"/>
    <m/>
    <m/>
    <m/>
    <m/>
    <m/>
    <m/>
    <m/>
    <m/>
    <m/>
    <m/>
    <m/>
    <m/>
    <m/>
    <m/>
    <s v="Stepstone Private Markets"/>
    <s v="secondaries"/>
  </r>
  <r>
    <x v="5"/>
    <x v="44"/>
    <m/>
    <m/>
    <m/>
    <n v="1920000000"/>
    <s v="pitchbook"/>
    <n v="50.16"/>
    <s v="pitchbook"/>
    <m/>
    <m/>
    <n v="1.55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45"/>
    <m/>
    <m/>
    <m/>
    <n v="2090000000"/>
    <s v="pitchbook"/>
    <n v="50.64"/>
    <s v="pitchbook"/>
    <m/>
    <m/>
    <n v="9.5999999999999992E-3"/>
    <s v="pitchbook"/>
    <m/>
    <m/>
    <m/>
    <m/>
    <m/>
    <m/>
    <m/>
    <m/>
    <m/>
    <m/>
    <m/>
    <m/>
    <m/>
    <m/>
    <m/>
    <s v="Stepstone Private Markets"/>
    <s v="secondaries"/>
  </r>
  <r>
    <x v="5"/>
    <x v="46"/>
    <m/>
    <m/>
    <m/>
    <n v="2320000000"/>
    <s v="pitchbook"/>
    <n v="52.49"/>
    <s v="pitchbook"/>
    <m/>
    <m/>
    <n v="3.6499999999999998E-2"/>
    <s v="pitchbook"/>
    <n v="206"/>
    <n v="2340000000"/>
    <s v="pitchbook"/>
    <n v="37651634"/>
    <s v="N-CSR"/>
    <m/>
    <m/>
    <m/>
    <m/>
    <m/>
    <m/>
    <m/>
    <m/>
    <m/>
    <m/>
    <s v="Stepstone Private Markets"/>
    <s v="secondaries"/>
  </r>
  <r>
    <x v="5"/>
    <x v="47"/>
    <m/>
    <m/>
    <m/>
    <n v="2450000000"/>
    <s v="pitchbook"/>
    <n v="51.87"/>
    <s v="pitchbook"/>
    <m/>
    <m/>
    <n v="-1.18E-2"/>
    <s v="pitchbook"/>
    <m/>
    <m/>
    <m/>
    <m/>
    <m/>
    <m/>
    <m/>
    <m/>
    <m/>
    <m/>
    <m/>
    <m/>
    <m/>
    <m/>
    <m/>
    <s v="Stepstone Private Markets"/>
    <s v="secondaries"/>
  </r>
  <r>
    <x v="5"/>
    <x v="48"/>
    <m/>
    <m/>
    <m/>
    <n v="2640000000"/>
    <s v="pitchbook"/>
    <n v="52.45"/>
    <s v="pitchbook"/>
    <m/>
    <m/>
    <n v="1.12E-2"/>
    <s v="pitchbook"/>
    <m/>
    <m/>
    <m/>
    <m/>
    <m/>
    <m/>
    <m/>
    <m/>
    <m/>
    <m/>
    <m/>
    <m/>
    <m/>
    <m/>
    <m/>
    <s v="Stepstone Private Markets"/>
    <s v="secondaries"/>
  </r>
  <r>
    <x v="5"/>
    <x v="49"/>
    <m/>
    <m/>
    <m/>
    <n v="2760000000"/>
    <s v="pitchbook"/>
    <n v="52.21"/>
    <s v="pitchbook"/>
    <n v="0.16"/>
    <s v="pitchbook"/>
    <n v="1E-3"/>
    <s v="pitchbook"/>
    <n v="221"/>
    <m/>
    <m/>
    <m/>
    <m/>
    <m/>
    <m/>
    <m/>
    <m/>
    <m/>
    <m/>
    <m/>
    <m/>
    <m/>
    <m/>
    <s v="Stepstone Private Markets"/>
    <s v="secondaries"/>
  </r>
  <r>
    <x v="5"/>
    <x v="50"/>
    <m/>
    <m/>
    <m/>
    <n v="2930000000"/>
    <s v="pitchbook"/>
    <n v="53.05"/>
    <s v="pitchbook"/>
    <m/>
    <m/>
    <n v="1.61E-2"/>
    <s v="pitchbook"/>
    <m/>
    <m/>
    <m/>
    <m/>
    <m/>
    <m/>
    <m/>
    <m/>
    <m/>
    <m/>
    <m/>
    <m/>
    <m/>
    <m/>
    <m/>
    <s v="Stepstone Private Markets"/>
    <s v="secondaries"/>
  </r>
  <r>
    <x v="5"/>
    <x v="51"/>
    <m/>
    <m/>
    <m/>
    <n v="3100000000"/>
    <s v="pitchbook"/>
    <n v="53.66"/>
    <s v="pitchbook"/>
    <m/>
    <m/>
    <n v="1.15E-2"/>
    <s v="pitchbook"/>
    <m/>
    <m/>
    <m/>
    <m/>
    <m/>
    <m/>
    <m/>
    <m/>
    <m/>
    <m/>
    <m/>
    <m/>
    <m/>
    <m/>
    <m/>
    <s v="Stepstone Private Markets"/>
    <s v="secondaries"/>
  </r>
  <r>
    <x v="5"/>
    <x v="52"/>
    <m/>
    <m/>
    <m/>
    <n v="3250000000"/>
    <s v="pitchbook"/>
    <n v="54.97"/>
    <s v="pitchbook"/>
    <m/>
    <m/>
    <n v="2.4400000000000002E-2"/>
    <s v="pitchbook"/>
    <n v="300"/>
    <n v="3350000000"/>
    <s v="pitchbook"/>
    <n v="46858698"/>
    <s v="N-CSRS"/>
    <m/>
    <m/>
    <m/>
    <m/>
    <m/>
    <m/>
    <m/>
    <m/>
    <m/>
    <m/>
    <s v="Stepstone Private Markets"/>
    <s v="secondaries"/>
  </r>
  <r>
    <x v="5"/>
    <x v="53"/>
    <m/>
    <m/>
    <m/>
    <n v="3400000000"/>
    <s v="pitchbook"/>
    <n v="55.08"/>
    <s v="pitchbook"/>
    <m/>
    <m/>
    <n v="2E-3"/>
    <s v="pitchbook"/>
    <m/>
    <m/>
    <m/>
    <m/>
    <m/>
    <m/>
    <m/>
    <m/>
    <m/>
    <m/>
    <m/>
    <m/>
    <m/>
    <m/>
    <m/>
    <s v="Stepstone Private Markets"/>
    <s v="secondaries"/>
  </r>
  <r>
    <x v="5"/>
    <x v="54"/>
    <m/>
    <m/>
    <m/>
    <n v="3590000000"/>
    <s v="pitchbook"/>
    <n v="55.69"/>
    <s v="pitchbook"/>
    <m/>
    <m/>
    <n v="1.11E-2"/>
    <s v="pitchbook"/>
    <m/>
    <m/>
    <m/>
    <m/>
    <m/>
    <m/>
    <m/>
    <m/>
    <m/>
    <m/>
    <m/>
    <m/>
    <m/>
    <m/>
    <m/>
    <s v="Stepstone Private Markets"/>
    <s v="secondaries"/>
  </r>
  <r>
    <x v="5"/>
    <x v="55"/>
    <m/>
    <m/>
    <m/>
    <n v="3680000000"/>
    <s v="pitchbook"/>
    <n v="55.06"/>
    <s v="pitchbook"/>
    <n v="0.03"/>
    <s v="pitchbook"/>
    <n v="-3.5999999999999999E-3"/>
    <s v="pitchbook"/>
    <n v="349"/>
    <m/>
    <m/>
    <m/>
    <m/>
    <m/>
    <m/>
    <m/>
    <m/>
    <m/>
    <m/>
    <m/>
    <m/>
    <m/>
    <m/>
    <s v="Stepstone Private Markets"/>
    <s v="secondaries"/>
  </r>
  <r>
    <x v="5"/>
    <x v="56"/>
    <m/>
    <m/>
    <m/>
    <n v="3920000000"/>
    <s v="pitchbook"/>
    <n v="55.7"/>
    <s v="pitchbook"/>
    <m/>
    <m/>
    <n v="1.15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57"/>
    <m/>
    <m/>
    <m/>
    <n v="4100000000"/>
    <s v="pitchbook"/>
    <n v="55.78"/>
    <s v="pitchbook"/>
    <m/>
    <m/>
    <n v="1.4E-3"/>
    <s v="pitchbook"/>
    <m/>
    <m/>
    <m/>
    <m/>
    <m/>
    <m/>
    <m/>
    <m/>
    <m/>
    <m/>
    <m/>
    <m/>
    <m/>
    <m/>
    <m/>
    <s v="Stepstone Private Markets"/>
    <s v="secondaries"/>
  </r>
  <r>
    <x v="5"/>
    <x v="58"/>
    <m/>
    <m/>
    <m/>
    <n v="4200000000"/>
    <s v="pitchbook"/>
    <n v="55.62"/>
    <s v="pitchbook"/>
    <m/>
    <m/>
    <n v="-2.8999999999999998E-3"/>
    <s v="pitchbook"/>
    <n v="360"/>
    <n v="4410000000"/>
    <s v="pitchbook"/>
    <n v="59765181"/>
    <s v="N-CSR"/>
    <m/>
    <m/>
    <m/>
    <m/>
    <m/>
    <m/>
    <m/>
    <m/>
    <m/>
    <m/>
    <s v="Stepstone Private Markets"/>
    <s v="secondaries"/>
  </r>
  <r>
    <x v="5"/>
    <x v="59"/>
    <m/>
    <m/>
    <m/>
    <n v="4420000000"/>
    <s v="pitchbook"/>
    <n v="56.2"/>
    <s v="pitchbook"/>
    <m/>
    <m/>
    <n v="1.04E-2"/>
    <s v="pitchbook"/>
    <m/>
    <m/>
    <m/>
    <m/>
    <m/>
    <m/>
    <m/>
    <m/>
    <m/>
    <m/>
    <m/>
    <m/>
    <m/>
    <m/>
    <m/>
    <s v="Stepstone Private Markets"/>
    <s v="secondaries"/>
  </r>
  <r>
    <x v="5"/>
    <x v="60"/>
    <m/>
    <m/>
    <m/>
    <n v="4710000000"/>
    <s v="pitchbook"/>
    <n v="57.79"/>
    <s v="pitchbook"/>
    <m/>
    <m/>
    <n v="2.82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61"/>
    <m/>
    <m/>
    <m/>
    <n v="4870000000"/>
    <s v="pitchbook"/>
    <n v="58.9"/>
    <s v="pitchbook"/>
    <n v="0.01"/>
    <s v="pitchbook"/>
    <n v="2.2599999999999999E-2"/>
    <s v="pitchbook"/>
    <n v="389"/>
    <m/>
    <m/>
    <m/>
    <m/>
    <m/>
    <m/>
    <m/>
    <m/>
    <m/>
    <m/>
    <m/>
    <m/>
    <m/>
    <m/>
    <s v="Stepstone Private Markets"/>
    <s v="secondaries"/>
  </r>
  <r>
    <x v="5"/>
    <x v="62"/>
    <m/>
    <m/>
    <m/>
    <n v="5050000000"/>
    <s v="pitchbook"/>
    <n v="59.03"/>
    <s v="pitchbook"/>
    <m/>
    <m/>
    <n v="2.2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63"/>
    <m/>
    <m/>
    <m/>
    <n v="5270000000"/>
    <s v="pitchbook"/>
    <n v="59.29"/>
    <s v="pitchbook"/>
    <m/>
    <m/>
    <n v="4.4000000000000003E-3"/>
    <s v="pitchbook"/>
    <m/>
    <m/>
    <m/>
    <m/>
    <m/>
    <m/>
    <m/>
    <m/>
    <m/>
    <m/>
    <m/>
    <m/>
    <m/>
    <m/>
    <m/>
    <s v="Stepstone Private Markets"/>
    <s v="secondaries"/>
  </r>
  <r>
    <x v="5"/>
    <x v="64"/>
    <m/>
    <m/>
    <m/>
    <n v="5220000000"/>
    <s v="pitchbook"/>
    <n v="60.68"/>
    <s v="pitchbook"/>
    <m/>
    <m/>
    <n v="2.3400000000000001E-2"/>
    <s v="pitchbook"/>
    <n v="433"/>
    <n v="5380000000"/>
    <s v="pitchbook"/>
    <m/>
    <m/>
    <m/>
    <m/>
    <m/>
    <m/>
    <m/>
    <m/>
    <m/>
    <m/>
    <m/>
    <m/>
    <s v="Stepstone Private Markets"/>
    <s v="secondaries"/>
  </r>
  <r>
    <x v="5"/>
    <x v="65"/>
    <m/>
    <m/>
    <m/>
    <n v="5430000000"/>
    <s v="pitchbook"/>
    <n v="61.28"/>
    <s v="pitchbook"/>
    <m/>
    <m/>
    <n v="9.9000000000000008E-3"/>
    <s v="pitchbook"/>
    <m/>
    <m/>
    <m/>
    <m/>
    <m/>
    <m/>
    <m/>
    <m/>
    <m/>
    <m/>
    <m/>
    <m/>
    <m/>
    <m/>
    <m/>
    <s v="Stepstone Private Markets"/>
    <s v="secondaries"/>
  </r>
  <r>
    <x v="5"/>
    <x v="66"/>
    <m/>
    <m/>
    <m/>
    <n v="5530000000"/>
    <s v="pitchbook"/>
    <n v="61.05"/>
    <s v="pitchbook"/>
    <m/>
    <m/>
    <n v="-3.8E-3"/>
    <s v="pitchbook"/>
    <m/>
    <m/>
    <m/>
    <m/>
    <m/>
    <m/>
    <m/>
    <m/>
    <m/>
    <m/>
    <m/>
    <m/>
    <m/>
    <m/>
    <m/>
    <s v="Stepstone Private Markets"/>
    <s v="secondaries"/>
  </r>
  <r>
    <x v="5"/>
    <x v="67"/>
    <m/>
    <n v="9909076.1400000006"/>
    <s v="direct fund statement"/>
    <n v="5510000000"/>
    <s v="pitchbook"/>
    <n v="61.03"/>
    <s v="pitchbook"/>
    <m/>
    <m/>
    <n v="8.0000000000000002E-3"/>
    <s v="pitchbook"/>
    <n v="503"/>
    <m/>
    <m/>
    <m/>
    <m/>
    <n v="162364.01999999999"/>
    <s v="direct fund statement"/>
    <n v="10000000"/>
    <s v="direct fund statement"/>
    <n v="0"/>
    <s v="direct fund statement"/>
    <n v="82139.960000000006"/>
    <s v="direct fund statement"/>
    <m/>
    <m/>
    <s v="Stepstone Private Markets"/>
    <s v="secondaries"/>
  </r>
  <r>
    <x v="5"/>
    <x v="68"/>
    <m/>
    <n v="10038967.359999999"/>
    <s v="direct fund statement"/>
    <n v="5730000000"/>
    <s v="pitchbook"/>
    <n v="61.83"/>
    <s v="pitchbook"/>
    <m/>
    <m/>
    <n v="1.3100000000000001E-2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69"/>
    <m/>
    <n v="10012989.109999999"/>
    <s v="direct fund statement"/>
    <n v="5860000000"/>
    <s v="pitchbook"/>
    <n v="61.67"/>
    <s v="pitchbook"/>
    <m/>
    <m/>
    <n v="-2.5999999999999999E-3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0"/>
    <m/>
    <n v="9974021.75"/>
    <s v="direct fund statement"/>
    <n v="5760000000"/>
    <s v="pitchbook"/>
    <n v="61.43"/>
    <s v="pitchbook"/>
    <m/>
    <m/>
    <n v="-3.8999999999999998E-3"/>
    <s v="pitchbook"/>
    <n v="591"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1"/>
    <m/>
    <n v="10318233.470000001"/>
    <s v="direct fund statement"/>
    <n v="6090000000"/>
    <s v="pitchbook"/>
    <n v="63.55"/>
    <s v="pitchbook"/>
    <m/>
    <m/>
    <n v="3.4500000000000003E-2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2"/>
    <m/>
    <m/>
    <m/>
    <m/>
    <m/>
    <n v="63.92"/>
    <s v="pitchbook"/>
    <m/>
    <m/>
    <m/>
    <m/>
    <m/>
    <m/>
    <m/>
    <m/>
    <m/>
    <m/>
    <m/>
    <m/>
    <m/>
    <m/>
    <m/>
    <m/>
    <m/>
    <m/>
    <m/>
    <s v="Stepstone Private Markets"/>
    <s v="secondaries"/>
  </r>
  <r>
    <x v="6"/>
    <x v="30"/>
    <m/>
    <m/>
    <m/>
    <m/>
    <m/>
    <n v="27.4"/>
    <s v="yfinance"/>
    <n v="0"/>
    <s v="yfinance"/>
    <n v="9.5899999999999999E-2"/>
    <s v="factsheet"/>
    <m/>
    <m/>
    <m/>
    <m/>
    <m/>
    <m/>
    <m/>
    <m/>
    <m/>
    <m/>
    <m/>
    <m/>
    <m/>
    <m/>
    <m/>
    <s v="Stepstone PV/Growth"/>
    <s v="venture"/>
  </r>
  <r>
    <x v="6"/>
    <x v="31"/>
    <m/>
    <m/>
    <m/>
    <m/>
    <m/>
    <n v="27.4"/>
    <s v="yfinance"/>
    <n v="0"/>
    <s v="yfinance"/>
    <n v="4.8800000000000003E-2"/>
    <s v="factsheet"/>
    <n v="9"/>
    <m/>
    <m/>
    <m/>
    <m/>
    <m/>
    <m/>
    <m/>
    <m/>
    <m/>
    <m/>
    <m/>
    <m/>
    <m/>
    <m/>
    <s v="Stepstone PV/Growth"/>
    <s v="venture"/>
  </r>
  <r>
    <x v="6"/>
    <x v="32"/>
    <m/>
    <m/>
    <m/>
    <m/>
    <m/>
    <n v="28.73"/>
    <s v="yfinance"/>
    <n v="0"/>
    <s v="yfinance"/>
    <n v="5.3199999999999997E-2"/>
    <s v="factsheet"/>
    <m/>
    <m/>
    <m/>
    <m/>
    <m/>
    <m/>
    <m/>
    <m/>
    <m/>
    <m/>
    <m/>
    <m/>
    <m/>
    <m/>
    <m/>
    <s v="Stepstone PV/Growth"/>
    <s v="venture"/>
  </r>
  <r>
    <x v="6"/>
    <x v="33"/>
    <m/>
    <m/>
    <m/>
    <m/>
    <m/>
    <n v="30.26"/>
    <s v="yfinance"/>
    <n v="0"/>
    <s v="yfinance"/>
    <n v="-4.8000000000000001E-2"/>
    <s v="factsheet"/>
    <m/>
    <m/>
    <m/>
    <m/>
    <m/>
    <m/>
    <m/>
    <m/>
    <m/>
    <m/>
    <m/>
    <m/>
    <m/>
    <m/>
    <m/>
    <s v="Stepstone PV/Growth"/>
    <s v="venture"/>
  </r>
  <r>
    <x v="6"/>
    <x v="34"/>
    <m/>
    <m/>
    <m/>
    <m/>
    <m/>
    <n v="30.12"/>
    <s v="yfinance"/>
    <n v="0"/>
    <s v="yfinance"/>
    <n v="5.9999999999999995E-4"/>
    <s v="factsheet"/>
    <n v="15"/>
    <m/>
    <m/>
    <n v="6167112"/>
    <s v="N-CSR"/>
    <m/>
    <m/>
    <m/>
    <m/>
    <m/>
    <m/>
    <m/>
    <m/>
    <m/>
    <m/>
    <s v="Stepstone PV/Growth"/>
    <s v="venture"/>
  </r>
  <r>
    <x v="6"/>
    <x v="35"/>
    <m/>
    <m/>
    <m/>
    <m/>
    <m/>
    <n v="30.13"/>
    <s v="yfinance"/>
    <n v="0"/>
    <s v="yfinance"/>
    <n v="2.8999999999999998E-3"/>
    <s v="factsheet"/>
    <m/>
    <m/>
    <m/>
    <m/>
    <m/>
    <m/>
    <m/>
    <m/>
    <m/>
    <m/>
    <m/>
    <m/>
    <m/>
    <m/>
    <m/>
    <s v="Stepstone PV/Growth"/>
    <s v="venture"/>
  </r>
  <r>
    <x v="6"/>
    <x v="36"/>
    <m/>
    <m/>
    <m/>
    <m/>
    <m/>
    <n v="30.22"/>
    <s v="yfinance"/>
    <n v="0"/>
    <s v="yfinance"/>
    <n v="-2.9999999999999997E-4"/>
    <s v="factsheet"/>
    <m/>
    <m/>
    <m/>
    <m/>
    <m/>
    <m/>
    <m/>
    <m/>
    <m/>
    <m/>
    <m/>
    <m/>
    <m/>
    <m/>
    <m/>
    <s v="Stepstone PV/Growth"/>
    <s v="venture"/>
  </r>
  <r>
    <x v="6"/>
    <x v="37"/>
    <m/>
    <m/>
    <m/>
    <m/>
    <m/>
    <n v="30.21"/>
    <s v="yfinance"/>
    <n v="0"/>
    <s v="yfinance"/>
    <n v="2.35E-2"/>
    <s v="factsheet"/>
    <n v="30"/>
    <m/>
    <m/>
    <m/>
    <m/>
    <m/>
    <m/>
    <m/>
    <m/>
    <m/>
    <m/>
    <m/>
    <m/>
    <m/>
    <m/>
    <s v="Stepstone PV/Growth"/>
    <s v="venture"/>
  </r>
  <r>
    <x v="6"/>
    <x v="38"/>
    <m/>
    <m/>
    <m/>
    <m/>
    <m/>
    <n v="30.92"/>
    <s v="yfinance"/>
    <n v="0"/>
    <s v="yfinance"/>
    <n v="5.1999999999999998E-3"/>
    <s v="factsheet"/>
    <m/>
    <m/>
    <m/>
    <m/>
    <m/>
    <m/>
    <m/>
    <m/>
    <m/>
    <m/>
    <m/>
    <m/>
    <m/>
    <m/>
    <m/>
    <s v="Stepstone PV/Growth"/>
    <s v="venture"/>
  </r>
  <r>
    <x v="6"/>
    <x v="39"/>
    <m/>
    <m/>
    <m/>
    <m/>
    <m/>
    <n v="31.08"/>
    <s v="yfinance"/>
    <n v="0"/>
    <s v="yfinance"/>
    <n v="4.8899999999999999E-2"/>
    <s v="factsheet"/>
    <m/>
    <m/>
    <m/>
    <m/>
    <m/>
    <m/>
    <m/>
    <m/>
    <m/>
    <m/>
    <m/>
    <m/>
    <m/>
    <m/>
    <m/>
    <s v="Stepstone PV/Growth"/>
    <s v="venture"/>
  </r>
  <r>
    <x v="6"/>
    <x v="40"/>
    <m/>
    <m/>
    <m/>
    <m/>
    <m/>
    <n v="32.6"/>
    <s v="yfinance"/>
    <n v="0"/>
    <s v="yfinance"/>
    <n v="5.1999999999999998E-3"/>
    <s v="factsheet"/>
    <n v="45"/>
    <m/>
    <m/>
    <m/>
    <m/>
    <m/>
    <m/>
    <m/>
    <m/>
    <m/>
    <m/>
    <m/>
    <m/>
    <m/>
    <m/>
    <s v="Stepstone PV/Growth"/>
    <s v="venture"/>
  </r>
  <r>
    <x v="6"/>
    <x v="41"/>
    <m/>
    <m/>
    <m/>
    <m/>
    <m/>
    <n v="32.770000000000003"/>
    <s v="yfinance"/>
    <n v="0"/>
    <s v="yfinance"/>
    <n v="2.5000000000000001E-2"/>
    <s v="factsheet"/>
    <m/>
    <m/>
    <m/>
    <m/>
    <m/>
    <m/>
    <m/>
    <m/>
    <m/>
    <m/>
    <m/>
    <m/>
    <m/>
    <m/>
    <m/>
    <s v="Stepstone PV/Growth"/>
    <s v="venture"/>
  </r>
  <r>
    <x v="6"/>
    <x v="42"/>
    <m/>
    <m/>
    <m/>
    <m/>
    <m/>
    <n v="33.590000000000003"/>
    <s v="yfinance"/>
    <n v="0"/>
    <s v="yfinance"/>
    <n v="4.4999999999999997E-3"/>
    <s v="factsheet"/>
    <m/>
    <m/>
    <m/>
    <m/>
    <m/>
    <m/>
    <m/>
    <m/>
    <m/>
    <m/>
    <m/>
    <m/>
    <m/>
    <m/>
    <m/>
    <s v="Stepstone PV/Growth"/>
    <s v="venture"/>
  </r>
  <r>
    <x v="6"/>
    <x v="43"/>
    <m/>
    <m/>
    <m/>
    <m/>
    <m/>
    <n v="33.74"/>
    <s v="yfinance"/>
    <n v="0"/>
    <s v="yfinance"/>
    <n v="4.53E-2"/>
    <s v="factsheet"/>
    <m/>
    <m/>
    <m/>
    <m/>
    <m/>
    <m/>
    <m/>
    <m/>
    <m/>
    <m/>
    <m/>
    <m/>
    <m/>
    <m/>
    <m/>
    <s v="Stepstone PV/Growth"/>
    <s v="venture"/>
  </r>
  <r>
    <x v="6"/>
    <x v="44"/>
    <m/>
    <m/>
    <m/>
    <m/>
    <m/>
    <n v="35.270000000000003"/>
    <s v="yfinance"/>
    <n v="0"/>
    <s v="yfinance"/>
    <n v="-4.7999999999999996E-3"/>
    <s v="factsheet"/>
    <m/>
    <m/>
    <m/>
    <m/>
    <m/>
    <m/>
    <m/>
    <m/>
    <m/>
    <m/>
    <m/>
    <m/>
    <m/>
    <m/>
    <m/>
    <s v="Stepstone PV/Growth"/>
    <s v="venture"/>
  </r>
  <r>
    <x v="6"/>
    <x v="45"/>
    <m/>
    <m/>
    <m/>
    <m/>
    <m/>
    <n v="35.1"/>
    <s v="yfinance"/>
    <n v="0"/>
    <s v="yfinance"/>
    <n v="1.2500000000000001E-2"/>
    <s v="factsheet"/>
    <m/>
    <m/>
    <m/>
    <m/>
    <m/>
    <m/>
    <m/>
    <m/>
    <m/>
    <m/>
    <m/>
    <m/>
    <m/>
    <m/>
    <m/>
    <s v="Stepstone PV/Growth"/>
    <s v="venture"/>
  </r>
  <r>
    <x v="6"/>
    <x v="46"/>
    <m/>
    <m/>
    <m/>
    <m/>
    <m/>
    <n v="35.54"/>
    <s v="yfinance"/>
    <n v="0"/>
    <s v="yfinance"/>
    <n v="2.87E-2"/>
    <s v="factsheet"/>
    <m/>
    <m/>
    <m/>
    <m/>
    <m/>
    <m/>
    <m/>
    <m/>
    <m/>
    <m/>
    <m/>
    <m/>
    <m/>
    <m/>
    <m/>
    <s v="Stepstone PV/Growth"/>
    <s v="venture"/>
  </r>
  <r>
    <x v="6"/>
    <x v="47"/>
    <m/>
    <m/>
    <m/>
    <m/>
    <m/>
    <n v="36.56"/>
    <s v="yfinance"/>
    <n v="0"/>
    <s v="yfinance"/>
    <n v="-3.0000000000000001E-3"/>
    <s v="factsheet"/>
    <m/>
    <m/>
    <m/>
    <m/>
    <m/>
    <m/>
    <m/>
    <m/>
    <m/>
    <m/>
    <m/>
    <m/>
    <m/>
    <m/>
    <m/>
    <s v="Stepstone PV/Growth"/>
    <s v="venture"/>
  </r>
  <r>
    <x v="6"/>
    <x v="48"/>
    <m/>
    <m/>
    <m/>
    <m/>
    <m/>
    <n v="36.450000000000003"/>
    <s v="yfinance"/>
    <n v="0"/>
    <s v="yfinance"/>
    <n v="1.5900000000000001E-2"/>
    <s v="factsheet"/>
    <m/>
    <m/>
    <m/>
    <m/>
    <m/>
    <m/>
    <m/>
    <m/>
    <m/>
    <m/>
    <m/>
    <m/>
    <m/>
    <m/>
    <m/>
    <s v="Stepstone PV/Growth"/>
    <s v="venture"/>
  </r>
  <r>
    <x v="6"/>
    <x v="49"/>
    <m/>
    <m/>
    <m/>
    <m/>
    <m/>
    <n v="37.03"/>
    <s v="yfinance"/>
    <n v="0"/>
    <s v="yfinance"/>
    <n v="2.4E-2"/>
    <s v="factsheet"/>
    <m/>
    <m/>
    <m/>
    <m/>
    <m/>
    <m/>
    <m/>
    <m/>
    <m/>
    <m/>
    <m/>
    <m/>
    <m/>
    <m/>
    <m/>
    <s v="Stepstone PV/Growth"/>
    <s v="venture"/>
  </r>
  <r>
    <x v="6"/>
    <x v="50"/>
    <m/>
    <m/>
    <m/>
    <m/>
    <m/>
    <n v="37.92"/>
    <s v="yfinance"/>
    <n v="0"/>
    <s v="yfinance"/>
    <n v="5.7999999999999996E-3"/>
    <s v="factsheet"/>
    <m/>
    <m/>
    <m/>
    <m/>
    <m/>
    <m/>
    <m/>
    <m/>
    <m/>
    <m/>
    <m/>
    <m/>
    <m/>
    <m/>
    <m/>
    <s v="Stepstone PV/Growth"/>
    <s v="venture"/>
  </r>
  <r>
    <x v="6"/>
    <x v="51"/>
    <m/>
    <m/>
    <m/>
    <m/>
    <m/>
    <n v="38.14"/>
    <s v="yfinance"/>
    <n v="0"/>
    <s v="yfinance"/>
    <n v="1.6799999999999999E-2"/>
    <s v="factsheet"/>
    <m/>
    <m/>
    <m/>
    <m/>
    <m/>
    <m/>
    <m/>
    <m/>
    <m/>
    <m/>
    <m/>
    <m/>
    <m/>
    <m/>
    <m/>
    <s v="Stepstone PV/Growth"/>
    <s v="venture"/>
  </r>
  <r>
    <x v="6"/>
    <x v="52"/>
    <m/>
    <m/>
    <m/>
    <m/>
    <m/>
    <n v="38.78"/>
    <s v="yfinance"/>
    <n v="0"/>
    <s v="yfinance"/>
    <n v="2.3E-3"/>
    <s v="factsheet"/>
    <m/>
    <m/>
    <m/>
    <m/>
    <m/>
    <m/>
    <m/>
    <m/>
    <m/>
    <m/>
    <m/>
    <m/>
    <m/>
    <m/>
    <m/>
    <s v="Stepstone PV/Growth"/>
    <s v="venture"/>
  </r>
  <r>
    <x v="6"/>
    <x v="53"/>
    <m/>
    <m/>
    <m/>
    <m/>
    <m/>
    <n v="38.869999999999997"/>
    <s v="yfinance"/>
    <n v="0"/>
    <s v="yfinance"/>
    <n v="5.4000000000000003E-3"/>
    <s v="factsheet"/>
    <m/>
    <m/>
    <m/>
    <m/>
    <m/>
    <m/>
    <m/>
    <m/>
    <m/>
    <m/>
    <m/>
    <m/>
    <m/>
    <m/>
    <m/>
    <s v="Stepstone PV/Growth"/>
    <s v="venture"/>
  </r>
  <r>
    <x v="6"/>
    <x v="54"/>
    <m/>
    <m/>
    <m/>
    <m/>
    <m/>
    <n v="39.08"/>
    <s v="yfinance"/>
    <n v="0"/>
    <s v="yfinance"/>
    <n v="2.1000000000000001E-2"/>
    <s v="factsheet"/>
    <m/>
    <m/>
    <m/>
    <m/>
    <m/>
    <m/>
    <m/>
    <m/>
    <m/>
    <m/>
    <m/>
    <m/>
    <m/>
    <m/>
    <m/>
    <s v="Stepstone PV/Growth"/>
    <s v="venture"/>
  </r>
  <r>
    <x v="6"/>
    <x v="55"/>
    <m/>
    <m/>
    <m/>
    <m/>
    <m/>
    <n v="39.9"/>
    <s v="yfinance"/>
    <n v="0"/>
    <s v="yfinance"/>
    <n v="2.3900000000000001E-2"/>
    <s v="factsheet"/>
    <m/>
    <m/>
    <m/>
    <m/>
    <m/>
    <m/>
    <m/>
    <m/>
    <m/>
    <m/>
    <m/>
    <m/>
    <m/>
    <m/>
    <m/>
    <s v="Stepstone PV/Growth"/>
    <s v="venture"/>
  </r>
  <r>
    <x v="6"/>
    <x v="56"/>
    <m/>
    <m/>
    <m/>
    <m/>
    <m/>
    <n v="40.61"/>
    <s v="yfinance"/>
    <n v="0"/>
    <s v="yfinance"/>
    <n v="2.12E-2"/>
    <s v="factsheet"/>
    <m/>
    <m/>
    <m/>
    <m/>
    <m/>
    <m/>
    <m/>
    <m/>
    <m/>
    <m/>
    <m/>
    <m/>
    <m/>
    <m/>
    <m/>
    <s v="Stepstone PV/Growth"/>
    <s v="venture"/>
  </r>
  <r>
    <x v="6"/>
    <x v="57"/>
    <m/>
    <m/>
    <m/>
    <m/>
    <m/>
    <n v="41.47"/>
    <s v="yfinance"/>
    <n v="0"/>
    <s v="yfinance"/>
    <n v="1.23E-2"/>
    <s v="factsheet"/>
    <m/>
    <m/>
    <m/>
    <m/>
    <m/>
    <m/>
    <m/>
    <m/>
    <m/>
    <m/>
    <m/>
    <m/>
    <m/>
    <m/>
    <m/>
    <s v="Stepstone PV/Growth"/>
    <s v="venture"/>
  </r>
  <r>
    <x v="6"/>
    <x v="58"/>
    <m/>
    <m/>
    <m/>
    <m/>
    <m/>
    <n v="41.98"/>
    <s v="yfinance"/>
    <n v="0"/>
    <s v="yfinance"/>
    <n v="2.9499999999999998E-2"/>
    <s v="factsheet"/>
    <m/>
    <m/>
    <m/>
    <m/>
    <m/>
    <m/>
    <m/>
    <m/>
    <m/>
    <m/>
    <m/>
    <m/>
    <m/>
    <m/>
    <m/>
    <s v="Stepstone PV/Growth"/>
    <s v="venture"/>
  </r>
  <r>
    <x v="6"/>
    <x v="59"/>
    <m/>
    <m/>
    <m/>
    <m/>
    <m/>
    <n v="43.22"/>
    <s v="yfinance"/>
    <n v="0"/>
    <s v="yfinance"/>
    <n v="5.3E-3"/>
    <s v="factsheet"/>
    <m/>
    <m/>
    <m/>
    <m/>
    <m/>
    <m/>
    <m/>
    <m/>
    <m/>
    <m/>
    <m/>
    <m/>
    <m/>
    <m/>
    <m/>
    <s v="Stepstone PV/Growth"/>
    <s v="venture"/>
  </r>
  <r>
    <x v="6"/>
    <x v="60"/>
    <m/>
    <m/>
    <m/>
    <m/>
    <m/>
    <n v="43.45"/>
    <s v="yfinance"/>
    <n v="0"/>
    <s v="yfinance"/>
    <n v="2.8299999999999999E-2"/>
    <s v="factsheet"/>
    <m/>
    <m/>
    <m/>
    <m/>
    <m/>
    <m/>
    <m/>
    <m/>
    <m/>
    <m/>
    <m/>
    <m/>
    <m/>
    <m/>
    <m/>
    <s v="Stepstone PV/Growth"/>
    <s v="venture"/>
  </r>
  <r>
    <x v="6"/>
    <x v="61"/>
    <m/>
    <m/>
    <m/>
    <m/>
    <m/>
    <n v="44.68"/>
    <s v="yfinance"/>
    <n v="0"/>
    <s v="yfinance"/>
    <n v="7.1999999999999998E-3"/>
    <s v="factsheet"/>
    <m/>
    <m/>
    <m/>
    <m/>
    <m/>
    <m/>
    <m/>
    <m/>
    <m/>
    <m/>
    <m/>
    <m/>
    <m/>
    <m/>
    <m/>
    <s v="Stepstone PV/Growth"/>
    <s v="venture"/>
  </r>
  <r>
    <x v="6"/>
    <x v="62"/>
    <m/>
    <m/>
    <m/>
    <m/>
    <m/>
    <n v="45"/>
    <s v="yfinance"/>
    <n v="0"/>
    <s v="yfinance"/>
    <n v="1.3599999999999999E-2"/>
    <s v="factsheet"/>
    <m/>
    <m/>
    <m/>
    <m/>
    <m/>
    <m/>
    <m/>
    <m/>
    <m/>
    <m/>
    <m/>
    <m/>
    <m/>
    <m/>
    <m/>
    <s v="Stepstone PV/Growth"/>
    <s v="venture"/>
  </r>
  <r>
    <x v="6"/>
    <x v="63"/>
    <m/>
    <m/>
    <m/>
    <m/>
    <m/>
    <n v="45.61"/>
    <s v="yfinance"/>
    <n v="0"/>
    <s v="yfinance"/>
    <n v="2.7400000000000001E-2"/>
    <s v="factsheet"/>
    <m/>
    <m/>
    <m/>
    <m/>
    <m/>
    <m/>
    <m/>
    <m/>
    <m/>
    <m/>
    <m/>
    <m/>
    <m/>
    <m/>
    <m/>
    <s v="Stepstone PV/Growth"/>
    <s v="venture"/>
  </r>
  <r>
    <x v="6"/>
    <x v="64"/>
    <m/>
    <m/>
    <m/>
    <m/>
    <m/>
    <n v="46.86"/>
    <s v="yfinance"/>
    <n v="0"/>
    <s v="yfinance"/>
    <n v="2.1999999999999999E-2"/>
    <s v="factsheet"/>
    <m/>
    <m/>
    <m/>
    <m/>
    <m/>
    <m/>
    <m/>
    <m/>
    <m/>
    <m/>
    <m/>
    <m/>
    <m/>
    <m/>
    <m/>
    <s v="Stepstone PV/Growth"/>
    <s v="venture"/>
  </r>
  <r>
    <x v="6"/>
    <x v="65"/>
    <m/>
    <m/>
    <m/>
    <m/>
    <m/>
    <n v="47.89"/>
    <s v="yfinance"/>
    <n v="0"/>
    <s v="yfinance"/>
    <n v="3.5900000000000001E-2"/>
    <s v="factsheet"/>
    <m/>
    <m/>
    <m/>
    <m/>
    <m/>
    <m/>
    <m/>
    <m/>
    <m/>
    <m/>
    <m/>
    <m/>
    <m/>
    <m/>
    <m/>
    <s v="Stepstone PV/Growth"/>
    <s v="venture"/>
  </r>
  <r>
    <x v="6"/>
    <x v="66"/>
    <m/>
    <m/>
    <m/>
    <m/>
    <m/>
    <n v="49.61"/>
    <s v="yfinance"/>
    <n v="0"/>
    <s v="yfinance"/>
    <n v="5.3600000000000002E-2"/>
    <s v="factsheet"/>
    <m/>
    <m/>
    <m/>
    <m/>
    <m/>
    <m/>
    <m/>
    <m/>
    <m/>
    <m/>
    <m/>
    <m/>
    <m/>
    <m/>
    <m/>
    <s v="Stepstone PV/Growth"/>
    <s v="venture"/>
  </r>
  <r>
    <x v="6"/>
    <x v="67"/>
    <m/>
    <m/>
    <m/>
    <m/>
    <m/>
    <n v="52.27"/>
    <s v="yfinance"/>
    <n v="0"/>
    <s v="yfinance"/>
    <n v="7.8299999999999995E-2"/>
    <s v="factsheet"/>
    <m/>
    <m/>
    <m/>
    <m/>
    <m/>
    <m/>
    <m/>
    <m/>
    <m/>
    <m/>
    <m/>
    <m/>
    <m/>
    <m/>
    <m/>
    <s v="Stepstone PV/Growth"/>
    <s v="venture"/>
  </r>
  <r>
    <x v="6"/>
    <x v="68"/>
    <m/>
    <n v="5051518.92"/>
    <s v="direct fund statement"/>
    <m/>
    <m/>
    <n v="56.29"/>
    <s v="yfinance"/>
    <n v="0"/>
    <s v="yfinance"/>
    <n v="1.03E-2"/>
    <s v="factsheet"/>
    <m/>
    <m/>
    <m/>
    <m/>
    <m/>
    <n v="88825.724000000002"/>
    <s v="direct fund statement"/>
    <n v="5000000"/>
    <s v="direct fund statement"/>
    <n v="0"/>
    <s v="direct fund statement"/>
    <n v="0"/>
    <s v="direct fund statement"/>
    <m/>
    <m/>
    <s v="Stepstone PV/Growth"/>
    <s v="venture"/>
  </r>
  <r>
    <x v="6"/>
    <x v="69"/>
    <m/>
    <n v="5435246.0499999998"/>
    <s v="direct fund statement"/>
    <m/>
    <m/>
    <n v="56.87"/>
    <s v="yfinance"/>
    <n v="0"/>
    <s v="yfinance"/>
    <n v="7.5999999999999998E-2"/>
    <s v="factsheet"/>
    <m/>
    <m/>
    <m/>
    <m/>
    <m/>
    <n v="88825.724000000002"/>
    <s v="direct fund statement"/>
    <n v="0"/>
    <s v="direct fund statement"/>
    <n v="0"/>
    <s v="direct fund statement"/>
    <n v="0"/>
    <s v="direct fund statement"/>
    <m/>
    <m/>
    <s v="Stepstone PV/Growth"/>
    <s v="venture"/>
  </r>
  <r>
    <x v="6"/>
    <x v="70"/>
    <m/>
    <n v="5505418.3700000001"/>
    <s v="direct fund statement"/>
    <m/>
    <m/>
    <n v="61.19"/>
    <s v="yfinance"/>
    <n v="0"/>
    <s v="yfinance"/>
    <n v="1.29E-2"/>
    <s v="factsheet"/>
    <n v="364"/>
    <m/>
    <m/>
    <m/>
    <m/>
    <n v="88825.724000000002"/>
    <s v="direct fund statement"/>
    <n v="0"/>
    <s v="direct fund statement"/>
    <n v="0"/>
    <s v="direct fund statement"/>
    <n v="0"/>
    <s v="direct fund statement"/>
    <m/>
    <m/>
    <s v="Stepstone PV/Growth"/>
    <s v="venture"/>
  </r>
  <r>
    <x v="6"/>
    <x v="71"/>
    <m/>
    <n v="5536507.3799999999"/>
    <s v="black diamond"/>
    <m/>
    <m/>
    <n v="61.98"/>
    <s v="yfinance"/>
    <n v="0"/>
    <s v="yfinance"/>
    <n v="5.5999999999999999E-3"/>
    <s v="factsheet"/>
    <m/>
    <m/>
    <m/>
    <m/>
    <m/>
    <m/>
    <m/>
    <m/>
    <m/>
    <m/>
    <m/>
    <m/>
    <m/>
    <m/>
    <m/>
    <s v="Stepstone PV/Growth"/>
    <s v="venture"/>
  </r>
  <r>
    <x v="6"/>
    <x v="72"/>
    <m/>
    <m/>
    <m/>
    <m/>
    <m/>
    <n v="62.33"/>
    <s v="yfinance"/>
    <n v="0"/>
    <s v="yfinance"/>
    <m/>
    <m/>
    <m/>
    <m/>
    <m/>
    <m/>
    <m/>
    <m/>
    <m/>
    <m/>
    <m/>
    <m/>
    <m/>
    <m/>
    <m/>
    <m/>
    <m/>
    <s v="Stepstone PV/Growth"/>
    <s v="venture"/>
  </r>
  <r>
    <x v="7"/>
    <x v="73"/>
    <m/>
    <m/>
    <m/>
    <m/>
    <m/>
    <n v="10.27"/>
    <s v="pitchbook"/>
    <m/>
    <m/>
    <m/>
    <m/>
    <m/>
    <m/>
    <m/>
    <m/>
    <m/>
    <m/>
    <m/>
    <m/>
    <m/>
    <m/>
    <m/>
    <m/>
    <m/>
    <m/>
    <m/>
    <s v="AMG Pantheon"/>
    <s v="secondaries"/>
  </r>
  <r>
    <x v="7"/>
    <x v="74"/>
    <m/>
    <m/>
    <m/>
    <m/>
    <m/>
    <n v="10.26"/>
    <s v="pitchbook"/>
    <m/>
    <m/>
    <n v="-1E-3"/>
    <s v="pitchbook"/>
    <m/>
    <m/>
    <m/>
    <m/>
    <m/>
    <m/>
    <m/>
    <m/>
    <m/>
    <m/>
    <m/>
    <m/>
    <m/>
    <m/>
    <m/>
    <s v="AMG Pantheon"/>
    <s v="secondaries"/>
  </r>
  <r>
    <x v="7"/>
    <x v="75"/>
    <m/>
    <m/>
    <m/>
    <m/>
    <m/>
    <n v="10.28"/>
    <s v="pitchbook"/>
    <m/>
    <m/>
    <n v="1.9E-3"/>
    <s v="pitchbook"/>
    <m/>
    <m/>
    <m/>
    <m/>
    <m/>
    <m/>
    <m/>
    <m/>
    <m/>
    <m/>
    <m/>
    <m/>
    <m/>
    <m/>
    <m/>
    <s v="AMG Pantheon"/>
    <s v="secondaries"/>
  </r>
  <r>
    <x v="7"/>
    <x v="76"/>
    <m/>
    <m/>
    <m/>
    <m/>
    <m/>
    <n v="10.220000000000001"/>
    <s v="pitchbook"/>
    <m/>
    <m/>
    <n v="-5.7999999999999996E-3"/>
    <s v="pitchbook"/>
    <m/>
    <m/>
    <m/>
    <m/>
    <m/>
    <m/>
    <m/>
    <m/>
    <m/>
    <m/>
    <m/>
    <m/>
    <m/>
    <m/>
    <m/>
    <s v="AMG Pantheon"/>
    <s v="secondaries"/>
  </r>
  <r>
    <x v="7"/>
    <x v="77"/>
    <m/>
    <m/>
    <m/>
    <m/>
    <m/>
    <n v="10.210000000000001"/>
    <s v="pitchbook"/>
    <m/>
    <m/>
    <n v="-1E-3"/>
    <s v="pitchbook"/>
    <m/>
    <m/>
    <m/>
    <m/>
    <m/>
    <m/>
    <m/>
    <m/>
    <m/>
    <m/>
    <m/>
    <m/>
    <m/>
    <m/>
    <m/>
    <s v="AMG Pantheon"/>
    <s v="secondaries"/>
  </r>
  <r>
    <x v="7"/>
    <x v="78"/>
    <m/>
    <m/>
    <m/>
    <m/>
    <m/>
    <n v="10.29"/>
    <s v="pitchbook"/>
    <m/>
    <m/>
    <n v="7.7999999999999996E-3"/>
    <s v="pitchbook"/>
    <m/>
    <m/>
    <m/>
    <m/>
    <m/>
    <m/>
    <m/>
    <m/>
    <m/>
    <m/>
    <m/>
    <m/>
    <m/>
    <m/>
    <m/>
    <s v="AMG Pantheon"/>
    <s v="secondaries"/>
  </r>
  <r>
    <x v="7"/>
    <x v="79"/>
    <m/>
    <m/>
    <m/>
    <m/>
    <m/>
    <n v="10.29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80"/>
    <m/>
    <m/>
    <m/>
    <m/>
    <m/>
    <n v="10.32"/>
    <s v="pitchbook"/>
    <m/>
    <m/>
    <n v="2.8999999999999998E-3"/>
    <s v="pitchbook"/>
    <m/>
    <m/>
    <m/>
    <m/>
    <m/>
    <m/>
    <m/>
    <m/>
    <m/>
    <m/>
    <m/>
    <m/>
    <m/>
    <m/>
    <m/>
    <s v="AMG Pantheon"/>
    <s v="secondaries"/>
  </r>
  <r>
    <x v="7"/>
    <x v="81"/>
    <m/>
    <m/>
    <m/>
    <m/>
    <m/>
    <n v="10.32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82"/>
    <m/>
    <m/>
    <m/>
    <m/>
    <m/>
    <n v="10.36"/>
    <s v="pitchbook"/>
    <m/>
    <m/>
    <n v="3.8999999999999998E-3"/>
    <s v="pitchbook"/>
    <m/>
    <m/>
    <m/>
    <m/>
    <m/>
    <m/>
    <m/>
    <m/>
    <m/>
    <m/>
    <m/>
    <m/>
    <m/>
    <m/>
    <m/>
    <s v="AMG Pantheon"/>
    <s v="secondaries"/>
  </r>
  <r>
    <x v="7"/>
    <x v="83"/>
    <m/>
    <m/>
    <m/>
    <m/>
    <m/>
    <n v="10.39"/>
    <s v="pitchbook"/>
    <m/>
    <m/>
    <n v="2.8999999999999998E-3"/>
    <s v="pitchbook"/>
    <m/>
    <m/>
    <m/>
    <m/>
    <m/>
    <m/>
    <m/>
    <m/>
    <m/>
    <m/>
    <m/>
    <m/>
    <m/>
    <m/>
    <m/>
    <s v="AMG Pantheon"/>
    <s v="secondaries"/>
  </r>
  <r>
    <x v="7"/>
    <x v="84"/>
    <m/>
    <m/>
    <m/>
    <m/>
    <m/>
    <n v="10.39"/>
    <s v="pitchbook"/>
    <m/>
    <m/>
    <n v="0"/>
    <s v="pitchbook"/>
    <m/>
    <n v="2700000"/>
    <s v="pitchbook"/>
    <m/>
    <m/>
    <m/>
    <m/>
    <m/>
    <m/>
    <m/>
    <m/>
    <m/>
    <m/>
    <m/>
    <m/>
    <s v="AMG Pantheon"/>
    <s v="secondaries"/>
  </r>
  <r>
    <x v="7"/>
    <x v="85"/>
    <m/>
    <m/>
    <m/>
    <m/>
    <m/>
    <n v="10.35"/>
    <s v="pitchbook"/>
    <m/>
    <m/>
    <n v="-3.8E-3"/>
    <s v="pitchbook"/>
    <m/>
    <m/>
    <m/>
    <m/>
    <m/>
    <m/>
    <m/>
    <m/>
    <m/>
    <m/>
    <m/>
    <m/>
    <m/>
    <m/>
    <m/>
    <s v="AMG Pantheon"/>
    <s v="secondaries"/>
  </r>
  <r>
    <x v="7"/>
    <x v="86"/>
    <m/>
    <m/>
    <m/>
    <m/>
    <m/>
    <n v="10.55"/>
    <s v="pitchbook"/>
    <m/>
    <m/>
    <n v="1.9300000000000001E-2"/>
    <s v="pitchbook"/>
    <m/>
    <m/>
    <m/>
    <m/>
    <m/>
    <m/>
    <m/>
    <m/>
    <m/>
    <m/>
    <m/>
    <m/>
    <m/>
    <m/>
    <m/>
    <s v="AMG Pantheon"/>
    <s v="secondaries"/>
  </r>
  <r>
    <x v="7"/>
    <x v="87"/>
    <m/>
    <m/>
    <m/>
    <m/>
    <m/>
    <n v="10.57"/>
    <s v="pitchbook"/>
    <m/>
    <m/>
    <n v="1.9E-3"/>
    <s v="pitchbook"/>
    <m/>
    <m/>
    <m/>
    <m/>
    <m/>
    <m/>
    <m/>
    <m/>
    <m/>
    <m/>
    <m/>
    <m/>
    <m/>
    <m/>
    <m/>
    <s v="AMG Pantheon"/>
    <s v="secondaries"/>
  </r>
  <r>
    <x v="7"/>
    <x v="88"/>
    <m/>
    <m/>
    <m/>
    <m/>
    <m/>
    <n v="10.58"/>
    <s v="pitchbook"/>
    <m/>
    <m/>
    <n v="8.9999999999999998E-4"/>
    <s v="pitchbook"/>
    <m/>
    <m/>
    <m/>
    <m/>
    <m/>
    <m/>
    <m/>
    <m/>
    <m/>
    <m/>
    <m/>
    <m/>
    <m/>
    <m/>
    <m/>
    <s v="AMG Pantheon"/>
    <s v="secondaries"/>
  </r>
  <r>
    <x v="7"/>
    <x v="89"/>
    <m/>
    <m/>
    <m/>
    <m/>
    <m/>
    <n v="10.72"/>
    <s v="pitchbook"/>
    <m/>
    <m/>
    <n v="1.32E-2"/>
    <s v="pitchbook"/>
    <m/>
    <m/>
    <m/>
    <m/>
    <m/>
    <m/>
    <m/>
    <m/>
    <m/>
    <m/>
    <m/>
    <m/>
    <m/>
    <m/>
    <m/>
    <s v="AMG Pantheon"/>
    <s v="secondaries"/>
  </r>
  <r>
    <x v="7"/>
    <x v="90"/>
    <m/>
    <m/>
    <m/>
    <m/>
    <m/>
    <n v="10.83"/>
    <s v="pitchbook"/>
    <m/>
    <m/>
    <n v="1.03E-2"/>
    <s v="pitchbook"/>
    <m/>
    <m/>
    <m/>
    <m/>
    <m/>
    <m/>
    <m/>
    <m/>
    <m/>
    <m/>
    <m/>
    <m/>
    <m/>
    <m/>
    <m/>
    <s v="AMG Pantheon"/>
    <s v="secondaries"/>
  </r>
  <r>
    <x v="7"/>
    <x v="91"/>
    <m/>
    <m/>
    <m/>
    <m/>
    <m/>
    <n v="10.84"/>
    <s v="pitchbook"/>
    <m/>
    <m/>
    <n v="8.9999999999999998E-4"/>
    <s v="pitchbook"/>
    <m/>
    <m/>
    <m/>
    <m/>
    <m/>
    <m/>
    <m/>
    <m/>
    <m/>
    <m/>
    <m/>
    <m/>
    <m/>
    <m/>
    <m/>
    <s v="AMG Pantheon"/>
    <s v="secondaries"/>
  </r>
  <r>
    <x v="7"/>
    <x v="92"/>
    <m/>
    <m/>
    <m/>
    <m/>
    <m/>
    <n v="11.81"/>
    <s v="pitchbook"/>
    <m/>
    <m/>
    <n v="8.9499999999999996E-2"/>
    <s v="pitchbook"/>
    <m/>
    <m/>
    <m/>
    <m/>
    <m/>
    <m/>
    <m/>
    <m/>
    <m/>
    <m/>
    <m/>
    <m/>
    <m/>
    <m/>
    <m/>
    <s v="AMG Pantheon"/>
    <s v="secondaries"/>
  </r>
  <r>
    <x v="7"/>
    <x v="93"/>
    <m/>
    <m/>
    <m/>
    <m/>
    <m/>
    <n v="11.88"/>
    <s v="pitchbook"/>
    <m/>
    <m/>
    <n v="5.8999999999999999E-3"/>
    <s v="pitchbook"/>
    <m/>
    <m/>
    <m/>
    <m/>
    <m/>
    <m/>
    <m/>
    <m/>
    <m/>
    <m/>
    <m/>
    <m/>
    <m/>
    <m/>
    <m/>
    <s v="AMG Pantheon"/>
    <s v="secondaries"/>
  </r>
  <r>
    <x v="7"/>
    <x v="94"/>
    <m/>
    <m/>
    <m/>
    <m/>
    <m/>
    <n v="11.97"/>
    <s v="pitchbook"/>
    <m/>
    <m/>
    <n v="7.6E-3"/>
    <s v="pitchbook"/>
    <m/>
    <m/>
    <m/>
    <m/>
    <m/>
    <m/>
    <m/>
    <m/>
    <m/>
    <m/>
    <m/>
    <m/>
    <m/>
    <m/>
    <m/>
    <s v="AMG Pantheon"/>
    <s v="secondaries"/>
  </r>
  <r>
    <x v="7"/>
    <x v="95"/>
    <m/>
    <m/>
    <m/>
    <m/>
    <m/>
    <n v="12.29"/>
    <s v="pitchbook"/>
    <m/>
    <m/>
    <n v="2.6700000000000002E-2"/>
    <s v="pitchbook"/>
    <m/>
    <m/>
    <m/>
    <m/>
    <m/>
    <m/>
    <m/>
    <m/>
    <m/>
    <m/>
    <m/>
    <m/>
    <m/>
    <m/>
    <m/>
    <s v="AMG Pantheon"/>
    <s v="secondaries"/>
  </r>
  <r>
    <x v="7"/>
    <x v="96"/>
    <m/>
    <m/>
    <m/>
    <m/>
    <m/>
    <n v="12.34"/>
    <s v="pitchbook"/>
    <m/>
    <m/>
    <n v="4.1000000000000003E-3"/>
    <s v="pitchbook"/>
    <m/>
    <n v="5250000"/>
    <s v="pitchbook"/>
    <m/>
    <m/>
    <m/>
    <m/>
    <m/>
    <m/>
    <m/>
    <m/>
    <m/>
    <m/>
    <m/>
    <m/>
    <s v="AMG Pantheon"/>
    <s v="secondaries"/>
  </r>
  <r>
    <x v="7"/>
    <x v="97"/>
    <m/>
    <m/>
    <m/>
    <m/>
    <m/>
    <n v="12.51"/>
    <s v="pitchbook"/>
    <m/>
    <m/>
    <n v="1.38E-2"/>
    <s v="pitchbook"/>
    <m/>
    <m/>
    <m/>
    <m/>
    <m/>
    <m/>
    <m/>
    <m/>
    <m/>
    <m/>
    <m/>
    <m/>
    <m/>
    <m/>
    <m/>
    <s v="AMG Pantheon"/>
    <s v="secondaries"/>
  </r>
  <r>
    <x v="7"/>
    <x v="98"/>
    <m/>
    <m/>
    <m/>
    <m/>
    <m/>
    <n v="12.62"/>
    <s v="pitchbook"/>
    <m/>
    <m/>
    <n v="8.8000000000000005E-3"/>
    <s v="pitchbook"/>
    <m/>
    <m/>
    <m/>
    <m/>
    <m/>
    <m/>
    <m/>
    <m/>
    <m/>
    <m/>
    <m/>
    <m/>
    <m/>
    <m/>
    <m/>
    <s v="AMG Pantheon"/>
    <s v="secondaries"/>
  </r>
  <r>
    <x v="7"/>
    <x v="99"/>
    <m/>
    <m/>
    <m/>
    <m/>
    <m/>
    <n v="12.63"/>
    <s v="pitchbook"/>
    <m/>
    <m/>
    <n v="1.5E-3"/>
    <s v="pitchbook"/>
    <m/>
    <m/>
    <m/>
    <m/>
    <m/>
    <m/>
    <m/>
    <m/>
    <m/>
    <m/>
    <m/>
    <m/>
    <m/>
    <m/>
    <m/>
    <s v="AMG Pantheon"/>
    <s v="secondaries"/>
  </r>
  <r>
    <x v="7"/>
    <x v="100"/>
    <m/>
    <m/>
    <m/>
    <m/>
    <m/>
    <n v="12.88"/>
    <s v="pitchbook"/>
    <m/>
    <m/>
    <n v="1.9800000000000002E-2"/>
    <s v="pitchbook"/>
    <m/>
    <m/>
    <m/>
    <m/>
    <m/>
    <m/>
    <m/>
    <m/>
    <m/>
    <m/>
    <m/>
    <m/>
    <m/>
    <m/>
    <m/>
    <s v="AMG Pantheon"/>
    <s v="secondaries"/>
  </r>
  <r>
    <x v="7"/>
    <x v="101"/>
    <m/>
    <m/>
    <m/>
    <m/>
    <m/>
    <n v="12.95"/>
    <s v="pitchbook"/>
    <m/>
    <m/>
    <n v="5.4000000000000003E-3"/>
    <s v="pitchbook"/>
    <m/>
    <m/>
    <m/>
    <m/>
    <m/>
    <m/>
    <m/>
    <m/>
    <m/>
    <m/>
    <m/>
    <m/>
    <m/>
    <m/>
    <m/>
    <s v="AMG Pantheon"/>
    <s v="secondaries"/>
  </r>
  <r>
    <x v="7"/>
    <x v="102"/>
    <m/>
    <m/>
    <m/>
    <m/>
    <m/>
    <n v="13.3"/>
    <s v="pitchbook"/>
    <m/>
    <m/>
    <n v="2.7E-2"/>
    <s v="pitchbook"/>
    <m/>
    <n v="7170000"/>
    <s v="pitchbook"/>
    <m/>
    <m/>
    <m/>
    <m/>
    <m/>
    <m/>
    <m/>
    <m/>
    <m/>
    <m/>
    <m/>
    <m/>
    <s v="AMG Pantheon"/>
    <s v="secondaries"/>
  </r>
  <r>
    <x v="7"/>
    <x v="103"/>
    <m/>
    <m/>
    <m/>
    <m/>
    <m/>
    <n v="13.44"/>
    <s v="pitchbook"/>
    <m/>
    <m/>
    <n v="1.0500000000000001E-2"/>
    <s v="pitchbook"/>
    <m/>
    <m/>
    <m/>
    <m/>
    <m/>
    <m/>
    <m/>
    <m/>
    <m/>
    <m/>
    <m/>
    <m/>
    <m/>
    <m/>
    <m/>
    <s v="AMG Pantheon"/>
    <s v="secondaries"/>
  </r>
  <r>
    <x v="7"/>
    <x v="104"/>
    <m/>
    <m/>
    <m/>
    <m/>
    <m/>
    <n v="13.52"/>
    <s v="pitchbook"/>
    <m/>
    <m/>
    <n v="6.0000000000000001E-3"/>
    <s v="pitchbook"/>
    <m/>
    <m/>
    <m/>
    <m/>
    <m/>
    <m/>
    <m/>
    <m/>
    <m/>
    <m/>
    <m/>
    <m/>
    <m/>
    <m/>
    <m/>
    <s v="AMG Pantheon"/>
    <s v="secondaries"/>
  </r>
  <r>
    <x v="7"/>
    <x v="105"/>
    <m/>
    <m/>
    <m/>
    <m/>
    <m/>
    <n v="13.65"/>
    <s v="pitchbook"/>
    <m/>
    <m/>
    <n v="9.5999999999999992E-3"/>
    <s v="pitchbook"/>
    <m/>
    <m/>
    <m/>
    <m/>
    <m/>
    <m/>
    <m/>
    <m/>
    <m/>
    <m/>
    <m/>
    <m/>
    <m/>
    <m/>
    <m/>
    <s v="AMG Pantheon"/>
    <s v="secondaries"/>
  </r>
  <r>
    <x v="7"/>
    <x v="106"/>
    <m/>
    <m/>
    <m/>
    <m/>
    <m/>
    <n v="14"/>
    <s v="pitchbook"/>
    <m/>
    <m/>
    <n v="2.5600000000000001E-2"/>
    <s v="pitchbook"/>
    <m/>
    <m/>
    <m/>
    <m/>
    <m/>
    <m/>
    <m/>
    <m/>
    <m/>
    <m/>
    <m/>
    <m/>
    <m/>
    <m/>
    <m/>
    <s v="AMG Pantheon"/>
    <s v="secondaries"/>
  </r>
  <r>
    <x v="7"/>
    <x v="107"/>
    <m/>
    <m/>
    <m/>
    <m/>
    <m/>
    <n v="14.18"/>
    <s v="pitchbook"/>
    <m/>
    <m/>
    <n v="1.29E-2"/>
    <s v="pitchbook"/>
    <m/>
    <m/>
    <m/>
    <m/>
    <m/>
    <m/>
    <m/>
    <m/>
    <m/>
    <m/>
    <m/>
    <m/>
    <m/>
    <m/>
    <m/>
    <s v="AMG Pantheon"/>
    <s v="secondaries"/>
  </r>
  <r>
    <x v="7"/>
    <x v="108"/>
    <m/>
    <m/>
    <m/>
    <m/>
    <m/>
    <n v="14.22"/>
    <s v="pitchbook"/>
    <m/>
    <m/>
    <n v="2.8E-3"/>
    <s v="pitchbook"/>
    <m/>
    <n v="19040000"/>
    <s v="pitchbook"/>
    <m/>
    <m/>
    <m/>
    <m/>
    <m/>
    <m/>
    <m/>
    <m/>
    <m/>
    <m/>
    <m/>
    <m/>
    <s v="AMG Pantheon"/>
    <s v="secondaries"/>
  </r>
  <r>
    <x v="7"/>
    <x v="109"/>
    <m/>
    <m/>
    <m/>
    <m/>
    <m/>
    <n v="13.86"/>
    <s v="pitchbook"/>
    <m/>
    <m/>
    <n v="-2.53E-2"/>
    <s v="pitchbook"/>
    <m/>
    <m/>
    <m/>
    <m/>
    <m/>
    <m/>
    <m/>
    <m/>
    <m/>
    <m/>
    <m/>
    <m/>
    <m/>
    <m/>
    <m/>
    <s v="AMG Pantheon"/>
    <s v="secondaries"/>
  </r>
  <r>
    <x v="7"/>
    <x v="110"/>
    <m/>
    <m/>
    <m/>
    <m/>
    <m/>
    <n v="13.92"/>
    <s v="pitchbook"/>
    <m/>
    <m/>
    <n v="4.3E-3"/>
    <s v="pitchbook"/>
    <m/>
    <m/>
    <m/>
    <m/>
    <m/>
    <m/>
    <m/>
    <m/>
    <m/>
    <m/>
    <m/>
    <m/>
    <m/>
    <m/>
    <m/>
    <s v="AMG Pantheon"/>
    <s v="secondaries"/>
  </r>
  <r>
    <x v="7"/>
    <x v="111"/>
    <m/>
    <m/>
    <m/>
    <m/>
    <m/>
    <n v="13.25"/>
    <s v="pitchbook"/>
    <n v="0.28999999999999998"/>
    <s v="pitchbook"/>
    <n v="-2.35E-2"/>
    <s v="pitchbook"/>
    <m/>
    <m/>
    <m/>
    <m/>
    <m/>
    <m/>
    <m/>
    <m/>
    <m/>
    <m/>
    <m/>
    <m/>
    <m/>
    <m/>
    <m/>
    <s v="AMG Pantheon"/>
    <s v="secondaries"/>
  </r>
  <r>
    <x v="7"/>
    <x v="112"/>
    <m/>
    <m/>
    <m/>
    <m/>
    <m/>
    <n v="13.3"/>
    <s v="pitchbook"/>
    <m/>
    <m/>
    <n v="3.8E-3"/>
    <s v="pitchbook"/>
    <m/>
    <m/>
    <m/>
    <m/>
    <m/>
    <m/>
    <m/>
    <m/>
    <m/>
    <m/>
    <m/>
    <m/>
    <m/>
    <m/>
    <m/>
    <s v="AMG Pantheon"/>
    <s v="secondaries"/>
  </r>
  <r>
    <x v="7"/>
    <x v="113"/>
    <m/>
    <m/>
    <m/>
    <m/>
    <m/>
    <n v="13.69"/>
    <s v="pitchbook"/>
    <m/>
    <m/>
    <n v="2.93E-2"/>
    <s v="pitchbook"/>
    <m/>
    <m/>
    <m/>
    <m/>
    <m/>
    <m/>
    <m/>
    <m/>
    <m/>
    <m/>
    <m/>
    <m/>
    <m/>
    <m/>
    <m/>
    <s v="AMG Pantheon"/>
    <s v="secondaries"/>
  </r>
  <r>
    <x v="7"/>
    <x v="114"/>
    <m/>
    <m/>
    <m/>
    <m/>
    <m/>
    <n v="13.69"/>
    <s v="pitchbook"/>
    <m/>
    <m/>
    <n v="0"/>
    <s v="pitchbook"/>
    <m/>
    <n v="37050000"/>
    <s v="pitchbook"/>
    <m/>
    <m/>
    <m/>
    <m/>
    <m/>
    <m/>
    <m/>
    <m/>
    <m/>
    <m/>
    <m/>
    <m/>
    <s v="AMG Pantheon"/>
    <s v="secondaries"/>
  </r>
  <r>
    <x v="7"/>
    <x v="115"/>
    <m/>
    <m/>
    <m/>
    <m/>
    <m/>
    <n v="13.94"/>
    <s v="pitchbook"/>
    <m/>
    <m/>
    <n v="1.83E-2"/>
    <s v="pitchbook"/>
    <m/>
    <m/>
    <m/>
    <m/>
    <m/>
    <m/>
    <m/>
    <m/>
    <m/>
    <m/>
    <m/>
    <m/>
    <m/>
    <m/>
    <m/>
    <s v="AMG Pantheon"/>
    <s v="secondaries"/>
  </r>
  <r>
    <x v="7"/>
    <x v="116"/>
    <m/>
    <m/>
    <m/>
    <m/>
    <m/>
    <n v="14.2"/>
    <s v="pitchbook"/>
    <m/>
    <m/>
    <n v="1.8700000000000001E-2"/>
    <s v="pitchbook"/>
    <m/>
    <m/>
    <m/>
    <m/>
    <m/>
    <m/>
    <m/>
    <m/>
    <m/>
    <m/>
    <m/>
    <m/>
    <m/>
    <m/>
    <m/>
    <s v="AMG Pantheon"/>
    <s v="secondaries"/>
  </r>
  <r>
    <x v="7"/>
    <x v="117"/>
    <m/>
    <m/>
    <m/>
    <m/>
    <m/>
    <n v="14.19"/>
    <s v="pitchbook"/>
    <m/>
    <m/>
    <n v="-6.9999999999999999E-4"/>
    <s v="pitchbook"/>
    <m/>
    <m/>
    <m/>
    <m/>
    <m/>
    <m/>
    <m/>
    <m/>
    <m/>
    <m/>
    <m/>
    <m/>
    <m/>
    <m/>
    <m/>
    <s v="AMG Pantheon"/>
    <s v="secondaries"/>
  </r>
  <r>
    <x v="7"/>
    <x v="118"/>
    <m/>
    <m/>
    <m/>
    <m/>
    <m/>
    <n v="14.55"/>
    <s v="pitchbook"/>
    <m/>
    <m/>
    <n v="2.5399999999999999E-2"/>
    <s v="pitchbook"/>
    <m/>
    <m/>
    <m/>
    <m/>
    <m/>
    <m/>
    <m/>
    <m/>
    <m/>
    <m/>
    <m/>
    <m/>
    <m/>
    <m/>
    <m/>
    <s v="AMG Pantheon"/>
    <s v="secondaries"/>
  </r>
  <r>
    <x v="7"/>
    <x v="119"/>
    <m/>
    <m/>
    <m/>
    <m/>
    <m/>
    <n v="14.62"/>
    <s v="pitchbook"/>
    <m/>
    <m/>
    <n v="4.7999999999999996E-3"/>
    <s v="pitchbook"/>
    <m/>
    <m/>
    <m/>
    <m/>
    <m/>
    <m/>
    <m/>
    <m/>
    <m/>
    <m/>
    <m/>
    <m/>
    <m/>
    <m/>
    <m/>
    <s v="AMG Pantheon"/>
    <s v="secondaries"/>
  </r>
  <r>
    <x v="7"/>
    <x v="120"/>
    <m/>
    <m/>
    <m/>
    <m/>
    <m/>
    <n v="14.66"/>
    <s v="pitchbook"/>
    <m/>
    <m/>
    <n v="2.7000000000000001E-3"/>
    <s v="pitchbook"/>
    <m/>
    <n v="62740000"/>
    <s v="pitchbook"/>
    <m/>
    <m/>
    <m/>
    <m/>
    <m/>
    <m/>
    <m/>
    <m/>
    <m/>
    <m/>
    <m/>
    <m/>
    <s v="AMG Pantheon"/>
    <s v="secondaries"/>
  </r>
  <r>
    <x v="7"/>
    <x v="121"/>
    <m/>
    <m/>
    <m/>
    <m/>
    <m/>
    <n v="14.87"/>
    <s v="pitchbook"/>
    <m/>
    <m/>
    <n v="1.43E-2"/>
    <s v="pitchbook"/>
    <m/>
    <m/>
    <m/>
    <m/>
    <m/>
    <m/>
    <m/>
    <m/>
    <m/>
    <m/>
    <m/>
    <m/>
    <m/>
    <m/>
    <m/>
    <s v="AMG Pantheon"/>
    <s v="secondaries"/>
  </r>
  <r>
    <x v="7"/>
    <x v="122"/>
    <m/>
    <m/>
    <m/>
    <m/>
    <m/>
    <n v="15.11"/>
    <s v="pitchbook"/>
    <m/>
    <m/>
    <n v="1.61E-2"/>
    <s v="pitchbook"/>
    <m/>
    <m/>
    <m/>
    <m/>
    <m/>
    <m/>
    <m/>
    <m/>
    <m/>
    <m/>
    <m/>
    <m/>
    <m/>
    <m/>
    <m/>
    <s v="AMG Pantheon"/>
    <s v="secondaries"/>
  </r>
  <r>
    <x v="7"/>
    <x v="123"/>
    <m/>
    <m/>
    <m/>
    <m/>
    <m/>
    <n v="14.27"/>
    <s v="pitchbook"/>
    <m/>
    <m/>
    <n v="8.6999999999999994E-3"/>
    <s v="pitchbook"/>
    <m/>
    <m/>
    <m/>
    <m/>
    <m/>
    <m/>
    <m/>
    <m/>
    <m/>
    <m/>
    <m/>
    <m/>
    <m/>
    <m/>
    <m/>
    <s v="AMG Pantheon"/>
    <s v="secondaries"/>
  </r>
  <r>
    <x v="7"/>
    <x v="124"/>
    <m/>
    <m/>
    <m/>
    <m/>
    <m/>
    <n v="14.23"/>
    <s v="pitchbook"/>
    <m/>
    <m/>
    <n v="-2.8E-3"/>
    <s v="pitchbook"/>
    <m/>
    <m/>
    <m/>
    <m/>
    <m/>
    <m/>
    <m/>
    <m/>
    <m/>
    <m/>
    <m/>
    <m/>
    <m/>
    <m/>
    <m/>
    <s v="AMG Pantheon"/>
    <s v="secondaries"/>
  </r>
  <r>
    <x v="7"/>
    <x v="125"/>
    <m/>
    <m/>
    <m/>
    <m/>
    <m/>
    <n v="14.23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126"/>
    <m/>
    <m/>
    <m/>
    <m/>
    <m/>
    <n v="13.96"/>
    <s v="pitchbook"/>
    <m/>
    <m/>
    <n v="-1.9E-2"/>
    <s v="pitchbook"/>
    <m/>
    <m/>
    <m/>
    <m/>
    <m/>
    <m/>
    <m/>
    <m/>
    <m/>
    <m/>
    <m/>
    <m/>
    <m/>
    <m/>
    <m/>
    <s v="AMG Pantheon"/>
    <s v="secondaries"/>
  </r>
  <r>
    <x v="7"/>
    <x v="127"/>
    <m/>
    <m/>
    <m/>
    <m/>
    <m/>
    <n v="14.05"/>
    <s v="pitchbook"/>
    <m/>
    <m/>
    <n v="6.4000000000000003E-3"/>
    <s v="pitchbook"/>
    <m/>
    <m/>
    <m/>
    <m/>
    <m/>
    <m/>
    <m/>
    <m/>
    <m/>
    <m/>
    <m/>
    <m/>
    <m/>
    <m/>
    <m/>
    <s v="AMG Pantheon"/>
    <s v="secondaries"/>
  </r>
  <r>
    <x v="7"/>
    <x v="0"/>
    <m/>
    <m/>
    <m/>
    <m/>
    <m/>
    <n v="13.95"/>
    <s v="pitchbook"/>
    <m/>
    <m/>
    <n v="-7.1000000000000004E-3"/>
    <s v="pitchbook"/>
    <m/>
    <m/>
    <m/>
    <m/>
    <m/>
    <m/>
    <m/>
    <m/>
    <m/>
    <m/>
    <m/>
    <m/>
    <m/>
    <m/>
    <m/>
    <s v="AMG Pantheon"/>
    <s v="secondaries"/>
  </r>
  <r>
    <x v="7"/>
    <x v="1"/>
    <m/>
    <m/>
    <m/>
    <m/>
    <m/>
    <n v="13.92"/>
    <s v="pitchbook"/>
    <m/>
    <m/>
    <n v="-2.2000000000000001E-3"/>
    <s v="pitchbook"/>
    <n v="1"/>
    <m/>
    <m/>
    <m/>
    <m/>
    <m/>
    <m/>
    <m/>
    <m/>
    <m/>
    <m/>
    <m/>
    <m/>
    <m/>
    <m/>
    <s v="AMG Pantheon"/>
    <s v="secondaries"/>
  </r>
  <r>
    <x v="7"/>
    <x v="2"/>
    <m/>
    <m/>
    <m/>
    <m/>
    <m/>
    <n v="14.78"/>
    <s v="pitchbook"/>
    <m/>
    <m/>
    <n v="6.1800000000000001E-2"/>
    <s v="pitchbook"/>
    <m/>
    <m/>
    <m/>
    <m/>
    <m/>
    <m/>
    <m/>
    <m/>
    <m/>
    <m/>
    <m/>
    <m/>
    <m/>
    <m/>
    <m/>
    <s v="AMG Pantheon"/>
    <s v="secondaries"/>
  </r>
  <r>
    <x v="7"/>
    <x v="3"/>
    <m/>
    <m/>
    <m/>
    <m/>
    <m/>
    <n v="15.1"/>
    <s v="pitchbook"/>
    <m/>
    <m/>
    <n v="2.1700000000000001E-2"/>
    <s v="pitchbook"/>
    <m/>
    <m/>
    <m/>
    <m/>
    <m/>
    <m/>
    <m/>
    <m/>
    <m/>
    <m/>
    <m/>
    <m/>
    <m/>
    <m/>
    <m/>
    <s v="AMG Pantheon"/>
    <s v="secondaries"/>
  </r>
  <r>
    <x v="7"/>
    <x v="4"/>
    <m/>
    <m/>
    <m/>
    <m/>
    <m/>
    <n v="15.01"/>
    <s v="pitchbook"/>
    <m/>
    <m/>
    <n v="-6.0000000000000001E-3"/>
    <s v="pitchbook"/>
    <n v="1"/>
    <n v="148050000"/>
    <s v="pitchbook"/>
    <n v="5811305"/>
    <s v="N-CSRS"/>
    <m/>
    <m/>
    <m/>
    <m/>
    <m/>
    <m/>
    <m/>
    <m/>
    <m/>
    <m/>
    <s v="AMG Pantheon"/>
    <s v="secondaries"/>
  </r>
  <r>
    <x v="7"/>
    <x v="5"/>
    <m/>
    <m/>
    <m/>
    <m/>
    <m/>
    <n v="15.64"/>
    <s v="pitchbook"/>
    <m/>
    <m/>
    <n v="4.2000000000000003E-2"/>
    <s v="pitchbook"/>
    <m/>
    <m/>
    <m/>
    <m/>
    <m/>
    <m/>
    <m/>
    <m/>
    <m/>
    <m/>
    <m/>
    <m/>
    <m/>
    <m/>
    <m/>
    <s v="AMG Pantheon"/>
    <s v="secondaries"/>
  </r>
  <r>
    <x v="7"/>
    <x v="6"/>
    <m/>
    <m/>
    <m/>
    <m/>
    <m/>
    <n v="15.89"/>
    <s v="pitchbook"/>
    <m/>
    <m/>
    <n v="1.6E-2"/>
    <s v="pitchbook"/>
    <m/>
    <m/>
    <m/>
    <m/>
    <m/>
    <m/>
    <m/>
    <m/>
    <m/>
    <m/>
    <m/>
    <m/>
    <m/>
    <m/>
    <m/>
    <s v="AMG Pantheon"/>
    <s v="secondaries"/>
  </r>
  <r>
    <x v="7"/>
    <x v="7"/>
    <m/>
    <m/>
    <m/>
    <m/>
    <m/>
    <n v="16.059999999999999"/>
    <s v="pitchbook"/>
    <m/>
    <m/>
    <n v="2.1700000000000001E-2"/>
    <s v="pitchbook"/>
    <n v="1"/>
    <m/>
    <m/>
    <m/>
    <m/>
    <m/>
    <m/>
    <m/>
    <m/>
    <m/>
    <m/>
    <m/>
    <m/>
    <m/>
    <m/>
    <s v="AMG Pantheon"/>
    <s v="secondaries"/>
  </r>
  <r>
    <x v="7"/>
    <x v="8"/>
    <m/>
    <m/>
    <m/>
    <m/>
    <m/>
    <n v="16.579999999999998"/>
    <s v="pitchbook"/>
    <m/>
    <m/>
    <n v="3.2399999999999998E-2"/>
    <s v="pitchbook"/>
    <m/>
    <m/>
    <m/>
    <m/>
    <m/>
    <m/>
    <m/>
    <m/>
    <m/>
    <m/>
    <m/>
    <m/>
    <m/>
    <m/>
    <m/>
    <s v="AMG Pantheon"/>
    <s v="secondaries"/>
  </r>
  <r>
    <x v="7"/>
    <x v="9"/>
    <m/>
    <m/>
    <m/>
    <m/>
    <m/>
    <n v="17.420000000000002"/>
    <s v="pitchbook"/>
    <m/>
    <m/>
    <n v="5.0700000000000002E-2"/>
    <s v="pitchbook"/>
    <m/>
    <m/>
    <m/>
    <m/>
    <m/>
    <m/>
    <m/>
    <m/>
    <m/>
    <m/>
    <m/>
    <m/>
    <m/>
    <m/>
    <m/>
    <s v="AMG Pantheon"/>
    <s v="secondaries"/>
  </r>
  <r>
    <x v="7"/>
    <x v="10"/>
    <m/>
    <m/>
    <m/>
    <n v="268980000"/>
    <s v="pitchbook"/>
    <n v="17.57"/>
    <s v="pitchbook"/>
    <m/>
    <m/>
    <n v="8.6E-3"/>
    <s v="pitchbook"/>
    <n v="1"/>
    <n v="306390000"/>
    <s v="pitchbook"/>
    <n v="8241191"/>
    <s v="N-CSR"/>
    <m/>
    <m/>
    <m/>
    <m/>
    <m/>
    <m/>
    <m/>
    <m/>
    <m/>
    <m/>
    <s v="AMG Pantheon"/>
    <s v="secondaries"/>
  </r>
  <r>
    <x v="7"/>
    <x v="11"/>
    <m/>
    <m/>
    <m/>
    <m/>
    <m/>
    <n v="18.16"/>
    <s v="pitchbook"/>
    <m/>
    <m/>
    <n v="3.3599999999999998E-2"/>
    <s v="pitchbook"/>
    <m/>
    <m/>
    <m/>
    <m/>
    <m/>
    <m/>
    <m/>
    <m/>
    <m/>
    <m/>
    <m/>
    <m/>
    <m/>
    <m/>
    <m/>
    <s v="AMG Pantheon"/>
    <s v="secondaries"/>
  </r>
  <r>
    <x v="7"/>
    <x v="12"/>
    <m/>
    <m/>
    <m/>
    <m/>
    <m/>
    <n v="18.649999999999999"/>
    <s v="pitchbook"/>
    <m/>
    <m/>
    <n v="2.7E-2"/>
    <s v="pitchbook"/>
    <m/>
    <m/>
    <m/>
    <m/>
    <m/>
    <m/>
    <m/>
    <m/>
    <m/>
    <m/>
    <m/>
    <m/>
    <m/>
    <m/>
    <m/>
    <s v="AMG Pantheon"/>
    <s v="secondaries"/>
  </r>
  <r>
    <x v="7"/>
    <x v="13"/>
    <m/>
    <m/>
    <m/>
    <m/>
    <m/>
    <n v="18.53"/>
    <s v="pitchbook"/>
    <m/>
    <m/>
    <n v="-6.4000000000000003E-3"/>
    <s v="pitchbook"/>
    <n v="1"/>
    <m/>
    <m/>
    <m/>
    <m/>
    <m/>
    <m/>
    <m/>
    <m/>
    <m/>
    <m/>
    <m/>
    <m/>
    <m/>
    <m/>
    <s v="AMG Pantheon"/>
    <s v="secondaries"/>
  </r>
  <r>
    <x v="7"/>
    <x v="14"/>
    <m/>
    <m/>
    <m/>
    <m/>
    <m/>
    <n v="19.100000000000001"/>
    <s v="pitchbook"/>
    <m/>
    <m/>
    <n v="3.0800000000000001E-2"/>
    <s v="pitchbook"/>
    <m/>
    <m/>
    <m/>
    <m/>
    <m/>
    <m/>
    <m/>
    <m/>
    <m/>
    <m/>
    <m/>
    <m/>
    <m/>
    <m/>
    <m/>
    <s v="AMG Pantheon"/>
    <s v="secondaries"/>
  </r>
  <r>
    <x v="7"/>
    <x v="15"/>
    <m/>
    <m/>
    <m/>
    <m/>
    <m/>
    <n v="19.71"/>
    <s v="pitchbook"/>
    <m/>
    <m/>
    <n v="3.1899999999999998E-2"/>
    <s v="pitchbook"/>
    <m/>
    <m/>
    <m/>
    <m/>
    <m/>
    <m/>
    <m/>
    <m/>
    <m/>
    <m/>
    <m/>
    <m/>
    <m/>
    <m/>
    <m/>
    <s v="AMG Pantheon"/>
    <s v="secondaries"/>
  </r>
  <r>
    <x v="7"/>
    <x v="16"/>
    <m/>
    <m/>
    <m/>
    <n v="491230000"/>
    <s v="pitchbook"/>
    <n v="19.57"/>
    <s v="pitchbook"/>
    <m/>
    <m/>
    <n v="-7.1000000000000004E-3"/>
    <s v="pitchbook"/>
    <n v="1"/>
    <n v="528300000"/>
    <s v="pitchbook"/>
    <n v="11673031"/>
    <s v="N-CSRS"/>
    <m/>
    <m/>
    <m/>
    <m/>
    <m/>
    <m/>
    <m/>
    <m/>
    <m/>
    <m/>
    <s v="AMG Pantheon"/>
    <s v="secondaries"/>
  </r>
  <r>
    <x v="7"/>
    <x v="17"/>
    <m/>
    <m/>
    <m/>
    <m/>
    <m/>
    <n v="20.04"/>
    <s v="pitchbook"/>
    <m/>
    <m/>
    <n v="2.4E-2"/>
    <s v="pitchbook"/>
    <m/>
    <m/>
    <m/>
    <m/>
    <m/>
    <m/>
    <m/>
    <m/>
    <m/>
    <m/>
    <m/>
    <m/>
    <m/>
    <m/>
    <m/>
    <s v="AMG Pantheon"/>
    <s v="secondaries"/>
  </r>
  <r>
    <x v="7"/>
    <x v="18"/>
    <m/>
    <m/>
    <m/>
    <m/>
    <m/>
    <n v="20.37"/>
    <s v="pitchbook"/>
    <m/>
    <m/>
    <n v="1.6500000000000001E-2"/>
    <s v="pitchbook"/>
    <m/>
    <m/>
    <m/>
    <m/>
    <m/>
    <m/>
    <m/>
    <m/>
    <m/>
    <m/>
    <m/>
    <m/>
    <m/>
    <m/>
    <m/>
    <s v="AMG Pantheon"/>
    <s v="secondaries"/>
  </r>
  <r>
    <x v="7"/>
    <x v="19"/>
    <m/>
    <m/>
    <m/>
    <m/>
    <m/>
    <n v="19.670000000000002"/>
    <s v="pitchbook"/>
    <m/>
    <m/>
    <n v="1E-3"/>
    <s v="pitchbook"/>
    <n v="1"/>
    <m/>
    <m/>
    <m/>
    <m/>
    <m/>
    <m/>
    <m/>
    <m/>
    <m/>
    <m/>
    <m/>
    <m/>
    <m/>
    <m/>
    <s v="AMG Pantheon"/>
    <s v="secondaries"/>
  </r>
  <r>
    <x v="7"/>
    <x v="20"/>
    <m/>
    <m/>
    <m/>
    <m/>
    <m/>
    <n v="19.670000000000002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21"/>
    <m/>
    <m/>
    <m/>
    <m/>
    <m/>
    <n v="19.87"/>
    <s v="pitchbook"/>
    <m/>
    <m/>
    <n v="1.0200000000000001E-2"/>
    <s v="pitchbook"/>
    <m/>
    <m/>
    <m/>
    <m/>
    <m/>
    <m/>
    <m/>
    <m/>
    <m/>
    <m/>
    <m/>
    <m/>
    <m/>
    <m/>
    <m/>
    <s v="AMG Pantheon"/>
    <s v="secondaries"/>
  </r>
  <r>
    <x v="7"/>
    <x v="22"/>
    <m/>
    <m/>
    <m/>
    <n v="910710000"/>
    <s v="pitchbook"/>
    <n v="20.46"/>
    <s v="pitchbook"/>
    <m/>
    <m/>
    <n v="2.9700000000000001E-2"/>
    <s v="pitchbook"/>
    <n v="1"/>
    <n v="981250000"/>
    <s v="pitchbook"/>
    <n v="16220264"/>
    <s v="N-CSR"/>
    <m/>
    <m/>
    <m/>
    <m/>
    <m/>
    <m/>
    <m/>
    <m/>
    <m/>
    <m/>
    <s v="AMG Pantheon"/>
    <s v="secondaries"/>
  </r>
  <r>
    <x v="7"/>
    <x v="23"/>
    <m/>
    <m/>
    <m/>
    <m/>
    <m/>
    <n v="20.53"/>
    <s v="pitchbook"/>
    <m/>
    <m/>
    <n v="3.3999999999999998E-3"/>
    <s v="pitchbook"/>
    <m/>
    <m/>
    <m/>
    <m/>
    <m/>
    <m/>
    <m/>
    <m/>
    <m/>
    <m/>
    <m/>
    <m/>
    <m/>
    <m/>
    <m/>
    <s v="AMG Pantheon"/>
    <s v="secondaries"/>
  </r>
  <r>
    <x v="7"/>
    <x v="24"/>
    <m/>
    <m/>
    <m/>
    <m/>
    <m/>
    <n v="20.83"/>
    <s v="pitchbook"/>
    <m/>
    <m/>
    <n v="1.46E-2"/>
    <s v="pitchbook"/>
    <m/>
    <m/>
    <m/>
    <m/>
    <m/>
    <m/>
    <m/>
    <m/>
    <m/>
    <m/>
    <m/>
    <m/>
    <m/>
    <m/>
    <m/>
    <s v="AMG Pantheon"/>
    <s v="secondaries"/>
  </r>
  <r>
    <x v="7"/>
    <x v="25"/>
    <m/>
    <m/>
    <m/>
    <m/>
    <m/>
    <n v="20.51"/>
    <s v="pitchbook"/>
    <m/>
    <m/>
    <n v="-1.54E-2"/>
    <s v="pitchbook"/>
    <n v="1"/>
    <m/>
    <m/>
    <m/>
    <m/>
    <m/>
    <m/>
    <m/>
    <m/>
    <m/>
    <m/>
    <m/>
    <m/>
    <m/>
    <m/>
    <s v="AMG Pantheon"/>
    <s v="secondaries"/>
  </r>
  <r>
    <x v="7"/>
    <x v="26"/>
    <m/>
    <m/>
    <m/>
    <m/>
    <m/>
    <n v="20.68"/>
    <s v="pitchbook"/>
    <m/>
    <m/>
    <n v="8.3000000000000001E-3"/>
    <s v="pitchbook"/>
    <m/>
    <m/>
    <m/>
    <m/>
    <m/>
    <m/>
    <m/>
    <m/>
    <m/>
    <m/>
    <m/>
    <m/>
    <m/>
    <m/>
    <m/>
    <s v="AMG Pantheon"/>
    <s v="secondaries"/>
  </r>
  <r>
    <x v="7"/>
    <x v="27"/>
    <m/>
    <m/>
    <m/>
    <m/>
    <m/>
    <n v="20.95"/>
    <s v="pitchbook"/>
    <m/>
    <m/>
    <n v="1.3100000000000001E-2"/>
    <s v="pitchbook"/>
    <m/>
    <m/>
    <m/>
    <m/>
    <m/>
    <m/>
    <m/>
    <m/>
    <m/>
    <m/>
    <m/>
    <m/>
    <m/>
    <m/>
    <m/>
    <s v="AMG Pantheon"/>
    <s v="secondaries"/>
  </r>
  <r>
    <x v="7"/>
    <x v="28"/>
    <m/>
    <m/>
    <m/>
    <n v="1200000000"/>
    <s v="pitchbook"/>
    <n v="20.79"/>
    <s v="pitchbook"/>
    <m/>
    <m/>
    <n v="-7.6E-3"/>
    <s v="pitchbook"/>
    <n v="1"/>
    <n v="1240000000"/>
    <s v="pitchbook"/>
    <n v="18376168"/>
    <s v="N-CSRS"/>
    <m/>
    <m/>
    <m/>
    <m/>
    <m/>
    <m/>
    <m/>
    <m/>
    <m/>
    <m/>
    <s v="AMG Pantheon"/>
    <s v="secondaries"/>
  </r>
  <r>
    <x v="7"/>
    <x v="29"/>
    <m/>
    <m/>
    <m/>
    <m/>
    <m/>
    <n v="20.64"/>
    <s v="pitchbook"/>
    <m/>
    <m/>
    <n v="-7.1999999999999998E-3"/>
    <s v="pitchbook"/>
    <m/>
    <m/>
    <m/>
    <m/>
    <m/>
    <m/>
    <m/>
    <m/>
    <m/>
    <m/>
    <m/>
    <m/>
    <m/>
    <m/>
    <m/>
    <s v="AMG Pantheon"/>
    <s v="secondaries"/>
  </r>
  <r>
    <x v="7"/>
    <x v="30"/>
    <m/>
    <m/>
    <m/>
    <m/>
    <m/>
    <n v="21.14"/>
    <s v="pitchbook"/>
    <m/>
    <m/>
    <n v="2.4199999999999999E-2"/>
    <s v="pitchbook"/>
    <m/>
    <m/>
    <m/>
    <m/>
    <m/>
    <m/>
    <m/>
    <m/>
    <m/>
    <m/>
    <m/>
    <m/>
    <m/>
    <m/>
    <m/>
    <s v="AMG Pantheon"/>
    <s v="secondaries"/>
  </r>
  <r>
    <x v="7"/>
    <x v="31"/>
    <m/>
    <m/>
    <m/>
    <m/>
    <m/>
    <n v="20.91"/>
    <s v="pitchbook"/>
    <m/>
    <m/>
    <n v="8.3000000000000001E-3"/>
    <s v="pitchbook"/>
    <n v="1"/>
    <m/>
    <m/>
    <m/>
    <m/>
    <m/>
    <m/>
    <m/>
    <m/>
    <m/>
    <m/>
    <m/>
    <m/>
    <m/>
    <m/>
    <s v="AMG Pantheon"/>
    <s v="secondaries"/>
  </r>
  <r>
    <x v="7"/>
    <x v="32"/>
    <m/>
    <m/>
    <m/>
    <m/>
    <m/>
    <n v="21.43"/>
    <s v="pitchbook"/>
    <m/>
    <m/>
    <n v="2.4899999999999999E-2"/>
    <s v="pitchbook"/>
    <m/>
    <m/>
    <m/>
    <m/>
    <m/>
    <m/>
    <m/>
    <m/>
    <m/>
    <m/>
    <m/>
    <m/>
    <m/>
    <m/>
    <m/>
    <s v="AMG Pantheon"/>
    <s v="secondaries"/>
  </r>
  <r>
    <x v="7"/>
    <x v="33"/>
    <m/>
    <m/>
    <m/>
    <m/>
    <m/>
    <n v="21.2"/>
    <s v="pitchbook"/>
    <m/>
    <m/>
    <n v="-1.0699999999999999E-2"/>
    <s v="pitchbook"/>
    <m/>
    <m/>
    <m/>
    <m/>
    <m/>
    <m/>
    <m/>
    <m/>
    <m/>
    <m/>
    <m/>
    <m/>
    <m/>
    <m/>
    <m/>
    <s v="AMG Pantheon"/>
    <s v="secondaries"/>
  </r>
  <r>
    <x v="7"/>
    <x v="34"/>
    <m/>
    <m/>
    <m/>
    <n v="1710000000"/>
    <s v="pitchbook"/>
    <n v="21.72"/>
    <s v="pitchbook"/>
    <m/>
    <m/>
    <n v="2.4500000000000001E-2"/>
    <s v="pitchbook"/>
    <n v="1"/>
    <n v="1820000000"/>
    <s v="pitchbook"/>
    <n v="20017479"/>
    <s v="N-CSR"/>
    <m/>
    <m/>
    <m/>
    <m/>
    <m/>
    <m/>
    <m/>
    <m/>
    <m/>
    <m/>
    <s v="AMG Pantheon"/>
    <s v="secondaries"/>
  </r>
  <r>
    <x v="7"/>
    <x v="35"/>
    <m/>
    <m/>
    <m/>
    <m/>
    <m/>
    <n v="21.6"/>
    <s v="pitchbook"/>
    <m/>
    <m/>
    <n v="-5.4999999999999997E-3"/>
    <s v="pitchbook"/>
    <m/>
    <m/>
    <m/>
    <m/>
    <m/>
    <m/>
    <m/>
    <m/>
    <m/>
    <m/>
    <m/>
    <m/>
    <m/>
    <m/>
    <m/>
    <s v="AMG Pantheon"/>
    <s v="secondaries"/>
  </r>
  <r>
    <x v="7"/>
    <x v="36"/>
    <m/>
    <m/>
    <m/>
    <m/>
    <m/>
    <n v="22.24"/>
    <s v="pitchbook"/>
    <m/>
    <m/>
    <n v="2.9600000000000001E-2"/>
    <s v="pitchbook"/>
    <m/>
    <m/>
    <m/>
    <m/>
    <m/>
    <m/>
    <m/>
    <m/>
    <m/>
    <m/>
    <m/>
    <m/>
    <m/>
    <m/>
    <m/>
    <s v="AMG Pantheon"/>
    <s v="secondaries"/>
  </r>
  <r>
    <x v="7"/>
    <x v="37"/>
    <m/>
    <m/>
    <m/>
    <m/>
    <m/>
    <n v="22.48"/>
    <s v="pitchbook"/>
    <m/>
    <m/>
    <n v="1.0800000000000001E-2"/>
    <s v="pitchbook"/>
    <n v="1"/>
    <m/>
    <m/>
    <m/>
    <m/>
    <m/>
    <m/>
    <m/>
    <m/>
    <m/>
    <m/>
    <m/>
    <m/>
    <m/>
    <m/>
    <s v="AMG Pantheon"/>
    <s v="secondaries"/>
  </r>
  <r>
    <x v="7"/>
    <x v="38"/>
    <m/>
    <m/>
    <m/>
    <m/>
    <m/>
    <n v="22.79"/>
    <s v="pitchbook"/>
    <m/>
    <m/>
    <n v="1.38E-2"/>
    <s v="pitchbook"/>
    <m/>
    <m/>
    <m/>
    <m/>
    <m/>
    <m/>
    <m/>
    <m/>
    <m/>
    <m/>
    <m/>
    <m/>
    <m/>
    <m/>
    <m/>
    <s v="AMG Pantheon"/>
    <s v="secondaries"/>
  </r>
  <r>
    <x v="7"/>
    <x v="39"/>
    <m/>
    <m/>
    <m/>
    <m/>
    <m/>
    <n v="22.93"/>
    <s v="pitchbook"/>
    <m/>
    <m/>
    <n v="6.1000000000000004E-3"/>
    <s v="pitchbook"/>
    <m/>
    <m/>
    <m/>
    <m/>
    <m/>
    <m/>
    <m/>
    <m/>
    <m/>
    <m/>
    <m/>
    <m/>
    <m/>
    <m/>
    <m/>
    <s v="AMG Pantheon"/>
    <s v="secondaries"/>
  </r>
  <r>
    <x v="7"/>
    <x v="40"/>
    <m/>
    <m/>
    <m/>
    <n v="2280000000"/>
    <s v="pitchbook"/>
    <n v="23.12"/>
    <s v="pitchbook"/>
    <m/>
    <m/>
    <n v="8.3000000000000001E-3"/>
    <s v="pitchbook"/>
    <n v="1"/>
    <n v="2420000000"/>
    <s v="pitchbook"/>
    <n v="23441677"/>
    <s v="N-CSRS"/>
    <m/>
    <m/>
    <m/>
    <m/>
    <m/>
    <m/>
    <m/>
    <m/>
    <m/>
    <m/>
    <s v="AMG Pantheon"/>
    <s v="secondaries"/>
  </r>
  <r>
    <x v="7"/>
    <x v="41"/>
    <m/>
    <m/>
    <m/>
    <m/>
    <m/>
    <n v="22.83"/>
    <s v="pitchbook"/>
    <m/>
    <m/>
    <n v="-1.2500000000000001E-2"/>
    <s v="pitchbook"/>
    <m/>
    <m/>
    <m/>
    <m/>
    <m/>
    <m/>
    <m/>
    <m/>
    <m/>
    <m/>
    <m/>
    <m/>
    <m/>
    <m/>
    <m/>
    <s v="AMG Pantheon"/>
    <s v="secondaries"/>
  </r>
  <r>
    <x v="7"/>
    <x v="42"/>
    <m/>
    <m/>
    <m/>
    <m/>
    <m/>
    <n v="23.59"/>
    <s v="pitchbook"/>
    <m/>
    <m/>
    <n v="3.3300000000000003E-2"/>
    <s v="pitchbook"/>
    <m/>
    <m/>
    <m/>
    <m/>
    <m/>
    <m/>
    <m/>
    <m/>
    <m/>
    <m/>
    <m/>
    <m/>
    <m/>
    <m/>
    <m/>
    <s v="AMG Pantheon"/>
    <s v="secondaries"/>
  </r>
  <r>
    <x v="7"/>
    <x v="43"/>
    <m/>
    <m/>
    <m/>
    <m/>
    <m/>
    <n v="23.82"/>
    <s v="pitchbook"/>
    <m/>
    <m/>
    <n v="1.6799999999999999E-2"/>
    <s v="pitchbook"/>
    <n v="1"/>
    <m/>
    <m/>
    <m/>
    <m/>
    <m/>
    <m/>
    <m/>
    <m/>
    <m/>
    <m/>
    <m/>
    <m/>
    <m/>
    <m/>
    <s v="AMG Pantheon"/>
    <s v="secondaries"/>
  </r>
  <r>
    <x v="7"/>
    <x v="44"/>
    <m/>
    <m/>
    <m/>
    <m/>
    <m/>
    <n v="23.76"/>
    <s v="pitchbook"/>
    <m/>
    <m/>
    <n v="-2.5000000000000001E-3"/>
    <s v="pitchbook"/>
    <m/>
    <m/>
    <m/>
    <m/>
    <m/>
    <m/>
    <m/>
    <m/>
    <m/>
    <m/>
    <m/>
    <m/>
    <m/>
    <m/>
    <m/>
    <s v="AMG Pantheon"/>
    <s v="secondaries"/>
  </r>
  <r>
    <x v="7"/>
    <x v="45"/>
    <m/>
    <m/>
    <m/>
    <m/>
    <m/>
    <n v="24.13"/>
    <s v="pitchbook"/>
    <m/>
    <m/>
    <n v="1.5599999999999999E-2"/>
    <s v="pitchbook"/>
    <m/>
    <m/>
    <m/>
    <m/>
    <m/>
    <m/>
    <m/>
    <m/>
    <m/>
    <m/>
    <m/>
    <m/>
    <m/>
    <m/>
    <m/>
    <s v="AMG Pantheon"/>
    <s v="secondaries"/>
  </r>
  <r>
    <x v="7"/>
    <x v="46"/>
    <m/>
    <m/>
    <m/>
    <n v="3050000000"/>
    <s v="pitchbook"/>
    <n v="24.11"/>
    <s v="pitchbook"/>
    <m/>
    <m/>
    <n v="-8.0000000000000004E-4"/>
    <s v="pitchbook"/>
    <n v="1"/>
    <n v="3280000000"/>
    <s v="pitchbook"/>
    <n v="27632376"/>
    <s v="N-CSR"/>
    <m/>
    <m/>
    <m/>
    <m/>
    <m/>
    <m/>
    <m/>
    <m/>
    <m/>
    <m/>
    <s v="AMG Pantheon"/>
    <s v="secondaries"/>
  </r>
  <r>
    <x v="7"/>
    <x v="47"/>
    <m/>
    <m/>
    <m/>
    <m/>
    <m/>
    <n v="23.95"/>
    <s v="pitchbook"/>
    <m/>
    <m/>
    <n v="-6.6E-3"/>
    <s v="pitchbook"/>
    <m/>
    <m/>
    <m/>
    <m/>
    <m/>
    <m/>
    <m/>
    <m/>
    <m/>
    <m/>
    <m/>
    <m/>
    <m/>
    <m/>
    <m/>
    <s v="AMG Pantheon"/>
    <s v="secondaries"/>
  </r>
  <r>
    <x v="7"/>
    <x v="48"/>
    <m/>
    <m/>
    <m/>
    <m/>
    <m/>
    <n v="24.48"/>
    <s v="pitchbook"/>
    <m/>
    <m/>
    <n v="2.2100000000000002E-2"/>
    <s v="pitchbook"/>
    <m/>
    <m/>
    <m/>
    <m/>
    <m/>
    <m/>
    <m/>
    <m/>
    <m/>
    <m/>
    <m/>
    <m/>
    <m/>
    <m/>
    <m/>
    <s v="AMG Pantheon"/>
    <s v="secondaries"/>
  </r>
  <r>
    <x v="7"/>
    <x v="49"/>
    <m/>
    <m/>
    <m/>
    <m/>
    <m/>
    <n v="24.9"/>
    <s v="pitchbook"/>
    <m/>
    <m/>
    <n v="1.72E-2"/>
    <s v="pitchbook"/>
    <n v="1"/>
    <m/>
    <m/>
    <m/>
    <m/>
    <m/>
    <m/>
    <m/>
    <m/>
    <m/>
    <m/>
    <m/>
    <m/>
    <m/>
    <m/>
    <s v="AMG Pantheon"/>
    <s v="secondaries"/>
  </r>
  <r>
    <x v="7"/>
    <x v="50"/>
    <m/>
    <m/>
    <m/>
    <m/>
    <m/>
    <n v="25.67"/>
    <s v="pitchbook"/>
    <m/>
    <m/>
    <n v="3.09E-2"/>
    <s v="pitchbook"/>
    <m/>
    <m/>
    <m/>
    <m/>
    <m/>
    <m/>
    <m/>
    <m/>
    <m/>
    <m/>
    <m/>
    <m/>
    <m/>
    <m/>
    <m/>
    <s v="AMG Pantheon"/>
    <s v="secondaries"/>
  </r>
  <r>
    <x v="7"/>
    <x v="51"/>
    <m/>
    <m/>
    <m/>
    <m/>
    <m/>
    <n v="25.75"/>
    <s v="pitchbook"/>
    <m/>
    <m/>
    <n v="3.0999999999999999E-3"/>
    <s v="pitchbook"/>
    <m/>
    <m/>
    <m/>
    <m/>
    <m/>
    <m/>
    <m/>
    <m/>
    <m/>
    <m/>
    <m/>
    <m/>
    <m/>
    <m/>
    <m/>
    <s v="AMG Pantheon"/>
    <s v="secondaries"/>
  </r>
  <r>
    <x v="7"/>
    <x v="52"/>
    <m/>
    <m/>
    <m/>
    <n v="4140000000"/>
    <s v="pitchbook"/>
    <n v="26.97"/>
    <s v="pitchbook"/>
    <m/>
    <m/>
    <n v="4.7399999999999998E-2"/>
    <s v="pitchbook"/>
    <n v="1"/>
    <n v="4340000000"/>
    <s v="pitchbook"/>
    <n v="33303668"/>
    <s v="N-CSRS"/>
    <m/>
    <m/>
    <m/>
    <m/>
    <m/>
    <m/>
    <m/>
    <m/>
    <m/>
    <m/>
    <s v="AMG Pantheon"/>
    <s v="secondaries"/>
  </r>
  <r>
    <x v="7"/>
    <x v="53"/>
    <m/>
    <m/>
    <m/>
    <m/>
    <m/>
    <n v="26.89"/>
    <s v="pitchbook"/>
    <m/>
    <m/>
    <n v="-3.0000000000000001E-3"/>
    <s v="pitchbook"/>
    <m/>
    <m/>
    <m/>
    <m/>
    <m/>
    <m/>
    <m/>
    <m/>
    <m/>
    <m/>
    <m/>
    <m/>
    <m/>
    <m/>
    <m/>
    <s v="AMG Pantheon"/>
    <s v="secondaries"/>
  </r>
  <r>
    <x v="7"/>
    <x v="54"/>
    <m/>
    <m/>
    <m/>
    <m/>
    <m/>
    <n v="27.01"/>
    <s v="pitchbook"/>
    <m/>
    <m/>
    <n v="4.4999999999999997E-3"/>
    <s v="pitchbook"/>
    <m/>
    <m/>
    <m/>
    <m/>
    <m/>
    <m/>
    <m/>
    <m/>
    <m/>
    <m/>
    <m/>
    <m/>
    <m/>
    <m/>
    <m/>
    <s v="AMG Pantheon"/>
    <s v="secondaries"/>
  </r>
  <r>
    <x v="7"/>
    <x v="55"/>
    <m/>
    <m/>
    <m/>
    <m/>
    <m/>
    <n v="27.01"/>
    <s v="pitchbook"/>
    <m/>
    <m/>
    <n v="9.1000000000000004E-3"/>
    <s v="pitchbook"/>
    <n v="1"/>
    <m/>
    <m/>
    <m/>
    <m/>
    <m/>
    <m/>
    <m/>
    <m/>
    <m/>
    <m/>
    <m/>
    <m/>
    <m/>
    <m/>
    <s v="AMG Pantheon"/>
    <s v="secondaries"/>
  </r>
  <r>
    <x v="7"/>
    <x v="56"/>
    <m/>
    <m/>
    <m/>
    <m/>
    <m/>
    <n v="27.51"/>
    <s v="pitchbook"/>
    <m/>
    <m/>
    <n v="1.8499999999999999E-2"/>
    <s v="pitchbook"/>
    <m/>
    <m/>
    <m/>
    <m/>
    <m/>
    <m/>
    <m/>
    <m/>
    <m/>
    <m/>
    <m/>
    <m/>
    <m/>
    <m/>
    <m/>
    <s v="AMG Pantheon"/>
    <s v="secondaries"/>
  </r>
  <r>
    <x v="7"/>
    <x v="57"/>
    <m/>
    <m/>
    <m/>
    <m/>
    <m/>
    <n v="26.64"/>
    <s v="pitchbook"/>
    <m/>
    <m/>
    <n v="-3.1600000000000003E-2"/>
    <s v="pitchbook"/>
    <m/>
    <m/>
    <m/>
    <m/>
    <m/>
    <m/>
    <m/>
    <m/>
    <m/>
    <m/>
    <m/>
    <m/>
    <m/>
    <m/>
    <m/>
    <s v="AMG Pantheon"/>
    <s v="secondaries"/>
  </r>
  <r>
    <x v="7"/>
    <x v="58"/>
    <m/>
    <m/>
    <m/>
    <n v="4840000000"/>
    <s v="pitchbook"/>
    <n v="26.2"/>
    <s v="pitchbook"/>
    <m/>
    <m/>
    <n v="-1.6500000000000001E-2"/>
    <s v="pitchbook"/>
    <n v="1"/>
    <n v="5160000000"/>
    <s v="pitchbook"/>
    <n v="41331380"/>
    <s v="N-CSR"/>
    <m/>
    <m/>
    <m/>
    <m/>
    <m/>
    <m/>
    <m/>
    <m/>
    <m/>
    <m/>
    <s v="AMG Pantheon"/>
    <s v="secondaries"/>
  </r>
  <r>
    <x v="7"/>
    <x v="59"/>
    <m/>
    <m/>
    <m/>
    <m/>
    <m/>
    <n v="26.67"/>
    <s v="pitchbook"/>
    <m/>
    <m/>
    <n v="1.7899999999999999E-2"/>
    <s v="pitchbook"/>
    <m/>
    <m/>
    <m/>
    <m/>
    <m/>
    <m/>
    <m/>
    <m/>
    <m/>
    <m/>
    <m/>
    <m/>
    <m/>
    <m/>
    <m/>
    <s v="AMG Pantheon"/>
    <s v="secondaries"/>
  </r>
  <r>
    <x v="7"/>
    <x v="60"/>
    <m/>
    <m/>
    <m/>
    <m/>
    <m/>
    <n v="27.44"/>
    <s v="pitchbook"/>
    <m/>
    <m/>
    <n v="2.8899999999999999E-2"/>
    <s v="pitchbook"/>
    <m/>
    <m/>
    <m/>
    <m/>
    <m/>
    <m/>
    <m/>
    <m/>
    <m/>
    <m/>
    <m/>
    <m/>
    <m/>
    <m/>
    <m/>
    <s v="AMG Pantheon"/>
    <s v="secondaries"/>
  </r>
  <r>
    <x v="7"/>
    <x v="61"/>
    <m/>
    <m/>
    <m/>
    <m/>
    <m/>
    <n v="28.45"/>
    <s v="pitchbook"/>
    <m/>
    <m/>
    <n v="3.6799999999999999E-2"/>
    <s v="pitchbook"/>
    <n v="1"/>
    <m/>
    <m/>
    <m/>
    <m/>
    <m/>
    <m/>
    <m/>
    <m/>
    <m/>
    <m/>
    <m/>
    <m/>
    <m/>
    <m/>
    <s v="AMG Pantheon"/>
    <s v="secondaries"/>
  </r>
  <r>
    <x v="7"/>
    <x v="62"/>
    <m/>
    <m/>
    <m/>
    <m/>
    <m/>
    <n v="28.45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63"/>
    <m/>
    <m/>
    <m/>
    <m/>
    <m/>
    <n v="28.53"/>
    <s v="pitchbook"/>
    <m/>
    <m/>
    <n v="2.8E-3"/>
    <s v="pitchbook"/>
    <m/>
    <m/>
    <m/>
    <m/>
    <m/>
    <m/>
    <m/>
    <m/>
    <m/>
    <m/>
    <m/>
    <m/>
    <m/>
    <m/>
    <m/>
    <s v="AMG Pantheon"/>
    <s v="secondaries"/>
  </r>
  <r>
    <x v="7"/>
    <x v="64"/>
    <m/>
    <m/>
    <m/>
    <n v="5980000000"/>
    <s v="pitchbook"/>
    <n v="28.65"/>
    <s v="pitchbook"/>
    <m/>
    <m/>
    <n v="4.1999999999999997E-3"/>
    <s v="pitchbook"/>
    <n v="1"/>
    <n v="6160000000"/>
    <s v="pitchbook"/>
    <n v="47539435"/>
    <s v="N-CSRS"/>
    <m/>
    <m/>
    <m/>
    <m/>
    <m/>
    <m/>
    <m/>
    <m/>
    <m/>
    <m/>
    <s v="AMG Pantheon"/>
    <s v="secondaries"/>
  </r>
  <r>
    <x v="7"/>
    <x v="65"/>
    <m/>
    <m/>
    <m/>
    <m/>
    <m/>
    <n v="28.41"/>
    <s v="pitchbook"/>
    <m/>
    <m/>
    <n v="-8.3999999999999995E-3"/>
    <s v="pitchbook"/>
    <m/>
    <m/>
    <m/>
    <m/>
    <m/>
    <m/>
    <m/>
    <m/>
    <m/>
    <m/>
    <m/>
    <m/>
    <m/>
    <m/>
    <m/>
    <s v="AMG Pantheon"/>
    <s v="secondaries"/>
  </r>
  <r>
    <x v="7"/>
    <x v="66"/>
    <m/>
    <m/>
    <m/>
    <m/>
    <m/>
    <n v="28.53"/>
    <s v="pitchbook"/>
    <m/>
    <m/>
    <n v="4.1999999999999997E-3"/>
    <s v="pitchbook"/>
    <m/>
    <m/>
    <m/>
    <m/>
    <m/>
    <m/>
    <m/>
    <m/>
    <m/>
    <m/>
    <m/>
    <m/>
    <m/>
    <m/>
    <m/>
    <s v="AMG Pantheon"/>
    <s v="secondaries"/>
  </r>
  <r>
    <x v="7"/>
    <x v="67"/>
    <m/>
    <n v="10000000"/>
    <s v="black diamond"/>
    <m/>
    <m/>
    <n v="28.24"/>
    <s v="pitchbook"/>
    <m/>
    <m/>
    <n v="1.2E-2"/>
    <s v="pitchbook"/>
    <n v="1"/>
    <m/>
    <m/>
    <m/>
    <m/>
    <m/>
    <m/>
    <m/>
    <m/>
    <m/>
    <m/>
    <m/>
    <m/>
    <m/>
    <m/>
    <s v="AMG Pantheon"/>
    <s v="secondaries"/>
  </r>
  <r>
    <x v="7"/>
    <x v="68"/>
    <m/>
    <n v="9961048.1699999999"/>
    <s v="icapital"/>
    <m/>
    <m/>
    <n v="28.13"/>
    <s v="pitchbook"/>
    <m/>
    <m/>
    <n v="-3.8999999999999998E-3"/>
    <s v="pitchbook"/>
    <m/>
    <m/>
    <m/>
    <m/>
    <m/>
    <n v="354107.64899999998"/>
    <s v="icapital"/>
    <n v="10000000"/>
    <s v="morgan stanley statement"/>
    <n v="0"/>
    <s v="morgan stanley statement"/>
    <n v="0"/>
    <s v="morgan stanley statement"/>
    <m/>
    <m/>
    <s v="AMG Pantheon"/>
    <s v="secondaries"/>
  </r>
  <r>
    <x v="7"/>
    <x v="69"/>
    <m/>
    <n v="10028328.619999999"/>
    <s v="icapital"/>
    <m/>
    <m/>
    <n v="28.32"/>
    <s v="pitchbook"/>
    <m/>
    <m/>
    <n v="6.7999999999999996E-3"/>
    <s v="pitchbook"/>
    <m/>
    <m/>
    <m/>
    <m/>
    <m/>
    <n v="354107.64899999998"/>
    <s v="icapital"/>
    <n v="0"/>
    <s v="morgan stanley statement"/>
    <n v="0"/>
    <s v="morgan stanley statement"/>
    <n v="0"/>
    <s v="morgan stanley statement"/>
    <m/>
    <m/>
    <s v="AMG Pantheon"/>
    <s v="secondaries"/>
  </r>
  <r>
    <x v="7"/>
    <x v="70"/>
    <m/>
    <n v="9989376.7799999993"/>
    <s v="icapital"/>
    <m/>
    <m/>
    <n v="28.21"/>
    <s v="pitchbook"/>
    <m/>
    <m/>
    <n v="-3.8999999999999998E-3"/>
    <s v="pitchbook"/>
    <n v="1"/>
    <m/>
    <m/>
    <m/>
    <m/>
    <n v="354107.64899999998"/>
    <s v="icapital"/>
    <n v="0"/>
    <s v="morgan stanley statement"/>
    <n v="0"/>
    <s v="morgan stanley statement"/>
    <n v="0"/>
    <s v="morgan stanley statement"/>
    <m/>
    <m/>
    <s v="AMG Pantheon"/>
    <s v="secondaries"/>
  </r>
  <r>
    <x v="7"/>
    <x v="71"/>
    <m/>
    <m/>
    <m/>
    <m/>
    <m/>
    <n v="28.53"/>
    <s v="pitchbook"/>
    <m/>
    <m/>
    <n v="1.1299999999999999E-2"/>
    <s v="pitchbook"/>
    <m/>
    <m/>
    <m/>
    <m/>
    <m/>
    <m/>
    <m/>
    <m/>
    <m/>
    <m/>
    <m/>
    <m/>
    <m/>
    <m/>
    <m/>
    <s v="AMG Pantheon"/>
    <s v="secondaries"/>
  </r>
  <r>
    <x v="7"/>
    <x v="72"/>
    <m/>
    <m/>
    <m/>
    <m/>
    <m/>
    <m/>
    <m/>
    <m/>
    <m/>
    <m/>
    <m/>
    <m/>
    <m/>
    <m/>
    <m/>
    <m/>
    <m/>
    <m/>
    <m/>
    <m/>
    <m/>
    <m/>
    <m/>
    <m/>
    <m/>
    <m/>
    <s v="AMG Pantheon"/>
    <s v="secondaries"/>
  </r>
  <r>
    <x v="8"/>
    <x v="55"/>
    <m/>
    <m/>
    <m/>
    <m/>
    <m/>
    <m/>
    <m/>
    <m/>
    <m/>
    <n v="5.28E-2"/>
    <s v="factsheet"/>
    <m/>
    <m/>
    <m/>
    <m/>
    <m/>
    <m/>
    <m/>
    <m/>
    <m/>
    <m/>
    <m/>
    <m/>
    <m/>
    <m/>
    <m/>
    <s v="FLEX"/>
    <s v="secondaries"/>
  </r>
  <r>
    <x v="8"/>
    <x v="56"/>
    <m/>
    <m/>
    <m/>
    <m/>
    <m/>
    <m/>
    <m/>
    <m/>
    <m/>
    <n v="1.7100000000000001E-2"/>
    <s v="factsheet"/>
    <m/>
    <m/>
    <m/>
    <m/>
    <m/>
    <m/>
    <m/>
    <m/>
    <m/>
    <m/>
    <m/>
    <m/>
    <m/>
    <m/>
    <m/>
    <s v="FLEX"/>
    <s v="secondaries"/>
  </r>
  <r>
    <x v="8"/>
    <x v="57"/>
    <m/>
    <m/>
    <m/>
    <m/>
    <m/>
    <m/>
    <m/>
    <m/>
    <m/>
    <n v="4.0000000000000002E-4"/>
    <s v="factsheet"/>
    <m/>
    <m/>
    <m/>
    <m/>
    <m/>
    <m/>
    <m/>
    <m/>
    <m/>
    <m/>
    <m/>
    <m/>
    <m/>
    <m/>
    <m/>
    <s v="FLEX"/>
    <s v="secondaries"/>
  </r>
  <r>
    <x v="8"/>
    <x v="58"/>
    <m/>
    <m/>
    <m/>
    <m/>
    <m/>
    <m/>
    <m/>
    <m/>
    <m/>
    <n v="1.3100000000000001E-2"/>
    <s v="factsheet"/>
    <m/>
    <m/>
    <m/>
    <m/>
    <m/>
    <m/>
    <m/>
    <m/>
    <m/>
    <m/>
    <m/>
    <m/>
    <m/>
    <m/>
    <m/>
    <s v="FLEX"/>
    <s v="secondaries"/>
  </r>
  <r>
    <x v="8"/>
    <x v="59"/>
    <m/>
    <m/>
    <m/>
    <m/>
    <m/>
    <m/>
    <m/>
    <m/>
    <m/>
    <n v="8.0999999999999996E-3"/>
    <s v="factsheet"/>
    <m/>
    <m/>
    <m/>
    <m/>
    <m/>
    <m/>
    <m/>
    <m/>
    <m/>
    <m/>
    <m/>
    <m/>
    <m/>
    <m/>
    <m/>
    <s v="FLEX"/>
    <s v="secondaries"/>
  </r>
  <r>
    <x v="8"/>
    <x v="60"/>
    <m/>
    <m/>
    <m/>
    <m/>
    <m/>
    <m/>
    <m/>
    <m/>
    <m/>
    <n v="9.9000000000000008E-3"/>
    <s v="factsheet"/>
    <m/>
    <m/>
    <m/>
    <m/>
    <m/>
    <m/>
    <m/>
    <m/>
    <m/>
    <m/>
    <m/>
    <m/>
    <m/>
    <m/>
    <m/>
    <s v="FLEX"/>
    <s v="secondaries"/>
  </r>
  <r>
    <x v="8"/>
    <x v="61"/>
    <m/>
    <m/>
    <m/>
    <m/>
    <m/>
    <m/>
    <m/>
    <m/>
    <m/>
    <n v="2.7199999999999998E-2"/>
    <s v="factsheet"/>
    <m/>
    <m/>
    <m/>
    <m/>
    <m/>
    <m/>
    <m/>
    <m/>
    <m/>
    <m/>
    <m/>
    <m/>
    <m/>
    <m/>
    <m/>
    <s v="FLEX"/>
    <s v="secondaries"/>
  </r>
  <r>
    <x v="8"/>
    <x v="62"/>
    <m/>
    <m/>
    <m/>
    <m/>
    <m/>
    <m/>
    <m/>
    <m/>
    <m/>
    <n v="3.2000000000000002E-3"/>
    <s v="factsheet"/>
    <m/>
    <m/>
    <m/>
    <m/>
    <m/>
    <m/>
    <m/>
    <m/>
    <m/>
    <m/>
    <m/>
    <m/>
    <m/>
    <m/>
    <m/>
    <s v="FLEX"/>
    <s v="secondaries"/>
  </r>
  <r>
    <x v="8"/>
    <x v="63"/>
    <m/>
    <m/>
    <m/>
    <m/>
    <m/>
    <m/>
    <m/>
    <m/>
    <m/>
    <n v="3.1300000000000001E-2"/>
    <s v="factsheet"/>
    <m/>
    <m/>
    <m/>
    <m/>
    <m/>
    <m/>
    <m/>
    <m/>
    <m/>
    <m/>
    <m/>
    <m/>
    <m/>
    <m/>
    <m/>
    <s v="FLEX"/>
    <s v="secondaries"/>
  </r>
  <r>
    <x v="8"/>
    <x v="64"/>
    <m/>
    <m/>
    <m/>
    <m/>
    <m/>
    <m/>
    <m/>
    <m/>
    <m/>
    <n v="6.4999999999999997E-3"/>
    <s v="factsheet"/>
    <m/>
    <m/>
    <m/>
    <m/>
    <m/>
    <m/>
    <m/>
    <m/>
    <m/>
    <m/>
    <m/>
    <m/>
    <m/>
    <m/>
    <m/>
    <s v="FLEX"/>
    <s v="secondaries"/>
  </r>
  <r>
    <x v="8"/>
    <x v="65"/>
    <m/>
    <m/>
    <m/>
    <m/>
    <m/>
    <m/>
    <m/>
    <m/>
    <m/>
    <n v="8.5000000000000006E-3"/>
    <s v="factsheet"/>
    <m/>
    <m/>
    <m/>
    <m/>
    <m/>
    <m/>
    <m/>
    <m/>
    <m/>
    <m/>
    <m/>
    <m/>
    <m/>
    <m/>
    <m/>
    <s v="FLEX"/>
    <s v="secondaries"/>
  </r>
  <r>
    <x v="8"/>
    <x v="66"/>
    <m/>
    <m/>
    <m/>
    <m/>
    <m/>
    <m/>
    <m/>
    <m/>
    <m/>
    <n v="2.6200000000000001E-2"/>
    <s v="factsheet"/>
    <m/>
    <m/>
    <m/>
    <m/>
    <m/>
    <m/>
    <m/>
    <m/>
    <m/>
    <m/>
    <m/>
    <m/>
    <m/>
    <m/>
    <m/>
    <s v="FLEX"/>
    <s v="secondaries"/>
  </r>
  <r>
    <x v="8"/>
    <x v="67"/>
    <m/>
    <n v="10000000"/>
    <s v="black diamond"/>
    <m/>
    <m/>
    <m/>
    <m/>
    <m/>
    <m/>
    <n v="1.3100000000000001E-2"/>
    <s v="factsheet"/>
    <n v="234"/>
    <m/>
    <m/>
    <m/>
    <m/>
    <m/>
    <m/>
    <m/>
    <m/>
    <m/>
    <m/>
    <m/>
    <m/>
    <m/>
    <m/>
    <s v="FLEX"/>
    <s v="secondaries"/>
  </r>
  <r>
    <x v="8"/>
    <x v="68"/>
    <m/>
    <n v="10074457.75"/>
    <s v="morgan stanley statement"/>
    <m/>
    <m/>
    <m/>
    <m/>
    <m/>
    <m/>
    <n v="7.4999999999999997E-3"/>
    <s v="factsheet"/>
    <m/>
    <m/>
    <m/>
    <m/>
    <m/>
    <n v="323729.36200000002"/>
    <s v="morgan stanley statement"/>
    <n v="10000000"/>
    <s v="morgan stanley statement"/>
    <n v="0"/>
    <s v="morgan stanley statement"/>
    <n v="0"/>
    <s v="morgan stanley statement"/>
    <m/>
    <m/>
    <s v="FLEX"/>
    <s v="secondaries"/>
  </r>
  <r>
    <x v="8"/>
    <x v="69"/>
    <m/>
    <n v="10129491.74"/>
    <s v="morgan stanley statement"/>
    <m/>
    <m/>
    <m/>
    <m/>
    <m/>
    <m/>
    <n v="5.4999999999999997E-3"/>
    <s v="factsheet"/>
    <m/>
    <m/>
    <m/>
    <m/>
    <m/>
    <n v="323729.36200000002"/>
    <s v="morgan stanley statement"/>
    <n v="0"/>
    <s v="morgan stanley statement"/>
    <n v="0"/>
    <s v="morgan stanley statement"/>
    <n v="0"/>
    <s v="morgan stanley statement"/>
    <m/>
    <m/>
    <s v="FLEX"/>
    <s v="secondaries"/>
  </r>
  <r>
    <x v="8"/>
    <x v="70"/>
    <m/>
    <n v="10242797.01"/>
    <s v="morgan stanley statement"/>
    <m/>
    <m/>
    <m/>
    <m/>
    <m/>
    <m/>
    <n v="1.12E-2"/>
    <s v="factsheet"/>
    <n v="257"/>
    <m/>
    <m/>
    <m/>
    <m/>
    <n v="323729.36200000002"/>
    <s v="morgan stanley statement"/>
    <n v="0"/>
    <s v="morgan stanley statement"/>
    <n v="0"/>
    <s v="morgan stanley statement"/>
    <n v="0"/>
    <s v="morgan stanley statement"/>
    <m/>
    <m/>
    <s v="FLEX"/>
    <s v="secondaries"/>
  </r>
  <r>
    <x v="8"/>
    <x v="71"/>
    <m/>
    <m/>
    <m/>
    <m/>
    <m/>
    <m/>
    <m/>
    <m/>
    <m/>
    <n v="-2.9999999999999997E-4"/>
    <s v="factsheet"/>
    <m/>
    <m/>
    <m/>
    <m/>
    <m/>
    <m/>
    <m/>
    <m/>
    <m/>
    <m/>
    <m/>
    <m/>
    <m/>
    <m/>
    <m/>
    <s v="FLEX"/>
    <s v="secondaries"/>
  </r>
  <r>
    <x v="9"/>
    <x v="8"/>
    <m/>
    <m/>
    <m/>
    <m/>
    <m/>
    <n v="10"/>
    <s v="pitchbook"/>
    <m/>
    <m/>
    <m/>
    <m/>
    <m/>
    <m/>
    <m/>
    <m/>
    <m/>
    <m/>
    <m/>
    <m/>
    <m/>
    <m/>
    <m/>
    <m/>
    <m/>
    <m/>
    <m/>
    <s v="Hamilton Lane"/>
    <s v="private_equity"/>
  </r>
  <r>
    <x v="9"/>
    <x v="9"/>
    <m/>
    <m/>
    <m/>
    <m/>
    <m/>
    <n v="10.029999999999999"/>
    <s v="pitchbook"/>
    <m/>
    <m/>
    <n v="3.0000000000000001E-3"/>
    <s v="pitchbook"/>
    <m/>
    <m/>
    <m/>
    <m/>
    <m/>
    <m/>
    <m/>
    <m/>
    <m/>
    <m/>
    <m/>
    <m/>
    <m/>
    <m/>
    <m/>
    <s v="Hamilton Lane"/>
    <s v="private_equity"/>
  </r>
  <r>
    <x v="9"/>
    <x v="10"/>
    <m/>
    <m/>
    <m/>
    <n v="158870000"/>
    <s v="pitchbook"/>
    <n v="10.38"/>
    <s v="pitchbook"/>
    <m/>
    <m/>
    <n v="3.49E-2"/>
    <s v="pitchbook"/>
    <n v="38"/>
    <n v="165420000"/>
    <s v="pitchbook"/>
    <n v="15484525"/>
    <s v="N-CSR"/>
    <m/>
    <m/>
    <m/>
    <m/>
    <m/>
    <m/>
    <m/>
    <m/>
    <m/>
    <m/>
    <s v="Hamilton Lane"/>
    <s v="private_equity"/>
  </r>
  <r>
    <x v="9"/>
    <x v="11"/>
    <m/>
    <m/>
    <m/>
    <n v="166170000"/>
    <s v="pitchbook"/>
    <n v="10.38"/>
    <s v="pitchbook"/>
    <m/>
    <m/>
    <n v="0"/>
    <s v="pitchbook"/>
    <m/>
    <m/>
    <m/>
    <m/>
    <m/>
    <m/>
    <m/>
    <m/>
    <m/>
    <m/>
    <m/>
    <m/>
    <m/>
    <m/>
    <m/>
    <s v="Hamilton Lane"/>
    <s v="private_equity"/>
  </r>
  <r>
    <x v="9"/>
    <x v="12"/>
    <m/>
    <m/>
    <m/>
    <n v="181560000"/>
    <s v="pitchbook"/>
    <n v="10.56"/>
    <s v="pitchbook"/>
    <m/>
    <m/>
    <n v="1.7299999999999999E-2"/>
    <s v="pitchbook"/>
    <m/>
    <m/>
    <m/>
    <m/>
    <m/>
    <m/>
    <m/>
    <m/>
    <m/>
    <m/>
    <m/>
    <m/>
    <m/>
    <m/>
    <m/>
    <s v="Hamilton Lane"/>
    <s v="private_equity"/>
  </r>
  <r>
    <x v="9"/>
    <x v="13"/>
    <m/>
    <m/>
    <m/>
    <n v="196960000"/>
    <s v="pitchbook"/>
    <n v="11.08"/>
    <s v="pitchbook"/>
    <m/>
    <m/>
    <n v="4.9200000000000001E-2"/>
    <s v="pitchbook"/>
    <n v="51"/>
    <m/>
    <m/>
    <m/>
    <m/>
    <m/>
    <m/>
    <m/>
    <m/>
    <m/>
    <m/>
    <m/>
    <m/>
    <m/>
    <m/>
    <s v="Hamilton Lane"/>
    <s v="private_equity"/>
  </r>
  <r>
    <x v="9"/>
    <x v="14"/>
    <m/>
    <m/>
    <m/>
    <m/>
    <m/>
    <n v="11.1"/>
    <s v="pitchbook"/>
    <m/>
    <m/>
    <n v="1.8E-3"/>
    <s v="pitchbook"/>
    <m/>
    <m/>
    <m/>
    <m/>
    <m/>
    <m/>
    <m/>
    <m/>
    <m/>
    <m/>
    <m/>
    <m/>
    <m/>
    <m/>
    <m/>
    <s v="Hamilton Lane"/>
    <s v="private_equity"/>
  </r>
  <r>
    <x v="9"/>
    <x v="15"/>
    <m/>
    <m/>
    <m/>
    <n v="214240000"/>
    <s v="pitchbook"/>
    <n v="11.4"/>
    <s v="pitchbook"/>
    <m/>
    <m/>
    <n v="2.7E-2"/>
    <s v="pitchbook"/>
    <m/>
    <m/>
    <m/>
    <m/>
    <m/>
    <m/>
    <m/>
    <m/>
    <m/>
    <m/>
    <m/>
    <m/>
    <m/>
    <m/>
    <m/>
    <s v="Hamilton Lane"/>
    <s v="private_equity"/>
  </r>
  <r>
    <x v="9"/>
    <x v="16"/>
    <m/>
    <m/>
    <m/>
    <n v="225580000"/>
    <s v="pitchbook"/>
    <n v="11.84"/>
    <s v="pitchbook"/>
    <m/>
    <m/>
    <n v="3.8600000000000002E-2"/>
    <s v="pitchbook"/>
    <n v="57"/>
    <n v="249430000"/>
    <s v="pitchbook"/>
    <n v="19651138"/>
    <s v="N-CSRS"/>
    <m/>
    <m/>
    <m/>
    <m/>
    <m/>
    <m/>
    <m/>
    <m/>
    <m/>
    <m/>
    <s v="Hamilton Lane"/>
    <s v="private_equity"/>
  </r>
  <r>
    <x v="9"/>
    <x v="17"/>
    <m/>
    <m/>
    <m/>
    <n v="251050000"/>
    <s v="pitchbook"/>
    <n v="12.01"/>
    <s v="pitchbook"/>
    <m/>
    <m/>
    <n v="1.44E-2"/>
    <s v="pitchbook"/>
    <m/>
    <m/>
    <m/>
    <m/>
    <m/>
    <m/>
    <m/>
    <m/>
    <m/>
    <m/>
    <m/>
    <m/>
    <m/>
    <m/>
    <m/>
    <s v="Hamilton Lane"/>
    <s v="private_equity"/>
  </r>
  <r>
    <x v="9"/>
    <x v="18"/>
    <m/>
    <m/>
    <m/>
    <n v="267890000"/>
    <s v="pitchbook"/>
    <n v="12.02"/>
    <s v="pitchbook"/>
    <m/>
    <m/>
    <n v="8.0000000000000004E-4"/>
    <s v="pitchbook"/>
    <m/>
    <m/>
    <m/>
    <m/>
    <m/>
    <m/>
    <m/>
    <m/>
    <m/>
    <m/>
    <m/>
    <m/>
    <m/>
    <m/>
    <m/>
    <s v="Hamilton Lane"/>
    <s v="private_equity"/>
  </r>
  <r>
    <x v="9"/>
    <x v="19"/>
    <m/>
    <m/>
    <m/>
    <n v="292500000"/>
    <s v="pitchbook"/>
    <n v="12.1"/>
    <s v="pitchbook"/>
    <m/>
    <m/>
    <n v="2.18E-2"/>
    <s v="pitchbook"/>
    <n v="73"/>
    <m/>
    <m/>
    <m/>
    <m/>
    <m/>
    <m/>
    <m/>
    <m/>
    <m/>
    <m/>
    <m/>
    <m/>
    <m/>
    <m/>
    <s v="Hamilton Lane"/>
    <s v="private_equity"/>
  </r>
  <r>
    <x v="9"/>
    <x v="20"/>
    <m/>
    <m/>
    <m/>
    <n v="303490000"/>
    <s v="pitchbook"/>
    <n v="11.91"/>
    <s v="pitchbook"/>
    <m/>
    <m/>
    <n v="-1.5699999999999999E-2"/>
    <s v="pitchbook"/>
    <m/>
    <m/>
    <m/>
    <m/>
    <m/>
    <m/>
    <m/>
    <m/>
    <m/>
    <m/>
    <m/>
    <m/>
    <m/>
    <m/>
    <m/>
    <s v="Hamilton Lane"/>
    <s v="private_equity"/>
  </r>
  <r>
    <x v="9"/>
    <x v="21"/>
    <m/>
    <m/>
    <m/>
    <n v="321840000"/>
    <s v="pitchbook"/>
    <n v="11.97"/>
    <s v="pitchbook"/>
    <m/>
    <m/>
    <n v="5.0000000000000001E-3"/>
    <s v="pitchbook"/>
    <m/>
    <m/>
    <m/>
    <m/>
    <m/>
    <m/>
    <m/>
    <m/>
    <m/>
    <m/>
    <m/>
    <m/>
    <m/>
    <m/>
    <m/>
    <s v="Hamilton Lane"/>
    <s v="private_equity"/>
  </r>
  <r>
    <x v="9"/>
    <x v="22"/>
    <m/>
    <m/>
    <m/>
    <n v="338480000"/>
    <s v="pitchbook"/>
    <n v="12.35"/>
    <s v="pitchbook"/>
    <m/>
    <m/>
    <n v="3.1699999999999999E-2"/>
    <s v="pitchbook"/>
    <n v="79"/>
    <n v="365370000"/>
    <s v="pitchbook"/>
    <n v="26710202"/>
    <s v="N-CSR"/>
    <m/>
    <m/>
    <m/>
    <m/>
    <m/>
    <m/>
    <m/>
    <m/>
    <m/>
    <m/>
    <s v="Hamilton Lane"/>
    <s v="private_equity"/>
  </r>
  <r>
    <x v="9"/>
    <x v="23"/>
    <m/>
    <m/>
    <m/>
    <n v="344500000"/>
    <s v="pitchbook"/>
    <n v="12.01"/>
    <s v="pitchbook"/>
    <m/>
    <m/>
    <n v="-2.75E-2"/>
    <s v="pitchbook"/>
    <m/>
    <m/>
    <m/>
    <m/>
    <m/>
    <m/>
    <m/>
    <m/>
    <m/>
    <m/>
    <m/>
    <m/>
    <m/>
    <m/>
    <m/>
    <s v="Hamilton Lane"/>
    <s v="private_equity"/>
  </r>
  <r>
    <x v="9"/>
    <x v="24"/>
    <m/>
    <m/>
    <m/>
    <n v="367980000"/>
    <s v="pitchbook"/>
    <n v="12.29"/>
    <s v="pitchbook"/>
    <m/>
    <m/>
    <n v="2.3300000000000001E-2"/>
    <s v="pitchbook"/>
    <m/>
    <m/>
    <m/>
    <m/>
    <m/>
    <m/>
    <m/>
    <m/>
    <m/>
    <m/>
    <m/>
    <m/>
    <m/>
    <m/>
    <m/>
    <s v="Hamilton Lane"/>
    <s v="private_equity"/>
  </r>
  <r>
    <x v="9"/>
    <x v="25"/>
    <m/>
    <m/>
    <m/>
    <n v="383670000"/>
    <s v="pitchbook"/>
    <n v="12.2"/>
    <s v="pitchbook"/>
    <m/>
    <m/>
    <n v="-7.3000000000000001E-3"/>
    <s v="pitchbook"/>
    <n v="84"/>
    <m/>
    <m/>
    <m/>
    <m/>
    <m/>
    <m/>
    <m/>
    <m/>
    <m/>
    <m/>
    <m/>
    <m/>
    <m/>
    <m/>
    <s v="Hamilton Lane"/>
    <s v="private_equity"/>
  </r>
  <r>
    <x v="9"/>
    <x v="26"/>
    <m/>
    <m/>
    <m/>
    <n v="411080000"/>
    <s v="pitchbook"/>
    <n v="12.79"/>
    <s v="pitchbook"/>
    <m/>
    <m/>
    <n v="4.8399999999999999E-2"/>
    <s v="pitchbook"/>
    <m/>
    <m/>
    <m/>
    <m/>
    <m/>
    <m/>
    <m/>
    <m/>
    <m/>
    <m/>
    <m/>
    <m/>
    <m/>
    <m/>
    <m/>
    <s v="Hamilton Lane"/>
    <s v="private_equity"/>
  </r>
  <r>
    <x v="9"/>
    <x v="27"/>
    <m/>
    <m/>
    <m/>
    <n v="428430000"/>
    <s v="pitchbook"/>
    <n v="13"/>
    <s v="pitchbook"/>
    <m/>
    <m/>
    <n v="1.6400000000000001E-2"/>
    <s v="pitchbook"/>
    <m/>
    <m/>
    <m/>
    <m/>
    <m/>
    <m/>
    <m/>
    <m/>
    <m/>
    <m/>
    <m/>
    <m/>
    <m/>
    <m/>
    <m/>
    <s v="Hamilton Lane"/>
    <s v="private_equity"/>
  </r>
  <r>
    <x v="9"/>
    <x v="28"/>
    <m/>
    <m/>
    <m/>
    <n v="436710000"/>
    <s v="pitchbook"/>
    <n v="12.99"/>
    <s v="pitchbook"/>
    <m/>
    <m/>
    <n v="-8.0000000000000004E-4"/>
    <s v="pitchbook"/>
    <n v="90"/>
    <n v="463950000"/>
    <s v="pitchbook"/>
    <n v="31669215"/>
    <s v="N-CSRS"/>
    <m/>
    <m/>
    <m/>
    <m/>
    <m/>
    <m/>
    <m/>
    <m/>
    <m/>
    <m/>
    <s v="Hamilton Lane"/>
    <s v="private_equity"/>
  </r>
  <r>
    <x v="9"/>
    <x v="29"/>
    <m/>
    <m/>
    <m/>
    <n v="461990000"/>
    <s v="pitchbook"/>
    <n v="13.42"/>
    <s v="pitchbook"/>
    <m/>
    <m/>
    <n v="3.3099999999999997E-2"/>
    <s v="pitchbook"/>
    <m/>
    <m/>
    <m/>
    <m/>
    <m/>
    <m/>
    <m/>
    <m/>
    <m/>
    <m/>
    <m/>
    <m/>
    <m/>
    <m/>
    <m/>
    <s v="Hamilton Lane"/>
    <s v="private_equity"/>
  </r>
  <r>
    <x v="9"/>
    <x v="30"/>
    <m/>
    <m/>
    <m/>
    <n v="482750000"/>
    <s v="pitchbook"/>
    <n v="13.9"/>
    <s v="pitchbook"/>
    <m/>
    <m/>
    <n v="3.5799999999999998E-2"/>
    <s v="pitchbook"/>
    <m/>
    <m/>
    <m/>
    <m/>
    <m/>
    <m/>
    <m/>
    <m/>
    <m/>
    <m/>
    <m/>
    <m/>
    <m/>
    <m/>
    <m/>
    <s v="Hamilton Lane"/>
    <s v="private_equity"/>
  </r>
  <r>
    <x v="9"/>
    <x v="31"/>
    <m/>
    <m/>
    <m/>
    <n v="502120000"/>
    <s v="pitchbook"/>
    <n v="13.87"/>
    <s v="pitchbook"/>
    <m/>
    <m/>
    <n v="1.1900000000000001E-2"/>
    <s v="pitchbook"/>
    <n v="89"/>
    <m/>
    <m/>
    <m/>
    <m/>
    <m/>
    <m/>
    <m/>
    <m/>
    <m/>
    <m/>
    <m/>
    <m/>
    <m/>
    <m/>
    <s v="Hamilton Lane"/>
    <s v="private_equity"/>
  </r>
  <r>
    <x v="9"/>
    <x v="32"/>
    <m/>
    <m/>
    <m/>
    <n v="540760000"/>
    <s v="pitchbook"/>
    <n v="14.22"/>
    <s v="pitchbook"/>
    <m/>
    <m/>
    <n v="2.52E-2"/>
    <s v="pitchbook"/>
    <m/>
    <m/>
    <m/>
    <m/>
    <m/>
    <m/>
    <m/>
    <m/>
    <m/>
    <m/>
    <m/>
    <m/>
    <m/>
    <m/>
    <m/>
    <s v="Hamilton Lane"/>
    <s v="private_equity"/>
  </r>
  <r>
    <x v="9"/>
    <x v="33"/>
    <m/>
    <m/>
    <m/>
    <n v="555100000"/>
    <s v="pitchbook"/>
    <n v="14.24"/>
    <s v="pitchbook"/>
    <m/>
    <m/>
    <n v="1.4E-3"/>
    <s v="pitchbook"/>
    <m/>
    <m/>
    <m/>
    <m/>
    <m/>
    <m/>
    <m/>
    <m/>
    <m/>
    <m/>
    <m/>
    <m/>
    <m/>
    <m/>
    <m/>
    <s v="Hamilton Lane"/>
    <s v="private_equity"/>
  </r>
  <r>
    <x v="9"/>
    <x v="34"/>
    <m/>
    <m/>
    <m/>
    <n v="581630000"/>
    <s v="pitchbook"/>
    <n v="14.14"/>
    <s v="pitchbook"/>
    <m/>
    <m/>
    <n v="-7.0000000000000001E-3"/>
    <s v="pitchbook"/>
    <n v="109"/>
    <n v="644780000"/>
    <s v="pitchbook"/>
    <n v="37766460"/>
    <s v="N-CSR"/>
    <m/>
    <m/>
    <m/>
    <m/>
    <m/>
    <m/>
    <m/>
    <m/>
    <m/>
    <m/>
    <s v="Hamilton Lane"/>
    <s v="private_equity"/>
  </r>
  <r>
    <x v="9"/>
    <x v="35"/>
    <m/>
    <m/>
    <m/>
    <n v="621540000"/>
    <s v="pitchbook"/>
    <n v="14.2"/>
    <s v="pitchbook"/>
    <m/>
    <m/>
    <n v="4.1999999999999997E-3"/>
    <s v="pitchbook"/>
    <m/>
    <m/>
    <m/>
    <m/>
    <m/>
    <m/>
    <m/>
    <m/>
    <m/>
    <m/>
    <m/>
    <m/>
    <m/>
    <m/>
    <m/>
    <s v="Hamilton Lane"/>
    <s v="private_equity"/>
  </r>
  <r>
    <x v="9"/>
    <x v="36"/>
    <m/>
    <m/>
    <m/>
    <n v="646400000"/>
    <s v="pitchbook"/>
    <n v="14.23"/>
    <s v="pitchbook"/>
    <m/>
    <m/>
    <n v="2.0999999999999999E-3"/>
    <s v="pitchbook"/>
    <m/>
    <m/>
    <m/>
    <m/>
    <m/>
    <m/>
    <m/>
    <m/>
    <m/>
    <m/>
    <m/>
    <m/>
    <m/>
    <m/>
    <m/>
    <s v="Hamilton Lane"/>
    <s v="private_equity"/>
  </r>
  <r>
    <x v="9"/>
    <x v="37"/>
    <m/>
    <m/>
    <m/>
    <n v="734520000"/>
    <s v="pitchbook"/>
    <n v="14.65"/>
    <s v="pitchbook"/>
    <m/>
    <m/>
    <n v="2.9499999999999998E-2"/>
    <s v="pitchbook"/>
    <n v="114"/>
    <m/>
    <m/>
    <m/>
    <m/>
    <m/>
    <m/>
    <m/>
    <m/>
    <m/>
    <m/>
    <m/>
    <m/>
    <m/>
    <m/>
    <s v="Hamilton Lane"/>
    <s v="private_equity"/>
  </r>
  <r>
    <x v="9"/>
    <x v="38"/>
    <m/>
    <m/>
    <m/>
    <n v="903380000"/>
    <s v="pitchbook"/>
    <n v="14.74"/>
    <s v="pitchbook"/>
    <m/>
    <m/>
    <n v="6.0000000000000001E-3"/>
    <s v="pitchbook"/>
    <m/>
    <m/>
    <m/>
    <m/>
    <m/>
    <m/>
    <m/>
    <m/>
    <m/>
    <m/>
    <m/>
    <m/>
    <m/>
    <m/>
    <m/>
    <s v="Hamilton Lane"/>
    <s v="private_equity"/>
  </r>
  <r>
    <x v="9"/>
    <x v="39"/>
    <m/>
    <m/>
    <m/>
    <n v="962580000"/>
    <s v="pitchbook"/>
    <n v="14.62"/>
    <s v="pitchbook"/>
    <m/>
    <m/>
    <n v="-7.9000000000000008E-3"/>
    <s v="pitchbook"/>
    <m/>
    <m/>
    <m/>
    <m/>
    <m/>
    <m/>
    <m/>
    <m/>
    <m/>
    <m/>
    <m/>
    <m/>
    <m/>
    <m/>
    <m/>
    <s v="Hamilton Lane"/>
    <s v="private_equity"/>
  </r>
  <r>
    <x v="9"/>
    <x v="40"/>
    <m/>
    <m/>
    <m/>
    <n v="1050000000"/>
    <s v="pitchbook"/>
    <n v="14.79"/>
    <s v="pitchbook"/>
    <m/>
    <m/>
    <n v="1.1299999999999999E-2"/>
    <s v="pitchbook"/>
    <n v="163"/>
    <n v="1340000000"/>
    <s v="pitchbook"/>
    <n v="53023949"/>
    <s v="N-CSRS"/>
    <m/>
    <m/>
    <m/>
    <m/>
    <m/>
    <m/>
    <m/>
    <m/>
    <m/>
    <m/>
    <s v="Hamilton Lane"/>
    <s v="private_equity"/>
  </r>
  <r>
    <x v="9"/>
    <x v="41"/>
    <m/>
    <m/>
    <m/>
    <n v="1200000000"/>
    <s v="pitchbook"/>
    <n v="14.8"/>
    <s v="pitchbook"/>
    <m/>
    <m/>
    <n v="5.9999999999999995E-4"/>
    <s v="pitchbook"/>
    <m/>
    <m/>
    <m/>
    <m/>
    <m/>
    <m/>
    <m/>
    <m/>
    <m/>
    <m/>
    <m/>
    <m/>
    <m/>
    <m/>
    <m/>
    <s v="Hamilton Lane"/>
    <s v="private_equity"/>
  </r>
  <r>
    <x v="9"/>
    <x v="42"/>
    <m/>
    <m/>
    <m/>
    <n v="1290000000"/>
    <s v="pitchbook"/>
    <n v="15.13"/>
    <s v="pitchbook"/>
    <m/>
    <m/>
    <n v="2.2499999999999999E-2"/>
    <s v="pitchbook"/>
    <m/>
    <m/>
    <m/>
    <m/>
    <m/>
    <m/>
    <m/>
    <m/>
    <m/>
    <m/>
    <m/>
    <m/>
    <m/>
    <m/>
    <m/>
    <s v="Hamilton Lane"/>
    <s v="private_equity"/>
  </r>
  <r>
    <x v="9"/>
    <x v="43"/>
    <m/>
    <m/>
    <m/>
    <n v="1380000000"/>
    <s v="pitchbook"/>
    <n v="15.47"/>
    <s v="pitchbook"/>
    <m/>
    <m/>
    <n v="3.04E-2"/>
    <s v="pitchbook"/>
    <n v="188"/>
    <m/>
    <m/>
    <m/>
    <m/>
    <m/>
    <m/>
    <m/>
    <m/>
    <m/>
    <m/>
    <m/>
    <m/>
    <m/>
    <m/>
    <s v="Hamilton Lane"/>
    <s v="private_equity"/>
  </r>
  <r>
    <x v="9"/>
    <x v="44"/>
    <m/>
    <m/>
    <m/>
    <n v="1520000000"/>
    <s v="pitchbook"/>
    <n v="15.57"/>
    <s v="pitchbook"/>
    <m/>
    <m/>
    <n v="6.6E-3"/>
    <s v="pitchbook"/>
    <m/>
    <m/>
    <m/>
    <m/>
    <m/>
    <m/>
    <m/>
    <m/>
    <m/>
    <m/>
    <m/>
    <m/>
    <m/>
    <m/>
    <m/>
    <s v="Hamilton Lane"/>
    <s v="private_equity"/>
  </r>
  <r>
    <x v="9"/>
    <x v="45"/>
    <m/>
    <m/>
    <m/>
    <n v="1630000000"/>
    <s v="pitchbook"/>
    <n v="15.72"/>
    <s v="pitchbook"/>
    <m/>
    <m/>
    <n v="9.5999999999999992E-3"/>
    <s v="pitchbook"/>
    <m/>
    <m/>
    <m/>
    <m/>
    <m/>
    <m/>
    <m/>
    <m/>
    <m/>
    <m/>
    <m/>
    <m/>
    <m/>
    <m/>
    <m/>
    <s v="Hamilton Lane"/>
    <s v="private_equity"/>
  </r>
  <r>
    <x v="9"/>
    <x v="46"/>
    <m/>
    <m/>
    <m/>
    <n v="1780000000"/>
    <s v="pitchbook"/>
    <n v="15.81"/>
    <s v="pitchbook"/>
    <m/>
    <m/>
    <n v="5.7000000000000002E-3"/>
    <s v="pitchbook"/>
    <n v="213"/>
    <n v="2050000000"/>
    <s v="pitchbook"/>
    <n v="72728591"/>
    <s v="N-CSR"/>
    <m/>
    <m/>
    <m/>
    <m/>
    <m/>
    <m/>
    <m/>
    <m/>
    <m/>
    <m/>
    <s v="Hamilton Lane"/>
    <s v="private_equity"/>
  </r>
  <r>
    <x v="9"/>
    <x v="47"/>
    <m/>
    <m/>
    <m/>
    <n v="1890000000"/>
    <s v="pitchbook"/>
    <n v="15.67"/>
    <s v="pitchbook"/>
    <m/>
    <m/>
    <n v="-8.9999999999999993E-3"/>
    <s v="pitchbook"/>
    <m/>
    <m/>
    <m/>
    <m/>
    <m/>
    <m/>
    <m/>
    <m/>
    <m/>
    <m/>
    <m/>
    <m/>
    <m/>
    <m/>
    <m/>
    <s v="Hamilton Lane"/>
    <s v="private_equity"/>
  </r>
  <r>
    <x v="9"/>
    <x v="48"/>
    <m/>
    <m/>
    <m/>
    <n v="2060000000"/>
    <s v="pitchbook"/>
    <n v="15.81"/>
    <s v="pitchbook"/>
    <m/>
    <m/>
    <n v="9.4000000000000004E-3"/>
    <s v="pitchbook"/>
    <m/>
    <m/>
    <m/>
    <m/>
    <m/>
    <m/>
    <m/>
    <m/>
    <m/>
    <m/>
    <m/>
    <m/>
    <m/>
    <m/>
    <m/>
    <s v="Hamilton Lane"/>
    <s v="private_equity"/>
  </r>
  <r>
    <x v="9"/>
    <x v="49"/>
    <m/>
    <m/>
    <m/>
    <n v="2260000000"/>
    <s v="pitchbook"/>
    <n v="16.170000000000002"/>
    <s v="pitchbook"/>
    <n v="0"/>
    <s v="yfinance"/>
    <n v="2.24E-2"/>
    <s v="pitchbook"/>
    <n v="232"/>
    <m/>
    <m/>
    <m/>
    <m/>
    <m/>
    <m/>
    <m/>
    <m/>
    <m/>
    <m/>
    <m/>
    <m/>
    <m/>
    <m/>
    <s v="Hamilton Lane"/>
    <s v="private_equity"/>
  </r>
  <r>
    <x v="9"/>
    <x v="50"/>
    <m/>
    <m/>
    <m/>
    <n v="2370000000"/>
    <s v="pitchbook"/>
    <n v="16.22"/>
    <s v="pitchbook"/>
    <n v="0"/>
    <s v="yfinance"/>
    <n v="3.3E-3"/>
    <s v="pitchbook"/>
    <m/>
    <m/>
    <m/>
    <m/>
    <m/>
    <m/>
    <m/>
    <m/>
    <m/>
    <m/>
    <m/>
    <m/>
    <m/>
    <m/>
    <m/>
    <s v="Hamilton Lane"/>
    <s v="private_equity"/>
  </r>
  <r>
    <x v="9"/>
    <x v="51"/>
    <m/>
    <m/>
    <m/>
    <n v="2520000000"/>
    <s v="pitchbook"/>
    <n v="16.46"/>
    <s v="pitchbook"/>
    <n v="0"/>
    <s v="yfinance"/>
    <n v="1.44E-2"/>
    <s v="pitchbook"/>
    <m/>
    <m/>
    <m/>
    <m/>
    <m/>
    <m/>
    <m/>
    <m/>
    <m/>
    <m/>
    <m/>
    <m/>
    <m/>
    <m/>
    <m/>
    <s v="Hamilton Lane"/>
    <s v="private_equity"/>
  </r>
  <r>
    <x v="9"/>
    <x v="52"/>
    <m/>
    <m/>
    <m/>
    <n v="2690000000"/>
    <s v="pitchbook"/>
    <n v="16.760000000000002"/>
    <s v="pitchbook"/>
    <n v="0"/>
    <s v="yfinance"/>
    <n v="1.8200000000000001E-2"/>
    <s v="pitchbook"/>
    <n v="253"/>
    <n v="3030000000"/>
    <s v="pitchbook"/>
    <m/>
    <m/>
    <m/>
    <m/>
    <m/>
    <m/>
    <m/>
    <m/>
    <m/>
    <m/>
    <m/>
    <m/>
    <s v="Hamilton Lane"/>
    <s v="private_equity"/>
  </r>
  <r>
    <x v="9"/>
    <x v="53"/>
    <m/>
    <m/>
    <m/>
    <n v="2800000000"/>
    <s v="pitchbook"/>
    <n v="16.670000000000002"/>
    <s v="pitchbook"/>
    <n v="0"/>
    <s v="yfinance"/>
    <n v="-5.3E-3"/>
    <s v="pitchbook"/>
    <m/>
    <m/>
    <m/>
    <m/>
    <m/>
    <m/>
    <m/>
    <m/>
    <m/>
    <m/>
    <m/>
    <m/>
    <m/>
    <m/>
    <m/>
    <s v="Hamilton Lane"/>
    <s v="private_equity"/>
  </r>
  <r>
    <x v="9"/>
    <x v="54"/>
    <m/>
    <m/>
    <m/>
    <n v="2990000000"/>
    <s v="pitchbook"/>
    <n v="17.059999999999999"/>
    <s v="pitchbook"/>
    <n v="0"/>
    <s v="yfinance"/>
    <n v="2.3699999999999999E-2"/>
    <s v="pitchbook"/>
    <m/>
    <m/>
    <m/>
    <m/>
    <m/>
    <m/>
    <m/>
    <m/>
    <m/>
    <m/>
    <m/>
    <m/>
    <m/>
    <m/>
    <m/>
    <s v="Hamilton Lane"/>
    <s v="private_equity"/>
  </r>
  <r>
    <x v="9"/>
    <x v="55"/>
    <m/>
    <m/>
    <m/>
    <n v="3110000000"/>
    <s v="pitchbook"/>
    <n v="16.77"/>
    <s v="pitchbook"/>
    <n v="0"/>
    <s v="yfinance"/>
    <n v="-3.3999999999999998E-3"/>
    <s v="pitchbook"/>
    <n v="260"/>
    <m/>
    <m/>
    <m/>
    <m/>
    <m/>
    <m/>
    <m/>
    <m/>
    <m/>
    <m/>
    <m/>
    <m/>
    <m/>
    <m/>
    <s v="Hamilton Lane"/>
    <s v="private_equity"/>
  </r>
  <r>
    <x v="9"/>
    <x v="56"/>
    <m/>
    <m/>
    <m/>
    <n v="3280000000"/>
    <s v="pitchbook"/>
    <n v="17.04"/>
    <s v="pitchbook"/>
    <n v="0"/>
    <s v="yfinance"/>
    <n v="1.6400000000000001E-2"/>
    <s v="pitchbook"/>
    <m/>
    <m/>
    <m/>
    <m/>
    <m/>
    <m/>
    <m/>
    <m/>
    <m/>
    <m/>
    <m/>
    <m/>
    <m/>
    <m/>
    <m/>
    <s v="Hamilton Lane"/>
    <s v="private_equity"/>
  </r>
  <r>
    <x v="9"/>
    <x v="57"/>
    <m/>
    <m/>
    <m/>
    <n v="3440000000"/>
    <s v="pitchbook"/>
    <n v="17.18"/>
    <s v="pitchbook"/>
    <n v="0"/>
    <s v="yfinance"/>
    <n v="8.2000000000000007E-3"/>
    <s v="pitchbook"/>
    <m/>
    <m/>
    <m/>
    <m/>
    <m/>
    <m/>
    <m/>
    <m/>
    <m/>
    <m/>
    <m/>
    <m/>
    <m/>
    <m/>
    <m/>
    <s v="Hamilton Lane"/>
    <s v="private_equity"/>
  </r>
  <r>
    <x v="9"/>
    <x v="58"/>
    <m/>
    <m/>
    <m/>
    <n v="3630000000"/>
    <s v="pitchbook"/>
    <n v="17.399999999999999"/>
    <s v="pitchbook"/>
    <n v="0"/>
    <s v="yfinance"/>
    <n v="1.29E-2"/>
    <s v="pitchbook"/>
    <n v="271"/>
    <n v="3940000000"/>
    <s v="pitchbook"/>
    <n v="123601931"/>
    <s v="N-CSR"/>
    <m/>
    <m/>
    <m/>
    <m/>
    <m/>
    <m/>
    <m/>
    <m/>
    <m/>
    <m/>
    <s v="Hamilton Lane"/>
    <s v="private_equity"/>
  </r>
  <r>
    <x v="9"/>
    <x v="59"/>
    <m/>
    <m/>
    <m/>
    <n v="3800000000"/>
    <s v="pitchbook"/>
    <n v="17.64"/>
    <s v="pitchbook"/>
    <n v="0"/>
    <s v="yfinance"/>
    <n v="1.35E-2"/>
    <s v="pitchbook"/>
    <m/>
    <m/>
    <m/>
    <m/>
    <m/>
    <m/>
    <m/>
    <m/>
    <m/>
    <m/>
    <m/>
    <m/>
    <m/>
    <m/>
    <m/>
    <s v="Hamilton Lane"/>
    <s v="private_equity"/>
  </r>
  <r>
    <x v="9"/>
    <x v="60"/>
    <m/>
    <m/>
    <m/>
    <n v="4000000000"/>
    <s v="pitchbook"/>
    <n v="18.100000000000001"/>
    <s v="pitchbook"/>
    <n v="0"/>
    <s v="yfinance"/>
    <n v="2.63E-2"/>
    <s v="pitchbook"/>
    <m/>
    <m/>
    <m/>
    <m/>
    <m/>
    <m/>
    <m/>
    <m/>
    <m/>
    <m/>
    <m/>
    <m/>
    <m/>
    <m/>
    <m/>
    <s v="Hamilton Lane"/>
    <s v="private_equity"/>
  </r>
  <r>
    <x v="9"/>
    <x v="61"/>
    <m/>
    <m/>
    <m/>
    <n v="4230000000"/>
    <s v="pitchbook"/>
    <n v="18.57"/>
    <s v="pitchbook"/>
    <n v="0"/>
    <s v="yfinance"/>
    <n v="2.5899999999999999E-2"/>
    <s v="pitchbook"/>
    <n v="289"/>
    <m/>
    <m/>
    <m/>
    <m/>
    <m/>
    <m/>
    <m/>
    <m/>
    <m/>
    <m/>
    <m/>
    <m/>
    <m/>
    <m/>
    <s v="Hamilton Lane"/>
    <s v="private_equity"/>
  </r>
  <r>
    <x v="9"/>
    <x v="62"/>
    <m/>
    <m/>
    <m/>
    <n v="4360000000"/>
    <s v="pitchbook"/>
    <n v="18.64"/>
    <s v="pitchbook"/>
    <m/>
    <m/>
    <n v="3.7000000000000002E-3"/>
    <s v="pitchbook"/>
    <m/>
    <m/>
    <m/>
    <m/>
    <m/>
    <m/>
    <m/>
    <m/>
    <m/>
    <m/>
    <m/>
    <m/>
    <m/>
    <m/>
    <m/>
    <s v="Hamilton Lane"/>
    <s v="private_equity"/>
  </r>
  <r>
    <x v="9"/>
    <x v="63"/>
    <m/>
    <m/>
    <m/>
    <n v="4490000000"/>
    <s v="pitchbook"/>
    <n v="18.510000000000002"/>
    <s v="pitchbook"/>
    <m/>
    <m/>
    <n v="-6.7000000000000002E-3"/>
    <s v="pitchbook"/>
    <m/>
    <m/>
    <m/>
    <m/>
    <m/>
    <m/>
    <m/>
    <m/>
    <m/>
    <m/>
    <m/>
    <m/>
    <m/>
    <m/>
    <m/>
    <s v="Hamilton Lane"/>
    <s v="private_equity"/>
  </r>
  <r>
    <x v="9"/>
    <x v="64"/>
    <m/>
    <m/>
    <m/>
    <n v="4760000000"/>
    <s v="pitchbook"/>
    <n v="18.88"/>
    <s v="pitchbook"/>
    <m/>
    <m/>
    <n v="1.9900000000000001E-2"/>
    <s v="pitchbook"/>
    <n v="298"/>
    <n v="5030000000"/>
    <s v="pitchbook"/>
    <n v="150025625"/>
    <s v="N-CSRS"/>
    <m/>
    <m/>
    <m/>
    <m/>
    <m/>
    <m/>
    <m/>
    <m/>
    <m/>
    <m/>
    <s v="Hamilton Lane"/>
    <s v="private_equity"/>
  </r>
  <r>
    <x v="9"/>
    <x v="65"/>
    <m/>
    <m/>
    <m/>
    <n v="4970000000"/>
    <s v="pitchbook"/>
    <n v="19.23"/>
    <s v="pitchbook"/>
    <m/>
    <m/>
    <n v="1.8499999999999999E-2"/>
    <s v="pitchbook"/>
    <m/>
    <m/>
    <m/>
    <m/>
    <m/>
    <m/>
    <m/>
    <m/>
    <m/>
    <m/>
    <m/>
    <m/>
    <m/>
    <m/>
    <m/>
    <s v="Hamilton Lane"/>
    <s v="private_equity"/>
  </r>
  <r>
    <x v="9"/>
    <x v="66"/>
    <m/>
    <m/>
    <m/>
    <n v="5120000000"/>
    <s v="pitchbook"/>
    <n v="19.23"/>
    <s v="pitchbook"/>
    <m/>
    <m/>
    <n v="-1E-4"/>
    <s v="pitchbook"/>
    <m/>
    <m/>
    <m/>
    <m/>
    <m/>
    <m/>
    <m/>
    <m/>
    <m/>
    <m/>
    <m/>
    <m/>
    <m/>
    <m/>
    <m/>
    <s v="Hamilton Lane"/>
    <s v="private_equity"/>
  </r>
  <r>
    <x v="9"/>
    <x v="67"/>
    <m/>
    <n v="10000000"/>
    <s v="black diamond"/>
    <n v="5310000000"/>
    <s v="pitchbook"/>
    <n v="19.12"/>
    <s v="pitchbook"/>
    <m/>
    <m/>
    <n v="1.1599999999999999E-2"/>
    <s v="pitchbook"/>
    <n v="309"/>
    <m/>
    <m/>
    <m/>
    <m/>
    <m/>
    <m/>
    <m/>
    <m/>
    <m/>
    <m/>
    <m/>
    <m/>
    <m/>
    <m/>
    <s v="Hamilton Lane"/>
    <s v="private_equity"/>
  </r>
  <r>
    <x v="9"/>
    <x v="68"/>
    <m/>
    <n v="10159296.289999999"/>
    <s v="icapital"/>
    <n v="5490000000"/>
    <s v="pitchbook"/>
    <n v="19.43"/>
    <s v="pitchbook"/>
    <m/>
    <m/>
    <n v="1.5900000000000001E-2"/>
    <s v="pitchbook"/>
    <m/>
    <m/>
    <m/>
    <m/>
    <m/>
    <n v="522968.78899999999"/>
    <s v="icapital"/>
    <n v="10000000"/>
    <s v="icapital"/>
    <n v="0"/>
    <s v="morgan stanley statement"/>
    <n v="0"/>
    <s v="morgan stanley statement"/>
    <m/>
    <m/>
    <s v="Hamilton Lane"/>
    <s v="private_equity"/>
  </r>
  <r>
    <x v="9"/>
    <x v="69"/>
    <m/>
    <n v="10217502.720000001"/>
    <s v="icapital"/>
    <n v="5630000000"/>
    <s v="pitchbook"/>
    <n v="19.54"/>
    <s v="pitchbook"/>
    <m/>
    <m/>
    <n v="5.7000000000000002E-3"/>
    <s v="pitchbook"/>
    <m/>
    <m/>
    <m/>
    <m/>
    <m/>
    <n v="522968.78899999999"/>
    <s v="icapital"/>
    <n v="0"/>
    <s v="morgan stanley statement"/>
    <n v="0"/>
    <s v="morgan stanley statement"/>
    <n v="0"/>
    <s v="morgan stanley statement"/>
    <m/>
    <m/>
    <s v="Hamilton Lane"/>
    <s v="private_equity"/>
  </r>
  <r>
    <x v="9"/>
    <x v="70"/>
    <m/>
    <n v="10211436.279999999"/>
    <s v="icapital"/>
    <n v="5800000000"/>
    <s v="pitchbook"/>
    <n v="19.53"/>
    <s v="pitchbook"/>
    <m/>
    <m/>
    <n v="-5.9999999999999995E-4"/>
    <s v="pitchbook"/>
    <n v="328"/>
    <m/>
    <m/>
    <m/>
    <m/>
    <n v="522968.78899999999"/>
    <s v="icapital"/>
    <n v="0"/>
    <s v="icapital"/>
    <n v="0"/>
    <s v="icapital"/>
    <n v="0"/>
    <s v="icapital"/>
    <m/>
    <m/>
    <s v="Hamilton Lane"/>
    <s v="private_equity"/>
  </r>
  <r>
    <x v="9"/>
    <x v="71"/>
    <m/>
    <m/>
    <m/>
    <n v="6070000000"/>
    <s v="pitchbook"/>
    <n v="20.28"/>
    <s v="pitchbook"/>
    <m/>
    <m/>
    <n v="3.8800000000000001E-2"/>
    <s v="pitchbook"/>
    <m/>
    <m/>
    <m/>
    <m/>
    <m/>
    <m/>
    <m/>
    <m/>
    <m/>
    <m/>
    <m/>
    <m/>
    <m/>
    <m/>
    <m/>
    <s v="Hamilton Lane"/>
    <s v="private_equity"/>
  </r>
  <r>
    <x v="9"/>
    <x v="72"/>
    <m/>
    <m/>
    <m/>
    <m/>
    <m/>
    <m/>
    <m/>
    <m/>
    <m/>
    <m/>
    <m/>
    <m/>
    <m/>
    <m/>
    <m/>
    <m/>
    <m/>
    <m/>
    <m/>
    <m/>
    <m/>
    <m/>
    <m/>
    <m/>
    <m/>
    <m/>
    <s v="Hamilton Lane"/>
    <s v="private_equity"/>
  </r>
  <r>
    <x v="10"/>
    <x v="38"/>
    <m/>
    <m/>
    <m/>
    <m/>
    <m/>
    <n v="12.29"/>
    <s v="pitchbook"/>
    <m/>
    <m/>
    <m/>
    <m/>
    <m/>
    <m/>
    <m/>
    <m/>
    <m/>
    <m/>
    <m/>
    <m/>
    <m/>
    <m/>
    <m/>
    <m/>
    <m/>
    <m/>
    <m/>
    <s v="JPMF"/>
    <s v="private_equity"/>
  </r>
  <r>
    <x v="10"/>
    <x v="39"/>
    <m/>
    <m/>
    <m/>
    <m/>
    <m/>
    <n v="12.31"/>
    <s v="pitchbook"/>
    <m/>
    <m/>
    <n v="1.6000000000000001E-3"/>
    <s v="pitchbook"/>
    <m/>
    <m/>
    <m/>
    <m/>
    <m/>
    <m/>
    <m/>
    <m/>
    <m/>
    <m/>
    <m/>
    <m/>
    <m/>
    <m/>
    <m/>
    <s v="JPMF"/>
    <s v="private_equity"/>
  </r>
  <r>
    <x v="10"/>
    <x v="40"/>
    <m/>
    <m/>
    <m/>
    <m/>
    <m/>
    <n v="12.78"/>
    <s v="pitchbook"/>
    <m/>
    <m/>
    <n v="3.8199999999999998E-2"/>
    <s v="pitchbook"/>
    <n v="10"/>
    <m/>
    <m/>
    <n v="8398982"/>
    <s v="N-CSRS"/>
    <m/>
    <m/>
    <m/>
    <m/>
    <m/>
    <m/>
    <m/>
    <m/>
    <m/>
    <m/>
    <s v="JPMF"/>
    <s v="private_equity"/>
  </r>
  <r>
    <x v="10"/>
    <x v="41"/>
    <m/>
    <m/>
    <m/>
    <m/>
    <m/>
    <n v="12.71"/>
    <s v="pitchbook"/>
    <m/>
    <m/>
    <n v="-5.4999999999999997E-3"/>
    <s v="pitchbook"/>
    <m/>
    <m/>
    <m/>
    <m/>
    <m/>
    <m/>
    <m/>
    <m/>
    <m/>
    <m/>
    <m/>
    <m/>
    <m/>
    <m/>
    <m/>
    <s v="JPMF"/>
    <s v="private_equity"/>
  </r>
  <r>
    <x v="10"/>
    <x v="42"/>
    <m/>
    <m/>
    <m/>
    <m/>
    <m/>
    <n v="12.9"/>
    <s v="pitchbook"/>
    <m/>
    <m/>
    <n v="1.49E-2"/>
    <s v="pitchbook"/>
    <m/>
    <m/>
    <m/>
    <m/>
    <m/>
    <m/>
    <m/>
    <m/>
    <m/>
    <m/>
    <m/>
    <m/>
    <m/>
    <m/>
    <m/>
    <s v="JPMF"/>
    <s v="private_equity"/>
  </r>
  <r>
    <x v="10"/>
    <x v="43"/>
    <m/>
    <m/>
    <m/>
    <m/>
    <m/>
    <n v="13.4"/>
    <s v="pitchbook"/>
    <m/>
    <m/>
    <n v="3.8800000000000001E-2"/>
    <s v="pitchbook"/>
    <n v="17"/>
    <m/>
    <m/>
    <m/>
    <m/>
    <m/>
    <m/>
    <m/>
    <m/>
    <m/>
    <m/>
    <m/>
    <m/>
    <m/>
    <m/>
    <s v="JPMF"/>
    <s v="private_equity"/>
  </r>
  <r>
    <x v="10"/>
    <x v="44"/>
    <m/>
    <m/>
    <m/>
    <m/>
    <m/>
    <n v="13.43"/>
    <s v="pitchbook"/>
    <m/>
    <m/>
    <n v="2.2000000000000001E-3"/>
    <s v="pitchbook"/>
    <m/>
    <m/>
    <m/>
    <m/>
    <m/>
    <m/>
    <m/>
    <m/>
    <m/>
    <m/>
    <m/>
    <m/>
    <m/>
    <m/>
    <m/>
    <s v="JPMF"/>
    <s v="private_equity"/>
  </r>
  <r>
    <x v="10"/>
    <x v="45"/>
    <m/>
    <m/>
    <m/>
    <m/>
    <m/>
    <n v="13.53"/>
    <s v="pitchbook"/>
    <m/>
    <m/>
    <n v="7.4000000000000003E-3"/>
    <s v="pitchbook"/>
    <m/>
    <m/>
    <m/>
    <m/>
    <m/>
    <m/>
    <m/>
    <m/>
    <m/>
    <m/>
    <m/>
    <m/>
    <m/>
    <m/>
    <m/>
    <s v="JPMF"/>
    <s v="private_equity"/>
  </r>
  <r>
    <x v="10"/>
    <x v="46"/>
    <m/>
    <m/>
    <m/>
    <m/>
    <m/>
    <n v="14.29"/>
    <s v="pitchbook"/>
    <m/>
    <m/>
    <n v="5.62E-2"/>
    <s v="pitchbook"/>
    <n v="26"/>
    <m/>
    <m/>
    <n v="13090812"/>
    <s v="N-CSR"/>
    <m/>
    <m/>
    <m/>
    <m/>
    <m/>
    <m/>
    <m/>
    <m/>
    <m/>
    <m/>
    <s v="JPMF"/>
    <s v="private_equity"/>
  </r>
  <r>
    <x v="10"/>
    <x v="47"/>
    <m/>
    <m/>
    <m/>
    <m/>
    <m/>
    <n v="14.61"/>
    <s v="pitchbook"/>
    <m/>
    <m/>
    <n v="2.24E-2"/>
    <s v="pitchbook"/>
    <m/>
    <m/>
    <m/>
    <m/>
    <m/>
    <m/>
    <m/>
    <m/>
    <m/>
    <m/>
    <m/>
    <m/>
    <m/>
    <m/>
    <m/>
    <s v="JPMF"/>
    <s v="private_equity"/>
  </r>
  <r>
    <x v="10"/>
    <x v="48"/>
    <m/>
    <m/>
    <m/>
    <m/>
    <m/>
    <n v="15.06"/>
    <s v="pitchbook"/>
    <m/>
    <m/>
    <n v="3.0800000000000001E-2"/>
    <s v="pitchbook"/>
    <m/>
    <m/>
    <m/>
    <m/>
    <m/>
    <m/>
    <m/>
    <m/>
    <m/>
    <m/>
    <m/>
    <m/>
    <m/>
    <m/>
    <m/>
    <s v="JPMF"/>
    <s v="private_equity"/>
  </r>
  <r>
    <x v="10"/>
    <x v="49"/>
    <m/>
    <m/>
    <m/>
    <m/>
    <m/>
    <n v="15.19"/>
    <s v="pitchbook"/>
    <m/>
    <m/>
    <n v="8.6E-3"/>
    <s v="pitchbook"/>
    <n v="36"/>
    <m/>
    <m/>
    <m/>
    <m/>
    <m/>
    <m/>
    <m/>
    <m/>
    <m/>
    <m/>
    <m/>
    <m/>
    <m/>
    <m/>
    <s v="JPMF"/>
    <s v="private_equity"/>
  </r>
  <r>
    <x v="10"/>
    <x v="50"/>
    <m/>
    <m/>
    <m/>
    <m/>
    <m/>
    <n v="15.2"/>
    <s v="pitchbook"/>
    <m/>
    <m/>
    <n v="6.9999999999999999E-4"/>
    <s v="pitchbook"/>
    <m/>
    <m/>
    <m/>
    <m/>
    <m/>
    <m/>
    <m/>
    <m/>
    <m/>
    <m/>
    <m/>
    <m/>
    <m/>
    <m/>
    <m/>
    <s v="JPMF"/>
    <s v="private_equity"/>
  </r>
  <r>
    <x v="10"/>
    <x v="51"/>
    <m/>
    <m/>
    <m/>
    <m/>
    <m/>
    <n v="15.24"/>
    <s v="pitchbook"/>
    <m/>
    <m/>
    <n v="2.5999999999999999E-3"/>
    <s v="pitchbook"/>
    <m/>
    <m/>
    <m/>
    <m/>
    <m/>
    <m/>
    <m/>
    <m/>
    <m/>
    <m/>
    <m/>
    <m/>
    <m/>
    <m/>
    <m/>
    <s v="JPMF"/>
    <s v="private_equity"/>
  </r>
  <r>
    <x v="10"/>
    <x v="52"/>
    <m/>
    <m/>
    <m/>
    <m/>
    <m/>
    <n v="15.37"/>
    <s v="pitchbook"/>
    <m/>
    <m/>
    <n v="8.5000000000000006E-3"/>
    <s v="pitchbook"/>
    <n v="45"/>
    <m/>
    <m/>
    <n v="19419769"/>
    <s v="N-CSRS"/>
    <m/>
    <m/>
    <m/>
    <m/>
    <m/>
    <m/>
    <m/>
    <m/>
    <m/>
    <m/>
    <s v="JPMF"/>
    <s v="private_equity"/>
  </r>
  <r>
    <x v="10"/>
    <x v="53"/>
    <m/>
    <m/>
    <m/>
    <m/>
    <m/>
    <n v="15.69"/>
    <s v="pitchbook"/>
    <m/>
    <m/>
    <n v="2.0799999999999999E-2"/>
    <s v="pitchbook"/>
    <m/>
    <m/>
    <m/>
    <m/>
    <m/>
    <m/>
    <m/>
    <m/>
    <m/>
    <m/>
    <m/>
    <m/>
    <m/>
    <m/>
    <m/>
    <s v="JPMF"/>
    <s v="private_equity"/>
  </r>
  <r>
    <x v="10"/>
    <x v="54"/>
    <m/>
    <m/>
    <m/>
    <m/>
    <m/>
    <n v="15.69"/>
    <s v="pitchbook"/>
    <m/>
    <m/>
    <n v="0"/>
    <s v="pitchbook"/>
    <m/>
    <m/>
    <m/>
    <m/>
    <m/>
    <m/>
    <m/>
    <m/>
    <m/>
    <m/>
    <m/>
    <m/>
    <m/>
    <m/>
    <m/>
    <s v="JPMF"/>
    <s v="private_equity"/>
  </r>
  <r>
    <x v="10"/>
    <x v="55"/>
    <m/>
    <m/>
    <m/>
    <m/>
    <m/>
    <n v="15.83"/>
    <s v="pitchbook"/>
    <m/>
    <m/>
    <n v="8.8999999999999999E-3"/>
    <s v="pitchbook"/>
    <n v="61"/>
    <m/>
    <m/>
    <m/>
    <m/>
    <m/>
    <m/>
    <m/>
    <m/>
    <m/>
    <m/>
    <m/>
    <m/>
    <m/>
    <m/>
    <s v="JPMF"/>
    <s v="private_equity"/>
  </r>
  <r>
    <x v="10"/>
    <x v="56"/>
    <m/>
    <m/>
    <m/>
    <m/>
    <m/>
    <n v="15.95"/>
    <s v="pitchbook"/>
    <m/>
    <m/>
    <n v="7.6E-3"/>
    <s v="pitchbook"/>
    <m/>
    <m/>
    <m/>
    <m/>
    <m/>
    <m/>
    <m/>
    <m/>
    <m/>
    <m/>
    <m/>
    <m/>
    <m/>
    <m/>
    <m/>
    <s v="JPMF"/>
    <s v="private_equity"/>
  </r>
  <r>
    <x v="10"/>
    <x v="57"/>
    <m/>
    <m/>
    <m/>
    <m/>
    <m/>
    <n v="16"/>
    <s v="pitchbook"/>
    <m/>
    <m/>
    <n v="3.3E-3"/>
    <s v="pitchbook"/>
    <m/>
    <m/>
    <m/>
    <m/>
    <m/>
    <m/>
    <m/>
    <m/>
    <m/>
    <m/>
    <m/>
    <m/>
    <m/>
    <m/>
    <m/>
    <s v="JPMF"/>
    <s v="private_equity"/>
  </r>
  <r>
    <x v="10"/>
    <x v="58"/>
    <m/>
    <m/>
    <m/>
    <n v="999150000"/>
    <s v="pitchbook"/>
    <n v="16.3"/>
    <s v="pitchbook"/>
    <m/>
    <m/>
    <n v="1.8599999999999998E-2"/>
    <s v="pitchbook"/>
    <n v="75"/>
    <n v="1020000000"/>
    <s v="pitchbook"/>
    <n v="28166468"/>
    <s v="N-CSR"/>
    <m/>
    <m/>
    <m/>
    <m/>
    <m/>
    <m/>
    <m/>
    <m/>
    <m/>
    <m/>
    <s v="JPMF"/>
    <s v="private_equity"/>
  </r>
  <r>
    <x v="10"/>
    <x v="59"/>
    <m/>
    <m/>
    <m/>
    <m/>
    <m/>
    <n v="16.440000000000001"/>
    <s v="pitchbook"/>
    <m/>
    <m/>
    <n v="8.6E-3"/>
    <s v="pitchbook"/>
    <m/>
    <m/>
    <m/>
    <m/>
    <m/>
    <m/>
    <m/>
    <m/>
    <m/>
    <m/>
    <m/>
    <m/>
    <m/>
    <m/>
    <m/>
    <s v="JPMF"/>
    <s v="private_equity"/>
  </r>
  <r>
    <x v="10"/>
    <x v="60"/>
    <m/>
    <m/>
    <m/>
    <m/>
    <m/>
    <n v="16.559999999999999"/>
    <s v="pitchbook"/>
    <m/>
    <m/>
    <n v="7.3000000000000001E-3"/>
    <s v="pitchbook"/>
    <m/>
    <m/>
    <m/>
    <m/>
    <m/>
    <m/>
    <m/>
    <m/>
    <m/>
    <m/>
    <m/>
    <m/>
    <m/>
    <m/>
    <m/>
    <s v="JPMF"/>
    <s v="private_equity"/>
  </r>
  <r>
    <x v="10"/>
    <x v="61"/>
    <m/>
    <m/>
    <m/>
    <m/>
    <m/>
    <n v="16.87"/>
    <s v="pitchbook"/>
    <m/>
    <m/>
    <n v="1.8700000000000001E-2"/>
    <s v="pitchbook"/>
    <n v="95"/>
    <m/>
    <m/>
    <m/>
    <m/>
    <m/>
    <m/>
    <m/>
    <m/>
    <m/>
    <m/>
    <m/>
    <m/>
    <m/>
    <m/>
    <s v="JPMF"/>
    <s v="private_equity"/>
  </r>
  <r>
    <x v="10"/>
    <x v="62"/>
    <m/>
    <m/>
    <m/>
    <m/>
    <m/>
    <n v="17.010000000000002"/>
    <s v="pitchbook"/>
    <m/>
    <m/>
    <n v="8.6E-3"/>
    <s v="pitchbook"/>
    <m/>
    <m/>
    <m/>
    <m/>
    <m/>
    <m/>
    <m/>
    <m/>
    <m/>
    <m/>
    <m/>
    <m/>
    <m/>
    <m/>
    <m/>
    <s v="JPMF"/>
    <s v="private_equity"/>
  </r>
  <r>
    <x v="10"/>
    <x v="63"/>
    <m/>
    <m/>
    <m/>
    <m/>
    <m/>
    <n v="17.21"/>
    <s v="pitchbook"/>
    <m/>
    <m/>
    <n v="1.12E-2"/>
    <s v="pitchbook"/>
    <m/>
    <m/>
    <m/>
    <m/>
    <m/>
    <m/>
    <m/>
    <m/>
    <m/>
    <m/>
    <m/>
    <m/>
    <m/>
    <m/>
    <m/>
    <s v="JPMF"/>
    <s v="private_equity"/>
  </r>
  <r>
    <x v="10"/>
    <x v="64"/>
    <m/>
    <m/>
    <m/>
    <n v="1430000000"/>
    <s v="pitchbook"/>
    <n v="17.350000000000001"/>
    <s v="pitchbook"/>
    <m/>
    <m/>
    <n v="8.6E-3"/>
    <s v="pitchbook"/>
    <n v="100"/>
    <n v="1480000000"/>
    <s v="pitchbook"/>
    <n v="36369168"/>
    <s v="N-CSRS"/>
    <m/>
    <m/>
    <m/>
    <m/>
    <m/>
    <m/>
    <m/>
    <m/>
    <m/>
    <m/>
    <s v="JPMF"/>
    <s v="private_equity"/>
  </r>
  <r>
    <x v="10"/>
    <x v="65"/>
    <m/>
    <m/>
    <m/>
    <n v="1450000000"/>
    <s v="pitchbook"/>
    <n v="17.579999999999998"/>
    <s v="pitchbook"/>
    <m/>
    <m/>
    <n v="1.2800000000000001E-2"/>
    <s v="pitchbook"/>
    <m/>
    <m/>
    <m/>
    <m/>
    <m/>
    <m/>
    <m/>
    <m/>
    <m/>
    <m/>
    <m/>
    <m/>
    <m/>
    <m/>
    <m/>
    <s v="JPMF"/>
    <s v="private_equity"/>
  </r>
  <r>
    <x v="10"/>
    <x v="66"/>
    <m/>
    <m/>
    <m/>
    <n v="1500000000"/>
    <s v="pitchbook"/>
    <n v="17.489999999999998"/>
    <s v="pitchbook"/>
    <n v="0.15"/>
    <s v="pitchbook"/>
    <n v="4.0000000000000001E-3"/>
    <s v="pitchbook"/>
    <m/>
    <m/>
    <m/>
    <m/>
    <m/>
    <m/>
    <m/>
    <m/>
    <m/>
    <m/>
    <m/>
    <m/>
    <m/>
    <m/>
    <m/>
    <s v="JPMF"/>
    <s v="private_equity"/>
  </r>
  <r>
    <x v="10"/>
    <x v="67"/>
    <m/>
    <n v="10000000"/>
    <s v="black diamond"/>
    <n v="1570000000"/>
    <s v="pitchbook"/>
    <n v="17.78"/>
    <s v="pitchbook"/>
    <m/>
    <m/>
    <n v="1.6400000000000001E-2"/>
    <s v="pitchbook"/>
    <n v="115"/>
    <m/>
    <m/>
    <m/>
    <m/>
    <m/>
    <m/>
    <m/>
    <m/>
    <m/>
    <m/>
    <m/>
    <m/>
    <m/>
    <m/>
    <s v="JPMF"/>
    <s v="private_equity"/>
  </r>
  <r>
    <x v="10"/>
    <x v="68"/>
    <m/>
    <n v="10000000"/>
    <s v="morgan stanley statement"/>
    <n v="1590000000"/>
    <s v="pitchbook"/>
    <n v="17.96"/>
    <s v="pitchbook"/>
    <m/>
    <m/>
    <n v="1.03E-2"/>
    <s v="pitchbook"/>
    <m/>
    <m/>
    <m/>
    <m/>
    <m/>
    <n v="562467.65800000005"/>
    <s v="morgan stanley statement"/>
    <n v="10000000"/>
    <s v="morgan stanley statement"/>
    <n v="0"/>
    <s v="morgan stanley statement"/>
    <n v="0"/>
    <s v="morgan stanley statement"/>
    <m/>
    <m/>
    <s v="JPMF"/>
    <s v="private_equity"/>
  </r>
  <r>
    <x v="10"/>
    <x v="69"/>
    <m/>
    <n v="10107431.32"/>
    <s v="icapital"/>
    <n v="1640000000"/>
    <s v="pitchbook"/>
    <n v="17.97"/>
    <s v="pitchbook"/>
    <m/>
    <m/>
    <n v="4.0000000000000002E-4"/>
    <s v="pitchbook"/>
    <m/>
    <m/>
    <m/>
    <m/>
    <m/>
    <n v="562467.65800000005"/>
    <s v="icapital"/>
    <n v="0"/>
    <s v="morgan stanley statement"/>
    <n v="0"/>
    <s v="morgan stanley statement"/>
    <n v="0"/>
    <s v="morgan stanley statement"/>
    <m/>
    <m/>
    <s v="JPMF"/>
    <s v="private_equity"/>
  </r>
  <r>
    <x v="10"/>
    <x v="70"/>
    <m/>
    <n v="10093875.85"/>
    <s v="icapital"/>
    <n v="1680000000"/>
    <s v="pitchbook"/>
    <n v="17.95"/>
    <s v="pitchbook"/>
    <m/>
    <m/>
    <n v="-1.2999999999999999E-3"/>
    <s v="pitchbook"/>
    <n v="124"/>
    <m/>
    <m/>
    <m/>
    <m/>
    <n v="562467.65800000005"/>
    <s v="icapital"/>
    <n v="0"/>
    <s v="icapital"/>
    <n v="0"/>
    <s v="icapital"/>
    <n v="0"/>
    <s v="icapital"/>
    <m/>
    <m/>
    <s v="JPMF"/>
    <s v="private_equity"/>
  </r>
  <r>
    <x v="10"/>
    <x v="71"/>
    <m/>
    <m/>
    <m/>
    <m/>
    <m/>
    <m/>
    <m/>
    <m/>
    <m/>
    <m/>
    <m/>
    <m/>
    <m/>
    <m/>
    <m/>
    <m/>
    <m/>
    <m/>
    <m/>
    <m/>
    <m/>
    <m/>
    <m/>
    <m/>
    <m/>
    <m/>
    <s v="JPMF"/>
    <s v="private_equity"/>
  </r>
  <r>
    <x v="10"/>
    <x v="72"/>
    <m/>
    <m/>
    <m/>
    <m/>
    <m/>
    <m/>
    <m/>
    <m/>
    <m/>
    <m/>
    <m/>
    <m/>
    <m/>
    <m/>
    <m/>
    <m/>
    <m/>
    <m/>
    <m/>
    <m/>
    <m/>
    <m/>
    <m/>
    <m/>
    <m/>
    <m/>
    <s v="JPMF"/>
    <s v="private_equ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C420F-144C-4038-82E3-2F1841247E31}" name="FundPerfPivot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3:F58" firstHeaderRow="0" firstDataRow="1" firstDataCol="2"/>
  <pivotFields count="30">
    <pivotField axis="axisRow" compact="0" showAll="0">
      <items count="12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t="default"/>
      </items>
    </pivotField>
    <pivotField axis="axisRow" compact="0" numFmtId="14" showAll="0">
      <items count="129"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nthly_return " fld="11" subtotal="average" baseField="0" baseItem="0" numFmtId="10"/>
    <dataField name="sgg_nav " fld="3" baseField="0" baseItem="0" numFmtId="167"/>
    <dataField name="nav_per_share " fld="7" subtotal="average" baseField="0" baseItem="0" numFmtId="168"/>
  </dataFields>
  <formats count="32">
    <format dxfId="31">
      <pivotArea dataOnly="0" labelOnly="1" grandRow="1" outline="0" fieldPosition="0"/>
    </format>
    <format dxfId="30">
      <pivotArea dataOnly="0" labelOnly="1" outline="0" fieldPosition="0">
        <references count="2">
          <reference field="0" count="1" selected="0">
            <x v="0"/>
          </reference>
          <reference field="1" count="50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0"/>
          </reference>
          <reference field="1" count="23"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"/>
          </reference>
          <reference field="1" count="42"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2"/>
          </reference>
          <reference field="1" count="50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1" count="10"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3"/>
          </reference>
          <reference field="1" count="24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4"/>
          </reference>
          <reference field="1" count="25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5"/>
          </reference>
          <reference field="1" count="50"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5"/>
          </reference>
          <reference field="1" count="18"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6"/>
          </reference>
          <reference field="1" count="43"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7"/>
          </reference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7"/>
          </reference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7"/>
          </reference>
          <reference field="1" count="2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8"/>
          </reference>
          <reference field="1" count="17"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9"/>
          </reference>
          <reference field="1" count="50"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9"/>
          </reference>
          <reference field="1" count="15"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0"/>
          </reference>
          <reference field="1" count="35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3">
      <pivotArea outline="0" fieldPosition="0">
        <references count="1">
          <reference field="4294967294" count="1" selected="0">
            <x v="0"/>
          </reference>
        </references>
      </pivotArea>
    </format>
    <format dxfId="12">
      <pivotArea outline="0" fieldPosition="0">
        <references count="1">
          <reference field="4294967294" count="1" selected="0">
            <x v="1"/>
          </reference>
        </references>
      </pivotArea>
    </format>
    <format dxfId="11">
      <pivotArea outline="0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0" count="1">
            <x v="0"/>
          </reference>
        </references>
      </pivotArea>
    </format>
    <format dxfId="9">
      <pivotArea dataOnly="0" labelOnly="1" outline="0" fieldPosition="0">
        <references count="1">
          <reference field="0" count="1">
            <x v="1"/>
          </reference>
        </references>
      </pivotArea>
    </format>
    <format dxfId="8">
      <pivotArea dataOnly="0" labelOnly="1" outline="0" fieldPosition="0">
        <references count="1">
          <reference field="0" count="1">
            <x v="2"/>
          </reference>
        </references>
      </pivotArea>
    </format>
    <format dxfId="7">
      <pivotArea dataOnly="0" labelOnly="1" outline="0" fieldPosition="0">
        <references count="1">
          <reference field="0" count="1">
            <x v="3"/>
          </reference>
        </references>
      </pivotArea>
    </format>
    <format dxfId="6">
      <pivotArea dataOnly="0" labelOnly="1" outline="0" fieldPosition="0">
        <references count="1">
          <reference field="0" count="1">
            <x v="4"/>
          </reference>
        </references>
      </pivotArea>
    </format>
    <format dxfId="5">
      <pivotArea dataOnly="0" labelOnly="1" outline="0" fieldPosition="0">
        <references count="1">
          <reference field="0" count="1">
            <x v="5"/>
          </reference>
        </references>
      </pivotArea>
    </format>
    <format dxfId="4">
      <pivotArea dataOnly="0" labelOnly="1" outline="0" fieldPosition="0">
        <references count="1">
          <reference field="0" count="1">
            <x v="6"/>
          </reference>
        </references>
      </pivotArea>
    </format>
    <format dxfId="3">
      <pivotArea dataOnly="0" labelOnly="1" outline="0" fieldPosition="0">
        <references count="1">
          <reference field="0" count="1">
            <x v="7"/>
          </reference>
        </references>
      </pivotArea>
    </format>
    <format dxfId="2">
      <pivotArea dataOnly="0" labelOnly="1" outline="0" fieldPosition="0">
        <references count="1">
          <reference field="0" count="1">
            <x v="8"/>
          </reference>
        </references>
      </pivotArea>
    </format>
    <format dxfId="1">
      <pivotArea dataOnly="0" labelOnly="1" outline="0" fieldPosition="0">
        <references count="1">
          <reference field="0" count="1">
            <x v="9"/>
          </reference>
        </references>
      </pivotArea>
    </format>
    <format dxfId="0">
      <pivotArea dataOnly="0" labelOnly="1" outline="0" fieldPosition="0">
        <references count="1">
          <reference field="0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085FE-2973-4DDA-B9DC-C50A42DF082C}" name="FundPerfTbl" displayName="FundPerfTbl" ref="A1:AD581" totalsRowShown="0">
  <autoFilter ref="A1:AD581" xr:uid="{FA4085FE-2973-4DDA-B9DC-C50A42DF082C}"/>
  <tableColumns count="30">
    <tableColumn id="1" xr3:uid="{C1A4CF92-E199-4B3E-8124-D7521BF18AC2}" name="fund_id"/>
    <tableColumn id="2" xr3:uid="{65ADF1B0-7CC0-4777-A3C6-BD2C15064492}" name="month_end" dataDxfId="38"/>
    <tableColumn id="3" xr3:uid="{DF6866B3-FE7E-4DE6-A8A3-8C40A7BA8D62}" name="redemptions" dataDxfId="37"/>
    <tableColumn id="4" xr3:uid="{BBC31A84-D5EA-4784-A701-CF20EE735C53}" name="sgg_nav"/>
    <tableColumn id="5" xr3:uid="{5BFB8BD9-913A-418A-A27E-BB236B632130}" name="sgg_nav_source"/>
    <tableColumn id="6" xr3:uid="{F3A38F63-B917-42AF-A4D2-B38C243968A2}" name="nav" dataDxfId="36"/>
    <tableColumn id="7" xr3:uid="{854A7825-ED53-4E54-8CEC-9A246D5B9A78}" name="nav_source"/>
    <tableColumn id="8" xr3:uid="{4D0A6D39-D153-46A0-BCE8-2CC538B3F2E5}" name="nav_per_share" dataDxfId="35"/>
    <tableColumn id="9" xr3:uid="{ED153789-FEDF-4966-961E-F086118EB4C1}" name="nav_per_share_source"/>
    <tableColumn id="10" xr3:uid="{A1E04E21-F6F0-4A6D-A577-09913106F76D}" name="distributions_per_share" dataDxfId="34"/>
    <tableColumn id="11" xr3:uid="{7F6847E1-EACC-4902-90F6-1223FB518A3C}" name="distributions_per_share_source"/>
    <tableColumn id="12" xr3:uid="{1F601748-4987-41FD-AD45-0537F6DF3B1B}" name="monthly_return" dataDxfId="33"/>
    <tableColumn id="13" xr3:uid="{14D1A090-D6A3-4770-B31C-10676FE21CED}" name="monthly_return_source"/>
    <tableColumn id="14" xr3:uid="{3776EA24-8E51-4C63-9A0C-8CD2CA8C89CC}" name="nport_portfolio_count"/>
    <tableColumn id="15" xr3:uid="{54FBDEA4-83D0-4AC9-81C2-68F53AF95597}" name="gav" dataDxfId="32"/>
    <tableColumn id="16" xr3:uid="{C11FDEB2-7308-45D1-A660-8CC2E0E2FF12}" name="gav_source"/>
    <tableColumn id="17" xr3:uid="{94F37F29-828F-4017-94EF-BE3975FFB810}" name="shares_outstanding"/>
    <tableColumn id="18" xr3:uid="{399B43C3-0C32-4D33-B6C0-A41691919964}" name="shares_outstanding_source"/>
    <tableColumn id="19" xr3:uid="{B6E49FEB-DA0F-4741-9E04-F5A037225FDD}" name="shares_owned"/>
    <tableColumn id="20" xr3:uid="{D0248E5F-B766-46FF-9667-EAEF79344E55}" name="shares_owned_source"/>
    <tableColumn id="21" xr3:uid="{CA13EFD4-7758-44F3-A082-522155E77686}" name="sgg_purchases"/>
    <tableColumn id="22" xr3:uid="{601C12A7-6C12-45B0-A5FC-AF80537B7061}" name="sgg_purchases_source"/>
    <tableColumn id="23" xr3:uid="{5F309CE4-083E-452F-8A8E-8682C92BE83A}" name="sgg_redemptions"/>
    <tableColumn id="24" xr3:uid="{135B1A7A-C0B8-4A96-8BA2-E8F725CC9C39}" name="sgg_redemptions_source"/>
    <tableColumn id="25" xr3:uid="{786633E1-A096-4D29-A5A6-22ECEF21F408}" name="sgg_distributions"/>
    <tableColumn id="26" xr3:uid="{2C4AC5B6-4367-4304-A330-2838AD0A31AE}" name="sgg_distributions_source"/>
    <tableColumn id="27" xr3:uid="{15864AA2-8B58-474B-B5F6-57FF44CBA899}" name="gp_count"/>
    <tableColumn id="28" xr3:uid="{789D0566-DEBF-4D80-9AE3-83B237EE707A}" name="gp_count_source"/>
    <tableColumn id="29" xr3:uid="{EDEE1B04-C40A-4557-BE82-D9C06D5340DD}" name="fund_name">
      <calculatedColumnFormula>IFERROR(VLOOKUP($A2,fund_metadata!$A:$P,2,FALSE),"")</calculatedColumnFormula>
    </tableColumn>
    <tableColumn id="30" xr3:uid="{0BDCB205-FA2C-4A77-9F39-ED9A00613159}" name="strategy">
      <calculatedColumnFormula>IFERROR(VLOOKUP($A2,fund_metadata!$A:$P,16,FALSE),"")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86E397-AA5D-4BFA-A7EB-602BD369575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db1ca48-9233-4e56-9617-6895de6225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pstonegroup.com/what-we-do/solutions-services/private-wealth-solutions/sprim/" TargetMode="External"/><Relationship Id="rId13" Type="http://schemas.openxmlformats.org/officeDocument/2006/relationships/hyperlink" Target="https://am.jpmorgan.com/us/en/asset-management/adv/products/jpmorgan-private-markets-fund-i-48130f306" TargetMode="External"/><Relationship Id="rId3" Type="http://schemas.openxmlformats.org/officeDocument/2006/relationships/hyperlink" Target="https://www.bowriverevergreen.com/" TargetMode="External"/><Relationship Id="rId7" Type="http://schemas.openxmlformats.org/officeDocument/2006/relationships/hyperlink" Target="https://www.stepstonegroup.com/what-we-do/solutions-services/private-wealth-solutions/crdex/" TargetMode="External"/><Relationship Id="rId12" Type="http://schemas.openxmlformats.org/officeDocument/2006/relationships/hyperlink" Target="https://www.hamiltonlane.com/en-us/strategies/evergreen/us-private-wealth/private-assets-fund" TargetMode="External"/><Relationship Id="rId2" Type="http://schemas.openxmlformats.org/officeDocument/2006/relationships/hyperlink" Target="https://finance.yahoo.com/quote/XSPIX/" TargetMode="External"/><Relationship Id="rId1" Type="http://schemas.openxmlformats.org/officeDocument/2006/relationships/hyperlink" Target="https://finance.yahoo.com/quote/CELFX/" TargetMode="External"/><Relationship Id="rId6" Type="http://schemas.openxmlformats.org/officeDocument/2006/relationships/hyperlink" Target="https://cspef.com/" TargetMode="External"/><Relationship Id="rId11" Type="http://schemas.openxmlformats.org/officeDocument/2006/relationships/hyperlink" Target="https://www.flexpe.com/" TargetMode="External"/><Relationship Id="rId5" Type="http://schemas.openxmlformats.org/officeDocument/2006/relationships/hyperlink" Target="https://www.cliffwaterfunds.com/celfx" TargetMode="External"/><Relationship Id="rId10" Type="http://schemas.openxmlformats.org/officeDocument/2006/relationships/hyperlink" Target="https://www.pantheon.com/private-wealth-overview/amg-pantheon-fund/" TargetMode="External"/><Relationship Id="rId4" Type="http://schemas.openxmlformats.org/officeDocument/2006/relationships/hyperlink" Target="https://www.carlyle.com/capm" TargetMode="External"/><Relationship Id="rId9" Type="http://schemas.openxmlformats.org/officeDocument/2006/relationships/hyperlink" Target="https://www.stepstonegroup.com/what-we-do/solutions-services/private-wealth-solutions/sp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1"/>
  <sheetViews>
    <sheetView topLeftCell="A387" zoomScale="67" zoomScaleNormal="115" workbookViewId="0">
      <selection activeCell="K572" sqref="K572"/>
    </sheetView>
  </sheetViews>
  <sheetFormatPr defaultRowHeight="15" x14ac:dyDescent="0.25"/>
  <cols>
    <col min="1" max="1" width="10.85546875" customWidth="1"/>
    <col min="2" max="2" width="14.7109375" customWidth="1"/>
    <col min="3" max="3" width="16.140625" customWidth="1"/>
    <col min="4" max="4" width="14.85546875" bestFit="1" customWidth="1"/>
    <col min="5" max="5" width="20.85546875" customWidth="1"/>
    <col min="6" max="6" width="16.140625" bestFit="1" customWidth="1"/>
    <col min="7" max="7" width="15.7109375" customWidth="1"/>
    <col min="8" max="8" width="19.140625" customWidth="1"/>
    <col min="9" max="9" width="27.7109375" customWidth="1"/>
    <col min="10" max="10" width="28.140625" customWidth="1"/>
    <col min="11" max="11" width="36.7109375" customWidth="1"/>
    <col min="12" max="12" width="22.28515625" customWidth="1"/>
    <col min="13" max="13" width="27.28515625" customWidth="1"/>
    <col min="14" max="14" width="25.42578125" customWidth="1"/>
    <col min="15" max="15" width="12.7109375" bestFit="1" customWidth="1"/>
    <col min="16" max="16" width="15.7109375" customWidth="1"/>
    <col min="17" max="17" width="23.85546875" customWidth="1"/>
    <col min="18" max="18" width="32.42578125" customWidth="1"/>
    <col min="19" max="19" width="18.7109375" customWidth="1"/>
    <col min="20" max="20" width="27.28515625" customWidth="1"/>
    <col min="21" max="21" width="19.42578125" customWidth="1"/>
    <col min="22" max="22" width="28" customWidth="1"/>
    <col min="23" max="23" width="21.28515625" customWidth="1"/>
    <col min="24" max="24" width="29.85546875" customWidth="1"/>
    <col min="25" max="25" width="21.28515625" customWidth="1"/>
    <col min="26" max="26" width="29.85546875" customWidth="1"/>
    <col min="27" max="27" width="12.85546875" customWidth="1"/>
    <col min="28" max="28" width="21.28515625" customWidth="1"/>
    <col min="29" max="29" width="26.7109375" bestFit="1" customWidth="1"/>
    <col min="30" max="30" width="15" bestFit="1" customWidth="1"/>
  </cols>
  <sheetData>
    <row r="1" spans="1:30" x14ac:dyDescent="0.25">
      <c r="A1" t="s">
        <v>0</v>
      </c>
      <c r="B1" t="s">
        <v>3</v>
      </c>
      <c r="C1" t="s">
        <v>126</v>
      </c>
      <c r="D1" t="s">
        <v>93</v>
      </c>
      <c r="E1" t="s">
        <v>95</v>
      </c>
      <c r="F1" t="s">
        <v>4</v>
      </c>
      <c r="G1" t="s">
        <v>82</v>
      </c>
      <c r="H1" t="s">
        <v>5</v>
      </c>
      <c r="I1" t="s">
        <v>83</v>
      </c>
      <c r="J1" t="s">
        <v>86</v>
      </c>
      <c r="K1" t="s">
        <v>90</v>
      </c>
      <c r="L1" t="s">
        <v>6</v>
      </c>
      <c r="M1" t="s">
        <v>84</v>
      </c>
      <c r="N1" t="s">
        <v>112</v>
      </c>
      <c r="O1" t="s">
        <v>87</v>
      </c>
      <c r="P1" t="s">
        <v>88</v>
      </c>
      <c r="Q1" t="s">
        <v>109</v>
      </c>
      <c r="R1" t="s">
        <v>110</v>
      </c>
      <c r="S1" t="s">
        <v>92</v>
      </c>
      <c r="T1" t="s">
        <v>94</v>
      </c>
      <c r="U1" t="s">
        <v>98</v>
      </c>
      <c r="V1" t="s">
        <v>99</v>
      </c>
      <c r="W1" t="s">
        <v>100</v>
      </c>
      <c r="X1" t="s">
        <v>102</v>
      </c>
      <c r="Y1" t="s">
        <v>101</v>
      </c>
      <c r="Z1" t="s">
        <v>103</v>
      </c>
      <c r="AA1" t="s">
        <v>81</v>
      </c>
      <c r="AB1" t="s">
        <v>85</v>
      </c>
      <c r="AC1" t="s">
        <v>1</v>
      </c>
      <c r="AD1" t="s">
        <v>91</v>
      </c>
    </row>
    <row r="2" spans="1:30" x14ac:dyDescent="0.25">
      <c r="A2">
        <v>1</v>
      </c>
      <c r="B2" s="3">
        <v>43982</v>
      </c>
      <c r="C2" s="3"/>
      <c r="F2" s="4"/>
      <c r="H2" s="5">
        <v>26.04</v>
      </c>
      <c r="I2" t="s">
        <v>89</v>
      </c>
      <c r="L2" s="2"/>
      <c r="O2" s="4"/>
      <c r="AC2" t="str">
        <f>IFERROR(VLOOKUP($A2,fund_metadata!$A:$P,2,FALSE),"")</f>
        <v>Bow River Evergreen PE</v>
      </c>
      <c r="AD2" t="str">
        <f>IFERROR(VLOOKUP($A2,fund_metadata!$A:$P,16,FALSE),"")</f>
        <v>private_equity</v>
      </c>
    </row>
    <row r="3" spans="1:30" x14ac:dyDescent="0.25">
      <c r="A3">
        <v>1</v>
      </c>
      <c r="B3" s="3">
        <v>44012</v>
      </c>
      <c r="C3" s="3"/>
      <c r="F3" s="4"/>
      <c r="H3" s="5">
        <v>28.71</v>
      </c>
      <c r="I3" t="s">
        <v>89</v>
      </c>
      <c r="L3" s="2">
        <v>0.1024</v>
      </c>
      <c r="M3" t="s">
        <v>89</v>
      </c>
      <c r="O3" s="4"/>
      <c r="AC3" t="str">
        <f>IFERROR(VLOOKUP($A3,fund_metadata!$A:$P,2,FALSE),"")</f>
        <v>Bow River Evergreen PE</v>
      </c>
      <c r="AD3" t="str">
        <f>IFERROR(VLOOKUP($A3,fund_metadata!$A:$P,16,FALSE),"")</f>
        <v>private_equity</v>
      </c>
    </row>
    <row r="4" spans="1:30" x14ac:dyDescent="0.25">
      <c r="A4">
        <v>1</v>
      </c>
      <c r="B4" s="3">
        <v>44043</v>
      </c>
      <c r="C4" s="3"/>
      <c r="F4" s="4"/>
      <c r="H4" s="5">
        <v>28.78</v>
      </c>
      <c r="I4" t="s">
        <v>89</v>
      </c>
      <c r="L4" s="2">
        <v>2.5999999999999999E-3</v>
      </c>
      <c r="M4" t="s">
        <v>89</v>
      </c>
      <c r="O4" s="4"/>
      <c r="AC4" t="str">
        <f>IFERROR(VLOOKUP($A4,fund_metadata!$A:$P,2,FALSE),"")</f>
        <v>Bow River Evergreen PE</v>
      </c>
      <c r="AD4" t="str">
        <f>IFERROR(VLOOKUP($A4,fund_metadata!$A:$P,16,FALSE),"")</f>
        <v>private_equity</v>
      </c>
    </row>
    <row r="5" spans="1:30" x14ac:dyDescent="0.25">
      <c r="A5">
        <v>1</v>
      </c>
      <c r="B5" s="3">
        <v>44074</v>
      </c>
      <c r="C5" s="3"/>
      <c r="F5" s="4"/>
      <c r="H5" s="5">
        <v>28.83</v>
      </c>
      <c r="I5" t="s">
        <v>89</v>
      </c>
      <c r="L5" s="2">
        <v>1.6000000000000001E-3</v>
      </c>
      <c r="M5" t="s">
        <v>89</v>
      </c>
      <c r="O5" s="4"/>
      <c r="AC5" t="str">
        <f>IFERROR(VLOOKUP($A5,fund_metadata!$A:$P,2,FALSE),"")</f>
        <v>Bow River Evergreen PE</v>
      </c>
      <c r="AD5" t="str">
        <f>IFERROR(VLOOKUP($A5,fund_metadata!$A:$P,16,FALSE),"")</f>
        <v>private_equity</v>
      </c>
    </row>
    <row r="6" spans="1:30" x14ac:dyDescent="0.25">
      <c r="A6">
        <v>1</v>
      </c>
      <c r="B6" s="3">
        <v>44104</v>
      </c>
      <c r="C6" s="3"/>
      <c r="F6" s="4"/>
      <c r="H6" s="5">
        <v>29.26</v>
      </c>
      <c r="I6" t="s">
        <v>89</v>
      </c>
      <c r="L6" s="2">
        <v>1.49E-2</v>
      </c>
      <c r="M6" t="s">
        <v>89</v>
      </c>
      <c r="O6" s="4"/>
      <c r="AC6" t="str">
        <f>IFERROR(VLOOKUP($A6,fund_metadata!$A:$P,2,FALSE),"")</f>
        <v>Bow River Evergreen PE</v>
      </c>
      <c r="AD6" t="str">
        <f>IFERROR(VLOOKUP($A6,fund_metadata!$A:$P,16,FALSE),"")</f>
        <v>private_equity</v>
      </c>
    </row>
    <row r="7" spans="1:30" x14ac:dyDescent="0.25">
      <c r="A7">
        <v>1</v>
      </c>
      <c r="B7" s="3">
        <v>44135</v>
      </c>
      <c r="C7" s="3"/>
      <c r="F7" s="4"/>
      <c r="H7" s="5">
        <v>29.26</v>
      </c>
      <c r="I7" t="s">
        <v>89</v>
      </c>
      <c r="L7" s="2">
        <v>1E-4</v>
      </c>
      <c r="M7" t="s">
        <v>89</v>
      </c>
      <c r="O7" s="4"/>
      <c r="AC7" t="str">
        <f>IFERROR(VLOOKUP($A7,fund_metadata!$A:$P,2,FALSE),"")</f>
        <v>Bow River Evergreen PE</v>
      </c>
      <c r="AD7" t="str">
        <f>IFERROR(VLOOKUP($A7,fund_metadata!$A:$P,16,FALSE),"")</f>
        <v>private_equity</v>
      </c>
    </row>
    <row r="8" spans="1:30" x14ac:dyDescent="0.25">
      <c r="A8">
        <v>1</v>
      </c>
      <c r="B8" s="3">
        <v>44165</v>
      </c>
      <c r="C8" s="3"/>
      <c r="F8" s="4"/>
      <c r="H8" s="5">
        <v>29.6</v>
      </c>
      <c r="I8" t="s">
        <v>89</v>
      </c>
      <c r="L8" s="2">
        <v>1.18E-2</v>
      </c>
      <c r="M8" t="s">
        <v>89</v>
      </c>
      <c r="O8" s="4"/>
      <c r="AC8" t="str">
        <f>IFERROR(VLOOKUP($A8,fund_metadata!$A:$P,2,FALSE),"")</f>
        <v>Bow River Evergreen PE</v>
      </c>
      <c r="AD8" t="str">
        <f>IFERROR(VLOOKUP($A8,fund_metadata!$A:$P,16,FALSE),"")</f>
        <v>private_equity</v>
      </c>
    </row>
    <row r="9" spans="1:30" x14ac:dyDescent="0.25">
      <c r="A9">
        <v>1</v>
      </c>
      <c r="B9" s="3">
        <v>44196</v>
      </c>
      <c r="C9" s="3"/>
      <c r="F9" s="4"/>
      <c r="H9" s="5">
        <v>29.58</v>
      </c>
      <c r="I9" t="s">
        <v>89</v>
      </c>
      <c r="L9" s="2">
        <v>-8.0000000000000004E-4</v>
      </c>
      <c r="M9" t="s">
        <v>89</v>
      </c>
      <c r="O9" s="4"/>
      <c r="AC9" t="str">
        <f>IFERROR(VLOOKUP($A9,fund_metadata!$A:$P,2,FALSE),"")</f>
        <v>Bow River Evergreen PE</v>
      </c>
      <c r="AD9" t="str">
        <f>IFERROR(VLOOKUP($A9,fund_metadata!$A:$P,16,FALSE),"")</f>
        <v>private_equity</v>
      </c>
    </row>
    <row r="10" spans="1:30" x14ac:dyDescent="0.25">
      <c r="A10">
        <v>1</v>
      </c>
      <c r="B10" s="3">
        <v>44227</v>
      </c>
      <c r="C10" s="3"/>
      <c r="F10" s="4"/>
      <c r="H10" s="5">
        <v>30.39</v>
      </c>
      <c r="I10" t="s">
        <v>89</v>
      </c>
      <c r="L10" s="2">
        <v>2.7300000000000001E-2</v>
      </c>
      <c r="M10" t="s">
        <v>89</v>
      </c>
      <c r="O10" s="4"/>
      <c r="AC10" t="str">
        <f>IFERROR(VLOOKUP($A10,fund_metadata!$A:$P,2,FALSE),"")</f>
        <v>Bow River Evergreen PE</v>
      </c>
      <c r="AD10" t="str">
        <f>IFERROR(VLOOKUP($A10,fund_metadata!$A:$P,16,FALSE),"")</f>
        <v>private_equity</v>
      </c>
    </row>
    <row r="11" spans="1:30" x14ac:dyDescent="0.25">
      <c r="A11">
        <v>1</v>
      </c>
      <c r="B11" s="3">
        <v>44255</v>
      </c>
      <c r="C11" s="3"/>
      <c r="F11" s="4"/>
      <c r="H11" s="5">
        <v>31.19</v>
      </c>
      <c r="I11" t="s">
        <v>89</v>
      </c>
      <c r="L11" s="2">
        <v>2.64E-2</v>
      </c>
      <c r="M11" t="s">
        <v>89</v>
      </c>
      <c r="O11" s="4"/>
      <c r="AC11" t="str">
        <f>IFERROR(VLOOKUP($A11,fund_metadata!$A:$P,2,FALSE),"")</f>
        <v>Bow River Evergreen PE</v>
      </c>
      <c r="AD11" t="str">
        <f>IFERROR(VLOOKUP($A11,fund_metadata!$A:$P,16,FALSE),"")</f>
        <v>private_equity</v>
      </c>
    </row>
    <row r="12" spans="1:30" x14ac:dyDescent="0.25">
      <c r="A12">
        <v>1</v>
      </c>
      <c r="B12" s="3">
        <v>44286</v>
      </c>
      <c r="C12" s="3"/>
      <c r="F12" s="4"/>
      <c r="H12" s="5">
        <v>31.77</v>
      </c>
      <c r="I12" t="s">
        <v>89</v>
      </c>
      <c r="L12" s="2">
        <v>1.8599999999999998E-2</v>
      </c>
      <c r="M12" t="s">
        <v>89</v>
      </c>
      <c r="N12">
        <v>32</v>
      </c>
      <c r="O12" s="4"/>
      <c r="Q12">
        <v>2869318</v>
      </c>
      <c r="R12" t="s">
        <v>121</v>
      </c>
      <c r="AC12" t="str">
        <f>IFERROR(VLOOKUP($A12,fund_metadata!$A:$P,2,FALSE),"")</f>
        <v>Bow River Evergreen PE</v>
      </c>
      <c r="AD12" t="str">
        <f>IFERROR(VLOOKUP($A12,fund_metadata!$A:$P,16,FALSE),"")</f>
        <v>private_equity</v>
      </c>
    </row>
    <row r="13" spans="1:30" x14ac:dyDescent="0.25">
      <c r="A13">
        <v>1</v>
      </c>
      <c r="B13" s="3">
        <v>44316</v>
      </c>
      <c r="C13" s="3"/>
      <c r="F13" s="4"/>
      <c r="H13" s="5">
        <v>31.79</v>
      </c>
      <c r="I13" t="s">
        <v>89</v>
      </c>
      <c r="L13" s="2">
        <v>6.9999999999999999E-4</v>
      </c>
      <c r="M13" t="s">
        <v>89</v>
      </c>
      <c r="O13" s="4"/>
      <c r="AC13" t="str">
        <f>IFERROR(VLOOKUP($A13,fund_metadata!$A:$P,2,FALSE),"")</f>
        <v>Bow River Evergreen PE</v>
      </c>
      <c r="AD13" t="str">
        <f>IFERROR(VLOOKUP($A13,fund_metadata!$A:$P,16,FALSE),"")</f>
        <v>private_equity</v>
      </c>
    </row>
    <row r="14" spans="1:30" x14ac:dyDescent="0.25">
      <c r="A14">
        <v>1</v>
      </c>
      <c r="B14" s="3">
        <v>44347</v>
      </c>
      <c r="C14" s="3"/>
      <c r="F14" s="4"/>
      <c r="H14" s="5">
        <v>33.04</v>
      </c>
      <c r="I14" t="s">
        <v>89</v>
      </c>
      <c r="L14" s="2">
        <v>3.9399999999999998E-2</v>
      </c>
      <c r="M14" t="s">
        <v>89</v>
      </c>
      <c r="O14" s="4"/>
      <c r="AC14" t="str">
        <f>IFERROR(VLOOKUP($A14,fund_metadata!$A:$P,2,FALSE),"")</f>
        <v>Bow River Evergreen PE</v>
      </c>
      <c r="AD14" t="str">
        <f>IFERROR(VLOOKUP($A14,fund_metadata!$A:$P,16,FALSE),"")</f>
        <v>private_equity</v>
      </c>
    </row>
    <row r="15" spans="1:30" x14ac:dyDescent="0.25">
      <c r="A15">
        <v>1</v>
      </c>
      <c r="B15" s="3">
        <v>44377</v>
      </c>
      <c r="C15" s="3"/>
      <c r="F15" s="4">
        <v>127850000</v>
      </c>
      <c r="G15" t="s">
        <v>89</v>
      </c>
      <c r="H15" s="5">
        <v>33.840000000000003</v>
      </c>
      <c r="I15" t="s">
        <v>89</v>
      </c>
      <c r="L15" s="2">
        <v>2.4199999999999999E-2</v>
      </c>
      <c r="M15" t="s">
        <v>89</v>
      </c>
      <c r="N15">
        <v>40</v>
      </c>
      <c r="O15" s="4"/>
      <c r="AC15" t="str">
        <f>IFERROR(VLOOKUP($A15,fund_metadata!$A:$P,2,FALSE),"")</f>
        <v>Bow River Evergreen PE</v>
      </c>
      <c r="AD15" t="str">
        <f>IFERROR(VLOOKUP($A15,fund_metadata!$A:$P,16,FALSE),"")</f>
        <v>private_equity</v>
      </c>
    </row>
    <row r="16" spans="1:30" x14ac:dyDescent="0.25">
      <c r="A16">
        <v>1</v>
      </c>
      <c r="B16" s="3">
        <v>44408</v>
      </c>
      <c r="C16" s="3"/>
      <c r="F16" s="4">
        <v>131660000</v>
      </c>
      <c r="G16" t="s">
        <v>89</v>
      </c>
      <c r="H16" s="5">
        <v>34.520000000000003</v>
      </c>
      <c r="I16" t="s">
        <v>89</v>
      </c>
      <c r="L16" s="2">
        <v>0.02</v>
      </c>
      <c r="M16" t="s">
        <v>89</v>
      </c>
      <c r="O16" s="4"/>
      <c r="AC16" t="str">
        <f>IFERROR(VLOOKUP($A16,fund_metadata!$A:$P,2,FALSE),"")</f>
        <v>Bow River Evergreen PE</v>
      </c>
      <c r="AD16" t="str">
        <f>IFERROR(VLOOKUP($A16,fund_metadata!$A:$P,16,FALSE),"")</f>
        <v>private_equity</v>
      </c>
    </row>
    <row r="17" spans="1:30" x14ac:dyDescent="0.25">
      <c r="A17">
        <v>1</v>
      </c>
      <c r="B17" s="3">
        <v>44439</v>
      </c>
      <c r="C17" s="3"/>
      <c r="F17" s="4">
        <v>141200000</v>
      </c>
      <c r="G17" t="s">
        <v>89</v>
      </c>
      <c r="H17" s="5">
        <v>36.01</v>
      </c>
      <c r="I17" t="s">
        <v>89</v>
      </c>
      <c r="L17" s="2">
        <v>4.3200000000000002E-2</v>
      </c>
      <c r="M17" t="s">
        <v>89</v>
      </c>
      <c r="O17" s="4"/>
      <c r="AC17" t="str">
        <f>IFERROR(VLOOKUP($A17,fund_metadata!$A:$P,2,FALSE),"")</f>
        <v>Bow River Evergreen PE</v>
      </c>
      <c r="AD17" t="str">
        <f>IFERROR(VLOOKUP($A17,fund_metadata!$A:$P,16,FALSE),"")</f>
        <v>private_equity</v>
      </c>
    </row>
    <row r="18" spans="1:30" x14ac:dyDescent="0.25">
      <c r="A18">
        <v>1</v>
      </c>
      <c r="B18" s="3">
        <v>44469</v>
      </c>
      <c r="C18" s="3"/>
      <c r="F18" s="4">
        <v>150110000</v>
      </c>
      <c r="G18" t="s">
        <v>89</v>
      </c>
      <c r="H18" s="5">
        <v>36.75</v>
      </c>
      <c r="I18" t="s">
        <v>89</v>
      </c>
      <c r="L18" s="2">
        <v>2.0400000000000001E-2</v>
      </c>
      <c r="M18" t="s">
        <v>89</v>
      </c>
      <c r="N18">
        <v>46</v>
      </c>
      <c r="O18" s="4"/>
      <c r="Q18">
        <v>4085205</v>
      </c>
      <c r="R18" t="s">
        <v>120</v>
      </c>
      <c r="AC18" t="str">
        <f>IFERROR(VLOOKUP($A18,fund_metadata!$A:$P,2,FALSE),"")</f>
        <v>Bow River Evergreen PE</v>
      </c>
      <c r="AD18" t="str">
        <f>IFERROR(VLOOKUP($A18,fund_metadata!$A:$P,16,FALSE),"")</f>
        <v>private_equity</v>
      </c>
    </row>
    <row r="19" spans="1:30" x14ac:dyDescent="0.25">
      <c r="A19">
        <v>1</v>
      </c>
      <c r="B19" s="3">
        <v>44500</v>
      </c>
      <c r="C19" s="3"/>
      <c r="F19" s="4">
        <v>152780000</v>
      </c>
      <c r="G19" t="s">
        <v>89</v>
      </c>
      <c r="H19" s="5">
        <v>36.76</v>
      </c>
      <c r="I19" t="s">
        <v>89</v>
      </c>
      <c r="L19" s="2">
        <v>4.0000000000000002E-4</v>
      </c>
      <c r="M19" t="s">
        <v>89</v>
      </c>
      <c r="O19" s="4"/>
      <c r="AC19" t="str">
        <f>IFERROR(VLOOKUP($A19,fund_metadata!$A:$P,2,FALSE),"")</f>
        <v>Bow River Evergreen PE</v>
      </c>
      <c r="AD19" t="str">
        <f>IFERROR(VLOOKUP($A19,fund_metadata!$A:$P,16,FALSE),"")</f>
        <v>private_equity</v>
      </c>
    </row>
    <row r="20" spans="1:30" x14ac:dyDescent="0.25">
      <c r="A20">
        <v>1</v>
      </c>
      <c r="B20" s="3">
        <v>44530</v>
      </c>
      <c r="C20" s="3"/>
      <c r="F20" s="4">
        <v>172670000</v>
      </c>
      <c r="G20" t="s">
        <v>89</v>
      </c>
      <c r="H20" s="5">
        <v>38.409999999999997</v>
      </c>
      <c r="I20" t="s">
        <v>89</v>
      </c>
      <c r="L20" s="2">
        <v>4.4900000000000002E-2</v>
      </c>
      <c r="M20" t="s">
        <v>89</v>
      </c>
      <c r="O20" s="4"/>
      <c r="AC20" t="str">
        <f>IFERROR(VLOOKUP($A20,fund_metadata!$A:$P,2,FALSE),"")</f>
        <v>Bow River Evergreen PE</v>
      </c>
      <c r="AD20" t="str">
        <f>IFERROR(VLOOKUP($A20,fund_metadata!$A:$P,16,FALSE),"")</f>
        <v>private_equity</v>
      </c>
    </row>
    <row r="21" spans="1:30" x14ac:dyDescent="0.25">
      <c r="A21">
        <v>1</v>
      </c>
      <c r="B21" s="3">
        <v>44561</v>
      </c>
      <c r="C21" s="3"/>
      <c r="F21" s="4">
        <v>181180000</v>
      </c>
      <c r="G21" t="s">
        <v>89</v>
      </c>
      <c r="H21" s="5">
        <v>38.380000000000003</v>
      </c>
      <c r="I21" t="s">
        <v>89</v>
      </c>
      <c r="L21" s="2">
        <v>6.3E-3</v>
      </c>
      <c r="M21" t="s">
        <v>89</v>
      </c>
      <c r="N21">
        <v>53</v>
      </c>
      <c r="O21" s="4"/>
      <c r="AC21" t="str">
        <f>IFERROR(VLOOKUP($A21,fund_metadata!$A:$P,2,FALSE),"")</f>
        <v>Bow River Evergreen PE</v>
      </c>
      <c r="AD21" t="str">
        <f>IFERROR(VLOOKUP($A21,fund_metadata!$A:$P,16,FALSE),"")</f>
        <v>private_equity</v>
      </c>
    </row>
    <row r="22" spans="1:30" x14ac:dyDescent="0.25">
      <c r="A22">
        <v>1</v>
      </c>
      <c r="B22" s="3">
        <v>44592</v>
      </c>
      <c r="C22" s="3"/>
      <c r="F22" s="4">
        <v>191620000</v>
      </c>
      <c r="G22" t="s">
        <v>89</v>
      </c>
      <c r="H22" s="5">
        <v>38.01</v>
      </c>
      <c r="I22" t="s">
        <v>89</v>
      </c>
      <c r="L22" s="2">
        <v>-9.7000000000000003E-3</v>
      </c>
      <c r="M22" t="s">
        <v>89</v>
      </c>
      <c r="O22" s="4"/>
      <c r="AC22" t="str">
        <f>IFERROR(VLOOKUP($A22,fund_metadata!$A:$P,2,FALSE),"")</f>
        <v>Bow River Evergreen PE</v>
      </c>
      <c r="AD22" t="str">
        <f>IFERROR(VLOOKUP($A22,fund_metadata!$A:$P,16,FALSE),"")</f>
        <v>private_equity</v>
      </c>
    </row>
    <row r="23" spans="1:30" x14ac:dyDescent="0.25">
      <c r="A23">
        <v>1</v>
      </c>
      <c r="B23" s="3">
        <v>44620</v>
      </c>
      <c r="C23" s="3"/>
      <c r="F23" s="4">
        <v>206170000</v>
      </c>
      <c r="G23" t="s">
        <v>89</v>
      </c>
      <c r="H23" s="5">
        <v>38.6</v>
      </c>
      <c r="I23" t="s">
        <v>89</v>
      </c>
      <c r="L23" s="2">
        <v>1.5699999999999999E-2</v>
      </c>
      <c r="M23" t="s">
        <v>89</v>
      </c>
      <c r="O23" s="4"/>
      <c r="AC23" t="str">
        <f>IFERROR(VLOOKUP($A23,fund_metadata!$A:$P,2,FALSE),"")</f>
        <v>Bow River Evergreen PE</v>
      </c>
      <c r="AD23" t="str">
        <f>IFERROR(VLOOKUP($A23,fund_metadata!$A:$P,16,FALSE),"")</f>
        <v>private_equity</v>
      </c>
    </row>
    <row r="24" spans="1:30" x14ac:dyDescent="0.25">
      <c r="A24">
        <v>1</v>
      </c>
      <c r="B24" s="3">
        <v>44651</v>
      </c>
      <c r="C24" s="3"/>
      <c r="F24" s="4">
        <v>217280000</v>
      </c>
      <c r="G24" t="s">
        <v>89</v>
      </c>
      <c r="H24" s="5">
        <v>39.5</v>
      </c>
      <c r="I24" t="s">
        <v>89</v>
      </c>
      <c r="L24" s="2">
        <v>2.3199999999999998E-2</v>
      </c>
      <c r="M24" t="s">
        <v>89</v>
      </c>
      <c r="N24">
        <v>64</v>
      </c>
      <c r="O24" s="4">
        <v>230020000</v>
      </c>
      <c r="P24" t="s">
        <v>89</v>
      </c>
      <c r="Q24">
        <v>5341595</v>
      </c>
      <c r="R24" t="s">
        <v>121</v>
      </c>
      <c r="AC24" t="str">
        <f>IFERROR(VLOOKUP($A24,fund_metadata!$A:$P,2,FALSE),"")</f>
        <v>Bow River Evergreen PE</v>
      </c>
      <c r="AD24" t="str">
        <f>IFERROR(VLOOKUP($A24,fund_metadata!$A:$P,16,FALSE),"")</f>
        <v>private_equity</v>
      </c>
    </row>
    <row r="25" spans="1:30" x14ac:dyDescent="0.25">
      <c r="A25">
        <v>1</v>
      </c>
      <c r="B25" s="3">
        <v>44681</v>
      </c>
      <c r="C25" s="3"/>
      <c r="F25" s="4">
        <v>227980000</v>
      </c>
      <c r="G25" t="s">
        <v>89</v>
      </c>
      <c r="H25" s="5">
        <v>39.68</v>
      </c>
      <c r="I25" t="s">
        <v>89</v>
      </c>
      <c r="L25" s="2">
        <v>4.4999999999999997E-3</v>
      </c>
      <c r="M25" t="s">
        <v>89</v>
      </c>
      <c r="O25" s="4"/>
      <c r="AC25" t="str">
        <f>IFERROR(VLOOKUP($A25,fund_metadata!$A:$P,2,FALSE),"")</f>
        <v>Bow River Evergreen PE</v>
      </c>
      <c r="AD25" t="str">
        <f>IFERROR(VLOOKUP($A25,fund_metadata!$A:$P,16,FALSE),"")</f>
        <v>private_equity</v>
      </c>
    </row>
    <row r="26" spans="1:30" x14ac:dyDescent="0.25">
      <c r="A26">
        <v>1</v>
      </c>
      <c r="B26" s="3">
        <v>44712</v>
      </c>
      <c r="C26" s="3"/>
      <c r="F26" s="4">
        <v>238290000</v>
      </c>
      <c r="G26" t="s">
        <v>89</v>
      </c>
      <c r="H26" s="5">
        <v>40.130000000000003</v>
      </c>
      <c r="I26" t="s">
        <v>89</v>
      </c>
      <c r="L26" s="2">
        <v>1.14E-2</v>
      </c>
      <c r="M26" t="s">
        <v>89</v>
      </c>
      <c r="O26" s="4"/>
      <c r="AC26" t="str">
        <f>IFERROR(VLOOKUP($A26,fund_metadata!$A:$P,2,FALSE),"")</f>
        <v>Bow River Evergreen PE</v>
      </c>
      <c r="AD26" t="str">
        <f>IFERROR(VLOOKUP($A26,fund_metadata!$A:$P,16,FALSE),"")</f>
        <v>private_equity</v>
      </c>
    </row>
    <row r="27" spans="1:30" x14ac:dyDescent="0.25">
      <c r="A27">
        <v>1</v>
      </c>
      <c r="B27" s="3">
        <v>44742</v>
      </c>
      <c r="C27" s="3"/>
      <c r="F27" s="4">
        <v>247830000</v>
      </c>
      <c r="G27" t="s">
        <v>89</v>
      </c>
      <c r="H27" s="5">
        <v>39.92</v>
      </c>
      <c r="I27" t="s">
        <v>89</v>
      </c>
      <c r="L27" s="2">
        <v>-5.3E-3</v>
      </c>
      <c r="M27" t="s">
        <v>89</v>
      </c>
      <c r="N27">
        <v>79</v>
      </c>
      <c r="O27" s="4"/>
      <c r="AC27" t="str">
        <f>IFERROR(VLOOKUP($A27,fund_metadata!$A:$P,2,FALSE),"")</f>
        <v>Bow River Evergreen PE</v>
      </c>
      <c r="AD27" t="str">
        <f>IFERROR(VLOOKUP($A27,fund_metadata!$A:$P,16,FALSE),"")</f>
        <v>private_equity</v>
      </c>
    </row>
    <row r="28" spans="1:30" x14ac:dyDescent="0.25">
      <c r="A28">
        <v>1</v>
      </c>
      <c r="B28" s="3">
        <v>44773</v>
      </c>
      <c r="C28" s="3"/>
      <c r="F28" s="4">
        <v>257890000</v>
      </c>
      <c r="G28" t="s">
        <v>89</v>
      </c>
      <c r="H28" s="5">
        <v>39.76</v>
      </c>
      <c r="I28" t="s">
        <v>89</v>
      </c>
      <c r="L28" s="2">
        <v>-3.8999999999999998E-3</v>
      </c>
      <c r="M28" t="s">
        <v>89</v>
      </c>
      <c r="O28" s="4"/>
      <c r="AC28" t="str">
        <f>IFERROR(VLOOKUP($A28,fund_metadata!$A:$P,2,FALSE),"")</f>
        <v>Bow River Evergreen PE</v>
      </c>
      <c r="AD28" t="str">
        <f>IFERROR(VLOOKUP($A28,fund_metadata!$A:$P,16,FALSE),"")</f>
        <v>private_equity</v>
      </c>
    </row>
    <row r="29" spans="1:30" x14ac:dyDescent="0.25">
      <c r="A29">
        <v>1</v>
      </c>
      <c r="B29" s="3">
        <v>44804</v>
      </c>
      <c r="C29" s="3"/>
      <c r="F29" s="4">
        <v>269150000</v>
      </c>
      <c r="G29" t="s">
        <v>89</v>
      </c>
      <c r="H29" s="5">
        <v>39.94</v>
      </c>
      <c r="I29" t="s">
        <v>89</v>
      </c>
      <c r="L29" s="2">
        <v>4.4999999999999997E-3</v>
      </c>
      <c r="M29" t="s">
        <v>89</v>
      </c>
      <c r="O29" s="4"/>
      <c r="AC29" t="str">
        <f>IFERROR(VLOOKUP($A29,fund_metadata!$A:$P,2,FALSE),"")</f>
        <v>Bow River Evergreen PE</v>
      </c>
      <c r="AD29" t="str">
        <f>IFERROR(VLOOKUP($A29,fund_metadata!$A:$P,16,FALSE),"")</f>
        <v>private_equity</v>
      </c>
    </row>
    <row r="30" spans="1:30" x14ac:dyDescent="0.25">
      <c r="A30">
        <v>1</v>
      </c>
      <c r="B30" s="3">
        <v>44834</v>
      </c>
      <c r="C30" s="3"/>
      <c r="F30" s="4">
        <v>279610000</v>
      </c>
      <c r="G30" t="s">
        <v>89</v>
      </c>
      <c r="H30" s="5">
        <v>39.869999999999997</v>
      </c>
      <c r="I30" t="s">
        <v>89</v>
      </c>
      <c r="L30" s="2">
        <v>-1.8E-3</v>
      </c>
      <c r="M30" t="s">
        <v>89</v>
      </c>
      <c r="N30">
        <v>88</v>
      </c>
      <c r="O30" s="4">
        <v>292180000</v>
      </c>
      <c r="P30" t="s">
        <v>89</v>
      </c>
      <c r="Q30">
        <v>6459606</v>
      </c>
      <c r="R30" t="s">
        <v>120</v>
      </c>
      <c r="AC30" t="str">
        <f>IFERROR(VLOOKUP($A30,fund_metadata!$A:$P,2,FALSE),"")</f>
        <v>Bow River Evergreen PE</v>
      </c>
      <c r="AD30" t="str">
        <f>IFERROR(VLOOKUP($A30,fund_metadata!$A:$P,16,FALSE),"")</f>
        <v>private_equity</v>
      </c>
    </row>
    <row r="31" spans="1:30" x14ac:dyDescent="0.25">
      <c r="A31">
        <v>1</v>
      </c>
      <c r="B31" s="3">
        <v>44865</v>
      </c>
      <c r="C31" s="3"/>
      <c r="F31" s="4">
        <v>286020000</v>
      </c>
      <c r="G31" t="s">
        <v>89</v>
      </c>
      <c r="H31" s="5">
        <v>39.75</v>
      </c>
      <c r="I31" t="s">
        <v>89</v>
      </c>
      <c r="L31" s="2">
        <v>-3.0000000000000001E-3</v>
      </c>
      <c r="M31" t="s">
        <v>89</v>
      </c>
      <c r="O31" s="4"/>
      <c r="AC31" t="str">
        <f>IFERROR(VLOOKUP($A31,fund_metadata!$A:$P,2,FALSE),"")</f>
        <v>Bow River Evergreen PE</v>
      </c>
      <c r="AD31" t="str">
        <f>IFERROR(VLOOKUP($A31,fund_metadata!$A:$P,16,FALSE),"")</f>
        <v>private_equity</v>
      </c>
    </row>
    <row r="32" spans="1:30" x14ac:dyDescent="0.25">
      <c r="A32">
        <v>1</v>
      </c>
      <c r="B32" s="3">
        <v>44895</v>
      </c>
      <c r="C32" s="3"/>
      <c r="F32" s="4">
        <v>296020000</v>
      </c>
      <c r="G32" t="s">
        <v>89</v>
      </c>
      <c r="H32" s="5">
        <v>40.18</v>
      </c>
      <c r="I32" t="s">
        <v>89</v>
      </c>
      <c r="L32" s="2">
        <v>1.0699999999999999E-2</v>
      </c>
      <c r="M32" t="s">
        <v>89</v>
      </c>
      <c r="O32" s="4"/>
      <c r="AC32" t="str">
        <f>IFERROR(VLOOKUP($A32,fund_metadata!$A:$P,2,FALSE),"")</f>
        <v>Bow River Evergreen PE</v>
      </c>
      <c r="AD32" t="str">
        <f>IFERROR(VLOOKUP($A32,fund_metadata!$A:$P,16,FALSE),"")</f>
        <v>private_equity</v>
      </c>
    </row>
    <row r="33" spans="1:30" x14ac:dyDescent="0.25">
      <c r="A33">
        <v>1</v>
      </c>
      <c r="B33" s="3">
        <v>44926</v>
      </c>
      <c r="C33" s="3"/>
      <c r="F33" s="4">
        <v>299140000</v>
      </c>
      <c r="G33" t="s">
        <v>89</v>
      </c>
      <c r="H33" s="5">
        <v>39.39</v>
      </c>
      <c r="I33" t="s">
        <v>89</v>
      </c>
      <c r="L33" s="2">
        <v>8.0999999999999996E-3</v>
      </c>
      <c r="M33" t="s">
        <v>89</v>
      </c>
      <c r="N33">
        <v>96</v>
      </c>
      <c r="O33" s="4"/>
      <c r="AC33" t="str">
        <f>IFERROR(VLOOKUP($A33,fund_metadata!$A:$P,2,FALSE),"")</f>
        <v>Bow River Evergreen PE</v>
      </c>
      <c r="AD33" t="str">
        <f>IFERROR(VLOOKUP($A33,fund_metadata!$A:$P,16,FALSE),"")</f>
        <v>private_equity</v>
      </c>
    </row>
    <row r="34" spans="1:30" x14ac:dyDescent="0.25">
      <c r="A34">
        <v>1</v>
      </c>
      <c r="B34" s="3">
        <v>44957</v>
      </c>
      <c r="C34" s="3"/>
      <c r="F34" s="4">
        <v>314370000</v>
      </c>
      <c r="G34" t="s">
        <v>89</v>
      </c>
      <c r="H34" s="5">
        <v>39.39</v>
      </c>
      <c r="I34" t="s">
        <v>89</v>
      </c>
      <c r="L34" s="2">
        <v>1E-4</v>
      </c>
      <c r="M34" t="s">
        <v>89</v>
      </c>
      <c r="O34" s="4"/>
      <c r="AC34" t="str">
        <f>IFERROR(VLOOKUP($A34,fund_metadata!$A:$P,2,FALSE),"")</f>
        <v>Bow River Evergreen PE</v>
      </c>
      <c r="AD34" t="str">
        <f>IFERROR(VLOOKUP($A34,fund_metadata!$A:$P,16,FALSE),"")</f>
        <v>private_equity</v>
      </c>
    </row>
    <row r="35" spans="1:30" x14ac:dyDescent="0.25">
      <c r="A35">
        <v>1</v>
      </c>
      <c r="B35" s="3">
        <v>44985</v>
      </c>
      <c r="C35" s="3"/>
      <c r="F35" s="4">
        <v>325700000</v>
      </c>
      <c r="G35" t="s">
        <v>89</v>
      </c>
      <c r="H35" s="5">
        <v>39.94</v>
      </c>
      <c r="I35" t="s">
        <v>89</v>
      </c>
      <c r="L35" s="2">
        <v>1.41E-2</v>
      </c>
      <c r="M35" t="s">
        <v>89</v>
      </c>
      <c r="O35" s="4"/>
      <c r="AC35" t="str">
        <f>IFERROR(VLOOKUP($A35,fund_metadata!$A:$P,2,FALSE),"")</f>
        <v>Bow River Evergreen PE</v>
      </c>
      <c r="AD35" t="str">
        <f>IFERROR(VLOOKUP($A35,fund_metadata!$A:$P,16,FALSE),"")</f>
        <v>private_equity</v>
      </c>
    </row>
    <row r="36" spans="1:30" x14ac:dyDescent="0.25">
      <c r="A36">
        <v>1</v>
      </c>
      <c r="B36" s="3">
        <v>45016</v>
      </c>
      <c r="C36" s="3"/>
      <c r="F36" s="4">
        <v>341380000</v>
      </c>
      <c r="G36" t="s">
        <v>89</v>
      </c>
      <c r="H36" s="5">
        <v>40.090000000000003</v>
      </c>
      <c r="I36" t="s">
        <v>89</v>
      </c>
      <c r="L36" s="2">
        <v>3.8E-3</v>
      </c>
      <c r="M36" t="s">
        <v>89</v>
      </c>
      <c r="N36">
        <v>98</v>
      </c>
      <c r="O36" s="4">
        <v>353810000</v>
      </c>
      <c r="P36" t="s">
        <v>89</v>
      </c>
      <c r="AC36" t="str">
        <f>IFERROR(VLOOKUP($A36,fund_metadata!$A:$P,2,FALSE),"")</f>
        <v>Bow River Evergreen PE</v>
      </c>
      <c r="AD36" t="str">
        <f>IFERROR(VLOOKUP($A36,fund_metadata!$A:$P,16,FALSE),"")</f>
        <v>private_equity</v>
      </c>
    </row>
    <row r="37" spans="1:30" x14ac:dyDescent="0.25">
      <c r="A37">
        <v>1</v>
      </c>
      <c r="B37" s="3">
        <v>45046</v>
      </c>
      <c r="C37" s="3"/>
      <c r="F37" s="4">
        <v>352740000</v>
      </c>
      <c r="G37" t="s">
        <v>89</v>
      </c>
      <c r="H37" s="5">
        <v>40.409999999999997</v>
      </c>
      <c r="I37" t="s">
        <v>89</v>
      </c>
      <c r="L37" s="2">
        <v>7.7999999999999996E-3</v>
      </c>
      <c r="M37" t="s">
        <v>89</v>
      </c>
      <c r="O37" s="4"/>
      <c r="AC37" t="str">
        <f>IFERROR(VLOOKUP($A37,fund_metadata!$A:$P,2,FALSE),"")</f>
        <v>Bow River Evergreen PE</v>
      </c>
      <c r="AD37" t="str">
        <f>IFERROR(VLOOKUP($A37,fund_metadata!$A:$P,16,FALSE),"")</f>
        <v>private_equity</v>
      </c>
    </row>
    <row r="38" spans="1:30" x14ac:dyDescent="0.25">
      <c r="A38">
        <v>1</v>
      </c>
      <c r="B38" s="3">
        <v>45077</v>
      </c>
      <c r="C38" s="3"/>
      <c r="F38" s="4">
        <v>357990000</v>
      </c>
      <c r="G38" t="s">
        <v>89</v>
      </c>
      <c r="H38" s="5">
        <v>40.409999999999997</v>
      </c>
      <c r="I38" t="s">
        <v>89</v>
      </c>
      <c r="L38" s="2">
        <v>2.0000000000000001E-4</v>
      </c>
      <c r="M38" t="s">
        <v>89</v>
      </c>
      <c r="O38" s="4"/>
      <c r="AC38" t="str">
        <f>IFERROR(VLOOKUP($A38,fund_metadata!$A:$P,2,FALSE),"")</f>
        <v>Bow River Evergreen PE</v>
      </c>
      <c r="AD38" t="str">
        <f>IFERROR(VLOOKUP($A38,fund_metadata!$A:$P,16,FALSE),"")</f>
        <v>private_equity</v>
      </c>
    </row>
    <row r="39" spans="1:30" x14ac:dyDescent="0.25">
      <c r="A39">
        <v>1</v>
      </c>
      <c r="B39" s="3">
        <v>45107</v>
      </c>
      <c r="C39" s="3"/>
      <c r="F39" s="4">
        <v>369270000</v>
      </c>
      <c r="G39" t="s">
        <v>89</v>
      </c>
      <c r="H39" s="5">
        <v>40.69</v>
      </c>
      <c r="I39" t="s">
        <v>89</v>
      </c>
      <c r="L39" s="2">
        <v>6.7999999999999996E-3</v>
      </c>
      <c r="M39" t="s">
        <v>89</v>
      </c>
      <c r="N39">
        <v>98</v>
      </c>
      <c r="O39" s="4"/>
      <c r="AC39" t="str">
        <f>IFERROR(VLOOKUP($A39,fund_metadata!$A:$P,2,FALSE),"")</f>
        <v>Bow River Evergreen PE</v>
      </c>
      <c r="AD39" t="str">
        <f>IFERROR(VLOOKUP($A39,fund_metadata!$A:$P,16,FALSE),"")</f>
        <v>private_equity</v>
      </c>
    </row>
    <row r="40" spans="1:30" x14ac:dyDescent="0.25">
      <c r="A40">
        <v>1</v>
      </c>
      <c r="B40" s="3">
        <v>45138</v>
      </c>
      <c r="C40" s="3"/>
      <c r="F40" s="4">
        <v>380550000</v>
      </c>
      <c r="G40" t="s">
        <v>89</v>
      </c>
      <c r="H40" s="5">
        <v>41.15</v>
      </c>
      <c r="I40" t="s">
        <v>89</v>
      </c>
      <c r="L40" s="2">
        <v>1.1299999999999999E-2</v>
      </c>
      <c r="M40" t="s">
        <v>89</v>
      </c>
      <c r="O40" s="4"/>
      <c r="AC40" t="str">
        <f>IFERROR(VLOOKUP($A40,fund_metadata!$A:$P,2,FALSE),"")</f>
        <v>Bow River Evergreen PE</v>
      </c>
      <c r="AD40" t="str">
        <f>IFERROR(VLOOKUP($A40,fund_metadata!$A:$P,16,FALSE),"")</f>
        <v>private_equity</v>
      </c>
    </row>
    <row r="41" spans="1:30" x14ac:dyDescent="0.25">
      <c r="A41">
        <v>1</v>
      </c>
      <c r="B41" s="3">
        <v>45169</v>
      </c>
      <c r="C41" s="3"/>
      <c r="F41" s="4">
        <v>395660000</v>
      </c>
      <c r="G41" t="s">
        <v>89</v>
      </c>
      <c r="H41" s="5">
        <v>42</v>
      </c>
      <c r="I41" t="s">
        <v>89</v>
      </c>
      <c r="L41" s="2">
        <v>2.06E-2</v>
      </c>
      <c r="M41" t="s">
        <v>89</v>
      </c>
      <c r="O41" s="4"/>
      <c r="AC41" t="str">
        <f>IFERROR(VLOOKUP($A41,fund_metadata!$A:$P,2,FALSE),"")</f>
        <v>Bow River Evergreen PE</v>
      </c>
      <c r="AD41" t="str">
        <f>IFERROR(VLOOKUP($A41,fund_metadata!$A:$P,16,FALSE),"")</f>
        <v>private_equity</v>
      </c>
    </row>
    <row r="42" spans="1:30" x14ac:dyDescent="0.25">
      <c r="A42">
        <v>1</v>
      </c>
      <c r="B42" s="3">
        <v>45199</v>
      </c>
      <c r="C42" s="3"/>
      <c r="F42" s="4">
        <v>400100000</v>
      </c>
      <c r="G42" t="s">
        <v>89</v>
      </c>
      <c r="H42" s="5">
        <v>41.9</v>
      </c>
      <c r="I42" t="s">
        <v>89</v>
      </c>
      <c r="L42" s="2">
        <v>-2.3E-3</v>
      </c>
      <c r="M42" t="s">
        <v>89</v>
      </c>
      <c r="N42">
        <v>105</v>
      </c>
      <c r="O42" s="4">
        <v>412100000</v>
      </c>
      <c r="P42" t="s">
        <v>89</v>
      </c>
      <c r="Q42">
        <v>8965808</v>
      </c>
      <c r="R42" t="s">
        <v>120</v>
      </c>
      <c r="AC42" t="str">
        <f>IFERROR(VLOOKUP($A42,fund_metadata!$A:$P,2,FALSE),"")</f>
        <v>Bow River Evergreen PE</v>
      </c>
      <c r="AD42" t="str">
        <f>IFERROR(VLOOKUP($A42,fund_metadata!$A:$P,16,FALSE),"")</f>
        <v>private_equity</v>
      </c>
    </row>
    <row r="43" spans="1:30" x14ac:dyDescent="0.25">
      <c r="A43">
        <v>1</v>
      </c>
      <c r="B43" s="3">
        <v>45230</v>
      </c>
      <c r="C43" s="3"/>
      <c r="F43" s="4">
        <v>427670000</v>
      </c>
      <c r="G43" t="s">
        <v>89</v>
      </c>
      <c r="H43" s="5">
        <v>43.45</v>
      </c>
      <c r="I43" t="s">
        <v>89</v>
      </c>
      <c r="L43" s="2">
        <v>3.7100000000000001E-2</v>
      </c>
      <c r="M43" t="s">
        <v>89</v>
      </c>
      <c r="O43" s="4"/>
      <c r="AC43" t="str">
        <f>IFERROR(VLOOKUP($A43,fund_metadata!$A:$P,2,FALSE),"")</f>
        <v>Bow River Evergreen PE</v>
      </c>
      <c r="AD43" t="str">
        <f>IFERROR(VLOOKUP($A43,fund_metadata!$A:$P,16,FALSE),"")</f>
        <v>private_equity</v>
      </c>
    </row>
    <row r="44" spans="1:30" x14ac:dyDescent="0.25">
      <c r="A44">
        <v>1</v>
      </c>
      <c r="B44" s="3">
        <v>45260</v>
      </c>
      <c r="C44" s="3"/>
      <c r="F44" s="4">
        <v>438230000</v>
      </c>
      <c r="G44" t="s">
        <v>89</v>
      </c>
      <c r="H44" s="5">
        <v>43.98</v>
      </c>
      <c r="I44" t="s">
        <v>89</v>
      </c>
      <c r="L44" s="2">
        <v>1.2E-2</v>
      </c>
      <c r="M44" t="s">
        <v>89</v>
      </c>
      <c r="O44" s="4"/>
      <c r="AC44" t="str">
        <f>IFERROR(VLOOKUP($A44,fund_metadata!$A:$P,2,FALSE),"")</f>
        <v>Bow River Evergreen PE</v>
      </c>
      <c r="AD44" t="str">
        <f>IFERROR(VLOOKUP($A44,fund_metadata!$A:$P,16,FALSE),"")</f>
        <v>private_equity</v>
      </c>
    </row>
    <row r="45" spans="1:30" x14ac:dyDescent="0.25">
      <c r="A45">
        <v>1</v>
      </c>
      <c r="B45" s="3">
        <v>45291</v>
      </c>
      <c r="C45" s="3"/>
      <c r="F45" s="4">
        <v>446350000</v>
      </c>
      <c r="G45" t="s">
        <v>89</v>
      </c>
      <c r="H45" s="5">
        <v>43.37</v>
      </c>
      <c r="I45" t="s">
        <v>89</v>
      </c>
      <c r="L45" s="2">
        <v>1.8E-3</v>
      </c>
      <c r="M45" t="s">
        <v>89</v>
      </c>
      <c r="N45">
        <v>106</v>
      </c>
      <c r="O45" s="4"/>
      <c r="AC45" t="str">
        <f>IFERROR(VLOOKUP($A45,fund_metadata!$A:$P,2,FALSE),"")</f>
        <v>Bow River Evergreen PE</v>
      </c>
      <c r="AD45" t="str">
        <f>IFERROR(VLOOKUP($A45,fund_metadata!$A:$P,16,FALSE),"")</f>
        <v>private_equity</v>
      </c>
    </row>
    <row r="46" spans="1:30" x14ac:dyDescent="0.25">
      <c r="A46">
        <v>1</v>
      </c>
      <c r="B46" s="3">
        <v>45322</v>
      </c>
      <c r="C46" s="3"/>
      <c r="F46" s="4">
        <v>459740000</v>
      </c>
      <c r="G46" t="s">
        <v>89</v>
      </c>
      <c r="H46" s="5">
        <v>43.36</v>
      </c>
      <c r="I46" t="s">
        <v>89</v>
      </c>
      <c r="L46" s="2">
        <v>-2.0000000000000001E-4</v>
      </c>
      <c r="M46" t="s">
        <v>89</v>
      </c>
      <c r="O46" s="4"/>
      <c r="AC46" t="str">
        <f>IFERROR(VLOOKUP($A46,fund_metadata!$A:$P,2,FALSE),"")</f>
        <v>Bow River Evergreen PE</v>
      </c>
      <c r="AD46" t="str">
        <f>IFERROR(VLOOKUP($A46,fund_metadata!$A:$P,16,FALSE),"")</f>
        <v>private_equity</v>
      </c>
    </row>
    <row r="47" spans="1:30" x14ac:dyDescent="0.25">
      <c r="A47">
        <v>1</v>
      </c>
      <c r="B47" s="3">
        <v>45351</v>
      </c>
      <c r="C47" s="3"/>
      <c r="F47" s="4">
        <v>476530000</v>
      </c>
      <c r="G47" t="s">
        <v>89</v>
      </c>
      <c r="H47" s="5">
        <v>43.93</v>
      </c>
      <c r="I47" t="s">
        <v>89</v>
      </c>
      <c r="L47" s="2">
        <v>1.3100000000000001E-2</v>
      </c>
      <c r="M47" t="s">
        <v>89</v>
      </c>
      <c r="O47" s="4"/>
      <c r="AC47" t="str">
        <f>IFERROR(VLOOKUP($A47,fund_metadata!$A:$P,2,FALSE),"")</f>
        <v>Bow River Evergreen PE</v>
      </c>
      <c r="AD47" t="str">
        <f>IFERROR(VLOOKUP($A47,fund_metadata!$A:$P,16,FALSE),"")</f>
        <v>private_equity</v>
      </c>
    </row>
    <row r="48" spans="1:30" x14ac:dyDescent="0.25">
      <c r="A48">
        <v>1</v>
      </c>
      <c r="B48" s="3">
        <v>45382</v>
      </c>
      <c r="C48" s="3"/>
      <c r="F48" s="4">
        <v>486790000</v>
      </c>
      <c r="G48" t="s">
        <v>89</v>
      </c>
      <c r="H48" s="5">
        <v>44.29</v>
      </c>
      <c r="I48" t="s">
        <v>89</v>
      </c>
      <c r="L48" s="2">
        <v>8.2000000000000007E-3</v>
      </c>
      <c r="M48" t="s">
        <v>89</v>
      </c>
      <c r="N48">
        <v>112</v>
      </c>
      <c r="O48" s="4">
        <v>519920000</v>
      </c>
      <c r="P48" t="s">
        <v>89</v>
      </c>
      <c r="Q48">
        <v>10327322</v>
      </c>
      <c r="R48" t="s">
        <v>121</v>
      </c>
      <c r="AC48" t="str">
        <f>IFERROR(VLOOKUP($A48,fund_metadata!$A:$P,2,FALSE),"")</f>
        <v>Bow River Evergreen PE</v>
      </c>
      <c r="AD48" t="str">
        <f>IFERROR(VLOOKUP($A48,fund_metadata!$A:$P,16,FALSE),"")</f>
        <v>private_equity</v>
      </c>
    </row>
    <row r="49" spans="1:30" x14ac:dyDescent="0.25">
      <c r="A49">
        <v>1</v>
      </c>
      <c r="B49" s="3">
        <v>45412</v>
      </c>
      <c r="C49" s="3"/>
      <c r="F49" s="4">
        <v>509290000</v>
      </c>
      <c r="G49" t="s">
        <v>89</v>
      </c>
      <c r="H49" s="5">
        <v>44.88</v>
      </c>
      <c r="I49" t="s">
        <v>89</v>
      </c>
      <c r="L49" s="2">
        <v>1.34E-2</v>
      </c>
      <c r="M49" t="s">
        <v>89</v>
      </c>
      <c r="O49" s="4"/>
      <c r="AC49" t="str">
        <f>IFERROR(VLOOKUP($A49,fund_metadata!$A:$P,2,FALSE),"")</f>
        <v>Bow River Evergreen PE</v>
      </c>
      <c r="AD49" t="str">
        <f>IFERROR(VLOOKUP($A49,fund_metadata!$A:$P,16,FALSE),"")</f>
        <v>private_equity</v>
      </c>
    </row>
    <row r="50" spans="1:30" x14ac:dyDescent="0.25">
      <c r="A50">
        <v>1</v>
      </c>
      <c r="B50" s="3">
        <v>45443</v>
      </c>
      <c r="C50" s="3"/>
      <c r="F50" s="4">
        <v>530130000</v>
      </c>
      <c r="G50" t="s">
        <v>89</v>
      </c>
      <c r="H50" s="5">
        <v>45.83</v>
      </c>
      <c r="I50" t="s">
        <v>89</v>
      </c>
      <c r="L50" s="2">
        <v>2.12E-2</v>
      </c>
      <c r="M50" t="s">
        <v>89</v>
      </c>
      <c r="O50" s="4"/>
      <c r="AC50" t="str">
        <f>IFERROR(VLOOKUP($A50,fund_metadata!$A:$P,2,FALSE),"")</f>
        <v>Bow River Evergreen PE</v>
      </c>
      <c r="AD50" t="str">
        <f>IFERROR(VLOOKUP($A50,fund_metadata!$A:$P,16,FALSE),"")</f>
        <v>private_equity</v>
      </c>
    </row>
    <row r="51" spans="1:30" x14ac:dyDescent="0.25">
      <c r="A51">
        <v>1</v>
      </c>
      <c r="B51" s="3">
        <v>45473</v>
      </c>
      <c r="C51" s="3"/>
      <c r="F51" s="4">
        <v>552750000</v>
      </c>
      <c r="G51" t="s">
        <v>89</v>
      </c>
      <c r="H51" s="5">
        <v>45.85</v>
      </c>
      <c r="I51" t="s">
        <v>89</v>
      </c>
      <c r="J51">
        <v>0</v>
      </c>
      <c r="K51" t="s">
        <v>108</v>
      </c>
      <c r="L51" s="2">
        <v>4.0000000000000002E-4</v>
      </c>
      <c r="M51" t="s">
        <v>89</v>
      </c>
      <c r="N51">
        <v>121</v>
      </c>
      <c r="O51" s="4"/>
      <c r="AC51" t="str">
        <f>IFERROR(VLOOKUP($A51,fund_metadata!$A:$P,2,FALSE),"")</f>
        <v>Bow River Evergreen PE</v>
      </c>
      <c r="AD51" t="str">
        <f>IFERROR(VLOOKUP($A51,fund_metadata!$A:$P,16,FALSE),"")</f>
        <v>private_equity</v>
      </c>
    </row>
    <row r="52" spans="1:30" x14ac:dyDescent="0.25">
      <c r="A52">
        <v>1</v>
      </c>
      <c r="B52" s="3">
        <v>45504</v>
      </c>
      <c r="C52" s="3"/>
      <c r="F52" s="4">
        <v>565090000</v>
      </c>
      <c r="G52" t="s">
        <v>89</v>
      </c>
      <c r="H52" s="5">
        <v>45.9</v>
      </c>
      <c r="I52" t="s">
        <v>89</v>
      </c>
      <c r="J52">
        <v>0</v>
      </c>
      <c r="K52" t="s">
        <v>108</v>
      </c>
      <c r="L52" s="2">
        <v>1.1000000000000001E-3</v>
      </c>
      <c r="M52" t="s">
        <v>89</v>
      </c>
      <c r="O52" s="4"/>
      <c r="AC52" t="str">
        <f>IFERROR(VLOOKUP($A52,fund_metadata!$A:$P,2,FALSE),"")</f>
        <v>Bow River Evergreen PE</v>
      </c>
      <c r="AD52" t="str">
        <f>IFERROR(VLOOKUP($A52,fund_metadata!$A:$P,16,FALSE),"")</f>
        <v>private_equity</v>
      </c>
    </row>
    <row r="53" spans="1:30" x14ac:dyDescent="0.25">
      <c r="A53">
        <v>1</v>
      </c>
      <c r="B53" s="3">
        <v>45535</v>
      </c>
      <c r="C53" s="3"/>
      <c r="F53" s="4">
        <v>600190000</v>
      </c>
      <c r="G53" t="s">
        <v>89</v>
      </c>
      <c r="H53" s="5">
        <v>47.24</v>
      </c>
      <c r="I53" t="s">
        <v>89</v>
      </c>
      <c r="J53">
        <v>0</v>
      </c>
      <c r="K53" t="s">
        <v>108</v>
      </c>
      <c r="L53" s="2">
        <v>2.9000000000000001E-2</v>
      </c>
      <c r="M53" t="s">
        <v>89</v>
      </c>
      <c r="O53" s="4"/>
      <c r="AC53" t="str">
        <f>IFERROR(VLOOKUP($A53,fund_metadata!$A:$P,2,FALSE),"")</f>
        <v>Bow River Evergreen PE</v>
      </c>
      <c r="AD53" t="str">
        <f>IFERROR(VLOOKUP($A53,fund_metadata!$A:$P,16,FALSE),"")</f>
        <v>private_equity</v>
      </c>
    </row>
    <row r="54" spans="1:30" x14ac:dyDescent="0.25">
      <c r="A54">
        <v>1</v>
      </c>
      <c r="B54" s="3">
        <v>45565</v>
      </c>
      <c r="C54" s="3"/>
      <c r="F54" s="4">
        <v>617640000</v>
      </c>
      <c r="G54" t="s">
        <v>89</v>
      </c>
      <c r="H54" s="5">
        <v>47.8</v>
      </c>
      <c r="I54" t="s">
        <v>89</v>
      </c>
      <c r="J54">
        <v>0</v>
      </c>
      <c r="K54" t="s">
        <v>108</v>
      </c>
      <c r="L54" s="2">
        <v>1.1900000000000001E-2</v>
      </c>
      <c r="M54" t="s">
        <v>89</v>
      </c>
      <c r="N54">
        <v>131</v>
      </c>
      <c r="O54" s="4">
        <v>632440000</v>
      </c>
      <c r="P54" t="s">
        <v>89</v>
      </c>
      <c r="Q54">
        <v>12219603</v>
      </c>
      <c r="R54" t="s">
        <v>120</v>
      </c>
      <c r="AC54" t="str">
        <f>IFERROR(VLOOKUP($A54,fund_metadata!$A:$P,2,FALSE),"")</f>
        <v>Bow River Evergreen PE</v>
      </c>
      <c r="AD54" t="str">
        <f>IFERROR(VLOOKUP($A54,fund_metadata!$A:$P,16,FALSE),"")</f>
        <v>private_equity</v>
      </c>
    </row>
    <row r="55" spans="1:30" x14ac:dyDescent="0.25">
      <c r="A55">
        <v>1</v>
      </c>
      <c r="B55" s="3">
        <v>45596</v>
      </c>
      <c r="C55" s="3"/>
      <c r="F55" s="4">
        <v>633880000</v>
      </c>
      <c r="G55" t="s">
        <v>89</v>
      </c>
      <c r="H55" s="5">
        <v>47.94</v>
      </c>
      <c r="I55" t="s">
        <v>89</v>
      </c>
      <c r="J55">
        <v>0</v>
      </c>
      <c r="K55" t="s">
        <v>108</v>
      </c>
      <c r="L55" s="2">
        <v>2.8E-3</v>
      </c>
      <c r="M55" t="s">
        <v>89</v>
      </c>
      <c r="O55" s="4"/>
      <c r="AC55" t="str">
        <f>IFERROR(VLOOKUP($A55,fund_metadata!$A:$P,2,FALSE),"")</f>
        <v>Bow River Evergreen PE</v>
      </c>
      <c r="AD55" t="str">
        <f>IFERROR(VLOOKUP($A55,fund_metadata!$A:$P,16,FALSE),"")</f>
        <v>private_equity</v>
      </c>
    </row>
    <row r="56" spans="1:30" x14ac:dyDescent="0.25">
      <c r="A56">
        <v>1</v>
      </c>
      <c r="B56" s="3">
        <v>45626</v>
      </c>
      <c r="C56" s="3"/>
      <c r="F56" s="4">
        <v>658210000</v>
      </c>
      <c r="G56" t="s">
        <v>89</v>
      </c>
      <c r="H56" s="5">
        <v>48.48</v>
      </c>
      <c r="I56" t="s">
        <v>89</v>
      </c>
      <c r="J56">
        <v>0</v>
      </c>
      <c r="K56" t="s">
        <v>108</v>
      </c>
      <c r="L56" s="2">
        <v>1.15E-2</v>
      </c>
      <c r="M56" t="s">
        <v>89</v>
      </c>
      <c r="O56" s="4"/>
      <c r="AC56" t="str">
        <f>IFERROR(VLOOKUP($A56,fund_metadata!$A:$P,2,FALSE),"")</f>
        <v>Bow River Evergreen PE</v>
      </c>
      <c r="AD56" t="str">
        <f>IFERROR(VLOOKUP($A56,fund_metadata!$A:$P,16,FALSE),"")</f>
        <v>private_equity</v>
      </c>
    </row>
    <row r="57" spans="1:30" x14ac:dyDescent="0.25">
      <c r="A57">
        <v>1</v>
      </c>
      <c r="B57" s="3">
        <v>45657</v>
      </c>
      <c r="C57" s="3"/>
      <c r="F57" s="4">
        <v>669420000</v>
      </c>
      <c r="G57" t="s">
        <v>89</v>
      </c>
      <c r="H57" s="5">
        <v>47.54</v>
      </c>
      <c r="I57" t="s">
        <v>89</v>
      </c>
      <c r="J57">
        <v>1.137</v>
      </c>
      <c r="K57" t="s">
        <v>108</v>
      </c>
      <c r="L57" s="2">
        <v>4.0000000000000001E-3</v>
      </c>
      <c r="M57" t="s">
        <v>89</v>
      </c>
      <c r="N57">
        <v>142</v>
      </c>
      <c r="O57" s="4"/>
      <c r="AC57" t="str">
        <f>IFERROR(VLOOKUP($A57,fund_metadata!$A:$P,2,FALSE),"")</f>
        <v>Bow River Evergreen PE</v>
      </c>
      <c r="AD57" t="str">
        <f>IFERROR(VLOOKUP($A57,fund_metadata!$A:$P,16,FALSE),"")</f>
        <v>private_equity</v>
      </c>
    </row>
    <row r="58" spans="1:30" x14ac:dyDescent="0.25">
      <c r="A58">
        <v>1</v>
      </c>
      <c r="B58" s="3">
        <v>45688</v>
      </c>
      <c r="C58" s="3"/>
      <c r="F58" s="4">
        <v>701580000</v>
      </c>
      <c r="G58" t="s">
        <v>89</v>
      </c>
      <c r="H58" s="5">
        <v>47.77</v>
      </c>
      <c r="I58" t="s">
        <v>89</v>
      </c>
      <c r="J58">
        <v>0</v>
      </c>
      <c r="K58" t="s">
        <v>108</v>
      </c>
      <c r="L58" s="2">
        <v>5.0000000000000001E-3</v>
      </c>
      <c r="M58" t="s">
        <v>89</v>
      </c>
      <c r="O58" s="4"/>
      <c r="AC58" t="str">
        <f>IFERROR(VLOOKUP($A58,fund_metadata!$A:$P,2,FALSE),"")</f>
        <v>Bow River Evergreen PE</v>
      </c>
      <c r="AD58" t="str">
        <f>IFERROR(VLOOKUP($A58,fund_metadata!$A:$P,16,FALSE),"")</f>
        <v>private_equity</v>
      </c>
    </row>
    <row r="59" spans="1:30" x14ac:dyDescent="0.25">
      <c r="A59">
        <v>1</v>
      </c>
      <c r="B59" s="3">
        <v>45716</v>
      </c>
      <c r="C59" s="3"/>
      <c r="F59" s="4">
        <v>735550000</v>
      </c>
      <c r="G59" t="s">
        <v>89</v>
      </c>
      <c r="H59" s="5">
        <v>48.8</v>
      </c>
      <c r="I59" t="s">
        <v>89</v>
      </c>
      <c r="J59">
        <v>0</v>
      </c>
      <c r="K59" t="s">
        <v>108</v>
      </c>
      <c r="L59" s="2">
        <v>2.1499999999999998E-2</v>
      </c>
      <c r="M59" t="s">
        <v>89</v>
      </c>
      <c r="O59" s="4"/>
      <c r="AC59" t="str">
        <f>IFERROR(VLOOKUP($A59,fund_metadata!$A:$P,2,FALSE),"")</f>
        <v>Bow River Evergreen PE</v>
      </c>
      <c r="AD59" t="str">
        <f>IFERROR(VLOOKUP($A59,fund_metadata!$A:$P,16,FALSE),"")</f>
        <v>private_equity</v>
      </c>
    </row>
    <row r="60" spans="1:30" x14ac:dyDescent="0.25">
      <c r="A60">
        <v>1</v>
      </c>
      <c r="B60" s="3">
        <v>45747</v>
      </c>
      <c r="C60" s="3"/>
      <c r="F60" s="4">
        <v>774220000</v>
      </c>
      <c r="G60" t="s">
        <v>89</v>
      </c>
      <c r="H60" s="5">
        <v>49.69</v>
      </c>
      <c r="I60" t="s">
        <v>89</v>
      </c>
      <c r="J60">
        <v>0</v>
      </c>
      <c r="K60" t="s">
        <v>108</v>
      </c>
      <c r="L60" s="2">
        <v>1.8200000000000001E-2</v>
      </c>
      <c r="M60" t="s">
        <v>89</v>
      </c>
      <c r="N60">
        <v>147</v>
      </c>
      <c r="O60" s="4">
        <v>817800000</v>
      </c>
      <c r="P60" t="s">
        <v>89</v>
      </c>
      <c r="Q60">
        <v>14550293</v>
      </c>
      <c r="R60" t="s">
        <v>121</v>
      </c>
      <c r="AC60" t="str">
        <f>IFERROR(VLOOKUP($A60,fund_metadata!$A:$P,2,FALSE),"")</f>
        <v>Bow River Evergreen PE</v>
      </c>
      <c r="AD60" t="str">
        <f>IFERROR(VLOOKUP($A60,fund_metadata!$A:$P,16,FALSE),"")</f>
        <v>private_equity</v>
      </c>
    </row>
    <row r="61" spans="1:30" x14ac:dyDescent="0.25">
      <c r="A61">
        <v>1</v>
      </c>
      <c r="B61" s="3">
        <v>45777</v>
      </c>
      <c r="C61" s="3"/>
      <c r="F61" s="4">
        <v>807000000</v>
      </c>
      <c r="G61" t="s">
        <v>89</v>
      </c>
      <c r="H61" s="5">
        <v>50.09</v>
      </c>
      <c r="I61" t="s">
        <v>89</v>
      </c>
      <c r="J61">
        <v>0</v>
      </c>
      <c r="K61" t="s">
        <v>108</v>
      </c>
      <c r="L61" s="2">
        <v>8.0999999999999996E-3</v>
      </c>
      <c r="M61" t="s">
        <v>89</v>
      </c>
      <c r="O61" s="4"/>
      <c r="AC61" t="str">
        <f>IFERROR(VLOOKUP($A61,fund_metadata!$A:$P,2,FALSE),"")</f>
        <v>Bow River Evergreen PE</v>
      </c>
      <c r="AD61" t="str">
        <f>IFERROR(VLOOKUP($A61,fund_metadata!$A:$P,16,FALSE),"")</f>
        <v>private_equity</v>
      </c>
    </row>
    <row r="62" spans="1:30" x14ac:dyDescent="0.25">
      <c r="A62">
        <v>1</v>
      </c>
      <c r="B62" s="3">
        <v>45808</v>
      </c>
      <c r="C62" s="3"/>
      <c r="F62" s="4">
        <v>826540000</v>
      </c>
      <c r="G62" t="s">
        <v>89</v>
      </c>
      <c r="H62" s="5">
        <v>50.8</v>
      </c>
      <c r="I62" t="s">
        <v>89</v>
      </c>
      <c r="J62">
        <v>0</v>
      </c>
      <c r="K62" t="s">
        <v>108</v>
      </c>
      <c r="L62" s="2">
        <v>1.4200000000000001E-2</v>
      </c>
      <c r="M62" t="s">
        <v>89</v>
      </c>
      <c r="O62" s="4"/>
      <c r="AC62" t="str">
        <f>IFERROR(VLOOKUP($A62,fund_metadata!$A:$P,2,FALSE),"")</f>
        <v>Bow River Evergreen PE</v>
      </c>
      <c r="AD62" t="str">
        <f>IFERROR(VLOOKUP($A62,fund_metadata!$A:$P,16,FALSE),"")</f>
        <v>private_equity</v>
      </c>
    </row>
    <row r="63" spans="1:30" x14ac:dyDescent="0.25">
      <c r="A63">
        <v>1</v>
      </c>
      <c r="B63" s="3">
        <v>45838</v>
      </c>
      <c r="C63" s="3"/>
      <c r="F63" s="4">
        <v>849670000</v>
      </c>
      <c r="G63" t="s">
        <v>89</v>
      </c>
      <c r="H63" s="5">
        <v>50.82</v>
      </c>
      <c r="I63" t="s">
        <v>89</v>
      </c>
      <c r="J63">
        <v>0</v>
      </c>
      <c r="K63" t="s">
        <v>108</v>
      </c>
      <c r="L63" s="2">
        <v>4.0000000000000002E-4</v>
      </c>
      <c r="M63" t="s">
        <v>89</v>
      </c>
      <c r="N63">
        <v>157</v>
      </c>
      <c r="O63" s="4"/>
      <c r="AC63" t="str">
        <f>IFERROR(VLOOKUP($A63,fund_metadata!$A:$P,2,FALSE),"")</f>
        <v>Bow River Evergreen PE</v>
      </c>
      <c r="AD63" t="str">
        <f>IFERROR(VLOOKUP($A63,fund_metadata!$A:$P,16,FALSE),"")</f>
        <v>private_equity</v>
      </c>
    </row>
    <row r="64" spans="1:30" x14ac:dyDescent="0.25">
      <c r="A64">
        <v>1</v>
      </c>
      <c r="B64" s="3">
        <v>45869</v>
      </c>
      <c r="C64" s="3"/>
      <c r="F64" s="4">
        <v>894140000</v>
      </c>
      <c r="G64" t="s">
        <v>89</v>
      </c>
      <c r="H64" s="5">
        <v>50.72</v>
      </c>
      <c r="I64" t="s">
        <v>89</v>
      </c>
      <c r="L64" s="2">
        <v>-2E-3</v>
      </c>
      <c r="M64" t="s">
        <v>89</v>
      </c>
      <c r="O64" s="4"/>
      <c r="AC64" t="str">
        <f>IFERROR(VLOOKUP($A64,fund_metadata!$A:$P,2,FALSE),"")</f>
        <v>Bow River Evergreen PE</v>
      </c>
      <c r="AD64" t="str">
        <f>IFERROR(VLOOKUP($A64,fund_metadata!$A:$P,16,FALSE),"")</f>
        <v>private_equity</v>
      </c>
    </row>
    <row r="65" spans="1:30" x14ac:dyDescent="0.25">
      <c r="A65">
        <v>1</v>
      </c>
      <c r="B65" s="3">
        <v>45900</v>
      </c>
      <c r="C65" s="3"/>
      <c r="F65" s="4">
        <v>942530000</v>
      </c>
      <c r="G65" t="s">
        <v>89</v>
      </c>
      <c r="H65" s="5">
        <v>51.69</v>
      </c>
      <c r="I65" t="s">
        <v>89</v>
      </c>
      <c r="L65" s="2">
        <v>1.9099999999999999E-2</v>
      </c>
      <c r="M65" t="s">
        <v>89</v>
      </c>
      <c r="O65" s="4"/>
      <c r="AC65" t="str">
        <f>IFERROR(VLOOKUP($A65,fund_metadata!$A:$P,2,FALSE),"")</f>
        <v>Bow River Evergreen PE</v>
      </c>
      <c r="AD65" t="str">
        <f>IFERROR(VLOOKUP($A65,fund_metadata!$A:$P,16,FALSE),"")</f>
        <v>private_equity</v>
      </c>
    </row>
    <row r="66" spans="1:30" x14ac:dyDescent="0.25">
      <c r="A66">
        <v>1</v>
      </c>
      <c r="B66" s="3">
        <v>45930</v>
      </c>
      <c r="C66" s="3"/>
      <c r="F66" s="4">
        <v>1000000000</v>
      </c>
      <c r="G66" t="s">
        <v>89</v>
      </c>
      <c r="H66" s="5">
        <v>52.03</v>
      </c>
      <c r="I66" t="s">
        <v>89</v>
      </c>
      <c r="L66" s="2">
        <v>6.6E-3</v>
      </c>
      <c r="M66" t="s">
        <v>89</v>
      </c>
      <c r="N66">
        <v>176</v>
      </c>
      <c r="O66" s="4">
        <v>1040000000</v>
      </c>
      <c r="P66" t="s">
        <v>89</v>
      </c>
      <c r="Q66">
        <v>18405421</v>
      </c>
      <c r="R66" t="s">
        <v>120</v>
      </c>
      <c r="AC66" t="str">
        <f>IFERROR(VLOOKUP($A66,fund_metadata!$A:$P,2,FALSE),"")</f>
        <v>Bow River Evergreen PE</v>
      </c>
      <c r="AD66" t="str">
        <f>IFERROR(VLOOKUP($A66,fund_metadata!$A:$P,16,FALSE),"")</f>
        <v>private_equity</v>
      </c>
    </row>
    <row r="67" spans="1:30" x14ac:dyDescent="0.25">
      <c r="A67">
        <v>1</v>
      </c>
      <c r="B67" s="3">
        <v>45961</v>
      </c>
      <c r="C67" s="3"/>
      <c r="F67" s="4">
        <v>1050000000</v>
      </c>
      <c r="G67" t="s">
        <v>89</v>
      </c>
      <c r="H67" s="5">
        <v>52.68</v>
      </c>
      <c r="I67" t="s">
        <v>89</v>
      </c>
      <c r="L67" s="2">
        <v>1.2500000000000001E-2</v>
      </c>
      <c r="M67" t="s">
        <v>89</v>
      </c>
      <c r="O67" s="4"/>
      <c r="AC67" t="str">
        <f>IFERROR(VLOOKUP($A67,fund_metadata!$A:$P,2,FALSE),"")</f>
        <v>Bow River Evergreen PE</v>
      </c>
      <c r="AD67" t="str">
        <f>IFERROR(VLOOKUP($A67,fund_metadata!$A:$P,16,FALSE),"")</f>
        <v>private_equity</v>
      </c>
    </row>
    <row r="68" spans="1:30" x14ac:dyDescent="0.25">
      <c r="A68">
        <v>1</v>
      </c>
      <c r="B68" s="3">
        <v>45991</v>
      </c>
      <c r="C68" s="3"/>
      <c r="F68" s="4">
        <v>1090000000</v>
      </c>
      <c r="G68" t="s">
        <v>89</v>
      </c>
      <c r="H68" s="5">
        <v>54.36</v>
      </c>
      <c r="I68" t="s">
        <v>89</v>
      </c>
      <c r="L68" s="2">
        <v>3.1899999999999998E-2</v>
      </c>
      <c r="M68" t="s">
        <v>89</v>
      </c>
      <c r="O68" s="4"/>
      <c r="AC68" t="str">
        <f>IFERROR(VLOOKUP($A68,fund_metadata!$A:$P,2,FALSE),"")</f>
        <v>Bow River Evergreen PE</v>
      </c>
      <c r="AD68" t="str">
        <f>IFERROR(VLOOKUP($A68,fund_metadata!$A:$P,16,FALSE),"")</f>
        <v>private_equity</v>
      </c>
    </row>
    <row r="69" spans="1:30" x14ac:dyDescent="0.25">
      <c r="A69">
        <v>1</v>
      </c>
      <c r="B69" s="3">
        <v>46022</v>
      </c>
      <c r="C69" s="3"/>
      <c r="F69" s="4">
        <v>1120000000</v>
      </c>
      <c r="G69" t="s">
        <v>89</v>
      </c>
      <c r="H69" s="5">
        <v>53.75</v>
      </c>
      <c r="I69" t="s">
        <v>89</v>
      </c>
      <c r="L69" s="2">
        <v>-1.1299999999999999E-2</v>
      </c>
      <c r="M69" t="s">
        <v>89</v>
      </c>
      <c r="N69">
        <v>185</v>
      </c>
      <c r="O69" s="4"/>
      <c r="AC69" t="str">
        <f>IFERROR(VLOOKUP($A69,fund_metadata!$A:$P,2,FALSE),"")</f>
        <v>Bow River Evergreen PE</v>
      </c>
      <c r="AD69" t="str">
        <f>IFERROR(VLOOKUP($A69,fund_metadata!$A:$P,16,FALSE),"")</f>
        <v>private_equity</v>
      </c>
    </row>
    <row r="70" spans="1:30" x14ac:dyDescent="0.25">
      <c r="A70">
        <v>1</v>
      </c>
      <c r="B70" s="3">
        <v>46053</v>
      </c>
      <c r="C70" s="3"/>
      <c r="D70">
        <v>5059902.13</v>
      </c>
      <c r="E70" t="s">
        <v>105</v>
      </c>
      <c r="F70" s="4">
        <v>1160000000</v>
      </c>
      <c r="G70" t="s">
        <v>89</v>
      </c>
      <c r="H70" s="5">
        <v>54.39</v>
      </c>
      <c r="I70" t="s">
        <v>89</v>
      </c>
      <c r="L70" s="2">
        <v>1.2E-2</v>
      </c>
      <c r="M70" t="s">
        <v>89</v>
      </c>
      <c r="O70" s="4"/>
      <c r="S70">
        <v>93030.179000000004</v>
      </c>
      <c r="T70" t="s">
        <v>105</v>
      </c>
      <c r="U70">
        <v>5000000</v>
      </c>
      <c r="V70" t="s">
        <v>105</v>
      </c>
      <c r="W70">
        <v>0</v>
      </c>
      <c r="X70" t="s">
        <v>105</v>
      </c>
      <c r="Y70">
        <v>0</v>
      </c>
      <c r="Z70" t="s">
        <v>105</v>
      </c>
      <c r="AC70" t="str">
        <f>IFERROR(VLOOKUP($A70,fund_metadata!$A:$P,2,FALSE),"")</f>
        <v>Bow River Evergreen PE</v>
      </c>
      <c r="AD70" t="str">
        <f>IFERROR(VLOOKUP($A70,fund_metadata!$A:$P,16,FALSE),"")</f>
        <v>private_equity</v>
      </c>
    </row>
    <row r="71" spans="1:30" x14ac:dyDescent="0.25">
      <c r="A71">
        <v>1</v>
      </c>
      <c r="B71" s="3">
        <v>46081</v>
      </c>
      <c r="C71" s="3"/>
      <c r="D71">
        <v>5094704.72</v>
      </c>
      <c r="E71" t="s">
        <v>105</v>
      </c>
      <c r="F71" s="4">
        <v>1190000000</v>
      </c>
      <c r="G71" t="s">
        <v>89</v>
      </c>
      <c r="H71" s="5">
        <v>54.76</v>
      </c>
      <c r="I71" t="s">
        <v>89</v>
      </c>
      <c r="L71" s="2">
        <v>6.8999999999999999E-3</v>
      </c>
      <c r="M71" t="s">
        <v>89</v>
      </c>
      <c r="O71" s="4"/>
      <c r="S71">
        <v>93030.179000000004</v>
      </c>
      <c r="T71" t="s">
        <v>105</v>
      </c>
      <c r="U71">
        <v>0</v>
      </c>
      <c r="V71" t="s">
        <v>105</v>
      </c>
      <c r="W71">
        <v>0</v>
      </c>
      <c r="X71" t="s">
        <v>105</v>
      </c>
      <c r="Y71">
        <v>0</v>
      </c>
      <c r="Z71" t="s">
        <v>105</v>
      </c>
      <c r="AC71" t="str">
        <f>IFERROR(VLOOKUP($A71,fund_metadata!$A:$P,2,FALSE),"")</f>
        <v>Bow River Evergreen PE</v>
      </c>
      <c r="AD71" t="str">
        <f>IFERROR(VLOOKUP($A71,fund_metadata!$A:$P,16,FALSE),"")</f>
        <v>private_equity</v>
      </c>
    </row>
    <row r="72" spans="1:30" x14ac:dyDescent="0.25">
      <c r="A72">
        <v>1</v>
      </c>
      <c r="B72" s="3">
        <v>46112</v>
      </c>
      <c r="C72" s="3"/>
      <c r="D72">
        <v>5114594.58</v>
      </c>
      <c r="E72" t="s">
        <v>105</v>
      </c>
      <c r="F72" s="4">
        <v>1220000000</v>
      </c>
      <c r="G72" t="s">
        <v>89</v>
      </c>
      <c r="H72" s="5">
        <v>54.98</v>
      </c>
      <c r="I72" t="s">
        <v>89</v>
      </c>
      <c r="L72" s="2">
        <v>3.8999999999999998E-3</v>
      </c>
      <c r="M72" t="s">
        <v>89</v>
      </c>
      <c r="N72">
        <v>198</v>
      </c>
      <c r="O72" s="4"/>
      <c r="S72">
        <v>93030.179000000004</v>
      </c>
      <c r="T72" t="s">
        <v>105</v>
      </c>
      <c r="U72">
        <v>0</v>
      </c>
      <c r="V72" t="s">
        <v>105</v>
      </c>
      <c r="W72">
        <v>0</v>
      </c>
      <c r="X72" t="s">
        <v>105</v>
      </c>
      <c r="Y72">
        <v>0</v>
      </c>
      <c r="Z72" t="s">
        <v>105</v>
      </c>
      <c r="AC72" t="str">
        <f>IFERROR(VLOOKUP($A72,fund_metadata!$A:$P,2,FALSE),"")</f>
        <v>Bow River Evergreen PE</v>
      </c>
      <c r="AD72" t="str">
        <f>IFERROR(VLOOKUP($A72,fund_metadata!$A:$P,16,FALSE),"")</f>
        <v>private_equity</v>
      </c>
    </row>
    <row r="73" spans="1:30" x14ac:dyDescent="0.25">
      <c r="A73">
        <v>1</v>
      </c>
      <c r="B73" s="3">
        <v>46142</v>
      </c>
      <c r="C73" s="3"/>
      <c r="D73">
        <v>5132009.82</v>
      </c>
      <c r="E73" t="s">
        <v>104</v>
      </c>
      <c r="F73" s="4">
        <v>1240000000</v>
      </c>
      <c r="G73" t="s">
        <v>89</v>
      </c>
      <c r="H73" s="5">
        <v>55.17</v>
      </c>
      <c r="I73" t="s">
        <v>89</v>
      </c>
      <c r="L73" s="2">
        <v>3.3999999999999998E-3</v>
      </c>
      <c r="M73" t="s">
        <v>89</v>
      </c>
      <c r="O73" s="4"/>
      <c r="AC73" t="str">
        <f>IFERROR(VLOOKUP($A73,fund_metadata!$A:$P,2,FALSE),"")</f>
        <v>Bow River Evergreen PE</v>
      </c>
      <c r="AD73" t="str">
        <f>IFERROR(VLOOKUP($A73,fund_metadata!$A:$P,16,FALSE),"")</f>
        <v>private_equity</v>
      </c>
    </row>
    <row r="74" spans="1:30" x14ac:dyDescent="0.25">
      <c r="A74">
        <v>1</v>
      </c>
      <c r="B74" s="3">
        <v>46173</v>
      </c>
      <c r="C74" s="3"/>
      <c r="F74" s="4"/>
      <c r="H74" s="5">
        <v>55.56</v>
      </c>
      <c r="I74" t="s">
        <v>89</v>
      </c>
      <c r="L74" s="2"/>
      <c r="O74" s="4"/>
      <c r="AC74" t="str">
        <f>IFERROR(VLOOKUP($A74,fund_metadata!$A:$P,2,FALSE),"")</f>
        <v>Bow River Evergreen PE</v>
      </c>
      <c r="AD74" t="str">
        <f>IFERROR(VLOOKUP($A74,fund_metadata!$A:$P,16,FALSE),"")</f>
        <v>private_equity</v>
      </c>
    </row>
    <row r="75" spans="1:30" x14ac:dyDescent="0.25">
      <c r="A75">
        <v>2</v>
      </c>
      <c r="B75" s="3">
        <v>44926</v>
      </c>
      <c r="C75" s="3"/>
      <c r="F75" s="4"/>
      <c r="H75" s="5">
        <v>10</v>
      </c>
      <c r="I75" t="s">
        <v>89</v>
      </c>
      <c r="J75" s="5"/>
      <c r="L75" s="2"/>
      <c r="O75" s="4"/>
      <c r="AC75" t="str">
        <f>IFERROR(VLOOKUP($A75,fund_metadata!$A:$P,2,FALSE),"")</f>
        <v>Carlyle Alpinvest</v>
      </c>
      <c r="AD75" t="str">
        <f>IFERROR(VLOOKUP($A75,fund_metadata!$A:$P,16,FALSE),"")</f>
        <v>private_equity</v>
      </c>
    </row>
    <row r="76" spans="1:30" x14ac:dyDescent="0.25">
      <c r="A76">
        <v>2</v>
      </c>
      <c r="B76" s="3">
        <v>44957</v>
      </c>
      <c r="C76" s="3"/>
      <c r="F76" s="4">
        <v>185800000</v>
      </c>
      <c r="G76" t="s">
        <v>89</v>
      </c>
      <c r="H76" s="5">
        <v>10.08</v>
      </c>
      <c r="I76" t="s">
        <v>89</v>
      </c>
      <c r="J76" s="5"/>
      <c r="L76" s="2">
        <v>8.0000000000000002E-3</v>
      </c>
      <c r="M76" t="s">
        <v>89</v>
      </c>
      <c r="O76" s="4"/>
      <c r="AC76" t="str">
        <f>IFERROR(VLOOKUP($A76,fund_metadata!$A:$P,2,FALSE),"")</f>
        <v>Carlyle Alpinvest</v>
      </c>
      <c r="AD76" t="str">
        <f>IFERROR(VLOOKUP($A76,fund_metadata!$A:$P,16,FALSE),"")</f>
        <v>private_equity</v>
      </c>
    </row>
    <row r="77" spans="1:30" x14ac:dyDescent="0.25">
      <c r="A77">
        <v>2</v>
      </c>
      <c r="B77" s="3">
        <v>44985</v>
      </c>
      <c r="C77" s="3"/>
      <c r="F77" s="4">
        <v>189310000</v>
      </c>
      <c r="G77" t="s">
        <v>89</v>
      </c>
      <c r="H77" s="5">
        <v>10.27</v>
      </c>
      <c r="I77" t="s">
        <v>89</v>
      </c>
      <c r="J77" s="5"/>
      <c r="L77" s="2">
        <v>1.8800000000000001E-2</v>
      </c>
      <c r="M77" t="s">
        <v>89</v>
      </c>
      <c r="O77" s="4"/>
      <c r="AC77" t="str">
        <f>IFERROR(VLOOKUP($A77,fund_metadata!$A:$P,2,FALSE),"")</f>
        <v>Carlyle Alpinvest</v>
      </c>
      <c r="AD77" t="str">
        <f>IFERROR(VLOOKUP($A77,fund_metadata!$A:$P,16,FALSE),"")</f>
        <v>private_equity</v>
      </c>
    </row>
    <row r="78" spans="1:30" x14ac:dyDescent="0.25">
      <c r="A78">
        <v>2</v>
      </c>
      <c r="B78" s="3">
        <v>45016</v>
      </c>
      <c r="C78" s="3"/>
      <c r="F78" s="4">
        <v>190250000</v>
      </c>
      <c r="G78" t="s">
        <v>89</v>
      </c>
      <c r="H78" s="5">
        <v>10.32</v>
      </c>
      <c r="I78" t="s">
        <v>89</v>
      </c>
      <c r="J78" s="5"/>
      <c r="L78" s="2">
        <v>4.8999999999999998E-3</v>
      </c>
      <c r="M78" t="s">
        <v>89</v>
      </c>
      <c r="N78">
        <v>134</v>
      </c>
      <c r="O78" s="4"/>
      <c r="Q78">
        <v>18427054</v>
      </c>
      <c r="R78" t="s">
        <v>121</v>
      </c>
      <c r="AC78" t="str">
        <f>IFERROR(VLOOKUP($A78,fund_metadata!$A:$P,2,FALSE),"")</f>
        <v>Carlyle Alpinvest</v>
      </c>
      <c r="AD78" t="str">
        <f>IFERROR(VLOOKUP($A78,fund_metadata!$A:$P,16,FALSE),"")</f>
        <v>private_equity</v>
      </c>
    </row>
    <row r="79" spans="1:30" x14ac:dyDescent="0.25">
      <c r="A79">
        <v>2</v>
      </c>
      <c r="B79" s="3">
        <v>45046</v>
      </c>
      <c r="C79" s="3"/>
      <c r="F79" s="4">
        <v>190530000</v>
      </c>
      <c r="G79" t="s">
        <v>89</v>
      </c>
      <c r="H79" s="5">
        <v>10.34</v>
      </c>
      <c r="I79" t="s">
        <v>89</v>
      </c>
      <c r="J79" s="5"/>
      <c r="L79" s="2">
        <v>1.9E-3</v>
      </c>
      <c r="M79" t="s">
        <v>89</v>
      </c>
      <c r="O79" s="4"/>
      <c r="AC79" t="str">
        <f>IFERROR(VLOOKUP($A79,fund_metadata!$A:$P,2,FALSE),"")</f>
        <v>Carlyle Alpinvest</v>
      </c>
      <c r="AD79" t="str">
        <f>IFERROR(VLOOKUP($A79,fund_metadata!$A:$P,16,FALSE),"")</f>
        <v>private_equity</v>
      </c>
    </row>
    <row r="80" spans="1:30" x14ac:dyDescent="0.25">
      <c r="A80">
        <v>2</v>
      </c>
      <c r="B80" s="3">
        <v>45077</v>
      </c>
      <c r="C80" s="3"/>
      <c r="F80" s="4">
        <v>198720000</v>
      </c>
      <c r="G80" t="s">
        <v>89</v>
      </c>
      <c r="H80" s="5">
        <v>10.74</v>
      </c>
      <c r="I80" t="s">
        <v>89</v>
      </c>
      <c r="J80" s="5"/>
      <c r="L80" s="2">
        <v>3.8699999999999998E-2</v>
      </c>
      <c r="M80" t="s">
        <v>89</v>
      </c>
      <c r="O80" s="4"/>
      <c r="AC80" t="str">
        <f>IFERROR(VLOOKUP($A80,fund_metadata!$A:$P,2,FALSE),"")</f>
        <v>Carlyle Alpinvest</v>
      </c>
      <c r="AD80" t="str">
        <f>IFERROR(VLOOKUP($A80,fund_metadata!$A:$P,16,FALSE),"")</f>
        <v>private_equity</v>
      </c>
    </row>
    <row r="81" spans="1:30" x14ac:dyDescent="0.25">
      <c r="A81">
        <v>2</v>
      </c>
      <c r="B81" s="3">
        <v>45107</v>
      </c>
      <c r="C81" s="3"/>
      <c r="F81" s="4">
        <v>203490000</v>
      </c>
      <c r="G81" t="s">
        <v>89</v>
      </c>
      <c r="H81" s="5">
        <v>10.99</v>
      </c>
      <c r="I81" t="s">
        <v>89</v>
      </c>
      <c r="J81" s="5"/>
      <c r="L81" s="2">
        <v>2.3300000000000001E-2</v>
      </c>
      <c r="M81" t="s">
        <v>89</v>
      </c>
      <c r="N81">
        <v>136</v>
      </c>
      <c r="O81" s="4"/>
      <c r="AC81" t="str">
        <f>IFERROR(VLOOKUP($A81,fund_metadata!$A:$P,2,FALSE),"")</f>
        <v>Carlyle Alpinvest</v>
      </c>
      <c r="AD81" t="str">
        <f>IFERROR(VLOOKUP($A81,fund_metadata!$A:$P,16,FALSE),"")</f>
        <v>private_equity</v>
      </c>
    </row>
    <row r="82" spans="1:30" x14ac:dyDescent="0.25">
      <c r="A82">
        <v>2</v>
      </c>
      <c r="B82" s="3">
        <v>45138</v>
      </c>
      <c r="C82" s="3"/>
      <c r="F82" s="4">
        <v>208950000</v>
      </c>
      <c r="G82" t="s">
        <v>89</v>
      </c>
      <c r="H82" s="5">
        <v>11.19</v>
      </c>
      <c r="I82" t="s">
        <v>89</v>
      </c>
      <c r="J82" s="5">
        <v>0</v>
      </c>
      <c r="K82" t="s">
        <v>108</v>
      </c>
      <c r="L82" s="2">
        <v>1.8200000000000001E-2</v>
      </c>
      <c r="M82" t="s">
        <v>89</v>
      </c>
      <c r="O82" s="4"/>
      <c r="AC82" t="str">
        <f>IFERROR(VLOOKUP($A82,fund_metadata!$A:$P,2,FALSE),"")</f>
        <v>Carlyle Alpinvest</v>
      </c>
      <c r="AD82" t="str">
        <f>IFERROR(VLOOKUP($A82,fund_metadata!$A:$P,16,FALSE),"")</f>
        <v>private_equity</v>
      </c>
    </row>
    <row r="83" spans="1:30" x14ac:dyDescent="0.25">
      <c r="A83">
        <v>2</v>
      </c>
      <c r="B83" s="3">
        <v>45169</v>
      </c>
      <c r="C83" s="3"/>
      <c r="F83" s="4">
        <v>224020000</v>
      </c>
      <c r="G83" t="s">
        <v>89</v>
      </c>
      <c r="H83" s="5">
        <v>11.18</v>
      </c>
      <c r="I83" t="s">
        <v>89</v>
      </c>
      <c r="J83" s="5">
        <v>0</v>
      </c>
      <c r="K83" t="s">
        <v>108</v>
      </c>
      <c r="L83" s="2">
        <v>-8.9999999999999998E-4</v>
      </c>
      <c r="M83" t="s">
        <v>89</v>
      </c>
      <c r="O83" s="4"/>
      <c r="AC83" t="str">
        <f>IFERROR(VLOOKUP($A83,fund_metadata!$A:$P,2,FALSE),"")</f>
        <v>Carlyle Alpinvest</v>
      </c>
      <c r="AD83" t="str">
        <f>IFERROR(VLOOKUP($A83,fund_metadata!$A:$P,16,FALSE),"")</f>
        <v>private_equity</v>
      </c>
    </row>
    <row r="84" spans="1:30" x14ac:dyDescent="0.25">
      <c r="A84">
        <v>2</v>
      </c>
      <c r="B84" s="3">
        <v>45199</v>
      </c>
      <c r="C84" s="3"/>
      <c r="F84" s="4">
        <v>255740000</v>
      </c>
      <c r="G84" t="s">
        <v>89</v>
      </c>
      <c r="H84" s="5">
        <v>11.56</v>
      </c>
      <c r="I84" t="s">
        <v>89</v>
      </c>
      <c r="J84" s="5">
        <v>0</v>
      </c>
      <c r="K84" t="s">
        <v>108</v>
      </c>
      <c r="L84" s="2">
        <v>3.39E-2</v>
      </c>
      <c r="M84" t="s">
        <v>89</v>
      </c>
      <c r="N84">
        <v>132</v>
      </c>
      <c r="O84" s="4"/>
      <c r="Q84">
        <v>22123474</v>
      </c>
      <c r="R84" t="s">
        <v>120</v>
      </c>
      <c r="AC84" t="str">
        <f>IFERROR(VLOOKUP($A84,fund_metadata!$A:$P,2,FALSE),"")</f>
        <v>Carlyle Alpinvest</v>
      </c>
      <c r="AD84" t="str">
        <f>IFERROR(VLOOKUP($A84,fund_metadata!$A:$P,16,FALSE),"")</f>
        <v>private_equity</v>
      </c>
    </row>
    <row r="85" spans="1:30" x14ac:dyDescent="0.25">
      <c r="A85">
        <v>2</v>
      </c>
      <c r="B85" s="3">
        <v>45230</v>
      </c>
      <c r="C85" s="3"/>
      <c r="F85" s="4">
        <v>260590000</v>
      </c>
      <c r="G85" t="s">
        <v>89</v>
      </c>
      <c r="H85" s="5">
        <v>11.44</v>
      </c>
      <c r="I85" t="s">
        <v>89</v>
      </c>
      <c r="J85" s="5">
        <v>0</v>
      </c>
      <c r="K85" t="s">
        <v>108</v>
      </c>
      <c r="L85" s="2">
        <v>-1.03E-2</v>
      </c>
      <c r="M85" t="s">
        <v>89</v>
      </c>
      <c r="O85" s="4"/>
      <c r="AC85" t="str">
        <f>IFERROR(VLOOKUP($A85,fund_metadata!$A:$P,2,FALSE),"")</f>
        <v>Carlyle Alpinvest</v>
      </c>
      <c r="AD85" t="str">
        <f>IFERROR(VLOOKUP($A85,fund_metadata!$A:$P,16,FALSE),"")</f>
        <v>private_equity</v>
      </c>
    </row>
    <row r="86" spans="1:30" x14ac:dyDescent="0.25">
      <c r="A86">
        <v>2</v>
      </c>
      <c r="B86" s="3">
        <v>45260</v>
      </c>
      <c r="C86" s="3"/>
      <c r="F86" s="4">
        <v>282750000</v>
      </c>
      <c r="G86" t="s">
        <v>89</v>
      </c>
      <c r="H86" s="5">
        <v>11.48</v>
      </c>
      <c r="I86" t="s">
        <v>89</v>
      </c>
      <c r="J86" s="5">
        <v>0</v>
      </c>
      <c r="K86" t="s">
        <v>108</v>
      </c>
      <c r="L86" s="2">
        <v>3.5000000000000001E-3</v>
      </c>
      <c r="M86" t="s">
        <v>89</v>
      </c>
      <c r="O86" s="4"/>
      <c r="AC86" t="str">
        <f>IFERROR(VLOOKUP($A86,fund_metadata!$A:$P,2,FALSE),"")</f>
        <v>Carlyle Alpinvest</v>
      </c>
      <c r="AD86" t="str">
        <f>IFERROR(VLOOKUP($A86,fund_metadata!$A:$P,16,FALSE),"")</f>
        <v>private_equity</v>
      </c>
    </row>
    <row r="87" spans="1:30" x14ac:dyDescent="0.25">
      <c r="A87">
        <v>2</v>
      </c>
      <c r="B87" s="3">
        <v>45291</v>
      </c>
      <c r="C87" s="3"/>
      <c r="F87" s="4">
        <v>311630000</v>
      </c>
      <c r="G87" t="s">
        <v>89</v>
      </c>
      <c r="H87" s="5">
        <v>11.73</v>
      </c>
      <c r="I87" t="s">
        <v>89</v>
      </c>
      <c r="J87" s="5">
        <v>0</v>
      </c>
      <c r="K87" t="s">
        <v>108</v>
      </c>
      <c r="L87" s="2">
        <v>2.3599999999999999E-2</v>
      </c>
      <c r="M87" t="s">
        <v>89</v>
      </c>
      <c r="N87">
        <v>157</v>
      </c>
      <c r="O87" s="4"/>
      <c r="AC87" t="str">
        <f>IFERROR(VLOOKUP($A87,fund_metadata!$A:$P,2,FALSE),"")</f>
        <v>Carlyle Alpinvest</v>
      </c>
      <c r="AD87" t="str">
        <f>IFERROR(VLOOKUP($A87,fund_metadata!$A:$P,16,FALSE),"")</f>
        <v>private_equity</v>
      </c>
    </row>
    <row r="88" spans="1:30" x14ac:dyDescent="0.25">
      <c r="A88">
        <v>2</v>
      </c>
      <c r="B88" s="3">
        <v>45322</v>
      </c>
      <c r="C88" s="3"/>
      <c r="F88" s="4">
        <v>357360000</v>
      </c>
      <c r="G88" t="s">
        <v>89</v>
      </c>
      <c r="H88" s="5">
        <v>11.88</v>
      </c>
      <c r="I88" t="s">
        <v>89</v>
      </c>
      <c r="J88" s="5">
        <v>0</v>
      </c>
      <c r="K88" t="s">
        <v>108</v>
      </c>
      <c r="L88" s="2">
        <v>1.2800000000000001E-2</v>
      </c>
      <c r="M88" t="s">
        <v>89</v>
      </c>
      <c r="O88" s="4"/>
      <c r="AC88" t="str">
        <f>IFERROR(VLOOKUP($A88,fund_metadata!$A:$P,2,FALSE),"")</f>
        <v>Carlyle Alpinvest</v>
      </c>
      <c r="AD88" t="str">
        <f>IFERROR(VLOOKUP($A88,fund_metadata!$A:$P,16,FALSE),"")</f>
        <v>private_equity</v>
      </c>
    </row>
    <row r="89" spans="1:30" x14ac:dyDescent="0.25">
      <c r="A89">
        <v>2</v>
      </c>
      <c r="B89" s="3">
        <v>45351</v>
      </c>
      <c r="C89" s="3"/>
      <c r="F89" s="4">
        <v>393340000</v>
      </c>
      <c r="G89" t="s">
        <v>89</v>
      </c>
      <c r="H89" s="5">
        <v>11.98</v>
      </c>
      <c r="I89" t="s">
        <v>89</v>
      </c>
      <c r="J89" s="5">
        <v>0</v>
      </c>
      <c r="K89" t="s">
        <v>108</v>
      </c>
      <c r="L89" s="2">
        <v>8.3999999999999995E-3</v>
      </c>
      <c r="M89" t="s">
        <v>89</v>
      </c>
      <c r="O89" s="4"/>
      <c r="AC89" t="str">
        <f>IFERROR(VLOOKUP($A89,fund_metadata!$A:$P,2,FALSE),"")</f>
        <v>Carlyle Alpinvest</v>
      </c>
      <c r="AD89" t="str">
        <f>IFERROR(VLOOKUP($A89,fund_metadata!$A:$P,16,FALSE),"")</f>
        <v>private_equity</v>
      </c>
    </row>
    <row r="90" spans="1:30" x14ac:dyDescent="0.25">
      <c r="A90">
        <v>2</v>
      </c>
      <c r="B90" s="3">
        <v>45382</v>
      </c>
      <c r="C90" s="3"/>
      <c r="F90" s="4">
        <v>439700000</v>
      </c>
      <c r="G90" t="s">
        <v>89</v>
      </c>
      <c r="H90" s="5">
        <v>12.17</v>
      </c>
      <c r="I90" t="s">
        <v>89</v>
      </c>
      <c r="J90" s="5">
        <v>0</v>
      </c>
      <c r="K90" t="s">
        <v>108</v>
      </c>
      <c r="L90" s="2">
        <v>1.5900000000000001E-2</v>
      </c>
      <c r="M90" t="s">
        <v>89</v>
      </c>
      <c r="N90">
        <v>162</v>
      </c>
      <c r="O90" s="4"/>
      <c r="Q90">
        <v>36141096</v>
      </c>
      <c r="R90" t="s">
        <v>121</v>
      </c>
      <c r="AC90" t="str">
        <f>IFERROR(VLOOKUP($A90,fund_metadata!$A:$P,2,FALSE),"")</f>
        <v>Carlyle Alpinvest</v>
      </c>
      <c r="AD90" t="str">
        <f>IFERROR(VLOOKUP($A90,fund_metadata!$A:$P,16,FALSE),"")</f>
        <v>private_equity</v>
      </c>
    </row>
    <row r="91" spans="1:30" x14ac:dyDescent="0.25">
      <c r="A91">
        <v>2</v>
      </c>
      <c r="B91" s="3">
        <v>45412</v>
      </c>
      <c r="C91" s="3"/>
      <c r="F91" s="4">
        <v>476210000</v>
      </c>
      <c r="G91" t="s">
        <v>89</v>
      </c>
      <c r="H91" s="5">
        <v>12.17</v>
      </c>
      <c r="I91" t="s">
        <v>89</v>
      </c>
      <c r="J91" s="5">
        <v>0</v>
      </c>
      <c r="K91" t="s">
        <v>108</v>
      </c>
      <c r="L91" s="2">
        <v>0</v>
      </c>
      <c r="M91" t="s">
        <v>89</v>
      </c>
      <c r="O91" s="4"/>
      <c r="AC91" t="str">
        <f>IFERROR(VLOOKUP($A91,fund_metadata!$A:$P,2,FALSE),"")</f>
        <v>Carlyle Alpinvest</v>
      </c>
      <c r="AD91" t="str">
        <f>IFERROR(VLOOKUP($A91,fund_metadata!$A:$P,16,FALSE),"")</f>
        <v>private_equity</v>
      </c>
    </row>
    <row r="92" spans="1:30" x14ac:dyDescent="0.25">
      <c r="A92">
        <v>2</v>
      </c>
      <c r="B92" s="3">
        <v>45443</v>
      </c>
      <c r="C92" s="3"/>
      <c r="F92" s="4">
        <v>523910000</v>
      </c>
      <c r="G92" t="s">
        <v>89</v>
      </c>
      <c r="H92" s="5">
        <v>12.03</v>
      </c>
      <c r="I92" t="s">
        <v>89</v>
      </c>
      <c r="J92" s="5">
        <v>0</v>
      </c>
      <c r="K92" t="s">
        <v>108</v>
      </c>
      <c r="L92" s="2">
        <v>-1.15E-2</v>
      </c>
      <c r="M92" t="s">
        <v>89</v>
      </c>
      <c r="O92" s="4"/>
      <c r="AC92" t="str">
        <f>IFERROR(VLOOKUP($A92,fund_metadata!$A:$P,2,FALSE),"")</f>
        <v>Carlyle Alpinvest</v>
      </c>
      <c r="AD92" t="str">
        <f>IFERROR(VLOOKUP($A92,fund_metadata!$A:$P,16,FALSE),"")</f>
        <v>private_equity</v>
      </c>
    </row>
    <row r="93" spans="1:30" x14ac:dyDescent="0.25">
      <c r="A93">
        <v>2</v>
      </c>
      <c r="B93" s="3">
        <v>45473</v>
      </c>
      <c r="C93" s="3"/>
      <c r="F93" s="4">
        <v>614060000</v>
      </c>
      <c r="G93" t="s">
        <v>89</v>
      </c>
      <c r="H93" s="5">
        <v>12.55</v>
      </c>
      <c r="I93" t="s">
        <v>89</v>
      </c>
      <c r="J93" s="5">
        <v>0</v>
      </c>
      <c r="K93" t="s">
        <v>108</v>
      </c>
      <c r="L93" s="2">
        <v>4.3200000000000002E-2</v>
      </c>
      <c r="M93" t="s">
        <v>89</v>
      </c>
      <c r="N93">
        <v>180</v>
      </c>
      <c r="O93" s="4"/>
      <c r="AC93" t="str">
        <f>IFERROR(VLOOKUP($A93,fund_metadata!$A:$P,2,FALSE),"")</f>
        <v>Carlyle Alpinvest</v>
      </c>
      <c r="AD93" t="str">
        <f>IFERROR(VLOOKUP($A93,fund_metadata!$A:$P,16,FALSE),"")</f>
        <v>private_equity</v>
      </c>
    </row>
    <row r="94" spans="1:30" x14ac:dyDescent="0.25">
      <c r="A94">
        <v>2</v>
      </c>
      <c r="B94" s="3">
        <v>45504</v>
      </c>
      <c r="C94" s="3"/>
      <c r="F94" s="4">
        <v>683190000</v>
      </c>
      <c r="G94" t="s">
        <v>89</v>
      </c>
      <c r="H94" s="5">
        <v>12.64</v>
      </c>
      <c r="I94" t="s">
        <v>89</v>
      </c>
      <c r="J94" s="5">
        <v>0</v>
      </c>
      <c r="K94" t="s">
        <v>108</v>
      </c>
      <c r="L94" s="2">
        <v>7.1999999999999998E-3</v>
      </c>
      <c r="M94" t="s">
        <v>89</v>
      </c>
      <c r="O94" s="4"/>
      <c r="AC94" t="str">
        <f>IFERROR(VLOOKUP($A94,fund_metadata!$A:$P,2,FALSE),"")</f>
        <v>Carlyle Alpinvest</v>
      </c>
      <c r="AD94" t="str">
        <f>IFERROR(VLOOKUP($A94,fund_metadata!$A:$P,16,FALSE),"")</f>
        <v>private_equity</v>
      </c>
    </row>
    <row r="95" spans="1:30" x14ac:dyDescent="0.25">
      <c r="A95">
        <v>2</v>
      </c>
      <c r="B95" s="3">
        <v>45535</v>
      </c>
      <c r="C95" s="3"/>
      <c r="F95" s="4">
        <v>798380000</v>
      </c>
      <c r="G95" t="s">
        <v>89</v>
      </c>
      <c r="H95" s="5">
        <v>12.99</v>
      </c>
      <c r="I95" t="s">
        <v>89</v>
      </c>
      <c r="J95" s="5"/>
      <c r="L95" s="2">
        <v>2.7699999999999999E-2</v>
      </c>
      <c r="M95" t="s">
        <v>89</v>
      </c>
      <c r="O95" s="4"/>
      <c r="AC95" t="str">
        <f>IFERROR(VLOOKUP($A95,fund_metadata!$A:$P,2,FALSE),"")</f>
        <v>Carlyle Alpinvest</v>
      </c>
      <c r="AD95" t="str">
        <f>IFERROR(VLOOKUP($A95,fund_metadata!$A:$P,16,FALSE),"")</f>
        <v>private_equity</v>
      </c>
    </row>
    <row r="96" spans="1:30" x14ac:dyDescent="0.25">
      <c r="A96">
        <v>2</v>
      </c>
      <c r="B96" s="3">
        <v>45565</v>
      </c>
      <c r="C96" s="3"/>
      <c r="F96" s="4">
        <v>916970000</v>
      </c>
      <c r="G96" t="s">
        <v>89</v>
      </c>
      <c r="H96" s="5">
        <v>13.23</v>
      </c>
      <c r="I96" t="s">
        <v>89</v>
      </c>
      <c r="J96" s="5"/>
      <c r="L96" s="2">
        <v>1.8499999999999999E-2</v>
      </c>
      <c r="M96" t="s">
        <v>89</v>
      </c>
      <c r="N96">
        <v>201</v>
      </c>
      <c r="O96" s="4">
        <v>986410000</v>
      </c>
      <c r="P96" t="s">
        <v>89</v>
      </c>
      <c r="Q96">
        <v>64327455</v>
      </c>
      <c r="R96" t="s">
        <v>120</v>
      </c>
      <c r="AC96" t="str">
        <f>IFERROR(VLOOKUP($A96,fund_metadata!$A:$P,2,FALSE),"")</f>
        <v>Carlyle Alpinvest</v>
      </c>
      <c r="AD96" t="str">
        <f>IFERROR(VLOOKUP($A96,fund_metadata!$A:$P,16,FALSE),"")</f>
        <v>private_equity</v>
      </c>
    </row>
    <row r="97" spans="1:30" x14ac:dyDescent="0.25">
      <c r="A97">
        <v>2</v>
      </c>
      <c r="B97" s="3">
        <v>45596</v>
      </c>
      <c r="C97" s="3"/>
      <c r="F97" s="4">
        <v>1040000000</v>
      </c>
      <c r="G97" t="s">
        <v>89</v>
      </c>
      <c r="H97" s="5">
        <v>13.26</v>
      </c>
      <c r="I97" t="s">
        <v>89</v>
      </c>
      <c r="J97" s="5"/>
      <c r="L97" s="2">
        <v>2.3E-3</v>
      </c>
      <c r="M97" t="s">
        <v>89</v>
      </c>
      <c r="O97" s="4"/>
      <c r="AC97" t="str">
        <f>IFERROR(VLOOKUP($A97,fund_metadata!$A:$P,2,FALSE),"")</f>
        <v>Carlyle Alpinvest</v>
      </c>
      <c r="AD97" t="str">
        <f>IFERROR(VLOOKUP($A97,fund_metadata!$A:$P,16,FALSE),"")</f>
        <v>private_equity</v>
      </c>
    </row>
    <row r="98" spans="1:30" x14ac:dyDescent="0.25">
      <c r="A98">
        <v>2</v>
      </c>
      <c r="B98" s="3">
        <v>45626</v>
      </c>
      <c r="C98" s="3"/>
      <c r="F98" s="4">
        <v>1190000000</v>
      </c>
      <c r="G98" t="s">
        <v>89</v>
      </c>
      <c r="H98" s="5">
        <v>13.27</v>
      </c>
      <c r="I98" t="s">
        <v>89</v>
      </c>
      <c r="J98" s="5"/>
      <c r="L98" s="2">
        <v>8.0000000000000004E-4</v>
      </c>
      <c r="M98" t="s">
        <v>89</v>
      </c>
      <c r="O98" s="4"/>
      <c r="AC98" t="str">
        <f>IFERROR(VLOOKUP($A98,fund_metadata!$A:$P,2,FALSE),"")</f>
        <v>Carlyle Alpinvest</v>
      </c>
      <c r="AD98" t="str">
        <f>IFERROR(VLOOKUP($A98,fund_metadata!$A:$P,16,FALSE),"")</f>
        <v>private_equity</v>
      </c>
    </row>
    <row r="99" spans="1:30" x14ac:dyDescent="0.25">
      <c r="A99">
        <v>2</v>
      </c>
      <c r="B99" s="3">
        <v>45657</v>
      </c>
      <c r="C99" s="3"/>
      <c r="F99" s="4">
        <v>1350000000</v>
      </c>
      <c r="G99" t="s">
        <v>89</v>
      </c>
      <c r="H99" s="5">
        <v>13.65</v>
      </c>
      <c r="I99" t="s">
        <v>89</v>
      </c>
      <c r="J99" s="5">
        <v>0.03</v>
      </c>
      <c r="K99" t="s">
        <v>89</v>
      </c>
      <c r="L99" s="2">
        <v>3.0499999999999999E-2</v>
      </c>
      <c r="M99" t="s">
        <v>89</v>
      </c>
      <c r="N99">
        <v>237</v>
      </c>
      <c r="O99" s="4"/>
      <c r="AC99" t="str">
        <f>IFERROR(VLOOKUP($A99,fund_metadata!$A:$P,2,FALSE),"")</f>
        <v>Carlyle Alpinvest</v>
      </c>
      <c r="AD99" t="str">
        <f>IFERROR(VLOOKUP($A99,fund_metadata!$A:$P,16,FALSE),"")</f>
        <v>private_equity</v>
      </c>
    </row>
    <row r="100" spans="1:30" x14ac:dyDescent="0.25">
      <c r="A100">
        <v>2</v>
      </c>
      <c r="B100" s="3">
        <v>45688</v>
      </c>
      <c r="C100" s="3"/>
      <c r="F100" s="4">
        <v>1530000000</v>
      </c>
      <c r="G100" t="s">
        <v>89</v>
      </c>
      <c r="H100" s="5">
        <v>13.89</v>
      </c>
      <c r="I100" t="s">
        <v>89</v>
      </c>
      <c r="J100" s="5"/>
      <c r="L100" s="2">
        <v>1.7600000000000001E-2</v>
      </c>
      <c r="M100" t="s">
        <v>89</v>
      </c>
      <c r="O100" s="4"/>
      <c r="AC100" t="str">
        <f>IFERROR(VLOOKUP($A100,fund_metadata!$A:$P,2,FALSE),"")</f>
        <v>Carlyle Alpinvest</v>
      </c>
      <c r="AD100" t="str">
        <f>IFERROR(VLOOKUP($A100,fund_metadata!$A:$P,16,FALSE),"")</f>
        <v>private_equity</v>
      </c>
    </row>
    <row r="101" spans="1:30" x14ac:dyDescent="0.25">
      <c r="A101">
        <v>2</v>
      </c>
      <c r="B101" s="3">
        <v>45716</v>
      </c>
      <c r="C101" s="3"/>
      <c r="F101" s="4">
        <v>1680000000</v>
      </c>
      <c r="G101" t="s">
        <v>89</v>
      </c>
      <c r="H101" s="5">
        <v>13.97</v>
      </c>
      <c r="I101" t="s">
        <v>89</v>
      </c>
      <c r="J101" s="5"/>
      <c r="L101" s="2">
        <v>5.7999999999999996E-3</v>
      </c>
      <c r="M101" t="s">
        <v>89</v>
      </c>
      <c r="O101" s="4"/>
      <c r="AC101" t="str">
        <f>IFERROR(VLOOKUP($A101,fund_metadata!$A:$P,2,FALSE),"")</f>
        <v>Carlyle Alpinvest</v>
      </c>
      <c r="AD101" t="str">
        <f>IFERROR(VLOOKUP($A101,fund_metadata!$A:$P,16,FALSE),"")</f>
        <v>private_equity</v>
      </c>
    </row>
    <row r="102" spans="1:30" x14ac:dyDescent="0.25">
      <c r="A102">
        <v>2</v>
      </c>
      <c r="B102" s="3">
        <v>45747</v>
      </c>
      <c r="C102" s="3"/>
      <c r="F102" s="4">
        <v>1870000000</v>
      </c>
      <c r="G102" t="s">
        <v>89</v>
      </c>
      <c r="H102" s="5">
        <v>14.21</v>
      </c>
      <c r="I102" t="s">
        <v>89</v>
      </c>
      <c r="J102" s="5"/>
      <c r="L102" s="2">
        <v>1.72E-2</v>
      </c>
      <c r="M102" t="s">
        <v>89</v>
      </c>
      <c r="N102">
        <v>256</v>
      </c>
      <c r="O102" s="4">
        <v>2000000000</v>
      </c>
      <c r="P102" t="s">
        <v>89</v>
      </c>
      <c r="Q102">
        <v>109207969</v>
      </c>
      <c r="R102" t="s">
        <v>121</v>
      </c>
      <c r="AC102" t="str">
        <f>IFERROR(VLOOKUP($A102,fund_metadata!$A:$P,2,FALSE),"")</f>
        <v>Carlyle Alpinvest</v>
      </c>
      <c r="AD102" t="str">
        <f>IFERROR(VLOOKUP($A102,fund_metadata!$A:$P,16,FALSE),"")</f>
        <v>private_equity</v>
      </c>
    </row>
    <row r="103" spans="1:30" x14ac:dyDescent="0.25">
      <c r="A103">
        <v>2</v>
      </c>
      <c r="B103" s="3">
        <v>45777</v>
      </c>
      <c r="C103" s="3"/>
      <c r="F103" s="4">
        <v>2040000000</v>
      </c>
      <c r="G103" t="s">
        <v>89</v>
      </c>
      <c r="H103" s="5">
        <v>14.26</v>
      </c>
      <c r="I103" t="s">
        <v>89</v>
      </c>
      <c r="J103" s="5"/>
      <c r="L103" s="2">
        <v>3.5000000000000001E-3</v>
      </c>
      <c r="M103" t="s">
        <v>89</v>
      </c>
      <c r="O103" s="4"/>
      <c r="AC103" t="str">
        <f>IFERROR(VLOOKUP($A103,fund_metadata!$A:$P,2,FALSE),"")</f>
        <v>Carlyle Alpinvest</v>
      </c>
      <c r="AD103" t="str">
        <f>IFERROR(VLOOKUP($A103,fund_metadata!$A:$P,16,FALSE),"")</f>
        <v>private_equity</v>
      </c>
    </row>
    <row r="104" spans="1:30" x14ac:dyDescent="0.25">
      <c r="A104">
        <v>2</v>
      </c>
      <c r="B104" s="3">
        <v>45808</v>
      </c>
      <c r="C104" s="3"/>
      <c r="F104" s="4">
        <v>2250000000</v>
      </c>
      <c r="G104" t="s">
        <v>89</v>
      </c>
      <c r="H104" s="5">
        <v>14.61</v>
      </c>
      <c r="I104" t="s">
        <v>89</v>
      </c>
      <c r="J104" s="5"/>
      <c r="L104" s="2">
        <v>2.4500000000000001E-2</v>
      </c>
      <c r="M104" t="s">
        <v>89</v>
      </c>
      <c r="O104" s="4"/>
      <c r="AC104" t="str">
        <f>IFERROR(VLOOKUP($A104,fund_metadata!$A:$P,2,FALSE),"")</f>
        <v>Carlyle Alpinvest</v>
      </c>
      <c r="AD104" t="str">
        <f>IFERROR(VLOOKUP($A104,fund_metadata!$A:$P,16,FALSE),"")</f>
        <v>private_equity</v>
      </c>
    </row>
    <row r="105" spans="1:30" x14ac:dyDescent="0.25">
      <c r="A105">
        <v>2</v>
      </c>
      <c r="B105" s="3">
        <v>45838</v>
      </c>
      <c r="C105" s="3"/>
      <c r="F105" s="4">
        <v>2520000000</v>
      </c>
      <c r="G105" t="s">
        <v>89</v>
      </c>
      <c r="H105" s="5"/>
      <c r="J105" s="5"/>
      <c r="L105" s="2">
        <v>2.6700000000000002E-2</v>
      </c>
      <c r="M105" t="s">
        <v>89</v>
      </c>
      <c r="N105">
        <v>276</v>
      </c>
      <c r="O105" s="4"/>
      <c r="AC105" t="str">
        <f>IFERROR(VLOOKUP($A105,fund_metadata!$A:$P,2,FALSE),"")</f>
        <v>Carlyle Alpinvest</v>
      </c>
      <c r="AD105" t="str">
        <f>IFERROR(VLOOKUP($A105,fund_metadata!$A:$P,16,FALSE),"")</f>
        <v>private_equity</v>
      </c>
    </row>
    <row r="106" spans="1:30" x14ac:dyDescent="0.25">
      <c r="A106">
        <v>2</v>
      </c>
      <c r="B106" s="3">
        <v>45869</v>
      </c>
      <c r="C106" s="3"/>
      <c r="F106" s="4">
        <v>2670000000</v>
      </c>
      <c r="G106" t="s">
        <v>89</v>
      </c>
      <c r="H106" s="5"/>
      <c r="J106" s="5"/>
      <c r="L106" s="2">
        <v>3.3E-3</v>
      </c>
      <c r="M106" t="s">
        <v>89</v>
      </c>
      <c r="O106" s="4"/>
      <c r="AC106" t="str">
        <f>IFERROR(VLOOKUP($A106,fund_metadata!$A:$P,2,FALSE),"")</f>
        <v>Carlyle Alpinvest</v>
      </c>
      <c r="AD106" t="str">
        <f>IFERROR(VLOOKUP($A106,fund_metadata!$A:$P,16,FALSE),"")</f>
        <v>private_equity</v>
      </c>
    </row>
    <row r="107" spans="1:30" x14ac:dyDescent="0.25">
      <c r="A107">
        <v>2</v>
      </c>
      <c r="B107" s="3">
        <v>45900</v>
      </c>
      <c r="C107" s="3"/>
      <c r="F107" s="4">
        <v>2930000000</v>
      </c>
      <c r="G107" t="s">
        <v>89</v>
      </c>
      <c r="H107" s="5"/>
      <c r="J107" s="5"/>
      <c r="L107" s="2">
        <v>1.46E-2</v>
      </c>
      <c r="M107" t="s">
        <v>89</v>
      </c>
      <c r="O107" s="4"/>
      <c r="AC107" t="str">
        <f>IFERROR(VLOOKUP($A107,fund_metadata!$A:$P,2,FALSE),"")</f>
        <v>Carlyle Alpinvest</v>
      </c>
      <c r="AD107" t="str">
        <f>IFERROR(VLOOKUP($A107,fund_metadata!$A:$P,16,FALSE),"")</f>
        <v>private_equity</v>
      </c>
    </row>
    <row r="108" spans="1:30" x14ac:dyDescent="0.25">
      <c r="A108">
        <v>2</v>
      </c>
      <c r="B108" s="3">
        <v>45930</v>
      </c>
      <c r="C108" s="3"/>
      <c r="F108" s="4">
        <v>3220000000</v>
      </c>
      <c r="G108" t="s">
        <v>89</v>
      </c>
      <c r="H108" s="5"/>
      <c r="J108" s="5"/>
      <c r="L108" s="2">
        <v>1.5100000000000001E-2</v>
      </c>
      <c r="M108" t="s">
        <v>89</v>
      </c>
      <c r="N108">
        <v>214</v>
      </c>
      <c r="O108" s="4"/>
      <c r="Q108">
        <v>160560646</v>
      </c>
      <c r="R108" t="s">
        <v>120</v>
      </c>
      <c r="AC108" t="str">
        <f>IFERROR(VLOOKUP($A108,fund_metadata!$A:$P,2,FALSE),"")</f>
        <v>Carlyle Alpinvest</v>
      </c>
      <c r="AD108" t="str">
        <f>IFERROR(VLOOKUP($A108,fund_metadata!$A:$P,16,FALSE),"")</f>
        <v>private_equity</v>
      </c>
    </row>
    <row r="109" spans="1:30" x14ac:dyDescent="0.25">
      <c r="A109">
        <v>2</v>
      </c>
      <c r="B109" s="3">
        <v>45961</v>
      </c>
      <c r="C109" s="3"/>
      <c r="F109" s="4">
        <v>3390000000</v>
      </c>
      <c r="G109" t="s">
        <v>89</v>
      </c>
      <c r="H109" s="5"/>
      <c r="J109" s="5"/>
      <c r="L109" s="2">
        <v>6.4999999999999997E-3</v>
      </c>
      <c r="M109" t="s">
        <v>89</v>
      </c>
      <c r="O109" s="4"/>
      <c r="AC109" t="str">
        <f>IFERROR(VLOOKUP($A109,fund_metadata!$A:$P,2,FALSE),"")</f>
        <v>Carlyle Alpinvest</v>
      </c>
      <c r="AD109" t="str">
        <f>IFERROR(VLOOKUP($A109,fund_metadata!$A:$P,16,FALSE),"")</f>
        <v>private_equity</v>
      </c>
    </row>
    <row r="110" spans="1:30" x14ac:dyDescent="0.25">
      <c r="A110">
        <v>2</v>
      </c>
      <c r="B110" s="3">
        <v>45991</v>
      </c>
      <c r="C110" s="3"/>
      <c r="F110" s="4">
        <v>3660000000</v>
      </c>
      <c r="G110" t="s">
        <v>89</v>
      </c>
      <c r="H110" s="5"/>
      <c r="J110" s="5"/>
      <c r="L110" s="2">
        <v>6.4000000000000003E-3</v>
      </c>
      <c r="M110" t="s">
        <v>89</v>
      </c>
      <c r="O110" s="4"/>
      <c r="AC110" t="str">
        <f>IFERROR(VLOOKUP($A110,fund_metadata!$A:$P,2,FALSE),"")</f>
        <v>Carlyle Alpinvest</v>
      </c>
      <c r="AD110" t="str">
        <f>IFERROR(VLOOKUP($A110,fund_metadata!$A:$P,16,FALSE),"")</f>
        <v>private_equity</v>
      </c>
    </row>
    <row r="111" spans="1:30" x14ac:dyDescent="0.25">
      <c r="A111">
        <v>2</v>
      </c>
      <c r="B111" s="3">
        <v>46022</v>
      </c>
      <c r="C111" s="3"/>
      <c r="F111" s="4">
        <v>3900000000</v>
      </c>
      <c r="G111" t="s">
        <v>89</v>
      </c>
      <c r="H111" s="5"/>
      <c r="J111" s="5">
        <v>0.1</v>
      </c>
      <c r="K111" t="s">
        <v>89</v>
      </c>
      <c r="L111" s="2">
        <v>1.72E-2</v>
      </c>
      <c r="M111" t="s">
        <v>89</v>
      </c>
      <c r="N111">
        <v>274</v>
      </c>
      <c r="O111" s="4"/>
      <c r="AC111" t="str">
        <f>IFERROR(VLOOKUP($A111,fund_metadata!$A:$P,2,FALSE),"")</f>
        <v>Carlyle Alpinvest</v>
      </c>
      <c r="AD111" t="str">
        <f>IFERROR(VLOOKUP($A111,fund_metadata!$A:$P,16,FALSE),"")</f>
        <v>private_equity</v>
      </c>
    </row>
    <row r="112" spans="1:30" x14ac:dyDescent="0.25">
      <c r="A112">
        <v>2</v>
      </c>
      <c r="B112" s="3">
        <v>46053</v>
      </c>
      <c r="C112" s="3"/>
      <c r="F112" s="4">
        <v>4080000000</v>
      </c>
      <c r="G112" t="s">
        <v>89</v>
      </c>
      <c r="H112" s="5"/>
      <c r="J112" s="5"/>
      <c r="L112" s="2">
        <v>1.5100000000000001E-2</v>
      </c>
      <c r="M112" t="s">
        <v>89</v>
      </c>
      <c r="O112" s="4"/>
      <c r="AC112" t="str">
        <f>IFERROR(VLOOKUP($A112,fund_metadata!$A:$P,2,FALSE),"")</f>
        <v>Carlyle Alpinvest</v>
      </c>
      <c r="AD112" t="str">
        <f>IFERROR(VLOOKUP($A112,fund_metadata!$A:$P,16,FALSE),"")</f>
        <v>private_equity</v>
      </c>
    </row>
    <row r="113" spans="1:30" x14ac:dyDescent="0.25">
      <c r="A113">
        <v>2</v>
      </c>
      <c r="B113" s="3">
        <v>46081</v>
      </c>
      <c r="C113" s="3"/>
      <c r="D113">
        <v>5075614.3600000003</v>
      </c>
      <c r="E113" t="s">
        <v>105</v>
      </c>
      <c r="F113" s="4">
        <v>4330000000</v>
      </c>
      <c r="G113" t="s">
        <v>89</v>
      </c>
      <c r="H113" s="5"/>
      <c r="J113" s="5"/>
      <c r="L113" s="2">
        <v>2.3E-2</v>
      </c>
      <c r="M113" t="s">
        <v>89</v>
      </c>
      <c r="O113" s="4"/>
      <c r="S113">
        <v>315059.86099999998</v>
      </c>
      <c r="T113" t="s">
        <v>105</v>
      </c>
      <c r="AC113" t="str">
        <f>IFERROR(VLOOKUP($A113,fund_metadata!$A:$P,2,FALSE),"")</f>
        <v>Carlyle Alpinvest</v>
      </c>
      <c r="AD113" t="str">
        <f>IFERROR(VLOOKUP($A113,fund_metadata!$A:$P,16,FALSE),"")</f>
        <v>private_equity</v>
      </c>
    </row>
    <row r="114" spans="1:30" x14ac:dyDescent="0.25">
      <c r="A114">
        <v>2</v>
      </c>
      <c r="B114" s="3">
        <v>46112</v>
      </c>
      <c r="C114" s="3"/>
      <c r="D114">
        <v>5078764.96</v>
      </c>
      <c r="E114" t="s">
        <v>105</v>
      </c>
      <c r="F114" s="4">
        <v>4420000000</v>
      </c>
      <c r="G114" t="s">
        <v>89</v>
      </c>
      <c r="H114" s="5"/>
      <c r="J114" s="5"/>
      <c r="L114" s="2">
        <v>-2.18E-2</v>
      </c>
      <c r="M114" t="s">
        <v>89</v>
      </c>
      <c r="N114">
        <v>317</v>
      </c>
      <c r="O114" s="4"/>
      <c r="S114">
        <v>315059.86099999998</v>
      </c>
      <c r="T114" t="s">
        <v>105</v>
      </c>
      <c r="U114">
        <v>0</v>
      </c>
      <c r="V114" t="s">
        <v>105</v>
      </c>
      <c r="W114">
        <v>0</v>
      </c>
      <c r="X114" t="s">
        <v>105</v>
      </c>
      <c r="Y114">
        <v>0</v>
      </c>
      <c r="Z114" t="s">
        <v>105</v>
      </c>
      <c r="AC114" t="str">
        <f>IFERROR(VLOOKUP($A114,fund_metadata!$A:$P,2,FALSE),"")</f>
        <v>Carlyle Alpinvest</v>
      </c>
      <c r="AD114" t="str">
        <f>IFERROR(VLOOKUP($A114,fund_metadata!$A:$P,16,FALSE),"")</f>
        <v>private_equity</v>
      </c>
    </row>
    <row r="115" spans="1:30" x14ac:dyDescent="0.25">
      <c r="A115">
        <v>2</v>
      </c>
      <c r="B115" s="3">
        <v>46142</v>
      </c>
      <c r="C115" s="3"/>
      <c r="F115" s="4"/>
      <c r="H115" s="5"/>
      <c r="J115" s="5"/>
      <c r="L115" s="2"/>
      <c r="O115" s="4"/>
      <c r="AC115" t="str">
        <f>IFERROR(VLOOKUP($A115,fund_metadata!$A:$P,2,FALSE),"")</f>
        <v>Carlyle Alpinvest</v>
      </c>
      <c r="AD115" t="str">
        <f>IFERROR(VLOOKUP($A115,fund_metadata!$A:$P,16,FALSE),"")</f>
        <v>private_equity</v>
      </c>
    </row>
    <row r="116" spans="1:30" x14ac:dyDescent="0.25">
      <c r="A116">
        <v>2</v>
      </c>
      <c r="B116" s="3">
        <v>46173</v>
      </c>
      <c r="C116" s="3"/>
      <c r="F116" s="4"/>
      <c r="H116" s="5"/>
      <c r="J116" s="5"/>
      <c r="L116" s="2"/>
      <c r="O116" s="4"/>
      <c r="AC116" t="str">
        <f>IFERROR(VLOOKUP($A116,fund_metadata!$A:$P,2,FALSE),"")</f>
        <v>Carlyle Alpinvest</v>
      </c>
      <c r="AD116" t="str">
        <f>IFERROR(VLOOKUP($A116,fund_metadata!$A:$P,16,FALSE),"")</f>
        <v>private_equity</v>
      </c>
    </row>
    <row r="117" spans="1:30" x14ac:dyDescent="0.25">
      <c r="A117">
        <v>3</v>
      </c>
      <c r="B117" s="3">
        <v>44377</v>
      </c>
      <c r="C117" s="3"/>
      <c r="F117" s="4">
        <v>85580000</v>
      </c>
      <c r="G117" t="s">
        <v>89</v>
      </c>
      <c r="H117" s="5">
        <v>10</v>
      </c>
      <c r="I117" t="s">
        <v>89</v>
      </c>
      <c r="J117" s="5">
        <v>0</v>
      </c>
      <c r="K117" t="s">
        <v>108</v>
      </c>
      <c r="L117" s="2"/>
      <c r="O117" s="4"/>
      <c r="AC117" t="str">
        <f>IFERROR(VLOOKUP($A117,fund_metadata!$A:$P,2,FALSE),"")</f>
        <v>Cliffwater</v>
      </c>
      <c r="AD117" t="str">
        <f>IFERROR(VLOOKUP($A117,fund_metadata!$A:$P,16,FALSE),"")</f>
        <v>private_credit</v>
      </c>
    </row>
    <row r="118" spans="1:30" x14ac:dyDescent="0.25">
      <c r="A118">
        <v>3</v>
      </c>
      <c r="B118" s="3">
        <v>44408</v>
      </c>
      <c r="C118" s="3"/>
      <c r="F118" s="4">
        <v>96430000</v>
      </c>
      <c r="G118" t="s">
        <v>89</v>
      </c>
      <c r="H118" s="5">
        <v>10.09</v>
      </c>
      <c r="I118" t="s">
        <v>89</v>
      </c>
      <c r="J118" s="5">
        <v>0</v>
      </c>
      <c r="K118" t="s">
        <v>108</v>
      </c>
      <c r="L118" s="2">
        <v>8.9999999999999993E-3</v>
      </c>
      <c r="M118" t="s">
        <v>89</v>
      </c>
      <c r="O118" s="4"/>
      <c r="AC118" t="str">
        <f>IFERROR(VLOOKUP($A118,fund_metadata!$A:$P,2,FALSE),"")</f>
        <v>Cliffwater</v>
      </c>
      <c r="AD118" t="str">
        <f>IFERROR(VLOOKUP($A118,fund_metadata!$A:$P,16,FALSE),"")</f>
        <v>private_credit</v>
      </c>
    </row>
    <row r="119" spans="1:30" x14ac:dyDescent="0.25">
      <c r="A119">
        <v>3</v>
      </c>
      <c r="B119" s="3">
        <v>44439</v>
      </c>
      <c r="C119" s="3"/>
      <c r="F119" s="4">
        <v>136190000</v>
      </c>
      <c r="G119" t="s">
        <v>89</v>
      </c>
      <c r="H119" s="5">
        <v>10.24</v>
      </c>
      <c r="I119" t="s">
        <v>89</v>
      </c>
      <c r="J119" s="5">
        <v>0</v>
      </c>
      <c r="K119" t="s">
        <v>108</v>
      </c>
      <c r="L119" s="2">
        <v>1.49E-2</v>
      </c>
      <c r="M119" t="s">
        <v>89</v>
      </c>
      <c r="O119" s="4"/>
      <c r="AC119" t="str">
        <f>IFERROR(VLOOKUP($A119,fund_metadata!$A:$P,2,FALSE),"")</f>
        <v>Cliffwater</v>
      </c>
      <c r="AD119" t="str">
        <f>IFERROR(VLOOKUP($A119,fund_metadata!$A:$P,16,FALSE),"")</f>
        <v>private_credit</v>
      </c>
    </row>
    <row r="120" spans="1:30" x14ac:dyDescent="0.25">
      <c r="A120">
        <v>3</v>
      </c>
      <c r="B120" s="3">
        <v>44469</v>
      </c>
      <c r="C120" s="3"/>
      <c r="F120" s="4">
        <v>163430000</v>
      </c>
      <c r="G120" t="s">
        <v>89</v>
      </c>
      <c r="H120" s="5">
        <v>10.4</v>
      </c>
      <c r="I120" t="s">
        <v>89</v>
      </c>
      <c r="J120" s="5">
        <v>0</v>
      </c>
      <c r="K120" t="s">
        <v>108</v>
      </c>
      <c r="L120" s="2">
        <v>1.5599999999999999E-2</v>
      </c>
      <c r="M120" t="s">
        <v>89</v>
      </c>
      <c r="N120">
        <v>29</v>
      </c>
      <c r="O120" s="4">
        <v>164090000</v>
      </c>
      <c r="P120" t="s">
        <v>89</v>
      </c>
      <c r="Q120">
        <v>15764541</v>
      </c>
      <c r="R120" t="s">
        <v>120</v>
      </c>
      <c r="AC120" t="str">
        <f>IFERROR(VLOOKUP($A120,fund_metadata!$A:$P,2,FALSE),"")</f>
        <v>Cliffwater</v>
      </c>
      <c r="AD120" t="str">
        <f>IFERROR(VLOOKUP($A120,fund_metadata!$A:$P,16,FALSE),"")</f>
        <v>private_credit</v>
      </c>
    </row>
    <row r="121" spans="1:30" x14ac:dyDescent="0.25">
      <c r="A121">
        <v>3</v>
      </c>
      <c r="B121" s="3">
        <v>44500</v>
      </c>
      <c r="C121" s="3"/>
      <c r="F121" s="4">
        <v>188490000</v>
      </c>
      <c r="G121" t="s">
        <v>89</v>
      </c>
      <c r="H121" s="5">
        <v>10.47</v>
      </c>
      <c r="I121" t="s">
        <v>89</v>
      </c>
      <c r="J121" s="5">
        <v>0</v>
      </c>
      <c r="K121" t="s">
        <v>108</v>
      </c>
      <c r="L121" s="2">
        <v>6.7000000000000002E-3</v>
      </c>
      <c r="M121" t="s">
        <v>89</v>
      </c>
      <c r="O121" s="4"/>
      <c r="AC121" t="str">
        <f>IFERROR(VLOOKUP($A121,fund_metadata!$A:$P,2,FALSE),"")</f>
        <v>Cliffwater</v>
      </c>
      <c r="AD121" t="str">
        <f>IFERROR(VLOOKUP($A121,fund_metadata!$A:$P,16,FALSE),"")</f>
        <v>private_credit</v>
      </c>
    </row>
    <row r="122" spans="1:30" x14ac:dyDescent="0.25">
      <c r="A122">
        <v>3</v>
      </c>
      <c r="B122" s="3">
        <v>44530</v>
      </c>
      <c r="C122" s="3"/>
      <c r="F122" s="4">
        <v>218920000</v>
      </c>
      <c r="G122" t="s">
        <v>89</v>
      </c>
      <c r="H122" s="5">
        <v>10.39</v>
      </c>
      <c r="I122" t="s">
        <v>89</v>
      </c>
      <c r="J122" s="5">
        <v>0.24</v>
      </c>
      <c r="K122" t="s">
        <v>89</v>
      </c>
      <c r="L122" s="2">
        <v>1.52E-2</v>
      </c>
      <c r="M122" t="s">
        <v>89</v>
      </c>
      <c r="O122" s="4"/>
      <c r="AC122" t="str">
        <f>IFERROR(VLOOKUP($A122,fund_metadata!$A:$P,2,FALSE),"")</f>
        <v>Cliffwater</v>
      </c>
      <c r="AD122" t="str">
        <f>IFERROR(VLOOKUP($A122,fund_metadata!$A:$P,16,FALSE),"")</f>
        <v>private_credit</v>
      </c>
    </row>
    <row r="123" spans="1:30" x14ac:dyDescent="0.25">
      <c r="A123">
        <v>3</v>
      </c>
      <c r="B123" s="3">
        <v>44561</v>
      </c>
      <c r="C123" s="3"/>
      <c r="F123" s="4">
        <v>268960000</v>
      </c>
      <c r="G123" t="s">
        <v>89</v>
      </c>
      <c r="H123" s="5">
        <v>10.41</v>
      </c>
      <c r="I123" t="s">
        <v>89</v>
      </c>
      <c r="J123" s="5">
        <v>0.08</v>
      </c>
      <c r="K123" t="s">
        <v>89</v>
      </c>
      <c r="L123" s="2">
        <v>0.01</v>
      </c>
      <c r="M123" t="s">
        <v>89</v>
      </c>
      <c r="N123">
        <v>52</v>
      </c>
      <c r="O123" s="4"/>
      <c r="AC123" t="str">
        <f>IFERROR(VLOOKUP($A123,fund_metadata!$A:$P,2,FALSE),"")</f>
        <v>Cliffwater</v>
      </c>
      <c r="AD123" t="str">
        <f>IFERROR(VLOOKUP($A123,fund_metadata!$A:$P,16,FALSE),"")</f>
        <v>private_credit</v>
      </c>
    </row>
    <row r="124" spans="1:30" x14ac:dyDescent="0.25">
      <c r="A124">
        <v>3</v>
      </c>
      <c r="B124" s="3">
        <v>44592</v>
      </c>
      <c r="C124" s="3"/>
      <c r="F124" s="4">
        <v>322280000</v>
      </c>
      <c r="G124" t="s">
        <v>89</v>
      </c>
      <c r="H124" s="5">
        <v>10.5</v>
      </c>
      <c r="I124" t="s">
        <v>89</v>
      </c>
      <c r="J124" s="5">
        <v>0</v>
      </c>
      <c r="K124" t="s">
        <v>108</v>
      </c>
      <c r="L124" s="2">
        <v>8.6E-3</v>
      </c>
      <c r="M124" t="s">
        <v>89</v>
      </c>
      <c r="O124" s="4"/>
      <c r="AC124" t="str">
        <f>IFERROR(VLOOKUP($A124,fund_metadata!$A:$P,2,FALSE),"")</f>
        <v>Cliffwater</v>
      </c>
      <c r="AD124" t="str">
        <f>IFERROR(VLOOKUP($A124,fund_metadata!$A:$P,16,FALSE),"")</f>
        <v>private_credit</v>
      </c>
    </row>
    <row r="125" spans="1:30" x14ac:dyDescent="0.25">
      <c r="A125">
        <v>3</v>
      </c>
      <c r="B125" s="3">
        <v>44620</v>
      </c>
      <c r="C125" s="3"/>
      <c r="F125" s="4">
        <v>414530000</v>
      </c>
      <c r="G125" t="s">
        <v>89</v>
      </c>
      <c r="H125" s="5">
        <v>10.6</v>
      </c>
      <c r="I125" t="s">
        <v>89</v>
      </c>
      <c r="J125" s="5">
        <v>0</v>
      </c>
      <c r="K125" t="s">
        <v>108</v>
      </c>
      <c r="L125" s="2">
        <v>9.4999999999999998E-3</v>
      </c>
      <c r="M125" t="s">
        <v>89</v>
      </c>
      <c r="O125" s="4"/>
      <c r="AC125" t="str">
        <f>IFERROR(VLOOKUP($A125,fund_metadata!$A:$P,2,FALSE),"")</f>
        <v>Cliffwater</v>
      </c>
      <c r="AD125" t="str">
        <f>IFERROR(VLOOKUP($A125,fund_metadata!$A:$P,16,FALSE),"")</f>
        <v>private_credit</v>
      </c>
    </row>
    <row r="126" spans="1:30" x14ac:dyDescent="0.25">
      <c r="A126">
        <v>3</v>
      </c>
      <c r="B126" s="3">
        <v>44651</v>
      </c>
      <c r="C126" s="3"/>
      <c r="F126" s="4">
        <v>472560000</v>
      </c>
      <c r="G126" t="s">
        <v>89</v>
      </c>
      <c r="H126" s="5">
        <v>10.78</v>
      </c>
      <c r="I126" t="s">
        <v>89</v>
      </c>
      <c r="J126" s="5">
        <v>0</v>
      </c>
      <c r="K126" t="s">
        <v>108</v>
      </c>
      <c r="L126" s="2">
        <v>1.7000000000000001E-2</v>
      </c>
      <c r="M126" t="s">
        <v>89</v>
      </c>
      <c r="N126">
        <v>63</v>
      </c>
      <c r="O126" s="4">
        <v>504430000</v>
      </c>
      <c r="P126" t="s">
        <v>89</v>
      </c>
      <c r="Q126">
        <v>43957538</v>
      </c>
      <c r="R126" t="s">
        <v>121</v>
      </c>
      <c r="AC126" t="str">
        <f>IFERROR(VLOOKUP($A126,fund_metadata!$A:$P,2,FALSE),"")</f>
        <v>Cliffwater</v>
      </c>
      <c r="AD126" t="str">
        <f>IFERROR(VLOOKUP($A126,fund_metadata!$A:$P,16,FALSE),"")</f>
        <v>private_credit</v>
      </c>
    </row>
    <row r="127" spans="1:30" x14ac:dyDescent="0.25">
      <c r="A127">
        <v>3</v>
      </c>
      <c r="B127" s="3">
        <v>44681</v>
      </c>
      <c r="C127" s="3"/>
      <c r="F127" s="4">
        <v>545840000</v>
      </c>
      <c r="G127" t="s">
        <v>89</v>
      </c>
      <c r="H127" s="5">
        <v>10.63</v>
      </c>
      <c r="I127" t="s">
        <v>89</v>
      </c>
      <c r="J127" s="5">
        <v>0.24</v>
      </c>
      <c r="K127" t="s">
        <v>89</v>
      </c>
      <c r="L127" s="2">
        <v>8.6E-3</v>
      </c>
      <c r="M127" t="s">
        <v>89</v>
      </c>
      <c r="O127" s="4"/>
      <c r="AC127" t="str">
        <f>IFERROR(VLOOKUP($A127,fund_metadata!$A:$P,2,FALSE),"")</f>
        <v>Cliffwater</v>
      </c>
      <c r="AD127" t="str">
        <f>IFERROR(VLOOKUP($A127,fund_metadata!$A:$P,16,FALSE),"")</f>
        <v>private_credit</v>
      </c>
    </row>
    <row r="128" spans="1:30" x14ac:dyDescent="0.25">
      <c r="A128">
        <v>3</v>
      </c>
      <c r="B128" s="3">
        <v>44712</v>
      </c>
      <c r="C128" s="3"/>
      <c r="F128" s="4">
        <v>620190000</v>
      </c>
      <c r="G128" t="s">
        <v>89</v>
      </c>
      <c r="H128" s="5">
        <v>10.77</v>
      </c>
      <c r="I128" t="s">
        <v>89</v>
      </c>
      <c r="J128" s="5">
        <v>0</v>
      </c>
      <c r="K128" t="s">
        <v>108</v>
      </c>
      <c r="L128" s="2">
        <v>1.32E-2</v>
      </c>
      <c r="M128" t="s">
        <v>89</v>
      </c>
      <c r="O128" s="4"/>
      <c r="AC128" t="str">
        <f>IFERROR(VLOOKUP($A128,fund_metadata!$A:$P,2,FALSE),"")</f>
        <v>Cliffwater</v>
      </c>
      <c r="AD128" t="str">
        <f>IFERROR(VLOOKUP($A128,fund_metadata!$A:$P,16,FALSE),"")</f>
        <v>private_credit</v>
      </c>
    </row>
    <row r="129" spans="1:30" x14ac:dyDescent="0.25">
      <c r="A129">
        <v>3</v>
      </c>
      <c r="B129" s="3">
        <v>44742</v>
      </c>
      <c r="C129" s="3"/>
      <c r="F129" s="4">
        <v>686370000</v>
      </c>
      <c r="G129" t="s">
        <v>89</v>
      </c>
      <c r="H129" s="5">
        <v>10.86</v>
      </c>
      <c r="I129" t="s">
        <v>89</v>
      </c>
      <c r="J129" s="5">
        <v>0</v>
      </c>
      <c r="K129" t="s">
        <v>108</v>
      </c>
      <c r="L129" s="2">
        <v>8.3999999999999995E-3</v>
      </c>
      <c r="M129" t="s">
        <v>89</v>
      </c>
      <c r="N129">
        <v>103</v>
      </c>
      <c r="O129" s="4"/>
      <c r="AC129" t="str">
        <f>IFERROR(VLOOKUP($A129,fund_metadata!$A:$P,2,FALSE),"")</f>
        <v>Cliffwater</v>
      </c>
      <c r="AD129" t="str">
        <f>IFERROR(VLOOKUP($A129,fund_metadata!$A:$P,16,FALSE),"")</f>
        <v>private_credit</v>
      </c>
    </row>
    <row r="130" spans="1:30" x14ac:dyDescent="0.25">
      <c r="A130">
        <v>3</v>
      </c>
      <c r="B130" s="3">
        <v>44773</v>
      </c>
      <c r="C130" s="3"/>
      <c r="F130" s="4">
        <v>743820000</v>
      </c>
      <c r="G130" t="s">
        <v>89</v>
      </c>
      <c r="H130" s="5">
        <v>10.69</v>
      </c>
      <c r="I130" t="s">
        <v>89</v>
      </c>
      <c r="J130" s="5">
        <v>0.24</v>
      </c>
      <c r="K130" t="s">
        <v>89</v>
      </c>
      <c r="L130" s="2">
        <v>6.8999999999999999E-3</v>
      </c>
      <c r="M130" t="s">
        <v>89</v>
      </c>
      <c r="O130" s="4"/>
      <c r="AC130" t="str">
        <f>IFERROR(VLOOKUP($A130,fund_metadata!$A:$P,2,FALSE),"")</f>
        <v>Cliffwater</v>
      </c>
      <c r="AD130" t="str">
        <f>IFERROR(VLOOKUP($A130,fund_metadata!$A:$P,16,FALSE),"")</f>
        <v>private_credit</v>
      </c>
    </row>
    <row r="131" spans="1:30" x14ac:dyDescent="0.25">
      <c r="A131">
        <v>3</v>
      </c>
      <c r="B131" s="3">
        <v>44804</v>
      </c>
      <c r="C131" s="3"/>
      <c r="F131" s="4">
        <v>852780000</v>
      </c>
      <c r="G131" t="s">
        <v>89</v>
      </c>
      <c r="H131" s="5">
        <v>10.76</v>
      </c>
      <c r="I131" t="s">
        <v>89</v>
      </c>
      <c r="J131" s="5"/>
      <c r="L131" s="2">
        <v>6.4999999999999997E-3</v>
      </c>
      <c r="M131" t="s">
        <v>89</v>
      </c>
      <c r="O131" s="4"/>
      <c r="AC131" t="str">
        <f>IFERROR(VLOOKUP($A131,fund_metadata!$A:$P,2,FALSE),"")</f>
        <v>Cliffwater</v>
      </c>
      <c r="AD131" t="str">
        <f>IFERROR(VLOOKUP($A131,fund_metadata!$A:$P,16,FALSE),"")</f>
        <v>private_credit</v>
      </c>
    </row>
    <row r="132" spans="1:30" x14ac:dyDescent="0.25">
      <c r="A132">
        <v>3</v>
      </c>
      <c r="B132" s="3">
        <v>44834</v>
      </c>
      <c r="C132" s="3"/>
      <c r="F132" s="4">
        <v>948110000</v>
      </c>
      <c r="G132" t="s">
        <v>89</v>
      </c>
      <c r="H132" s="5">
        <v>10.8</v>
      </c>
      <c r="I132" t="s">
        <v>89</v>
      </c>
      <c r="J132" s="5"/>
      <c r="L132" s="2">
        <v>3.7000000000000002E-3</v>
      </c>
      <c r="M132" t="s">
        <v>89</v>
      </c>
      <c r="N132">
        <v>102</v>
      </c>
      <c r="O132" s="4">
        <v>983310000</v>
      </c>
      <c r="P132" t="s">
        <v>89</v>
      </c>
      <c r="Q132">
        <v>88015209</v>
      </c>
      <c r="R132" t="s">
        <v>120</v>
      </c>
      <c r="AC132" t="str">
        <f>IFERROR(VLOOKUP($A132,fund_metadata!$A:$P,2,FALSE),"")</f>
        <v>Cliffwater</v>
      </c>
      <c r="AD132" t="str">
        <f>IFERROR(VLOOKUP($A132,fund_metadata!$A:$P,16,FALSE),"")</f>
        <v>private_credit</v>
      </c>
    </row>
    <row r="133" spans="1:30" x14ac:dyDescent="0.25">
      <c r="A133">
        <v>3</v>
      </c>
      <c r="B133" s="3">
        <v>44865</v>
      </c>
      <c r="C133" s="3"/>
      <c r="F133" s="4">
        <v>1010000000</v>
      </c>
      <c r="G133" t="s">
        <v>89</v>
      </c>
      <c r="H133" s="5">
        <v>10.62</v>
      </c>
      <c r="I133" t="s">
        <v>89</v>
      </c>
      <c r="J133" s="5">
        <v>0.24</v>
      </c>
      <c r="K133" t="s">
        <v>89</v>
      </c>
      <c r="L133" s="2">
        <v>5.8999999999999999E-3</v>
      </c>
      <c r="M133" t="s">
        <v>89</v>
      </c>
      <c r="O133" s="4"/>
      <c r="AC133" t="str">
        <f>IFERROR(VLOOKUP($A133,fund_metadata!$A:$P,2,FALSE),"")</f>
        <v>Cliffwater</v>
      </c>
      <c r="AD133" t="str">
        <f>IFERROR(VLOOKUP($A133,fund_metadata!$A:$P,16,FALSE),"")</f>
        <v>private_credit</v>
      </c>
    </row>
    <row r="134" spans="1:30" x14ac:dyDescent="0.25">
      <c r="A134">
        <v>3</v>
      </c>
      <c r="B134" s="3">
        <v>44895</v>
      </c>
      <c r="C134" s="3"/>
      <c r="F134" s="4">
        <v>1080000000</v>
      </c>
      <c r="G134" t="s">
        <v>89</v>
      </c>
      <c r="H134" s="5">
        <v>10.72</v>
      </c>
      <c r="I134" t="s">
        <v>89</v>
      </c>
      <c r="J134" s="5"/>
      <c r="L134" s="2">
        <v>9.4000000000000004E-3</v>
      </c>
      <c r="M134" t="s">
        <v>89</v>
      </c>
      <c r="O134" s="4"/>
      <c r="AC134" t="str">
        <f>IFERROR(VLOOKUP($A134,fund_metadata!$A:$P,2,FALSE),"")</f>
        <v>Cliffwater</v>
      </c>
      <c r="AD134" t="str">
        <f>IFERROR(VLOOKUP($A134,fund_metadata!$A:$P,16,FALSE),"")</f>
        <v>private_credit</v>
      </c>
    </row>
    <row r="135" spans="1:30" x14ac:dyDescent="0.25">
      <c r="A135">
        <v>3</v>
      </c>
      <c r="B135" s="3">
        <v>44926</v>
      </c>
      <c r="C135" s="3"/>
      <c r="F135" s="4">
        <v>1170000000</v>
      </c>
      <c r="G135" t="s">
        <v>89</v>
      </c>
      <c r="H135" s="5">
        <v>10.58</v>
      </c>
      <c r="I135" t="s">
        <v>89</v>
      </c>
      <c r="J135" s="5">
        <v>0.27</v>
      </c>
      <c r="K135" t="s">
        <v>89</v>
      </c>
      <c r="L135" s="2">
        <v>1.2200000000000001E-2</v>
      </c>
      <c r="M135" t="s">
        <v>89</v>
      </c>
      <c r="N135">
        <v>112</v>
      </c>
      <c r="O135" s="4"/>
      <c r="AC135" t="str">
        <f>IFERROR(VLOOKUP($A135,fund_metadata!$A:$P,2,FALSE),"")</f>
        <v>Cliffwater</v>
      </c>
      <c r="AD135" t="str">
        <f>IFERROR(VLOOKUP($A135,fund_metadata!$A:$P,16,FALSE),"")</f>
        <v>private_credit</v>
      </c>
    </row>
    <row r="136" spans="1:30" x14ac:dyDescent="0.25">
      <c r="A136">
        <v>3</v>
      </c>
      <c r="B136" s="3">
        <v>44957</v>
      </c>
      <c r="C136" s="3"/>
      <c r="F136" s="4">
        <v>1250000000</v>
      </c>
      <c r="G136" t="s">
        <v>89</v>
      </c>
      <c r="H136" s="5">
        <v>10.67</v>
      </c>
      <c r="I136" t="s">
        <v>89</v>
      </c>
      <c r="J136" s="5"/>
      <c r="L136" s="2">
        <v>8.5000000000000006E-3</v>
      </c>
      <c r="M136" t="s">
        <v>89</v>
      </c>
      <c r="O136" s="4"/>
      <c r="AC136" t="str">
        <f>IFERROR(VLOOKUP($A136,fund_metadata!$A:$P,2,FALSE),"")</f>
        <v>Cliffwater</v>
      </c>
      <c r="AD136" t="str">
        <f>IFERROR(VLOOKUP($A136,fund_metadata!$A:$P,16,FALSE),"")</f>
        <v>private_credit</v>
      </c>
    </row>
    <row r="137" spans="1:30" x14ac:dyDescent="0.25">
      <c r="A137">
        <v>3</v>
      </c>
      <c r="B137" s="3">
        <v>44985</v>
      </c>
      <c r="C137" s="3"/>
      <c r="F137" s="4">
        <v>1390000000</v>
      </c>
      <c r="G137" t="s">
        <v>89</v>
      </c>
      <c r="H137" s="5">
        <v>10.76</v>
      </c>
      <c r="I137" t="s">
        <v>89</v>
      </c>
      <c r="J137" s="5"/>
      <c r="L137" s="2">
        <v>8.3999999999999995E-3</v>
      </c>
      <c r="M137" t="s">
        <v>89</v>
      </c>
      <c r="O137" s="4"/>
      <c r="AC137" t="str">
        <f>IFERROR(VLOOKUP($A137,fund_metadata!$A:$P,2,FALSE),"")</f>
        <v>Cliffwater</v>
      </c>
      <c r="AD137" t="str">
        <f>IFERROR(VLOOKUP($A137,fund_metadata!$A:$P,16,FALSE),"")</f>
        <v>private_credit</v>
      </c>
    </row>
    <row r="138" spans="1:30" x14ac:dyDescent="0.25">
      <c r="A138">
        <v>3</v>
      </c>
      <c r="B138" s="3">
        <v>45016</v>
      </c>
      <c r="C138" s="3"/>
      <c r="F138" s="4">
        <v>1480000000</v>
      </c>
      <c r="G138" t="s">
        <v>89</v>
      </c>
      <c r="H138" s="5">
        <v>10.85</v>
      </c>
      <c r="I138" t="s">
        <v>89</v>
      </c>
      <c r="J138" s="5"/>
      <c r="L138" s="2">
        <v>8.3999999999999995E-3</v>
      </c>
      <c r="M138" t="s">
        <v>89</v>
      </c>
      <c r="N138">
        <v>158</v>
      </c>
      <c r="O138" s="4">
        <v>1510000000</v>
      </c>
      <c r="P138" t="s">
        <v>89</v>
      </c>
      <c r="Q138">
        <v>136178510</v>
      </c>
      <c r="R138" t="s">
        <v>121</v>
      </c>
      <c r="AC138" t="str">
        <f>IFERROR(VLOOKUP($A138,fund_metadata!$A:$P,2,FALSE),"")</f>
        <v>Cliffwater</v>
      </c>
      <c r="AD138" t="str">
        <f>IFERROR(VLOOKUP($A138,fund_metadata!$A:$P,16,FALSE),"")</f>
        <v>private_credit</v>
      </c>
    </row>
    <row r="139" spans="1:30" x14ac:dyDescent="0.25">
      <c r="A139">
        <v>3</v>
      </c>
      <c r="B139" s="3">
        <v>45046</v>
      </c>
      <c r="C139" s="3"/>
      <c r="F139" s="4">
        <v>1550000000</v>
      </c>
      <c r="G139" t="s">
        <v>89</v>
      </c>
      <c r="H139" s="5">
        <v>10.66</v>
      </c>
      <c r="I139" t="s">
        <v>89</v>
      </c>
      <c r="J139" s="5">
        <v>0.27</v>
      </c>
      <c r="K139" t="s">
        <v>89</v>
      </c>
      <c r="L139" s="2">
        <v>7.4999999999999997E-3</v>
      </c>
      <c r="M139" t="s">
        <v>89</v>
      </c>
      <c r="O139" s="4"/>
      <c r="AC139" t="str">
        <f>IFERROR(VLOOKUP($A139,fund_metadata!$A:$P,2,FALSE),"")</f>
        <v>Cliffwater</v>
      </c>
      <c r="AD139" t="str">
        <f>IFERROR(VLOOKUP($A139,fund_metadata!$A:$P,16,FALSE),"")</f>
        <v>private_credit</v>
      </c>
    </row>
    <row r="140" spans="1:30" x14ac:dyDescent="0.25">
      <c r="A140">
        <v>3</v>
      </c>
      <c r="B140" s="3">
        <v>45077</v>
      </c>
      <c r="C140" s="3"/>
      <c r="F140" s="4">
        <v>1690000000</v>
      </c>
      <c r="G140" t="s">
        <v>89</v>
      </c>
      <c r="H140" s="5">
        <v>10.77</v>
      </c>
      <c r="I140" t="s">
        <v>89</v>
      </c>
      <c r="J140" s="5"/>
      <c r="L140" s="2">
        <v>1.03E-2</v>
      </c>
      <c r="M140" t="s">
        <v>89</v>
      </c>
      <c r="O140" s="4"/>
      <c r="AC140" t="str">
        <f>IFERROR(VLOOKUP($A140,fund_metadata!$A:$P,2,FALSE),"")</f>
        <v>Cliffwater</v>
      </c>
      <c r="AD140" t="str">
        <f>IFERROR(VLOOKUP($A140,fund_metadata!$A:$P,16,FALSE),"")</f>
        <v>private_credit</v>
      </c>
    </row>
    <row r="141" spans="1:30" x14ac:dyDescent="0.25">
      <c r="A141">
        <v>3</v>
      </c>
      <c r="B141" s="3">
        <v>45107</v>
      </c>
      <c r="C141" s="3"/>
      <c r="F141" s="4">
        <v>1830000000</v>
      </c>
      <c r="G141" t="s">
        <v>89</v>
      </c>
      <c r="H141" s="5">
        <v>10.9</v>
      </c>
      <c r="I141" t="s">
        <v>89</v>
      </c>
      <c r="J141" s="5"/>
      <c r="L141" s="2">
        <v>1.21E-2</v>
      </c>
      <c r="M141" t="s">
        <v>89</v>
      </c>
      <c r="N141">
        <v>202</v>
      </c>
      <c r="O141" s="4"/>
      <c r="AC141" t="str">
        <f>IFERROR(VLOOKUP($A141,fund_metadata!$A:$P,2,FALSE),"")</f>
        <v>Cliffwater</v>
      </c>
      <c r="AD141" t="str">
        <f>IFERROR(VLOOKUP($A141,fund_metadata!$A:$P,16,FALSE),"")</f>
        <v>private_credit</v>
      </c>
    </row>
    <row r="142" spans="1:30" x14ac:dyDescent="0.25">
      <c r="A142">
        <v>3</v>
      </c>
      <c r="B142" s="3">
        <v>45138</v>
      </c>
      <c r="C142" s="3"/>
      <c r="F142" s="4">
        <v>1900000000</v>
      </c>
      <c r="G142" t="s">
        <v>89</v>
      </c>
      <c r="H142" s="5">
        <v>10.74</v>
      </c>
      <c r="I142" t="s">
        <v>89</v>
      </c>
      <c r="J142" s="5">
        <v>0.27</v>
      </c>
      <c r="K142" t="s">
        <v>89</v>
      </c>
      <c r="L142" s="2">
        <v>1.06E-2</v>
      </c>
      <c r="M142" t="s">
        <v>89</v>
      </c>
      <c r="O142" s="4"/>
      <c r="AC142" t="str">
        <f>IFERROR(VLOOKUP($A142,fund_metadata!$A:$P,2,FALSE),"")</f>
        <v>Cliffwater</v>
      </c>
      <c r="AD142" t="str">
        <f>IFERROR(VLOOKUP($A142,fund_metadata!$A:$P,16,FALSE),"")</f>
        <v>private_credit</v>
      </c>
    </row>
    <row r="143" spans="1:30" x14ac:dyDescent="0.25">
      <c r="A143">
        <v>3</v>
      </c>
      <c r="B143" s="3">
        <v>45169</v>
      </c>
      <c r="C143" s="3"/>
      <c r="F143" s="4">
        <v>2040000000</v>
      </c>
      <c r="G143" t="s">
        <v>89</v>
      </c>
      <c r="H143" s="5">
        <v>10.85</v>
      </c>
      <c r="I143" t="s">
        <v>89</v>
      </c>
      <c r="J143" s="5"/>
      <c r="L143" s="2">
        <v>1.0200000000000001E-2</v>
      </c>
      <c r="M143" t="s">
        <v>89</v>
      </c>
      <c r="O143" s="4"/>
      <c r="AC143" t="str">
        <f>IFERROR(VLOOKUP($A143,fund_metadata!$A:$P,2,FALSE),"")</f>
        <v>Cliffwater</v>
      </c>
      <c r="AD143" t="str">
        <f>IFERROR(VLOOKUP($A143,fund_metadata!$A:$P,16,FALSE),"")</f>
        <v>private_credit</v>
      </c>
    </row>
    <row r="144" spans="1:30" x14ac:dyDescent="0.25">
      <c r="A144">
        <v>3</v>
      </c>
      <c r="B144" s="3">
        <v>45199</v>
      </c>
      <c r="C144" s="3"/>
      <c r="F144" s="4">
        <v>2220000000</v>
      </c>
      <c r="G144" t="s">
        <v>89</v>
      </c>
      <c r="H144" s="5">
        <v>10.98</v>
      </c>
      <c r="I144" t="s">
        <v>89</v>
      </c>
      <c r="J144" s="5"/>
      <c r="L144" s="2">
        <v>1.2E-2</v>
      </c>
      <c r="M144" t="s">
        <v>89</v>
      </c>
      <c r="N144">
        <v>262</v>
      </c>
      <c r="O144" s="4">
        <v>2370000000</v>
      </c>
      <c r="P144" t="s">
        <v>89</v>
      </c>
      <c r="Q144">
        <v>202250888</v>
      </c>
      <c r="R144" t="s">
        <v>120</v>
      </c>
      <c r="AC144" t="str">
        <f>IFERROR(VLOOKUP($A144,fund_metadata!$A:$P,2,FALSE),"")</f>
        <v>Cliffwater</v>
      </c>
      <c r="AD144" t="str">
        <f>IFERROR(VLOOKUP($A144,fund_metadata!$A:$P,16,FALSE),"")</f>
        <v>private_credit</v>
      </c>
    </row>
    <row r="145" spans="1:30" x14ac:dyDescent="0.25">
      <c r="A145">
        <v>3</v>
      </c>
      <c r="B145" s="3">
        <v>45230</v>
      </c>
      <c r="C145" s="3"/>
      <c r="F145" s="4">
        <v>2320000000</v>
      </c>
      <c r="G145" t="s">
        <v>89</v>
      </c>
      <c r="H145" s="5">
        <v>10.76</v>
      </c>
      <c r="I145" t="s">
        <v>89</v>
      </c>
      <c r="J145" s="5">
        <v>0.3</v>
      </c>
      <c r="K145" t="s">
        <v>89</v>
      </c>
      <c r="L145" s="2">
        <v>7.6E-3</v>
      </c>
      <c r="M145" t="s">
        <v>89</v>
      </c>
      <c r="O145" s="4"/>
      <c r="AC145" t="str">
        <f>IFERROR(VLOOKUP($A145,fund_metadata!$A:$P,2,FALSE),"")</f>
        <v>Cliffwater</v>
      </c>
      <c r="AD145" t="str">
        <f>IFERROR(VLOOKUP($A145,fund_metadata!$A:$P,16,FALSE),"")</f>
        <v>private_credit</v>
      </c>
    </row>
    <row r="146" spans="1:30" x14ac:dyDescent="0.25">
      <c r="A146">
        <v>3</v>
      </c>
      <c r="B146" s="3">
        <v>45260</v>
      </c>
      <c r="C146" s="3"/>
      <c r="F146" s="4">
        <v>2370000000</v>
      </c>
      <c r="G146" t="s">
        <v>89</v>
      </c>
      <c r="H146" s="5">
        <v>10.88</v>
      </c>
      <c r="I146" t="s">
        <v>89</v>
      </c>
      <c r="J146" s="5"/>
      <c r="L146" s="2">
        <v>1.12E-2</v>
      </c>
      <c r="M146" t="s">
        <v>89</v>
      </c>
      <c r="O146" s="4"/>
      <c r="AC146" t="str">
        <f>IFERROR(VLOOKUP($A146,fund_metadata!$A:$P,2,FALSE),"")</f>
        <v>Cliffwater</v>
      </c>
      <c r="AD146" t="str">
        <f>IFERROR(VLOOKUP($A146,fund_metadata!$A:$P,16,FALSE),"")</f>
        <v>private_credit</v>
      </c>
    </row>
    <row r="147" spans="1:30" x14ac:dyDescent="0.25">
      <c r="A147">
        <v>3</v>
      </c>
      <c r="B147" s="3">
        <v>45291</v>
      </c>
      <c r="C147" s="3"/>
      <c r="F147" s="4">
        <v>2510000000</v>
      </c>
      <c r="G147" t="s">
        <v>89</v>
      </c>
      <c r="H147" s="5">
        <v>10.72</v>
      </c>
      <c r="I147" t="s">
        <v>89</v>
      </c>
      <c r="J147" s="5">
        <v>0.3</v>
      </c>
      <c r="K147" t="s">
        <v>89</v>
      </c>
      <c r="L147" s="2">
        <v>1.3100000000000001E-2</v>
      </c>
      <c r="M147" t="s">
        <v>89</v>
      </c>
      <c r="N147">
        <v>322</v>
      </c>
      <c r="O147" s="4"/>
      <c r="AC147" t="str">
        <f>IFERROR(VLOOKUP($A147,fund_metadata!$A:$P,2,FALSE),"")</f>
        <v>Cliffwater</v>
      </c>
      <c r="AD147" t="str">
        <f>IFERROR(VLOOKUP($A147,fund_metadata!$A:$P,16,FALSE),"")</f>
        <v>private_credit</v>
      </c>
    </row>
    <row r="148" spans="1:30" x14ac:dyDescent="0.25">
      <c r="A148">
        <v>3</v>
      </c>
      <c r="B148" s="3">
        <v>45322</v>
      </c>
      <c r="C148" s="3"/>
      <c r="F148" s="4">
        <v>2670000000</v>
      </c>
      <c r="G148" t="s">
        <v>89</v>
      </c>
      <c r="H148" s="5">
        <v>10.83</v>
      </c>
      <c r="I148" t="s">
        <v>89</v>
      </c>
      <c r="J148" s="5"/>
      <c r="L148" s="2">
        <v>1.03E-2</v>
      </c>
      <c r="M148" t="s">
        <v>89</v>
      </c>
      <c r="O148" s="4"/>
      <c r="AC148" t="str">
        <f>IFERROR(VLOOKUP($A148,fund_metadata!$A:$P,2,FALSE),"")</f>
        <v>Cliffwater</v>
      </c>
      <c r="AD148" t="str">
        <f>IFERROR(VLOOKUP($A148,fund_metadata!$A:$P,16,FALSE),"")</f>
        <v>private_credit</v>
      </c>
    </row>
    <row r="149" spans="1:30" x14ac:dyDescent="0.25">
      <c r="A149">
        <v>3</v>
      </c>
      <c r="B149" s="3">
        <v>45351</v>
      </c>
      <c r="C149" s="3"/>
      <c r="F149" s="4">
        <v>2870000000</v>
      </c>
      <c r="G149" t="s">
        <v>89</v>
      </c>
      <c r="H149" s="5">
        <v>10.91</v>
      </c>
      <c r="I149" t="s">
        <v>89</v>
      </c>
      <c r="J149" s="5"/>
      <c r="L149" s="2">
        <v>7.4000000000000003E-3</v>
      </c>
      <c r="M149" t="s">
        <v>89</v>
      </c>
      <c r="O149" s="4"/>
      <c r="AC149" t="str">
        <f>IFERROR(VLOOKUP($A149,fund_metadata!$A:$P,2,FALSE),"")</f>
        <v>Cliffwater</v>
      </c>
      <c r="AD149" t="str">
        <f>IFERROR(VLOOKUP($A149,fund_metadata!$A:$P,16,FALSE),"")</f>
        <v>private_credit</v>
      </c>
    </row>
    <row r="150" spans="1:30" x14ac:dyDescent="0.25">
      <c r="A150">
        <v>3</v>
      </c>
      <c r="B150" s="3">
        <v>45382</v>
      </c>
      <c r="C150" s="3"/>
      <c r="F150" s="4">
        <v>2860000000</v>
      </c>
      <c r="G150" t="s">
        <v>89</v>
      </c>
      <c r="H150" s="5">
        <v>10.7</v>
      </c>
      <c r="I150" t="s">
        <v>89</v>
      </c>
      <c r="J150" s="5">
        <v>0.3</v>
      </c>
      <c r="K150" t="s">
        <v>89</v>
      </c>
      <c r="L150" s="2">
        <v>8.3999999999999995E-3</v>
      </c>
      <c r="M150" t="s">
        <v>89</v>
      </c>
      <c r="N150">
        <v>337</v>
      </c>
      <c r="O150" s="4"/>
      <c r="Q150">
        <v>273382804</v>
      </c>
      <c r="R150" t="s">
        <v>121</v>
      </c>
      <c r="AC150" t="str">
        <f>IFERROR(VLOOKUP($A150,fund_metadata!$A:$P,2,FALSE),"")</f>
        <v>Cliffwater</v>
      </c>
      <c r="AD150" t="str">
        <f>IFERROR(VLOOKUP($A150,fund_metadata!$A:$P,16,FALSE),"")</f>
        <v>private_credit</v>
      </c>
    </row>
    <row r="151" spans="1:30" x14ac:dyDescent="0.25">
      <c r="A151">
        <v>3</v>
      </c>
      <c r="B151" s="3">
        <v>45412</v>
      </c>
      <c r="C151" s="3"/>
      <c r="F151" s="4">
        <v>3110000000</v>
      </c>
      <c r="G151" t="s">
        <v>89</v>
      </c>
      <c r="H151" s="5">
        <v>10.9</v>
      </c>
      <c r="I151" t="s">
        <v>89</v>
      </c>
      <c r="J151" s="5"/>
      <c r="L151" s="2">
        <v>1.8700000000000001E-2</v>
      </c>
      <c r="M151" t="s">
        <v>89</v>
      </c>
      <c r="O151" s="4"/>
      <c r="AC151" t="str">
        <f>IFERROR(VLOOKUP($A151,fund_metadata!$A:$P,2,FALSE),"")</f>
        <v>Cliffwater</v>
      </c>
      <c r="AD151" t="str">
        <f>IFERROR(VLOOKUP($A151,fund_metadata!$A:$P,16,FALSE),"")</f>
        <v>private_credit</v>
      </c>
    </row>
    <row r="152" spans="1:30" x14ac:dyDescent="0.25">
      <c r="A152">
        <v>3</v>
      </c>
      <c r="B152" s="3">
        <v>45443</v>
      </c>
      <c r="C152" s="3"/>
      <c r="F152" s="4">
        <v>3250000000</v>
      </c>
      <c r="G152" t="s">
        <v>89</v>
      </c>
      <c r="H152" s="5">
        <v>11.05</v>
      </c>
      <c r="I152" t="s">
        <v>89</v>
      </c>
      <c r="J152" s="5"/>
      <c r="L152" s="2">
        <v>1.38E-2</v>
      </c>
      <c r="M152" t="s">
        <v>89</v>
      </c>
      <c r="O152" s="4"/>
      <c r="AC152" t="str">
        <f>IFERROR(VLOOKUP($A152,fund_metadata!$A:$P,2,FALSE),"")</f>
        <v>Cliffwater</v>
      </c>
      <c r="AD152" t="str">
        <f>IFERROR(VLOOKUP($A152,fund_metadata!$A:$P,16,FALSE),"")</f>
        <v>private_credit</v>
      </c>
    </row>
    <row r="153" spans="1:30" x14ac:dyDescent="0.25">
      <c r="A153">
        <v>3</v>
      </c>
      <c r="B153" s="3">
        <v>45473</v>
      </c>
      <c r="C153" s="3"/>
      <c r="F153" s="4">
        <v>3440000000</v>
      </c>
      <c r="G153" t="s">
        <v>89</v>
      </c>
      <c r="H153" s="5">
        <v>11.19</v>
      </c>
      <c r="I153" t="s">
        <v>89</v>
      </c>
      <c r="J153" s="5"/>
      <c r="L153" s="2">
        <v>1.2699999999999999E-2</v>
      </c>
      <c r="M153" t="s">
        <v>89</v>
      </c>
      <c r="N153">
        <v>363</v>
      </c>
      <c r="O153" s="4"/>
      <c r="AC153" t="str">
        <f>IFERROR(VLOOKUP($A153,fund_metadata!$A:$P,2,FALSE),"")</f>
        <v>Cliffwater</v>
      </c>
      <c r="AD153" t="str">
        <f>IFERROR(VLOOKUP($A153,fund_metadata!$A:$P,16,FALSE),"")</f>
        <v>private_credit</v>
      </c>
    </row>
    <row r="154" spans="1:30" x14ac:dyDescent="0.25">
      <c r="A154">
        <v>3</v>
      </c>
      <c r="B154" s="3">
        <v>45504</v>
      </c>
      <c r="C154" s="3"/>
      <c r="F154" s="4">
        <v>3570000000</v>
      </c>
      <c r="G154" t="s">
        <v>89</v>
      </c>
      <c r="H154" s="5">
        <v>10.97</v>
      </c>
      <c r="I154" t="s">
        <v>89</v>
      </c>
      <c r="J154" s="5">
        <v>0.31</v>
      </c>
      <c r="K154" t="s">
        <v>89</v>
      </c>
      <c r="L154" s="2">
        <v>8.0000000000000002E-3</v>
      </c>
      <c r="M154" t="s">
        <v>89</v>
      </c>
      <c r="O154" s="4"/>
      <c r="AC154" t="str">
        <f>IFERROR(VLOOKUP($A154,fund_metadata!$A:$P,2,FALSE),"")</f>
        <v>Cliffwater</v>
      </c>
      <c r="AD154" t="str">
        <f>IFERROR(VLOOKUP($A154,fund_metadata!$A:$P,16,FALSE),"")</f>
        <v>private_credit</v>
      </c>
    </row>
    <row r="155" spans="1:30" x14ac:dyDescent="0.25">
      <c r="A155">
        <v>3</v>
      </c>
      <c r="B155" s="3">
        <v>45535</v>
      </c>
      <c r="C155" s="3"/>
      <c r="F155" s="4">
        <v>3740000000</v>
      </c>
      <c r="G155" t="s">
        <v>89</v>
      </c>
      <c r="H155" s="5">
        <v>11.11</v>
      </c>
      <c r="I155" t="s">
        <v>89</v>
      </c>
      <c r="J155" s="5"/>
      <c r="L155" s="2">
        <v>1.2800000000000001E-2</v>
      </c>
      <c r="M155" t="s">
        <v>89</v>
      </c>
      <c r="O155" s="4"/>
      <c r="AC155" t="str">
        <f>IFERROR(VLOOKUP($A155,fund_metadata!$A:$P,2,FALSE),"")</f>
        <v>Cliffwater</v>
      </c>
      <c r="AD155" t="str">
        <f>IFERROR(VLOOKUP($A155,fund_metadata!$A:$P,16,FALSE),"")</f>
        <v>private_credit</v>
      </c>
    </row>
    <row r="156" spans="1:30" x14ac:dyDescent="0.25">
      <c r="A156">
        <v>3</v>
      </c>
      <c r="B156" s="3">
        <v>45565</v>
      </c>
      <c r="C156" s="3"/>
      <c r="F156" s="4">
        <v>3960000000</v>
      </c>
      <c r="G156" t="s">
        <v>89</v>
      </c>
      <c r="H156" s="5">
        <v>11.18</v>
      </c>
      <c r="I156" t="s">
        <v>89</v>
      </c>
      <c r="J156" s="5"/>
      <c r="L156" s="2">
        <v>6.3E-3</v>
      </c>
      <c r="M156" t="s">
        <v>89</v>
      </c>
      <c r="N156">
        <v>327</v>
      </c>
      <c r="O156" s="4">
        <v>4130000000</v>
      </c>
      <c r="P156" t="s">
        <v>89</v>
      </c>
      <c r="Q156">
        <v>355032566</v>
      </c>
      <c r="R156" t="s">
        <v>120</v>
      </c>
      <c r="AC156" t="str">
        <f>IFERROR(VLOOKUP($A156,fund_metadata!$A:$P,2,FALSE),"")</f>
        <v>Cliffwater</v>
      </c>
      <c r="AD156" t="str">
        <f>IFERROR(VLOOKUP($A156,fund_metadata!$A:$P,16,FALSE),"")</f>
        <v>private_credit</v>
      </c>
    </row>
    <row r="157" spans="1:30" x14ac:dyDescent="0.25">
      <c r="A157">
        <v>3</v>
      </c>
      <c r="B157" s="3">
        <v>45596</v>
      </c>
      <c r="C157" s="3"/>
      <c r="F157" s="4">
        <v>4140000000</v>
      </c>
      <c r="G157" t="s">
        <v>89</v>
      </c>
      <c r="H157" s="5">
        <v>10.96</v>
      </c>
      <c r="I157" t="s">
        <v>89</v>
      </c>
      <c r="J157" s="5">
        <v>0.31</v>
      </c>
      <c r="L157" s="2">
        <v>7.9000000000000008E-3</v>
      </c>
      <c r="M157" t="s">
        <v>89</v>
      </c>
      <c r="O157" s="4"/>
      <c r="AC157" t="str">
        <f>IFERROR(VLOOKUP($A157,fund_metadata!$A:$P,2,FALSE),"")</f>
        <v>Cliffwater</v>
      </c>
      <c r="AD157" t="str">
        <f>IFERROR(VLOOKUP($A157,fund_metadata!$A:$P,16,FALSE),"")</f>
        <v>private_credit</v>
      </c>
    </row>
    <row r="158" spans="1:30" x14ac:dyDescent="0.25">
      <c r="A158">
        <v>3</v>
      </c>
      <c r="B158" s="3">
        <v>45626</v>
      </c>
      <c r="C158" s="3"/>
      <c r="F158" s="4">
        <v>4330000000</v>
      </c>
      <c r="G158" t="s">
        <v>89</v>
      </c>
      <c r="H158" s="5">
        <v>11.06</v>
      </c>
      <c r="I158" t="s">
        <v>89</v>
      </c>
      <c r="J158" s="5"/>
      <c r="L158" s="2">
        <v>9.1000000000000004E-3</v>
      </c>
      <c r="M158" t="s">
        <v>89</v>
      </c>
      <c r="O158" s="4"/>
      <c r="AC158" t="str">
        <f>IFERROR(VLOOKUP($A158,fund_metadata!$A:$P,2,FALSE),"")</f>
        <v>Cliffwater</v>
      </c>
      <c r="AD158" t="str">
        <f>IFERROR(VLOOKUP($A158,fund_metadata!$A:$P,16,FALSE),"")</f>
        <v>private_credit</v>
      </c>
    </row>
    <row r="159" spans="1:30" x14ac:dyDescent="0.25">
      <c r="A159">
        <v>3</v>
      </c>
      <c r="B159" s="3">
        <v>45657</v>
      </c>
      <c r="C159" s="3"/>
      <c r="F159" s="4">
        <v>4560000000</v>
      </c>
      <c r="G159" t="s">
        <v>89</v>
      </c>
      <c r="H159" s="5">
        <v>10.84</v>
      </c>
      <c r="I159" t="s">
        <v>89</v>
      </c>
      <c r="J159" s="5">
        <v>0.31</v>
      </c>
      <c r="K159" t="s">
        <v>89</v>
      </c>
      <c r="L159" s="2">
        <v>7.7999999999999996E-3</v>
      </c>
      <c r="M159" t="s">
        <v>89</v>
      </c>
      <c r="N159">
        <v>396</v>
      </c>
      <c r="O159" s="4"/>
      <c r="AC159" t="str">
        <f>IFERROR(VLOOKUP($A159,fund_metadata!$A:$P,2,FALSE),"")</f>
        <v>Cliffwater</v>
      </c>
      <c r="AD159" t="str">
        <f>IFERROR(VLOOKUP($A159,fund_metadata!$A:$P,16,FALSE),"")</f>
        <v>private_credit</v>
      </c>
    </row>
    <row r="160" spans="1:30" x14ac:dyDescent="0.25">
      <c r="A160">
        <v>3</v>
      </c>
      <c r="B160" s="3">
        <v>45688</v>
      </c>
      <c r="C160" s="3"/>
      <c r="F160" s="4">
        <v>4820000000</v>
      </c>
      <c r="G160" t="s">
        <v>89</v>
      </c>
      <c r="H160" s="5">
        <v>10.91</v>
      </c>
      <c r="I160" t="s">
        <v>89</v>
      </c>
      <c r="J160" s="5"/>
      <c r="L160" s="2">
        <v>6.4999999999999997E-3</v>
      </c>
      <c r="M160" t="s">
        <v>89</v>
      </c>
      <c r="O160" s="4"/>
      <c r="AC160" t="str">
        <f>IFERROR(VLOOKUP($A160,fund_metadata!$A:$P,2,FALSE),"")</f>
        <v>Cliffwater</v>
      </c>
      <c r="AD160" t="str">
        <f>IFERROR(VLOOKUP($A160,fund_metadata!$A:$P,16,FALSE),"")</f>
        <v>private_credit</v>
      </c>
    </row>
    <row r="161" spans="1:30" x14ac:dyDescent="0.25">
      <c r="A161">
        <v>3</v>
      </c>
      <c r="B161" s="3">
        <v>45716</v>
      </c>
      <c r="C161" s="3"/>
      <c r="F161" s="4">
        <v>5110000000</v>
      </c>
      <c r="G161" t="s">
        <v>89</v>
      </c>
      <c r="H161" s="5">
        <v>10.99</v>
      </c>
      <c r="I161" t="s">
        <v>89</v>
      </c>
      <c r="J161" s="5"/>
      <c r="L161" s="2">
        <v>7.3000000000000001E-3</v>
      </c>
      <c r="M161" t="s">
        <v>89</v>
      </c>
      <c r="O161" s="4"/>
      <c r="AC161" t="str">
        <f>IFERROR(VLOOKUP($A161,fund_metadata!$A:$P,2,FALSE),"")</f>
        <v>Cliffwater</v>
      </c>
      <c r="AD161" t="str">
        <f>IFERROR(VLOOKUP($A161,fund_metadata!$A:$P,16,FALSE),"")</f>
        <v>private_credit</v>
      </c>
    </row>
    <row r="162" spans="1:30" x14ac:dyDescent="0.25">
      <c r="A162">
        <v>3</v>
      </c>
      <c r="B162" s="3">
        <v>45747</v>
      </c>
      <c r="C162" s="3"/>
      <c r="F162" s="4">
        <v>5320000000</v>
      </c>
      <c r="G162" t="s">
        <v>89</v>
      </c>
      <c r="H162" s="5">
        <v>11.15</v>
      </c>
      <c r="I162" t="s">
        <v>89</v>
      </c>
      <c r="J162" s="5"/>
      <c r="L162" s="2">
        <v>1.46E-2</v>
      </c>
      <c r="M162" t="s">
        <v>89</v>
      </c>
      <c r="N162">
        <v>420</v>
      </c>
      <c r="O162" s="4">
        <v>5650000000</v>
      </c>
      <c r="P162" t="s">
        <v>89</v>
      </c>
      <c r="Q162">
        <v>477664544</v>
      </c>
      <c r="R162" t="s">
        <v>121</v>
      </c>
      <c r="AC162" t="str">
        <f>IFERROR(VLOOKUP($A162,fund_metadata!$A:$P,2,FALSE),"")</f>
        <v>Cliffwater</v>
      </c>
      <c r="AD162" t="str">
        <f>IFERROR(VLOOKUP($A162,fund_metadata!$A:$P,16,FALSE),"")</f>
        <v>private_credit</v>
      </c>
    </row>
    <row r="163" spans="1:30" x14ac:dyDescent="0.25">
      <c r="A163">
        <v>3</v>
      </c>
      <c r="B163" s="3">
        <v>45777</v>
      </c>
      <c r="C163" s="3"/>
      <c r="F163" s="4">
        <v>5460000000</v>
      </c>
      <c r="G163" t="s">
        <v>89</v>
      </c>
      <c r="H163" s="5">
        <v>10.91</v>
      </c>
      <c r="I163" t="s">
        <v>89</v>
      </c>
      <c r="J163" s="5">
        <v>0.31</v>
      </c>
      <c r="K163" t="s">
        <v>89</v>
      </c>
      <c r="L163" s="2">
        <v>6.1000000000000004E-3</v>
      </c>
      <c r="M163" t="s">
        <v>89</v>
      </c>
      <c r="O163" s="4"/>
      <c r="AC163" t="str">
        <f>IFERROR(VLOOKUP($A163,fund_metadata!$A:$P,2,FALSE),"")</f>
        <v>Cliffwater</v>
      </c>
      <c r="AD163" t="str">
        <f>IFERROR(VLOOKUP($A163,fund_metadata!$A:$P,16,FALSE),"")</f>
        <v>private_credit</v>
      </c>
    </row>
    <row r="164" spans="1:30" x14ac:dyDescent="0.25">
      <c r="A164">
        <v>3</v>
      </c>
      <c r="B164" s="3">
        <v>45808</v>
      </c>
      <c r="C164" s="3"/>
      <c r="F164" s="4">
        <v>5810000000</v>
      </c>
      <c r="G164" t="s">
        <v>89</v>
      </c>
      <c r="H164" s="5">
        <v>11.07</v>
      </c>
      <c r="I164" t="s">
        <v>89</v>
      </c>
      <c r="J164" s="5"/>
      <c r="L164" s="2">
        <v>1.47E-2</v>
      </c>
      <c r="M164" t="s">
        <v>89</v>
      </c>
      <c r="O164" s="4"/>
      <c r="AC164" t="str">
        <f>IFERROR(VLOOKUP($A164,fund_metadata!$A:$P,2,FALSE),"")</f>
        <v>Cliffwater</v>
      </c>
      <c r="AD164" t="str">
        <f>IFERROR(VLOOKUP($A164,fund_metadata!$A:$P,16,FALSE),"")</f>
        <v>private_credit</v>
      </c>
    </row>
    <row r="165" spans="1:30" x14ac:dyDescent="0.25">
      <c r="A165">
        <v>3</v>
      </c>
      <c r="B165" s="3">
        <v>45838</v>
      </c>
      <c r="C165" s="3"/>
      <c r="F165" s="4">
        <v>5970000000</v>
      </c>
      <c r="G165" t="s">
        <v>89</v>
      </c>
      <c r="H165" s="5">
        <v>11.16</v>
      </c>
      <c r="I165" t="s">
        <v>89</v>
      </c>
      <c r="J165" s="5"/>
      <c r="L165" s="2">
        <v>8.0999999999999996E-3</v>
      </c>
      <c r="M165" t="s">
        <v>89</v>
      </c>
      <c r="N165">
        <v>461</v>
      </c>
      <c r="O165" s="4"/>
      <c r="AC165" t="str">
        <f>IFERROR(VLOOKUP($A165,fund_metadata!$A:$P,2,FALSE),"")</f>
        <v>Cliffwater</v>
      </c>
      <c r="AD165" t="str">
        <f>IFERROR(VLOOKUP($A165,fund_metadata!$A:$P,16,FALSE),"")</f>
        <v>private_credit</v>
      </c>
    </row>
    <row r="166" spans="1:30" x14ac:dyDescent="0.25">
      <c r="A166">
        <v>3</v>
      </c>
      <c r="B166" s="3">
        <v>45869</v>
      </c>
      <c r="C166" s="3"/>
      <c r="F166" s="4">
        <v>6260000000</v>
      </c>
      <c r="G166" t="s">
        <v>89</v>
      </c>
      <c r="H166" s="5">
        <v>10.92</v>
      </c>
      <c r="I166" t="s">
        <v>89</v>
      </c>
      <c r="J166" s="5">
        <v>0.31</v>
      </c>
      <c r="K166" t="s">
        <v>89</v>
      </c>
      <c r="L166" s="2">
        <v>6.1000000000000004E-3</v>
      </c>
      <c r="M166" t="s">
        <v>89</v>
      </c>
      <c r="O166" s="4"/>
      <c r="AC166" t="str">
        <f>IFERROR(VLOOKUP($A166,fund_metadata!$A:$P,2,FALSE),"")</f>
        <v>Cliffwater</v>
      </c>
      <c r="AD166" t="str">
        <f>IFERROR(VLOOKUP($A166,fund_metadata!$A:$P,16,FALSE),"")</f>
        <v>private_credit</v>
      </c>
    </row>
    <row r="167" spans="1:30" x14ac:dyDescent="0.25">
      <c r="A167">
        <v>3</v>
      </c>
      <c r="B167" s="3">
        <v>45900</v>
      </c>
      <c r="C167" s="3"/>
      <c r="F167" s="4">
        <v>6610000000</v>
      </c>
      <c r="G167" t="s">
        <v>89</v>
      </c>
      <c r="H167" s="5">
        <v>11.01</v>
      </c>
      <c r="I167" t="s">
        <v>89</v>
      </c>
      <c r="J167" s="5"/>
      <c r="L167" s="2">
        <v>8.2000000000000007E-3</v>
      </c>
      <c r="M167" t="s">
        <v>89</v>
      </c>
      <c r="O167" s="4"/>
      <c r="AC167" t="str">
        <f>IFERROR(VLOOKUP($A167,fund_metadata!$A:$P,2,FALSE),"")</f>
        <v>Cliffwater</v>
      </c>
      <c r="AD167" t="str">
        <f>IFERROR(VLOOKUP($A167,fund_metadata!$A:$P,16,FALSE),"")</f>
        <v>private_credit</v>
      </c>
    </row>
    <row r="168" spans="1:30" x14ac:dyDescent="0.25">
      <c r="A168">
        <v>3</v>
      </c>
      <c r="B168" s="3">
        <v>45930</v>
      </c>
      <c r="C168" s="3"/>
      <c r="F168" s="4">
        <v>6930000000</v>
      </c>
      <c r="G168" t="s">
        <v>89</v>
      </c>
      <c r="H168" s="5">
        <v>11.11</v>
      </c>
      <c r="I168" t="s">
        <v>89</v>
      </c>
      <c r="J168" s="5"/>
      <c r="L168" s="2">
        <v>9.1000000000000004E-3</v>
      </c>
      <c r="M168" t="s">
        <v>89</v>
      </c>
      <c r="N168">
        <v>442</v>
      </c>
      <c r="O168" s="4">
        <v>7210000000</v>
      </c>
      <c r="P168" t="s">
        <v>89</v>
      </c>
      <c r="Q168">
        <v>625004069</v>
      </c>
      <c r="R168" t="s">
        <v>120</v>
      </c>
      <c r="AC168" t="str">
        <f>IFERROR(VLOOKUP($A168,fund_metadata!$A:$P,2,FALSE),"")</f>
        <v>Cliffwater</v>
      </c>
      <c r="AD168" t="str">
        <f>IFERROR(VLOOKUP($A168,fund_metadata!$A:$P,16,FALSE),"")</f>
        <v>private_credit</v>
      </c>
    </row>
    <row r="169" spans="1:30" x14ac:dyDescent="0.25">
      <c r="A169">
        <v>3</v>
      </c>
      <c r="B169" s="3">
        <v>45961</v>
      </c>
      <c r="C169" s="3"/>
      <c r="F169" s="4">
        <v>7210000000</v>
      </c>
      <c r="G169" t="s">
        <v>89</v>
      </c>
      <c r="H169" s="5">
        <v>10.91</v>
      </c>
      <c r="I169" t="s">
        <v>89</v>
      </c>
      <c r="J169" s="5">
        <v>0.31</v>
      </c>
      <c r="K169" t="s">
        <v>89</v>
      </c>
      <c r="L169" s="2">
        <v>9.7000000000000003E-3</v>
      </c>
      <c r="M169" t="s">
        <v>89</v>
      </c>
      <c r="O169" s="4"/>
      <c r="AC169" t="str">
        <f>IFERROR(VLOOKUP($A169,fund_metadata!$A:$P,2,FALSE),"")</f>
        <v>Cliffwater</v>
      </c>
      <c r="AD169" t="str">
        <f>IFERROR(VLOOKUP($A169,fund_metadata!$A:$P,16,FALSE),"")</f>
        <v>private_credit</v>
      </c>
    </row>
    <row r="170" spans="1:30" x14ac:dyDescent="0.25">
      <c r="A170">
        <v>3</v>
      </c>
      <c r="B170" s="3">
        <v>45991</v>
      </c>
      <c r="C170" s="3"/>
      <c r="F170" s="4">
        <v>7550000000</v>
      </c>
      <c r="G170" t="s">
        <v>89</v>
      </c>
      <c r="H170" s="5">
        <v>11.02</v>
      </c>
      <c r="I170" t="s">
        <v>89</v>
      </c>
      <c r="J170" s="5"/>
      <c r="L170" s="2">
        <v>1.01E-2</v>
      </c>
      <c r="M170" t="s">
        <v>89</v>
      </c>
      <c r="O170" s="4"/>
      <c r="AC170" t="str">
        <f>IFERROR(VLOOKUP($A170,fund_metadata!$A:$P,2,FALSE),"")</f>
        <v>Cliffwater</v>
      </c>
      <c r="AD170" t="str">
        <f>IFERROR(VLOOKUP($A170,fund_metadata!$A:$P,16,FALSE),"")</f>
        <v>private_credit</v>
      </c>
    </row>
    <row r="171" spans="1:30" x14ac:dyDescent="0.25">
      <c r="A171">
        <v>3</v>
      </c>
      <c r="B171" s="3">
        <v>46022</v>
      </c>
      <c r="C171" s="3"/>
      <c r="D171">
        <v>9747520.2899999991</v>
      </c>
      <c r="E171" t="s">
        <v>105</v>
      </c>
      <c r="F171" s="4">
        <v>7460000000</v>
      </c>
      <c r="G171" t="s">
        <v>89</v>
      </c>
      <c r="H171" s="5">
        <v>10.81</v>
      </c>
      <c r="I171" t="s">
        <v>89</v>
      </c>
      <c r="J171" s="5">
        <v>0.28999999999999998</v>
      </c>
      <c r="K171" t="s">
        <v>89</v>
      </c>
      <c r="L171" s="2">
        <v>7.4000000000000003E-3</v>
      </c>
      <c r="M171" t="s">
        <v>89</v>
      </c>
      <c r="N171">
        <v>501</v>
      </c>
      <c r="O171" s="4"/>
      <c r="S171">
        <v>901713.255</v>
      </c>
      <c r="T171" t="s">
        <v>105</v>
      </c>
      <c r="U171">
        <v>10000000</v>
      </c>
      <c r="V171" t="s">
        <v>105</v>
      </c>
      <c r="W171">
        <v>0</v>
      </c>
      <c r="X171" t="s">
        <v>105</v>
      </c>
      <c r="Y171">
        <v>262308.39</v>
      </c>
      <c r="Z171" t="s">
        <v>105</v>
      </c>
      <c r="AC171" t="str">
        <f>IFERROR(VLOOKUP($A171,fund_metadata!$A:$P,2,FALSE),"")</f>
        <v>Cliffwater</v>
      </c>
      <c r="AD171" t="str">
        <f>IFERROR(VLOOKUP($A171,fund_metadata!$A:$P,16,FALSE),"")</f>
        <v>private_credit</v>
      </c>
    </row>
    <row r="172" spans="1:30" x14ac:dyDescent="0.25">
      <c r="A172">
        <v>3</v>
      </c>
      <c r="B172" s="3">
        <v>46053</v>
      </c>
      <c r="C172" s="3"/>
      <c r="D172">
        <v>9810640.2100000009</v>
      </c>
      <c r="E172" t="s">
        <v>105</v>
      </c>
      <c r="F172" s="4">
        <v>7840000000</v>
      </c>
      <c r="G172" t="s">
        <v>89</v>
      </c>
      <c r="H172" s="5">
        <v>10.88</v>
      </c>
      <c r="I172" t="s">
        <v>89</v>
      </c>
      <c r="J172" s="5"/>
      <c r="L172" s="2">
        <v>6.4999999999999997E-3</v>
      </c>
      <c r="M172" t="s">
        <v>89</v>
      </c>
      <c r="O172" s="4"/>
      <c r="S172">
        <v>901713.255</v>
      </c>
      <c r="T172" t="s">
        <v>105</v>
      </c>
      <c r="U172">
        <v>0</v>
      </c>
      <c r="V172" t="s">
        <v>105</v>
      </c>
      <c r="W172">
        <v>0</v>
      </c>
      <c r="X172" t="s">
        <v>105</v>
      </c>
      <c r="Y172">
        <v>0</v>
      </c>
      <c r="Z172" t="s">
        <v>105</v>
      </c>
      <c r="AC172" t="str">
        <f>IFERROR(VLOOKUP($A172,fund_metadata!$A:$P,2,FALSE),"")</f>
        <v>Cliffwater</v>
      </c>
      <c r="AD172" t="str">
        <f>IFERROR(VLOOKUP($A172,fund_metadata!$A:$P,16,FALSE),"")</f>
        <v>private_credit</v>
      </c>
    </row>
    <row r="173" spans="1:30" x14ac:dyDescent="0.25">
      <c r="A173">
        <v>3</v>
      </c>
      <c r="B173" s="3">
        <v>46081</v>
      </c>
      <c r="C173" s="3"/>
      <c r="D173">
        <v>9855725.8800000008</v>
      </c>
      <c r="E173" t="s">
        <v>105</v>
      </c>
      <c r="F173" s="4">
        <v>8120000000</v>
      </c>
      <c r="G173" t="s">
        <v>89</v>
      </c>
      <c r="H173" s="5">
        <v>10.93</v>
      </c>
      <c r="I173" t="s">
        <v>89</v>
      </c>
      <c r="J173" s="5"/>
      <c r="L173" s="2">
        <v>4.5999999999999999E-3</v>
      </c>
      <c r="M173" t="s">
        <v>89</v>
      </c>
      <c r="O173" s="4"/>
      <c r="S173">
        <v>901713.255</v>
      </c>
      <c r="T173" t="s">
        <v>105</v>
      </c>
      <c r="AC173" t="str">
        <f>IFERROR(VLOOKUP($A173,fund_metadata!$A:$P,2,FALSE),"")</f>
        <v>Cliffwater</v>
      </c>
      <c r="AD173" t="str">
        <f>IFERROR(VLOOKUP($A173,fund_metadata!$A:$P,16,FALSE),"")</f>
        <v>private_credit</v>
      </c>
    </row>
    <row r="174" spans="1:30" x14ac:dyDescent="0.25">
      <c r="A174">
        <v>3</v>
      </c>
      <c r="B174" s="3">
        <v>46112</v>
      </c>
      <c r="C174" s="3"/>
      <c r="D174">
        <v>4564503.76</v>
      </c>
      <c r="E174" t="s">
        <v>105</v>
      </c>
      <c r="F174" s="4">
        <v>7800000000</v>
      </c>
      <c r="G174" t="s">
        <v>89</v>
      </c>
      <c r="H174" s="5">
        <v>11.01</v>
      </c>
      <c r="I174" t="s">
        <v>89</v>
      </c>
      <c r="J174" s="5"/>
      <c r="L174" s="2">
        <v>7.3000000000000001E-3</v>
      </c>
      <c r="M174" t="s">
        <v>89</v>
      </c>
      <c r="N174">
        <v>587</v>
      </c>
      <c r="O174" s="4"/>
      <c r="S174">
        <v>414577.99800000002</v>
      </c>
      <c r="T174" t="s">
        <v>105</v>
      </c>
      <c r="U174">
        <v>0</v>
      </c>
      <c r="V174" t="s">
        <v>105</v>
      </c>
      <c r="W174">
        <v>5348745.12</v>
      </c>
      <c r="X174" t="s">
        <v>105</v>
      </c>
      <c r="Y174">
        <v>0</v>
      </c>
      <c r="Z174" t="s">
        <v>105</v>
      </c>
      <c r="AC174" t="str">
        <f>IFERROR(VLOOKUP($A174,fund_metadata!$A:$P,2,FALSE),"")</f>
        <v>Cliffwater</v>
      </c>
      <c r="AD174" t="str">
        <f>IFERROR(VLOOKUP($A174,fund_metadata!$A:$P,16,FALSE),"")</f>
        <v>private_credit</v>
      </c>
    </row>
    <row r="175" spans="1:30" x14ac:dyDescent="0.25">
      <c r="A175">
        <v>3</v>
      </c>
      <c r="B175" s="3">
        <v>46142</v>
      </c>
      <c r="C175" s="3"/>
      <c r="D175">
        <v>4489879.72</v>
      </c>
      <c r="E175" t="s">
        <v>105</v>
      </c>
      <c r="F175" s="4">
        <v>7860000000</v>
      </c>
      <c r="G175" t="s">
        <v>89</v>
      </c>
      <c r="H175" s="5">
        <v>10.83</v>
      </c>
      <c r="I175" t="s">
        <v>89</v>
      </c>
      <c r="J175" s="5">
        <v>0.27</v>
      </c>
      <c r="K175" t="s">
        <v>89</v>
      </c>
      <c r="L175" s="2">
        <v>8.8000000000000005E-3</v>
      </c>
      <c r="M175" t="s">
        <v>89</v>
      </c>
      <c r="O175" s="4"/>
      <c r="S175">
        <v>414577.99800000002</v>
      </c>
      <c r="T175" t="s">
        <v>105</v>
      </c>
      <c r="U175">
        <v>0</v>
      </c>
      <c r="V175" t="s">
        <v>105</v>
      </c>
      <c r="W175">
        <v>0</v>
      </c>
      <c r="X175" t="s">
        <v>105</v>
      </c>
      <c r="Y175">
        <v>113801.66</v>
      </c>
      <c r="Z175" t="s">
        <v>105</v>
      </c>
      <c r="AC175" t="str">
        <f>IFERROR(VLOOKUP($A175,fund_metadata!$A:$P,2,FALSE),"")</f>
        <v>Cliffwater</v>
      </c>
      <c r="AD175" t="str">
        <f>IFERROR(VLOOKUP($A175,fund_metadata!$A:$P,16,FALSE),"")</f>
        <v>private_credit</v>
      </c>
    </row>
    <row r="176" spans="1:30" x14ac:dyDescent="0.25">
      <c r="A176">
        <v>3</v>
      </c>
      <c r="B176" s="3">
        <v>46173</v>
      </c>
      <c r="C176" s="3"/>
      <c r="F176" s="4"/>
      <c r="H176" s="5">
        <v>10.87</v>
      </c>
      <c r="I176" t="s">
        <v>89</v>
      </c>
      <c r="J176" s="5"/>
      <c r="L176" s="2"/>
      <c r="O176" s="4"/>
      <c r="AC176" t="str">
        <f>IFERROR(VLOOKUP($A176,fund_metadata!$A:$P,2,FALSE),"")</f>
        <v>Cliffwater</v>
      </c>
      <c r="AD176" t="str">
        <f>IFERROR(VLOOKUP($A176,fund_metadata!$A:$P,16,FALSE),"")</f>
        <v>private_credit</v>
      </c>
    </row>
    <row r="177" spans="1:30" x14ac:dyDescent="0.25">
      <c r="A177">
        <v>4</v>
      </c>
      <c r="B177" s="3">
        <v>45412</v>
      </c>
      <c r="C177" s="3"/>
      <c r="L177" s="7">
        <v>1.34E-2</v>
      </c>
      <c r="M177" t="s">
        <v>122</v>
      </c>
      <c r="AC177" t="str">
        <f>IFERROR(VLOOKUP($A177,fund_metadata!$A:$P,2,FALSE),"")</f>
        <v>Coller Secondaries</v>
      </c>
      <c r="AD177" t="str">
        <f>IFERROR(VLOOKUP($A177,fund_metadata!$A:$P,16,FALSE),"")</f>
        <v>secondaries</v>
      </c>
    </row>
    <row r="178" spans="1:30" x14ac:dyDescent="0.25">
      <c r="A178">
        <v>4</v>
      </c>
      <c r="B178" s="3">
        <v>45443</v>
      </c>
      <c r="C178" s="3"/>
      <c r="F178" s="4"/>
      <c r="H178" s="5"/>
      <c r="L178" s="2">
        <v>8.6999999999999994E-3</v>
      </c>
      <c r="M178" t="s">
        <v>122</v>
      </c>
      <c r="AC178" t="str">
        <f>IFERROR(VLOOKUP($A178,fund_metadata!$A:$P,2,FALSE),"")</f>
        <v>Coller Secondaries</v>
      </c>
      <c r="AD178" t="str">
        <f>IFERROR(VLOOKUP($A178,fund_metadata!$A:$P,16,FALSE),"")</f>
        <v>secondaries</v>
      </c>
    </row>
    <row r="179" spans="1:30" x14ac:dyDescent="0.25">
      <c r="A179">
        <v>4</v>
      </c>
      <c r="B179" s="3">
        <v>45473</v>
      </c>
      <c r="C179" s="3"/>
      <c r="F179" s="4"/>
      <c r="H179" s="5"/>
      <c r="L179" s="2">
        <v>1.3599999999999999E-2</v>
      </c>
      <c r="M179" t="s">
        <v>122</v>
      </c>
      <c r="N179">
        <v>60</v>
      </c>
      <c r="AC179" t="str">
        <f>IFERROR(VLOOKUP($A179,fund_metadata!$A:$P,2,FALSE),"")</f>
        <v>Coller Secondaries</v>
      </c>
      <c r="AD179" t="str">
        <f>IFERROR(VLOOKUP($A179,fund_metadata!$A:$P,16,FALSE),"")</f>
        <v>secondaries</v>
      </c>
    </row>
    <row r="180" spans="1:30" x14ac:dyDescent="0.25">
      <c r="A180">
        <v>4</v>
      </c>
      <c r="B180" s="3">
        <v>45504</v>
      </c>
      <c r="C180" s="3"/>
      <c r="F180" s="4"/>
      <c r="H180" s="5"/>
      <c r="L180" s="2">
        <v>1.9E-3</v>
      </c>
      <c r="M180" t="s">
        <v>122</v>
      </c>
      <c r="AC180" t="str">
        <f>IFERROR(VLOOKUP($A180,fund_metadata!$A:$P,2,FALSE),"")</f>
        <v>Coller Secondaries</v>
      </c>
      <c r="AD180" t="str">
        <f>IFERROR(VLOOKUP($A180,fund_metadata!$A:$P,16,FALSE),"")</f>
        <v>secondaries</v>
      </c>
    </row>
    <row r="181" spans="1:30" x14ac:dyDescent="0.25">
      <c r="A181">
        <v>4</v>
      </c>
      <c r="B181" s="3">
        <v>45535</v>
      </c>
      <c r="C181" s="3"/>
      <c r="F181" s="4"/>
      <c r="H181" s="5"/>
      <c r="L181" s="2">
        <v>4.8999999999999998E-3</v>
      </c>
      <c r="M181" t="s">
        <v>122</v>
      </c>
      <c r="AC181" t="str">
        <f>IFERROR(VLOOKUP($A181,fund_metadata!$A:$P,2,FALSE),"")</f>
        <v>Coller Secondaries</v>
      </c>
      <c r="AD181" t="str">
        <f>IFERROR(VLOOKUP($A181,fund_metadata!$A:$P,16,FALSE),"")</f>
        <v>secondaries</v>
      </c>
    </row>
    <row r="182" spans="1:30" x14ac:dyDescent="0.25">
      <c r="A182">
        <v>4</v>
      </c>
      <c r="B182" s="3">
        <v>45565</v>
      </c>
      <c r="C182" s="3"/>
      <c r="F182" s="4"/>
      <c r="H182" s="5"/>
      <c r="L182" s="2">
        <v>4.0000000000000002E-4</v>
      </c>
      <c r="M182" t="s">
        <v>122</v>
      </c>
      <c r="N182">
        <v>63</v>
      </c>
      <c r="Q182">
        <v>67286832</v>
      </c>
      <c r="R182" t="s">
        <v>120</v>
      </c>
      <c r="AC182" t="str">
        <f>IFERROR(VLOOKUP($A182,fund_metadata!$A:$P,2,FALSE),"")</f>
        <v>Coller Secondaries</v>
      </c>
      <c r="AD182" t="str">
        <f>IFERROR(VLOOKUP($A182,fund_metadata!$A:$P,16,FALSE),"")</f>
        <v>secondaries</v>
      </c>
    </row>
    <row r="183" spans="1:30" x14ac:dyDescent="0.25">
      <c r="A183">
        <v>4</v>
      </c>
      <c r="B183" s="3">
        <v>45596</v>
      </c>
      <c r="C183" s="3"/>
      <c r="F183" s="4"/>
      <c r="H183" s="5"/>
      <c r="L183" s="2">
        <v>2.24E-2</v>
      </c>
      <c r="M183" t="s">
        <v>122</v>
      </c>
      <c r="AC183" t="str">
        <f>IFERROR(VLOOKUP($A183,fund_metadata!$A:$P,2,FALSE),"")</f>
        <v>Coller Secondaries</v>
      </c>
      <c r="AD183" t="str">
        <f>IFERROR(VLOOKUP($A183,fund_metadata!$A:$P,16,FALSE),"")</f>
        <v>secondaries</v>
      </c>
    </row>
    <row r="184" spans="1:30" x14ac:dyDescent="0.25">
      <c r="A184">
        <v>4</v>
      </c>
      <c r="B184" s="3">
        <v>45626</v>
      </c>
      <c r="C184" s="3"/>
      <c r="F184" s="4"/>
      <c r="H184" s="5"/>
      <c r="L184" s="2">
        <v>6.1999999999999998E-3</v>
      </c>
      <c r="M184" t="s">
        <v>122</v>
      </c>
      <c r="AC184" t="str">
        <f>IFERROR(VLOOKUP($A184,fund_metadata!$A:$P,2,FALSE),"")</f>
        <v>Coller Secondaries</v>
      </c>
      <c r="AD184" t="str">
        <f>IFERROR(VLOOKUP($A184,fund_metadata!$A:$P,16,FALSE),"")</f>
        <v>secondaries</v>
      </c>
    </row>
    <row r="185" spans="1:30" x14ac:dyDescent="0.25">
      <c r="A185">
        <v>4</v>
      </c>
      <c r="B185" s="3">
        <v>45657</v>
      </c>
      <c r="C185" s="3"/>
      <c r="F185" s="4"/>
      <c r="H185" s="5"/>
      <c r="L185" s="2">
        <v>4.82E-2</v>
      </c>
      <c r="M185" t="s">
        <v>122</v>
      </c>
      <c r="N185">
        <v>81</v>
      </c>
      <c r="AC185" t="str">
        <f>IFERROR(VLOOKUP($A185,fund_metadata!$A:$P,2,FALSE),"")</f>
        <v>Coller Secondaries</v>
      </c>
      <c r="AD185" t="str">
        <f>IFERROR(VLOOKUP($A185,fund_metadata!$A:$P,16,FALSE),"")</f>
        <v>secondaries</v>
      </c>
    </row>
    <row r="186" spans="1:30" x14ac:dyDescent="0.25">
      <c r="A186">
        <v>4</v>
      </c>
      <c r="B186" s="3">
        <v>45688</v>
      </c>
      <c r="C186" s="3"/>
      <c r="F186" s="4"/>
      <c r="H186" s="5"/>
      <c r="L186" s="2">
        <v>1.5E-3</v>
      </c>
      <c r="M186" t="s">
        <v>122</v>
      </c>
      <c r="AC186" t="str">
        <f>IFERROR(VLOOKUP($A186,fund_metadata!$A:$P,2,FALSE),"")</f>
        <v>Coller Secondaries</v>
      </c>
      <c r="AD186" t="str">
        <f>IFERROR(VLOOKUP($A186,fund_metadata!$A:$P,16,FALSE),"")</f>
        <v>secondaries</v>
      </c>
    </row>
    <row r="187" spans="1:30" x14ac:dyDescent="0.25">
      <c r="A187">
        <v>4</v>
      </c>
      <c r="B187" s="3">
        <v>45716</v>
      </c>
      <c r="C187" s="3"/>
      <c r="F187" s="4"/>
      <c r="H187" s="5"/>
      <c r="L187" s="2">
        <v>-5.9999999999999995E-4</v>
      </c>
      <c r="M187" t="s">
        <v>122</v>
      </c>
      <c r="AC187" t="str">
        <f>IFERROR(VLOOKUP($A187,fund_metadata!$A:$P,2,FALSE),"")</f>
        <v>Coller Secondaries</v>
      </c>
      <c r="AD187" t="str">
        <f>IFERROR(VLOOKUP($A187,fund_metadata!$A:$P,16,FALSE),"")</f>
        <v>secondaries</v>
      </c>
    </row>
    <row r="188" spans="1:30" x14ac:dyDescent="0.25">
      <c r="A188">
        <v>4</v>
      </c>
      <c r="B188" s="3">
        <v>45747</v>
      </c>
      <c r="C188" s="3"/>
      <c r="F188" s="4"/>
      <c r="H188" s="5"/>
      <c r="L188" s="2">
        <v>3.2599999999999997E-2</v>
      </c>
      <c r="M188" t="s">
        <v>122</v>
      </c>
      <c r="N188">
        <v>90</v>
      </c>
      <c r="AC188" t="str">
        <f>IFERROR(VLOOKUP($A188,fund_metadata!$A:$P,2,FALSE),"")</f>
        <v>Coller Secondaries</v>
      </c>
      <c r="AD188" t="str">
        <f>IFERROR(VLOOKUP($A188,fund_metadata!$A:$P,16,FALSE),"")</f>
        <v>secondaries</v>
      </c>
    </row>
    <row r="189" spans="1:30" x14ac:dyDescent="0.25">
      <c r="A189">
        <v>4</v>
      </c>
      <c r="B189" s="3">
        <v>45777</v>
      </c>
      <c r="C189" s="3"/>
      <c r="F189" s="4"/>
      <c r="H189" s="5"/>
      <c r="L189" s="2">
        <v>1.0200000000000001E-2</v>
      </c>
      <c r="M189" t="s">
        <v>122</v>
      </c>
      <c r="AC189" t="str">
        <f>IFERROR(VLOOKUP($A189,fund_metadata!$A:$P,2,FALSE),"")</f>
        <v>Coller Secondaries</v>
      </c>
      <c r="AD189" t="str">
        <f>IFERROR(VLOOKUP($A189,fund_metadata!$A:$P,16,FALSE),"")</f>
        <v>secondaries</v>
      </c>
    </row>
    <row r="190" spans="1:30" x14ac:dyDescent="0.25">
      <c r="A190">
        <v>4</v>
      </c>
      <c r="B190" s="3">
        <v>45808</v>
      </c>
      <c r="C190" s="3"/>
      <c r="F190" s="4"/>
      <c r="H190" s="5"/>
      <c r="L190" s="2">
        <v>7.3000000000000001E-3</v>
      </c>
      <c r="M190" t="s">
        <v>122</v>
      </c>
      <c r="AC190" t="str">
        <f>IFERROR(VLOOKUP($A190,fund_metadata!$A:$P,2,FALSE),"")</f>
        <v>Coller Secondaries</v>
      </c>
      <c r="AD190" t="str">
        <f>IFERROR(VLOOKUP($A190,fund_metadata!$A:$P,16,FALSE),"")</f>
        <v>secondaries</v>
      </c>
    </row>
    <row r="191" spans="1:30" x14ac:dyDescent="0.25">
      <c r="A191">
        <v>4</v>
      </c>
      <c r="B191" s="3">
        <v>45838</v>
      </c>
      <c r="C191" s="3"/>
      <c r="L191" s="7">
        <v>3.7600000000000001E-2</v>
      </c>
      <c r="M191" t="s">
        <v>122</v>
      </c>
      <c r="AC191" t="str">
        <f>IFERROR(VLOOKUP($A191,fund_metadata!$A:$P,2,FALSE),"")</f>
        <v>Coller Secondaries</v>
      </c>
      <c r="AD191" t="str">
        <f>IFERROR(VLOOKUP($A191,fund_metadata!$A:$P,16,FALSE),"")</f>
        <v>secondaries</v>
      </c>
    </row>
    <row r="192" spans="1:30" x14ac:dyDescent="0.25">
      <c r="A192">
        <v>4</v>
      </c>
      <c r="B192" s="3">
        <v>45869</v>
      </c>
      <c r="C192" s="3"/>
      <c r="L192" s="7">
        <v>1.1900000000000001E-2</v>
      </c>
      <c r="M192" t="s">
        <v>122</v>
      </c>
      <c r="AC192" t="str">
        <f>IFERROR(VLOOKUP($A192,fund_metadata!$A:$P,2,FALSE),"")</f>
        <v>Coller Secondaries</v>
      </c>
      <c r="AD192" t="str">
        <f>IFERROR(VLOOKUP($A192,fund_metadata!$A:$P,16,FALSE),"")</f>
        <v>secondaries</v>
      </c>
    </row>
    <row r="193" spans="1:30" x14ac:dyDescent="0.25">
      <c r="A193">
        <v>4</v>
      </c>
      <c r="B193" s="3">
        <v>45900</v>
      </c>
      <c r="C193" s="3"/>
      <c r="L193" s="7">
        <v>1.1299999999999999E-2</v>
      </c>
      <c r="M193" t="s">
        <v>122</v>
      </c>
      <c r="AC193" t="str">
        <f>IFERROR(VLOOKUP($A193,fund_metadata!$A:$P,2,FALSE),"")</f>
        <v>Coller Secondaries</v>
      </c>
      <c r="AD193" t="str">
        <f>IFERROR(VLOOKUP($A193,fund_metadata!$A:$P,16,FALSE),"")</f>
        <v>secondaries</v>
      </c>
    </row>
    <row r="194" spans="1:30" x14ac:dyDescent="0.25">
      <c r="A194">
        <v>4</v>
      </c>
      <c r="B194" s="3">
        <v>45930</v>
      </c>
      <c r="C194" s="3"/>
      <c r="L194" s="7">
        <v>1.9099999999999999E-2</v>
      </c>
      <c r="M194" t="s">
        <v>122</v>
      </c>
      <c r="AC194" t="str">
        <f>IFERROR(VLOOKUP($A194,fund_metadata!$A:$P,2,FALSE),"")</f>
        <v>Coller Secondaries</v>
      </c>
      <c r="AD194" t="str">
        <f>IFERROR(VLOOKUP($A194,fund_metadata!$A:$P,16,FALSE),"")</f>
        <v>secondaries</v>
      </c>
    </row>
    <row r="195" spans="1:30" x14ac:dyDescent="0.25">
      <c r="A195">
        <v>4</v>
      </c>
      <c r="B195" s="3">
        <v>45961</v>
      </c>
      <c r="C195" s="3"/>
      <c r="L195" s="7">
        <v>5.7000000000000002E-3</v>
      </c>
      <c r="M195" t="s">
        <v>122</v>
      </c>
      <c r="AC195" t="str">
        <f>IFERROR(VLOOKUP($A195,fund_metadata!$A:$P,2,FALSE),"")</f>
        <v>Coller Secondaries</v>
      </c>
      <c r="AD195" t="str">
        <f>IFERROR(VLOOKUP($A195,fund_metadata!$A:$P,16,FALSE),"")</f>
        <v>secondaries</v>
      </c>
    </row>
    <row r="196" spans="1:30" x14ac:dyDescent="0.25">
      <c r="A196">
        <v>4</v>
      </c>
      <c r="B196" s="3">
        <v>45991</v>
      </c>
      <c r="C196" s="3"/>
      <c r="L196" s="7">
        <v>5.7999999999999996E-3</v>
      </c>
      <c r="M196" t="s">
        <v>122</v>
      </c>
      <c r="AC196" t="str">
        <f>IFERROR(VLOOKUP($A196,fund_metadata!$A:$P,2,FALSE),"")</f>
        <v>Coller Secondaries</v>
      </c>
      <c r="AD196" t="str">
        <f>IFERROR(VLOOKUP($A196,fund_metadata!$A:$P,16,FALSE),"")</f>
        <v>secondaries</v>
      </c>
    </row>
    <row r="197" spans="1:30" x14ac:dyDescent="0.25">
      <c r="A197">
        <v>4</v>
      </c>
      <c r="B197" s="3">
        <v>46022</v>
      </c>
      <c r="C197" s="3"/>
      <c r="L197" s="7">
        <v>1.44E-2</v>
      </c>
      <c r="M197" t="s">
        <v>122</v>
      </c>
      <c r="AC197" t="str">
        <f>IFERROR(VLOOKUP($A197,fund_metadata!$A:$P,2,FALSE),"")</f>
        <v>Coller Secondaries</v>
      </c>
      <c r="AD197" t="str">
        <f>IFERROR(VLOOKUP($A197,fund_metadata!$A:$P,16,FALSE),"")</f>
        <v>secondaries</v>
      </c>
    </row>
    <row r="198" spans="1:30" x14ac:dyDescent="0.25">
      <c r="A198">
        <v>4</v>
      </c>
      <c r="B198" s="3">
        <v>46053</v>
      </c>
      <c r="C198" s="3"/>
      <c r="D198" s="4">
        <v>9973022.5500000007</v>
      </c>
      <c r="E198" t="s">
        <v>105</v>
      </c>
      <c r="L198" s="2">
        <v>-2.7000000000000001E-3</v>
      </c>
      <c r="M198" t="s">
        <v>122</v>
      </c>
      <c r="S198" s="4">
        <v>1798496.4569999999</v>
      </c>
      <c r="T198" t="s">
        <v>105</v>
      </c>
      <c r="U198" s="4">
        <v>10000000</v>
      </c>
      <c r="V198" t="s">
        <v>105</v>
      </c>
      <c r="W198" s="4">
        <v>0</v>
      </c>
      <c r="X198" t="s">
        <v>105</v>
      </c>
      <c r="Y198" s="4">
        <v>0</v>
      </c>
      <c r="Z198" t="s">
        <v>105</v>
      </c>
      <c r="AC198" t="str">
        <f>IFERROR(VLOOKUP($A198,fund_metadata!$A:$P,2,FALSE),"")</f>
        <v>Coller Secondaries</v>
      </c>
      <c r="AD198" t="str">
        <f>IFERROR(VLOOKUP($A198,fund_metadata!$A:$P,16,FALSE),"")</f>
        <v>secondaries</v>
      </c>
    </row>
    <row r="199" spans="1:30" x14ac:dyDescent="0.25">
      <c r="A199">
        <v>4</v>
      </c>
      <c r="B199" s="3">
        <v>46081</v>
      </c>
      <c r="C199" s="3"/>
      <c r="D199" s="4">
        <v>10199273.41</v>
      </c>
      <c r="E199" t="s">
        <v>105</v>
      </c>
      <c r="L199" s="2">
        <v>2.2700000000000001E-2</v>
      </c>
      <c r="M199" t="s">
        <v>122</v>
      </c>
      <c r="S199" s="4">
        <v>1798496.4569999999</v>
      </c>
      <c r="T199" t="s">
        <v>105</v>
      </c>
      <c r="U199" s="4">
        <v>0</v>
      </c>
      <c r="V199" t="s">
        <v>105</v>
      </c>
      <c r="W199" s="4">
        <v>0</v>
      </c>
      <c r="X199" t="s">
        <v>105</v>
      </c>
      <c r="Y199" s="4">
        <v>0</v>
      </c>
      <c r="Z199" t="s">
        <v>105</v>
      </c>
      <c r="AC199" t="str">
        <f>IFERROR(VLOOKUP($A199,fund_metadata!$A:$P,2,FALSE),"")</f>
        <v>Coller Secondaries</v>
      </c>
      <c r="AD199" t="str">
        <f>IFERROR(VLOOKUP($A199,fund_metadata!$A:$P,16,FALSE),"")</f>
        <v>secondaries</v>
      </c>
    </row>
    <row r="200" spans="1:30" x14ac:dyDescent="0.25">
      <c r="A200">
        <v>4</v>
      </c>
      <c r="B200" s="3">
        <v>46112</v>
      </c>
      <c r="C200" s="3"/>
      <c r="D200" s="4">
        <v>10396928.17</v>
      </c>
      <c r="E200" t="s">
        <v>105</v>
      </c>
      <c r="L200" s="2">
        <v>1.9400000000000001E-2</v>
      </c>
      <c r="M200" t="s">
        <v>122</v>
      </c>
      <c r="N200">
        <v>180</v>
      </c>
      <c r="S200" s="4">
        <v>1798496.4569999999</v>
      </c>
      <c r="T200" t="s">
        <v>105</v>
      </c>
      <c r="U200" s="4">
        <v>0</v>
      </c>
      <c r="V200" t="s">
        <v>105</v>
      </c>
      <c r="W200" s="4">
        <v>0</v>
      </c>
      <c r="X200" t="s">
        <v>105</v>
      </c>
      <c r="Y200" s="4">
        <v>0</v>
      </c>
      <c r="Z200" t="s">
        <v>105</v>
      </c>
      <c r="AC200" t="str">
        <f>IFERROR(VLOOKUP($A200,fund_metadata!$A:$P,2,FALSE),"")</f>
        <v>Coller Secondaries</v>
      </c>
      <c r="AD200" t="str">
        <f>IFERROR(VLOOKUP($A200,fund_metadata!$A:$P,16,FALSE),"")</f>
        <v>secondaries</v>
      </c>
    </row>
    <row r="201" spans="1:30" x14ac:dyDescent="0.25">
      <c r="A201">
        <v>5</v>
      </c>
      <c r="B201" s="3">
        <v>45443</v>
      </c>
      <c r="C201" s="3"/>
      <c r="F201" s="4"/>
      <c r="H201" s="5">
        <v>10</v>
      </c>
      <c r="I201" t="s">
        <v>89</v>
      </c>
      <c r="J201" s="5"/>
      <c r="L201" s="2"/>
      <c r="O201" s="4"/>
      <c r="AC201" t="str">
        <f>IFERROR(VLOOKUP($A201,fund_metadata!$A:$P,2,FALSE),"")</f>
        <v>Stepstone PC Income</v>
      </c>
      <c r="AD201" t="str">
        <f>IFERROR(VLOOKUP($A201,fund_metadata!$A:$P,16,FALSE),"")</f>
        <v>private_credit</v>
      </c>
    </row>
    <row r="202" spans="1:30" x14ac:dyDescent="0.25">
      <c r="A202">
        <v>5</v>
      </c>
      <c r="B202" s="3">
        <v>45473</v>
      </c>
      <c r="C202" s="3"/>
      <c r="F202" s="4">
        <v>73970000</v>
      </c>
      <c r="G202" t="s">
        <v>89</v>
      </c>
      <c r="H202" s="5">
        <v>10.039999999999999</v>
      </c>
      <c r="I202" t="s">
        <v>89</v>
      </c>
      <c r="J202" s="5"/>
      <c r="L202" s="2">
        <v>4.0000000000000001E-3</v>
      </c>
      <c r="M202" t="s">
        <v>89</v>
      </c>
      <c r="N202">
        <v>55</v>
      </c>
      <c r="O202" s="4">
        <v>73680000</v>
      </c>
      <c r="P202" t="s">
        <v>89</v>
      </c>
      <c r="AC202" t="str">
        <f>IFERROR(VLOOKUP($A202,fund_metadata!$A:$P,2,FALSE),"")</f>
        <v>Stepstone PC Income</v>
      </c>
      <c r="AD202" t="str">
        <f>IFERROR(VLOOKUP($A202,fund_metadata!$A:$P,16,FALSE),"")</f>
        <v>private_credit</v>
      </c>
    </row>
    <row r="203" spans="1:30" x14ac:dyDescent="0.25">
      <c r="A203">
        <v>5</v>
      </c>
      <c r="B203" s="3">
        <v>45504</v>
      </c>
      <c r="C203" s="3"/>
      <c r="F203" s="4">
        <v>76100000</v>
      </c>
      <c r="G203" t="s">
        <v>89</v>
      </c>
      <c r="H203" s="5">
        <v>10.119999999999999</v>
      </c>
      <c r="I203" t="s">
        <v>89</v>
      </c>
      <c r="J203" s="5"/>
      <c r="L203" s="2">
        <v>8.0000000000000002E-3</v>
      </c>
      <c r="M203" t="s">
        <v>89</v>
      </c>
      <c r="O203" s="4"/>
      <c r="AC203" t="str">
        <f>IFERROR(VLOOKUP($A203,fund_metadata!$A:$P,2,FALSE),"")</f>
        <v>Stepstone PC Income</v>
      </c>
      <c r="AD203" t="str">
        <f>IFERROR(VLOOKUP($A203,fund_metadata!$A:$P,16,FALSE),"")</f>
        <v>private_credit</v>
      </c>
    </row>
    <row r="204" spans="1:30" x14ac:dyDescent="0.25">
      <c r="A204">
        <v>5</v>
      </c>
      <c r="B204" s="3">
        <v>45535</v>
      </c>
      <c r="C204" s="3"/>
      <c r="F204" s="4">
        <v>94630000</v>
      </c>
      <c r="G204" t="s">
        <v>89</v>
      </c>
      <c r="H204" s="5">
        <v>10.19</v>
      </c>
      <c r="I204" t="s">
        <v>89</v>
      </c>
      <c r="J204" s="5"/>
      <c r="L204" s="2">
        <v>6.8999999999999999E-3</v>
      </c>
      <c r="M204" t="s">
        <v>89</v>
      </c>
      <c r="O204" s="4"/>
      <c r="AC204" t="str">
        <f>IFERROR(VLOOKUP($A204,fund_metadata!$A:$P,2,FALSE),"")</f>
        <v>Stepstone PC Income</v>
      </c>
      <c r="AD204" t="str">
        <f>IFERROR(VLOOKUP($A204,fund_metadata!$A:$P,16,FALSE),"")</f>
        <v>private_credit</v>
      </c>
    </row>
    <row r="205" spans="1:30" x14ac:dyDescent="0.25">
      <c r="A205">
        <v>5</v>
      </c>
      <c r="B205" s="3">
        <v>45565</v>
      </c>
      <c r="C205" s="3"/>
      <c r="F205" s="4">
        <v>115850000</v>
      </c>
      <c r="G205" t="s">
        <v>89</v>
      </c>
      <c r="H205" s="5">
        <v>10.26</v>
      </c>
      <c r="I205" t="s">
        <v>89</v>
      </c>
      <c r="J205" s="5"/>
      <c r="L205" s="2">
        <v>6.8999999999999999E-3</v>
      </c>
      <c r="M205" t="s">
        <v>89</v>
      </c>
      <c r="N205">
        <v>196</v>
      </c>
      <c r="O205" s="4"/>
      <c r="AC205" t="str">
        <f>IFERROR(VLOOKUP($A205,fund_metadata!$A:$P,2,FALSE),"")</f>
        <v>Stepstone PC Income</v>
      </c>
      <c r="AD205" t="str">
        <f>IFERROR(VLOOKUP($A205,fund_metadata!$A:$P,16,FALSE),"")</f>
        <v>private_credit</v>
      </c>
    </row>
    <row r="206" spans="1:30" x14ac:dyDescent="0.25">
      <c r="A206">
        <v>5</v>
      </c>
      <c r="B206" s="3">
        <v>45596</v>
      </c>
      <c r="C206" s="3"/>
      <c r="F206" s="4">
        <v>153260000</v>
      </c>
      <c r="G206" t="s">
        <v>89</v>
      </c>
      <c r="H206" s="5">
        <v>10.14</v>
      </c>
      <c r="I206" t="s">
        <v>89</v>
      </c>
      <c r="J206" s="5">
        <v>0.2</v>
      </c>
      <c r="K206" t="s">
        <v>89</v>
      </c>
      <c r="L206" s="2">
        <v>8.0000000000000002E-3</v>
      </c>
      <c r="M206" t="s">
        <v>89</v>
      </c>
      <c r="O206" s="4"/>
      <c r="AC206" t="str">
        <f>IFERROR(VLOOKUP($A206,fund_metadata!$A:$P,2,FALSE),"")</f>
        <v>Stepstone PC Income</v>
      </c>
      <c r="AD206" t="str">
        <f>IFERROR(VLOOKUP($A206,fund_metadata!$A:$P,16,FALSE),"")</f>
        <v>private_credit</v>
      </c>
    </row>
    <row r="207" spans="1:30" x14ac:dyDescent="0.25">
      <c r="A207">
        <v>5</v>
      </c>
      <c r="B207" s="3">
        <v>45626</v>
      </c>
      <c r="C207" s="3"/>
      <c r="F207" s="4">
        <v>165000000</v>
      </c>
      <c r="G207" t="s">
        <v>89</v>
      </c>
      <c r="H207" s="5">
        <v>10.199999999999999</v>
      </c>
      <c r="I207" t="s">
        <v>89</v>
      </c>
      <c r="J207" s="5"/>
      <c r="L207" s="2">
        <v>5.8999999999999999E-3</v>
      </c>
      <c r="M207" t="s">
        <v>89</v>
      </c>
      <c r="O207" s="4"/>
      <c r="AC207" t="str">
        <f>IFERROR(VLOOKUP($A207,fund_metadata!$A:$P,2,FALSE),"")</f>
        <v>Stepstone PC Income</v>
      </c>
      <c r="AD207" t="str">
        <f>IFERROR(VLOOKUP($A207,fund_metadata!$A:$P,16,FALSE),"")</f>
        <v>private_credit</v>
      </c>
    </row>
    <row r="208" spans="1:30" x14ac:dyDescent="0.25">
      <c r="A208">
        <v>5</v>
      </c>
      <c r="B208" s="3">
        <v>45657</v>
      </c>
      <c r="C208" s="3"/>
      <c r="F208" s="4">
        <v>167640000</v>
      </c>
      <c r="G208" t="s">
        <v>89</v>
      </c>
      <c r="H208" s="5">
        <v>10.07</v>
      </c>
      <c r="I208" t="s">
        <v>89</v>
      </c>
      <c r="J208" s="5">
        <v>0.21</v>
      </c>
      <c r="K208" t="s">
        <v>89</v>
      </c>
      <c r="L208" s="2">
        <v>7.6E-3</v>
      </c>
      <c r="M208" t="s">
        <v>89</v>
      </c>
      <c r="N208">
        <v>298</v>
      </c>
      <c r="O208" s="4">
        <v>222330000</v>
      </c>
      <c r="P208" t="s">
        <v>89</v>
      </c>
      <c r="Q208">
        <v>16744559</v>
      </c>
      <c r="R208" t="s">
        <v>121</v>
      </c>
      <c r="AC208" t="str">
        <f>IFERROR(VLOOKUP($A208,fund_metadata!$A:$P,2,FALSE),"")</f>
        <v>Stepstone PC Income</v>
      </c>
      <c r="AD208" t="str">
        <f>IFERROR(VLOOKUP($A208,fund_metadata!$A:$P,16,FALSE),"")</f>
        <v>private_credit</v>
      </c>
    </row>
    <row r="209" spans="1:30" x14ac:dyDescent="0.25">
      <c r="A209">
        <v>5</v>
      </c>
      <c r="B209" s="3">
        <v>45688</v>
      </c>
      <c r="C209" s="3"/>
      <c r="F209" s="4">
        <v>761750000</v>
      </c>
      <c r="G209" t="s">
        <v>89</v>
      </c>
      <c r="H209" s="5">
        <v>10.15</v>
      </c>
      <c r="I209" t="s">
        <v>89</v>
      </c>
      <c r="J209" s="5"/>
      <c r="L209" s="2">
        <v>7.9000000000000008E-3</v>
      </c>
      <c r="M209" t="s">
        <v>89</v>
      </c>
      <c r="O209" s="4"/>
      <c r="AC209" t="str">
        <f>IFERROR(VLOOKUP($A209,fund_metadata!$A:$P,2,FALSE),"")</f>
        <v>Stepstone PC Income</v>
      </c>
      <c r="AD209" t="str">
        <f>IFERROR(VLOOKUP($A209,fund_metadata!$A:$P,16,FALSE),"")</f>
        <v>private_credit</v>
      </c>
    </row>
    <row r="210" spans="1:30" x14ac:dyDescent="0.25">
      <c r="A210">
        <v>5</v>
      </c>
      <c r="B210" s="3">
        <v>45716</v>
      </c>
      <c r="C210" s="3"/>
      <c r="F210" s="4">
        <v>782190000</v>
      </c>
      <c r="G210" t="s">
        <v>89</v>
      </c>
      <c r="H210" s="5">
        <v>10.210000000000001</v>
      </c>
      <c r="I210" t="s">
        <v>89</v>
      </c>
      <c r="J210" s="5"/>
      <c r="L210" s="2">
        <v>5.8999999999999999E-3</v>
      </c>
      <c r="M210" t="s">
        <v>89</v>
      </c>
      <c r="O210" s="4"/>
      <c r="AC210" t="str">
        <f>IFERROR(VLOOKUP($A210,fund_metadata!$A:$P,2,FALSE),"")</f>
        <v>Stepstone PC Income</v>
      </c>
      <c r="AD210" t="str">
        <f>IFERROR(VLOOKUP($A210,fund_metadata!$A:$P,16,FALSE),"")</f>
        <v>private_credit</v>
      </c>
    </row>
    <row r="211" spans="1:30" x14ac:dyDescent="0.25">
      <c r="A211">
        <v>5</v>
      </c>
      <c r="B211" s="3">
        <v>45747</v>
      </c>
      <c r="C211" s="3"/>
      <c r="F211" s="4">
        <v>807060000</v>
      </c>
      <c r="G211" t="s">
        <v>89</v>
      </c>
      <c r="H211" s="5">
        <v>10.28</v>
      </c>
      <c r="I211" t="s">
        <v>89</v>
      </c>
      <c r="J211" s="5"/>
      <c r="L211" s="2">
        <v>6.8999999999999999E-3</v>
      </c>
      <c r="M211" t="s">
        <v>89</v>
      </c>
      <c r="N211">
        <v>544</v>
      </c>
      <c r="O211" s="4"/>
      <c r="AC211" t="str">
        <f>IFERROR(VLOOKUP($A211,fund_metadata!$A:$P,2,FALSE),"")</f>
        <v>Stepstone PC Income</v>
      </c>
      <c r="AD211" t="str">
        <f>IFERROR(VLOOKUP($A211,fund_metadata!$A:$P,16,FALSE),"")</f>
        <v>private_credit</v>
      </c>
    </row>
    <row r="212" spans="1:30" x14ac:dyDescent="0.25">
      <c r="A212">
        <v>5</v>
      </c>
      <c r="B212" s="3">
        <v>45777</v>
      </c>
      <c r="C212" s="3"/>
      <c r="F212" s="4">
        <v>865860000</v>
      </c>
      <c r="G212" t="s">
        <v>89</v>
      </c>
      <c r="H212" s="5">
        <v>10.119999999999999</v>
      </c>
      <c r="I212" t="s">
        <v>89</v>
      </c>
      <c r="J212" s="5">
        <v>0.2</v>
      </c>
      <c r="K212" t="s">
        <v>89</v>
      </c>
      <c r="L212" s="2">
        <v>4.4999999999999997E-3</v>
      </c>
      <c r="M212" t="s">
        <v>89</v>
      </c>
      <c r="O212" s="4"/>
      <c r="AC212" t="str">
        <f>IFERROR(VLOOKUP($A212,fund_metadata!$A:$P,2,FALSE),"")</f>
        <v>Stepstone PC Income</v>
      </c>
      <c r="AD212" t="str">
        <f>IFERROR(VLOOKUP($A212,fund_metadata!$A:$P,16,FALSE),"")</f>
        <v>private_credit</v>
      </c>
    </row>
    <row r="213" spans="1:30" x14ac:dyDescent="0.25">
      <c r="A213">
        <v>5</v>
      </c>
      <c r="B213" s="3">
        <v>45808</v>
      </c>
      <c r="C213" s="3"/>
      <c r="F213" s="4">
        <v>889040000</v>
      </c>
      <c r="G213" t="s">
        <v>89</v>
      </c>
      <c r="H213" s="5">
        <v>10.199999999999999</v>
      </c>
      <c r="I213" t="s">
        <v>89</v>
      </c>
      <c r="J213" s="5"/>
      <c r="L213" s="2">
        <v>7.9000000000000008E-3</v>
      </c>
      <c r="M213" t="s">
        <v>89</v>
      </c>
      <c r="O213" s="4"/>
      <c r="AC213" t="str">
        <f>IFERROR(VLOOKUP($A213,fund_metadata!$A:$P,2,FALSE),"")</f>
        <v>Stepstone PC Income</v>
      </c>
      <c r="AD213" t="str">
        <f>IFERROR(VLOOKUP($A213,fund_metadata!$A:$P,16,FALSE),"")</f>
        <v>private_credit</v>
      </c>
    </row>
    <row r="214" spans="1:30" x14ac:dyDescent="0.25">
      <c r="A214">
        <v>5</v>
      </c>
      <c r="B214" s="3">
        <v>45838</v>
      </c>
      <c r="C214" s="3"/>
      <c r="F214" s="4">
        <v>896730000</v>
      </c>
      <c r="G214" t="s">
        <v>89</v>
      </c>
      <c r="H214" s="5">
        <v>10.29</v>
      </c>
      <c r="I214" t="s">
        <v>89</v>
      </c>
      <c r="J214" s="5"/>
      <c r="L214" s="2">
        <v>8.8000000000000005E-3</v>
      </c>
      <c r="M214" t="s">
        <v>89</v>
      </c>
      <c r="N214">
        <v>710</v>
      </c>
      <c r="O214" s="4">
        <v>1110000000</v>
      </c>
      <c r="P214" t="s">
        <v>89</v>
      </c>
      <c r="Q214">
        <v>87517119</v>
      </c>
      <c r="R214" t="s">
        <v>120</v>
      </c>
      <c r="AC214" t="str">
        <f>IFERROR(VLOOKUP($A214,fund_metadata!$A:$P,2,FALSE),"")</f>
        <v>Stepstone PC Income</v>
      </c>
      <c r="AD214" t="str">
        <f>IFERROR(VLOOKUP($A214,fund_metadata!$A:$P,16,FALSE),"")</f>
        <v>private_credit</v>
      </c>
    </row>
    <row r="215" spans="1:30" x14ac:dyDescent="0.25">
      <c r="A215">
        <v>5</v>
      </c>
      <c r="B215" s="3">
        <v>45869</v>
      </c>
      <c r="C215" s="3"/>
      <c r="F215" s="4">
        <v>935790000</v>
      </c>
      <c r="G215" t="s">
        <v>89</v>
      </c>
      <c r="H215" s="5">
        <v>10.130000000000001</v>
      </c>
      <c r="I215" t="s">
        <v>89</v>
      </c>
      <c r="J215" s="5">
        <v>0.23</v>
      </c>
      <c r="K215" t="s">
        <v>89</v>
      </c>
      <c r="L215" s="2">
        <v>6.8999999999999999E-3</v>
      </c>
      <c r="M215" t="s">
        <v>89</v>
      </c>
      <c r="O215" s="4"/>
      <c r="AC215" t="str">
        <f>IFERROR(VLOOKUP($A215,fund_metadata!$A:$P,2,FALSE),"")</f>
        <v>Stepstone PC Income</v>
      </c>
      <c r="AD215" t="str">
        <f>IFERROR(VLOOKUP($A215,fund_metadata!$A:$P,16,FALSE),"")</f>
        <v>private_credit</v>
      </c>
    </row>
    <row r="216" spans="1:30" x14ac:dyDescent="0.25">
      <c r="A216">
        <v>5</v>
      </c>
      <c r="B216" s="3">
        <v>45900</v>
      </c>
      <c r="C216" s="3"/>
      <c r="F216" s="4">
        <v>954000000</v>
      </c>
      <c r="G216" t="s">
        <v>89</v>
      </c>
      <c r="H216" s="5">
        <v>10.220000000000001</v>
      </c>
      <c r="I216" t="s">
        <v>89</v>
      </c>
      <c r="J216" s="5"/>
      <c r="L216" s="2">
        <v>8.8999999999999999E-3</v>
      </c>
      <c r="M216" t="s">
        <v>89</v>
      </c>
      <c r="O216" s="4"/>
      <c r="AC216" t="str">
        <f>IFERROR(VLOOKUP($A216,fund_metadata!$A:$P,2,FALSE),"")</f>
        <v>Stepstone PC Income</v>
      </c>
      <c r="AD216" t="str">
        <f>IFERROR(VLOOKUP($A216,fund_metadata!$A:$P,16,FALSE),"")</f>
        <v>private_credit</v>
      </c>
    </row>
    <row r="217" spans="1:30" x14ac:dyDescent="0.25">
      <c r="A217">
        <v>5</v>
      </c>
      <c r="B217" s="3">
        <v>45930</v>
      </c>
      <c r="C217" s="3"/>
      <c r="F217" s="4">
        <v>966850000</v>
      </c>
      <c r="G217" t="s">
        <v>89</v>
      </c>
      <c r="H217" s="5">
        <v>10.29</v>
      </c>
      <c r="I217" t="s">
        <v>89</v>
      </c>
      <c r="J217" s="5"/>
      <c r="L217" s="2">
        <v>6.7999999999999996E-3</v>
      </c>
      <c r="M217" t="s">
        <v>89</v>
      </c>
      <c r="N217">
        <v>846</v>
      </c>
      <c r="O217" s="4"/>
      <c r="AC217" t="str">
        <f>IFERROR(VLOOKUP($A217,fund_metadata!$A:$P,2,FALSE),"")</f>
        <v>Stepstone PC Income</v>
      </c>
      <c r="AD217" t="str">
        <f>IFERROR(VLOOKUP($A217,fund_metadata!$A:$P,16,FALSE),"")</f>
        <v>private_credit</v>
      </c>
    </row>
    <row r="218" spans="1:30" x14ac:dyDescent="0.25">
      <c r="A218">
        <v>5</v>
      </c>
      <c r="B218" s="3">
        <v>45961</v>
      </c>
      <c r="C218" s="3"/>
      <c r="F218" s="4">
        <v>978760000</v>
      </c>
      <c r="G218" t="s">
        <v>89</v>
      </c>
      <c r="H218" s="5">
        <v>10.14</v>
      </c>
      <c r="I218" t="s">
        <v>89</v>
      </c>
      <c r="J218" s="5">
        <v>0.24</v>
      </c>
      <c r="K218" t="s">
        <v>89</v>
      </c>
      <c r="L218" s="2">
        <v>9.1000000000000004E-3</v>
      </c>
      <c r="M218" t="s">
        <v>89</v>
      </c>
      <c r="O218" s="4"/>
      <c r="AC218" t="str">
        <f>IFERROR(VLOOKUP($A218,fund_metadata!$A:$P,2,FALSE),"")</f>
        <v>Stepstone PC Income</v>
      </c>
      <c r="AD218" t="str">
        <f>IFERROR(VLOOKUP($A218,fund_metadata!$A:$P,16,FALSE),"")</f>
        <v>private_credit</v>
      </c>
    </row>
    <row r="219" spans="1:30" x14ac:dyDescent="0.25">
      <c r="A219">
        <v>5</v>
      </c>
      <c r="B219" s="3">
        <v>45991</v>
      </c>
      <c r="C219" s="3"/>
      <c r="F219" s="4">
        <v>1000000000</v>
      </c>
      <c r="G219" t="s">
        <v>89</v>
      </c>
      <c r="H219" s="5">
        <v>10.220000000000001</v>
      </c>
      <c r="I219" t="s">
        <v>89</v>
      </c>
      <c r="J219" s="5"/>
      <c r="L219" s="2">
        <v>7.9000000000000008E-3</v>
      </c>
      <c r="M219" t="s">
        <v>89</v>
      </c>
      <c r="O219" s="4"/>
      <c r="AC219" t="str">
        <f>IFERROR(VLOOKUP($A219,fund_metadata!$A:$P,2,FALSE),"")</f>
        <v>Stepstone PC Income</v>
      </c>
      <c r="AD219" t="str">
        <f>IFERROR(VLOOKUP($A219,fund_metadata!$A:$P,16,FALSE),"")</f>
        <v>private_credit</v>
      </c>
    </row>
    <row r="220" spans="1:30" x14ac:dyDescent="0.25">
      <c r="A220">
        <v>5</v>
      </c>
      <c r="B220" s="3">
        <v>46022</v>
      </c>
      <c r="C220" s="3"/>
      <c r="D220">
        <v>4897959.18</v>
      </c>
      <c r="E220" t="s">
        <v>105</v>
      </c>
      <c r="F220" s="4">
        <v>1020000000</v>
      </c>
      <c r="G220" t="s">
        <v>89</v>
      </c>
      <c r="H220" s="5">
        <v>10.08</v>
      </c>
      <c r="I220" t="s">
        <v>89</v>
      </c>
      <c r="J220" s="5">
        <v>0.24</v>
      </c>
      <c r="K220" t="s">
        <v>89</v>
      </c>
      <c r="L220" s="2">
        <v>1.0200000000000001E-2</v>
      </c>
      <c r="M220" t="s">
        <v>89</v>
      </c>
      <c r="N220">
        <v>1017</v>
      </c>
      <c r="O220" s="4">
        <v>1370000000</v>
      </c>
      <c r="P220" t="s">
        <v>89</v>
      </c>
      <c r="Q220">
        <v>101338975</v>
      </c>
      <c r="R220" t="s">
        <v>121</v>
      </c>
      <c r="S220">
        <v>485908.64899999998</v>
      </c>
      <c r="T220" t="s">
        <v>105</v>
      </c>
      <c r="U220">
        <v>5000000</v>
      </c>
      <c r="V220" t="s">
        <v>105</v>
      </c>
      <c r="W220">
        <v>0</v>
      </c>
      <c r="X220" t="s">
        <v>105</v>
      </c>
      <c r="Y220">
        <v>118561.71</v>
      </c>
      <c r="Z220" t="s">
        <v>105</v>
      </c>
      <c r="AC220" t="str">
        <f>IFERROR(VLOOKUP($A220,fund_metadata!$A:$P,2,FALSE),"")</f>
        <v>Stepstone PC Income</v>
      </c>
      <c r="AD220" t="str">
        <f>IFERROR(VLOOKUP($A220,fund_metadata!$A:$P,16,FALSE),"")</f>
        <v>private_credit</v>
      </c>
    </row>
    <row r="221" spans="1:30" x14ac:dyDescent="0.25">
      <c r="A221">
        <v>5</v>
      </c>
      <c r="B221" s="3">
        <v>46053</v>
      </c>
      <c r="C221" s="3"/>
      <c r="D221">
        <v>4936831.87</v>
      </c>
      <c r="E221" t="s">
        <v>105</v>
      </c>
      <c r="F221" s="4">
        <v>1050000000</v>
      </c>
      <c r="G221" t="s">
        <v>89</v>
      </c>
      <c r="H221" s="5">
        <v>10.16</v>
      </c>
      <c r="I221" t="s">
        <v>89</v>
      </c>
      <c r="J221" s="5"/>
      <c r="L221" s="2">
        <v>7.9000000000000008E-3</v>
      </c>
      <c r="M221" t="s">
        <v>89</v>
      </c>
      <c r="O221" s="4"/>
      <c r="S221">
        <v>485908.64899999998</v>
      </c>
      <c r="T221" t="s">
        <v>105</v>
      </c>
      <c r="AC221" t="str">
        <f>IFERROR(VLOOKUP($A221,fund_metadata!$A:$P,2,FALSE),"")</f>
        <v>Stepstone PC Income</v>
      </c>
      <c r="AD221" t="str">
        <f>IFERROR(VLOOKUP($A221,fund_metadata!$A:$P,16,FALSE),"")</f>
        <v>private_credit</v>
      </c>
    </row>
    <row r="222" spans="1:30" x14ac:dyDescent="0.25">
      <c r="A222">
        <v>5</v>
      </c>
      <c r="B222" s="3">
        <v>46081</v>
      </c>
      <c r="C222" s="3"/>
      <c r="D222">
        <v>4956268.22</v>
      </c>
      <c r="E222" t="s">
        <v>105</v>
      </c>
      <c r="F222" s="4">
        <v>1070000000</v>
      </c>
      <c r="G222" t="s">
        <v>89</v>
      </c>
      <c r="H222" s="5">
        <v>10.199999999999999</v>
      </c>
      <c r="I222" t="s">
        <v>89</v>
      </c>
      <c r="J222" s="5"/>
      <c r="L222" s="2">
        <v>3.8999999999999998E-3</v>
      </c>
      <c r="M222" t="s">
        <v>89</v>
      </c>
      <c r="O222" s="4"/>
      <c r="S222">
        <v>485908.64899999998</v>
      </c>
      <c r="T222" t="s">
        <v>105</v>
      </c>
      <c r="U222">
        <v>0</v>
      </c>
      <c r="V222" t="s">
        <v>105</v>
      </c>
      <c r="W222">
        <v>0</v>
      </c>
      <c r="X222" t="s">
        <v>105</v>
      </c>
      <c r="Y222">
        <v>0</v>
      </c>
      <c r="Z222" t="s">
        <v>105</v>
      </c>
      <c r="AC222" t="str">
        <f>IFERROR(VLOOKUP($A222,fund_metadata!$A:$P,2,FALSE),"")</f>
        <v>Stepstone PC Income</v>
      </c>
      <c r="AD222" t="str">
        <f>IFERROR(VLOOKUP($A222,fund_metadata!$A:$P,16,FALSE),"")</f>
        <v>private_credit</v>
      </c>
    </row>
    <row r="223" spans="1:30" x14ac:dyDescent="0.25">
      <c r="A223">
        <v>5</v>
      </c>
      <c r="B223" s="3">
        <v>46112</v>
      </c>
      <c r="C223" s="3"/>
      <c r="D223">
        <v>4975704.57</v>
      </c>
      <c r="E223" t="s">
        <v>105</v>
      </c>
      <c r="F223" s="4">
        <v>1050000000</v>
      </c>
      <c r="G223" t="s">
        <v>89</v>
      </c>
      <c r="H223" s="5">
        <v>10.24</v>
      </c>
      <c r="I223" t="s">
        <v>89</v>
      </c>
      <c r="J223" s="5"/>
      <c r="L223" s="2">
        <v>3.8999999999999998E-3</v>
      </c>
      <c r="M223" t="s">
        <v>89</v>
      </c>
      <c r="N223">
        <v>1133</v>
      </c>
      <c r="O223" s="4"/>
      <c r="S223">
        <v>485908.64899999998</v>
      </c>
      <c r="T223" t="s">
        <v>105</v>
      </c>
      <c r="U223">
        <v>0</v>
      </c>
      <c r="V223" t="s">
        <v>105</v>
      </c>
      <c r="W223">
        <v>0</v>
      </c>
      <c r="X223" t="s">
        <v>105</v>
      </c>
      <c r="Y223">
        <v>0</v>
      </c>
      <c r="Z223" t="s">
        <v>105</v>
      </c>
      <c r="AC223" t="str">
        <f>IFERROR(VLOOKUP($A223,fund_metadata!$A:$P,2,FALSE),"")</f>
        <v>Stepstone PC Income</v>
      </c>
      <c r="AD223" t="str">
        <f>IFERROR(VLOOKUP($A223,fund_metadata!$A:$P,16,FALSE),"")</f>
        <v>private_credit</v>
      </c>
    </row>
    <row r="224" spans="1:30" x14ac:dyDescent="0.25">
      <c r="A224">
        <v>5</v>
      </c>
      <c r="B224" s="3">
        <v>46142</v>
      </c>
      <c r="C224" s="3"/>
      <c r="D224">
        <v>4888241.01</v>
      </c>
      <c r="E224" t="s">
        <v>105</v>
      </c>
      <c r="F224" s="4">
        <v>1080000000</v>
      </c>
      <c r="G224" t="s">
        <v>89</v>
      </c>
      <c r="H224" s="5">
        <v>10.06</v>
      </c>
      <c r="I224" t="s">
        <v>89</v>
      </c>
      <c r="J224" s="5">
        <v>0.25</v>
      </c>
      <c r="K224" t="s">
        <v>89</v>
      </c>
      <c r="L224" s="2">
        <v>6.7000000000000002E-3</v>
      </c>
      <c r="M224" t="s">
        <v>89</v>
      </c>
      <c r="O224" s="4"/>
      <c r="S224">
        <v>485908.64899999998</v>
      </c>
      <c r="T224" t="s">
        <v>105</v>
      </c>
      <c r="U224">
        <v>0</v>
      </c>
      <c r="V224" t="s">
        <v>105</v>
      </c>
      <c r="W224">
        <v>0</v>
      </c>
      <c r="X224" t="s">
        <v>105</v>
      </c>
      <c r="Y224">
        <v>119970.85</v>
      </c>
      <c r="Z224" t="s">
        <v>105</v>
      </c>
      <c r="AC224" t="str">
        <f>IFERROR(VLOOKUP($A224,fund_metadata!$A:$P,2,FALSE),"")</f>
        <v>Stepstone PC Income</v>
      </c>
      <c r="AD224" t="str">
        <f>IFERROR(VLOOKUP($A224,fund_metadata!$A:$P,16,FALSE),"")</f>
        <v>private_credit</v>
      </c>
    </row>
    <row r="225" spans="1:30" x14ac:dyDescent="0.25">
      <c r="A225">
        <v>5</v>
      </c>
      <c r="B225" s="3">
        <v>46173</v>
      </c>
      <c r="C225" s="3"/>
      <c r="F225" s="4"/>
      <c r="H225" s="5">
        <v>10.119999999999999</v>
      </c>
      <c r="I225" t="s">
        <v>89</v>
      </c>
      <c r="J225" s="5"/>
      <c r="L225" s="2"/>
      <c r="O225" s="4"/>
      <c r="AC225" t="str">
        <f>IFERROR(VLOOKUP($A225,fund_metadata!$A:$P,2,FALSE),"")</f>
        <v>Stepstone PC Income</v>
      </c>
      <c r="AD225" t="str">
        <f>IFERROR(VLOOKUP($A225,fund_metadata!$A:$P,16,FALSE),"")</f>
        <v>private_credit</v>
      </c>
    </row>
    <row r="226" spans="1:30" x14ac:dyDescent="0.25">
      <c r="A226">
        <v>6</v>
      </c>
      <c r="B226" s="3">
        <v>44135</v>
      </c>
      <c r="C226" s="3"/>
      <c r="F226" s="4"/>
      <c r="H226" s="5">
        <v>26.72</v>
      </c>
      <c r="I226" t="s">
        <v>89</v>
      </c>
      <c r="J226" s="5">
        <v>0</v>
      </c>
      <c r="K226" t="s">
        <v>108</v>
      </c>
      <c r="L226" s="2"/>
      <c r="O226" s="4"/>
      <c r="AC226" t="str">
        <f>IFERROR(VLOOKUP($A226,fund_metadata!$A:$P,2,FALSE),"")</f>
        <v>Stepstone Private Markets</v>
      </c>
      <c r="AD226" t="str">
        <f>IFERROR(VLOOKUP($A226,fund_metadata!$A:$P,16,FALSE),"")</f>
        <v>secondaries</v>
      </c>
    </row>
    <row r="227" spans="1:30" x14ac:dyDescent="0.25">
      <c r="A227">
        <v>6</v>
      </c>
      <c r="B227" s="3">
        <v>44165</v>
      </c>
      <c r="C227" s="3"/>
      <c r="F227" s="4"/>
      <c r="H227" s="5">
        <v>27.06</v>
      </c>
      <c r="I227" t="s">
        <v>89</v>
      </c>
      <c r="J227" s="5">
        <v>0</v>
      </c>
      <c r="K227" t="s">
        <v>108</v>
      </c>
      <c r="L227" s="2">
        <v>1.2699999999999999E-2</v>
      </c>
      <c r="M227" t="s">
        <v>89</v>
      </c>
      <c r="O227" s="4"/>
      <c r="AC227" t="str">
        <f>IFERROR(VLOOKUP($A227,fund_metadata!$A:$P,2,FALSE),"")</f>
        <v>Stepstone Private Markets</v>
      </c>
      <c r="AD227" t="str">
        <f>IFERROR(VLOOKUP($A227,fund_metadata!$A:$P,16,FALSE),"")</f>
        <v>secondaries</v>
      </c>
    </row>
    <row r="228" spans="1:30" x14ac:dyDescent="0.25">
      <c r="A228">
        <v>6</v>
      </c>
      <c r="B228" s="3">
        <v>44196</v>
      </c>
      <c r="C228" s="3"/>
      <c r="F228" s="4"/>
      <c r="H228" s="5">
        <v>31.23</v>
      </c>
      <c r="I228" t="s">
        <v>89</v>
      </c>
      <c r="J228" s="5">
        <v>0</v>
      </c>
      <c r="K228" t="s">
        <v>108</v>
      </c>
      <c r="L228" s="2">
        <v>0.15409999999999999</v>
      </c>
      <c r="M228" t="s">
        <v>89</v>
      </c>
      <c r="N228">
        <v>22</v>
      </c>
      <c r="O228" s="4"/>
      <c r="AC228" t="str">
        <f>IFERROR(VLOOKUP($A228,fund_metadata!$A:$P,2,FALSE),"")</f>
        <v>Stepstone Private Markets</v>
      </c>
      <c r="AD228" t="str">
        <f>IFERROR(VLOOKUP($A228,fund_metadata!$A:$P,16,FALSE),"")</f>
        <v>secondaries</v>
      </c>
    </row>
    <row r="229" spans="1:30" x14ac:dyDescent="0.25">
      <c r="A229">
        <v>6</v>
      </c>
      <c r="B229" s="3">
        <v>44227</v>
      </c>
      <c r="C229" s="3"/>
      <c r="F229" s="4"/>
      <c r="H229" s="5">
        <v>31.29</v>
      </c>
      <c r="I229" t="s">
        <v>89</v>
      </c>
      <c r="J229" s="5">
        <v>0</v>
      </c>
      <c r="K229" t="s">
        <v>108</v>
      </c>
      <c r="L229" s="2">
        <v>1.9E-3</v>
      </c>
      <c r="M229" t="s">
        <v>89</v>
      </c>
      <c r="O229" s="4"/>
      <c r="AC229" t="str">
        <f>IFERROR(VLOOKUP($A229,fund_metadata!$A:$P,2,FALSE),"")</f>
        <v>Stepstone Private Markets</v>
      </c>
      <c r="AD229" t="str">
        <f>IFERROR(VLOOKUP($A229,fund_metadata!$A:$P,16,FALSE),"")</f>
        <v>secondaries</v>
      </c>
    </row>
    <row r="230" spans="1:30" x14ac:dyDescent="0.25">
      <c r="A230">
        <v>6</v>
      </c>
      <c r="B230" s="3">
        <v>44255</v>
      </c>
      <c r="C230" s="3"/>
      <c r="F230" s="4"/>
      <c r="H230" s="5">
        <v>31.77</v>
      </c>
      <c r="I230" t="s">
        <v>89</v>
      </c>
      <c r="J230" s="5">
        <v>0</v>
      </c>
      <c r="K230" t="s">
        <v>108</v>
      </c>
      <c r="L230" s="2">
        <v>1.5299999999999999E-2</v>
      </c>
      <c r="M230" t="s">
        <v>89</v>
      </c>
      <c r="O230" s="4"/>
      <c r="AC230" t="str">
        <f>IFERROR(VLOOKUP($A230,fund_metadata!$A:$P,2,FALSE),"")</f>
        <v>Stepstone Private Markets</v>
      </c>
      <c r="AD230" t="str">
        <f>IFERROR(VLOOKUP($A230,fund_metadata!$A:$P,16,FALSE),"")</f>
        <v>secondaries</v>
      </c>
    </row>
    <row r="231" spans="1:30" x14ac:dyDescent="0.25">
      <c r="A231">
        <v>6</v>
      </c>
      <c r="B231" s="3">
        <v>44286</v>
      </c>
      <c r="C231" s="3"/>
      <c r="F231" s="4"/>
      <c r="H231" s="5">
        <v>32.729999999999997</v>
      </c>
      <c r="I231" t="s">
        <v>89</v>
      </c>
      <c r="J231" s="5">
        <v>0</v>
      </c>
      <c r="K231" t="s">
        <v>108</v>
      </c>
      <c r="L231" s="2">
        <v>3.0200000000000001E-2</v>
      </c>
      <c r="M231" t="s">
        <v>89</v>
      </c>
      <c r="N231">
        <v>43</v>
      </c>
      <c r="O231" s="4">
        <v>115180000</v>
      </c>
      <c r="P231" t="s">
        <v>89</v>
      </c>
      <c r="Q231">
        <v>2410487</v>
      </c>
      <c r="R231" t="s">
        <v>121</v>
      </c>
      <c r="AC231" t="str">
        <f>IFERROR(VLOOKUP($A231,fund_metadata!$A:$P,2,FALSE),"")</f>
        <v>Stepstone Private Markets</v>
      </c>
      <c r="AD231" t="str">
        <f>IFERROR(VLOOKUP($A231,fund_metadata!$A:$P,16,FALSE),"")</f>
        <v>secondaries</v>
      </c>
    </row>
    <row r="232" spans="1:30" x14ac:dyDescent="0.25">
      <c r="A232">
        <v>6</v>
      </c>
      <c r="B232" s="3">
        <v>44316</v>
      </c>
      <c r="C232" s="3"/>
      <c r="F232" s="4"/>
      <c r="H232" s="5">
        <v>33.99</v>
      </c>
      <c r="I232" t="s">
        <v>89</v>
      </c>
      <c r="J232" s="5">
        <v>0</v>
      </c>
      <c r="K232" t="s">
        <v>108</v>
      </c>
      <c r="L232" s="2">
        <v>3.85E-2</v>
      </c>
      <c r="M232" t="s">
        <v>89</v>
      </c>
      <c r="O232" s="4"/>
      <c r="AC232" t="str">
        <f>IFERROR(VLOOKUP($A232,fund_metadata!$A:$P,2,FALSE),"")</f>
        <v>Stepstone Private Markets</v>
      </c>
      <c r="AD232" t="str">
        <f>IFERROR(VLOOKUP($A232,fund_metadata!$A:$P,16,FALSE),"")</f>
        <v>secondaries</v>
      </c>
    </row>
    <row r="233" spans="1:30" x14ac:dyDescent="0.25">
      <c r="A233">
        <v>6</v>
      </c>
      <c r="B233" s="3">
        <v>44347</v>
      </c>
      <c r="C233" s="3"/>
      <c r="F233" s="4"/>
      <c r="H233" s="5">
        <v>35.770000000000003</v>
      </c>
      <c r="I233" t="s">
        <v>89</v>
      </c>
      <c r="J233" s="5">
        <v>0</v>
      </c>
      <c r="K233" t="s">
        <v>108</v>
      </c>
      <c r="L233" s="2">
        <v>5.2400000000000002E-2</v>
      </c>
      <c r="M233" t="s">
        <v>89</v>
      </c>
      <c r="O233" s="4"/>
      <c r="AC233" t="str">
        <f>IFERROR(VLOOKUP($A233,fund_metadata!$A:$P,2,FALSE),"")</f>
        <v>Stepstone Private Markets</v>
      </c>
      <c r="AD233" t="str">
        <f>IFERROR(VLOOKUP($A233,fund_metadata!$A:$P,16,FALSE),"")</f>
        <v>secondaries</v>
      </c>
    </row>
    <row r="234" spans="1:30" x14ac:dyDescent="0.25">
      <c r="A234">
        <v>6</v>
      </c>
      <c r="B234" s="3">
        <v>44377</v>
      </c>
      <c r="C234" s="3"/>
      <c r="F234" s="4"/>
      <c r="H234" s="5">
        <v>36.159999999999997</v>
      </c>
      <c r="I234" t="s">
        <v>89</v>
      </c>
      <c r="J234" s="5">
        <v>0</v>
      </c>
      <c r="K234" t="s">
        <v>108</v>
      </c>
      <c r="L234" s="2">
        <v>1.09E-2</v>
      </c>
      <c r="M234" t="s">
        <v>89</v>
      </c>
      <c r="N234">
        <v>57</v>
      </c>
      <c r="O234" s="4"/>
      <c r="AC234" t="str">
        <f>IFERROR(VLOOKUP($A234,fund_metadata!$A:$P,2,FALSE),"")</f>
        <v>Stepstone Private Markets</v>
      </c>
      <c r="AD234" t="str">
        <f>IFERROR(VLOOKUP($A234,fund_metadata!$A:$P,16,FALSE),"")</f>
        <v>secondaries</v>
      </c>
    </row>
    <row r="235" spans="1:30" x14ac:dyDescent="0.25">
      <c r="A235">
        <v>6</v>
      </c>
      <c r="B235" s="3">
        <v>44408</v>
      </c>
      <c r="C235" s="3"/>
      <c r="F235" s="4"/>
      <c r="H235" s="5">
        <v>38</v>
      </c>
      <c r="I235" t="s">
        <v>89</v>
      </c>
      <c r="J235" s="5">
        <v>0</v>
      </c>
      <c r="K235" t="s">
        <v>108</v>
      </c>
      <c r="L235" s="2">
        <v>5.0900000000000001E-2</v>
      </c>
      <c r="M235" t="s">
        <v>89</v>
      </c>
      <c r="O235" s="4"/>
      <c r="AC235" t="str">
        <f>IFERROR(VLOOKUP($A235,fund_metadata!$A:$P,2,FALSE),"")</f>
        <v>Stepstone Private Markets</v>
      </c>
      <c r="AD235" t="str">
        <f>IFERROR(VLOOKUP($A235,fund_metadata!$A:$P,16,FALSE),"")</f>
        <v>secondaries</v>
      </c>
    </row>
    <row r="236" spans="1:30" x14ac:dyDescent="0.25">
      <c r="A236">
        <v>6</v>
      </c>
      <c r="B236" s="3">
        <v>44439</v>
      </c>
      <c r="C236" s="3"/>
      <c r="F236" s="4"/>
      <c r="H236" s="5">
        <v>40.270000000000003</v>
      </c>
      <c r="I236" t="s">
        <v>89</v>
      </c>
      <c r="J236" s="5">
        <v>0</v>
      </c>
      <c r="K236" t="s">
        <v>108</v>
      </c>
      <c r="L236" s="2">
        <v>5.9700000000000003E-2</v>
      </c>
      <c r="M236" t="s">
        <v>89</v>
      </c>
      <c r="O236" s="4"/>
      <c r="AC236" t="str">
        <f>IFERROR(VLOOKUP($A236,fund_metadata!$A:$P,2,FALSE),"")</f>
        <v>Stepstone Private Markets</v>
      </c>
      <c r="AD236" t="str">
        <f>IFERROR(VLOOKUP($A236,fund_metadata!$A:$P,16,FALSE),"")</f>
        <v>secondaries</v>
      </c>
    </row>
    <row r="237" spans="1:30" x14ac:dyDescent="0.25">
      <c r="A237">
        <v>6</v>
      </c>
      <c r="B237" s="3">
        <v>44469</v>
      </c>
      <c r="C237" s="3"/>
      <c r="F237" s="4"/>
      <c r="H237" s="5">
        <v>40.22</v>
      </c>
      <c r="I237" t="s">
        <v>89</v>
      </c>
      <c r="J237" s="5">
        <v>0</v>
      </c>
      <c r="K237" t="s">
        <v>108</v>
      </c>
      <c r="L237" s="2">
        <v>-1.1999999999999999E-3</v>
      </c>
      <c r="M237" t="s">
        <v>89</v>
      </c>
      <c r="N237">
        <v>69</v>
      </c>
      <c r="O237" s="4">
        <v>222650000</v>
      </c>
      <c r="P237" t="s">
        <v>89</v>
      </c>
      <c r="Q237">
        <v>4725736</v>
      </c>
      <c r="R237" t="s">
        <v>120</v>
      </c>
      <c r="AC237" t="str">
        <f>IFERROR(VLOOKUP($A237,fund_metadata!$A:$P,2,FALSE),"")</f>
        <v>Stepstone Private Markets</v>
      </c>
      <c r="AD237" t="str">
        <f>IFERROR(VLOOKUP($A237,fund_metadata!$A:$P,16,FALSE),"")</f>
        <v>secondaries</v>
      </c>
    </row>
    <row r="238" spans="1:30" x14ac:dyDescent="0.25">
      <c r="A238">
        <v>6</v>
      </c>
      <c r="B238" s="3">
        <v>44500</v>
      </c>
      <c r="C238" s="3"/>
      <c r="F238" s="4"/>
      <c r="H238" s="5">
        <v>39.840000000000003</v>
      </c>
      <c r="I238" t="s">
        <v>89</v>
      </c>
      <c r="J238" s="5">
        <v>0.14000000000000001</v>
      </c>
      <c r="K238" t="s">
        <v>89</v>
      </c>
      <c r="L238" s="2">
        <v>-9.4000000000000004E-3</v>
      </c>
      <c r="M238" t="s">
        <v>89</v>
      </c>
      <c r="O238" s="4"/>
      <c r="AC238" t="str">
        <f>IFERROR(VLOOKUP($A238,fund_metadata!$A:$P,2,FALSE),"")</f>
        <v>Stepstone Private Markets</v>
      </c>
      <c r="AD238" t="str">
        <f>IFERROR(VLOOKUP($A238,fund_metadata!$A:$P,16,FALSE),"")</f>
        <v>secondaries</v>
      </c>
    </row>
    <row r="239" spans="1:30" x14ac:dyDescent="0.25">
      <c r="A239">
        <v>6</v>
      </c>
      <c r="B239" s="3">
        <v>44530</v>
      </c>
      <c r="C239" s="3"/>
      <c r="F239" s="4"/>
      <c r="H239" s="5">
        <v>40.6</v>
      </c>
      <c r="I239" t="s">
        <v>89</v>
      </c>
      <c r="J239" s="5"/>
      <c r="L239" s="2">
        <v>1.9099999999999999E-2</v>
      </c>
      <c r="M239" t="s">
        <v>89</v>
      </c>
      <c r="O239" s="4"/>
      <c r="AC239" t="str">
        <f>IFERROR(VLOOKUP($A239,fund_metadata!$A:$P,2,FALSE),"")</f>
        <v>Stepstone Private Markets</v>
      </c>
      <c r="AD239" t="str">
        <f>IFERROR(VLOOKUP($A239,fund_metadata!$A:$P,16,FALSE),"")</f>
        <v>secondaries</v>
      </c>
    </row>
    <row r="240" spans="1:30" x14ac:dyDescent="0.25">
      <c r="A240">
        <v>6</v>
      </c>
      <c r="B240" s="3">
        <v>44561</v>
      </c>
      <c r="C240" s="3"/>
      <c r="F240" s="4"/>
      <c r="H240" s="5">
        <v>41.17</v>
      </c>
      <c r="I240" t="s">
        <v>89</v>
      </c>
      <c r="J240" s="5"/>
      <c r="L240" s="2">
        <v>2.3599999999999999E-2</v>
      </c>
      <c r="M240" t="s">
        <v>89</v>
      </c>
      <c r="N240">
        <v>98</v>
      </c>
      <c r="O240" s="4"/>
      <c r="AC240" t="str">
        <f>IFERROR(VLOOKUP($A240,fund_metadata!$A:$P,2,FALSE),"")</f>
        <v>Stepstone Private Markets</v>
      </c>
      <c r="AD240" t="str">
        <f>IFERROR(VLOOKUP($A240,fund_metadata!$A:$P,16,FALSE),"")</f>
        <v>secondaries</v>
      </c>
    </row>
    <row r="241" spans="1:30" x14ac:dyDescent="0.25">
      <c r="A241">
        <v>6</v>
      </c>
      <c r="B241" s="3">
        <v>44592</v>
      </c>
      <c r="C241" s="3"/>
      <c r="F241" s="4"/>
      <c r="H241" s="5">
        <v>41.33</v>
      </c>
      <c r="I241" t="s">
        <v>89</v>
      </c>
      <c r="J241" s="5">
        <v>0.09</v>
      </c>
      <c r="K241" t="s">
        <v>89</v>
      </c>
      <c r="L241" s="2">
        <v>3.8999999999999998E-3</v>
      </c>
      <c r="M241" t="s">
        <v>89</v>
      </c>
      <c r="O241" s="4"/>
      <c r="AC241" t="str">
        <f>IFERROR(VLOOKUP($A241,fund_metadata!$A:$P,2,FALSE),"")</f>
        <v>Stepstone Private Markets</v>
      </c>
      <c r="AD241" t="str">
        <f>IFERROR(VLOOKUP($A241,fund_metadata!$A:$P,16,FALSE),"")</f>
        <v>secondaries</v>
      </c>
    </row>
    <row r="242" spans="1:30" x14ac:dyDescent="0.25">
      <c r="A242">
        <v>6</v>
      </c>
      <c r="B242" s="3">
        <v>44620</v>
      </c>
      <c r="C242" s="3"/>
      <c r="F242" s="4"/>
      <c r="H242" s="5">
        <v>41.67</v>
      </c>
      <c r="I242" t="s">
        <v>89</v>
      </c>
      <c r="J242" s="5"/>
      <c r="L242" s="2">
        <v>8.2000000000000007E-3</v>
      </c>
      <c r="M242" t="s">
        <v>89</v>
      </c>
      <c r="O242" s="4"/>
      <c r="AC242" t="str">
        <f>IFERROR(VLOOKUP($A242,fund_metadata!$A:$P,2,FALSE),"")</f>
        <v>Stepstone Private Markets</v>
      </c>
      <c r="AD242" t="str">
        <f>IFERROR(VLOOKUP($A242,fund_metadata!$A:$P,16,FALSE),"")</f>
        <v>secondaries</v>
      </c>
    </row>
    <row r="243" spans="1:30" x14ac:dyDescent="0.25">
      <c r="A243">
        <v>6</v>
      </c>
      <c r="B243" s="3">
        <v>44651</v>
      </c>
      <c r="C243" s="3"/>
      <c r="F243" s="4"/>
      <c r="H243" s="5">
        <v>43.07</v>
      </c>
      <c r="I243" t="s">
        <v>89</v>
      </c>
      <c r="J243" s="5"/>
      <c r="L243" s="2">
        <v>3.5900000000000001E-2</v>
      </c>
      <c r="M243" t="s">
        <v>89</v>
      </c>
      <c r="N243">
        <v>107</v>
      </c>
      <c r="O243" s="4">
        <v>496220000</v>
      </c>
      <c r="P243" t="s">
        <v>89</v>
      </c>
      <c r="Q243">
        <v>10337778</v>
      </c>
      <c r="R243" t="s">
        <v>121</v>
      </c>
      <c r="AC243" t="str">
        <f>IFERROR(VLOOKUP($A243,fund_metadata!$A:$P,2,FALSE),"")</f>
        <v>Stepstone Private Markets</v>
      </c>
      <c r="AD243" t="str">
        <f>IFERROR(VLOOKUP($A243,fund_metadata!$A:$P,16,FALSE),"")</f>
        <v>secondaries</v>
      </c>
    </row>
    <row r="244" spans="1:30" x14ac:dyDescent="0.25">
      <c r="A244">
        <v>6</v>
      </c>
      <c r="B244" s="3">
        <v>44681</v>
      </c>
      <c r="C244" s="3"/>
      <c r="F244" s="4"/>
      <c r="H244" s="5">
        <v>43.65</v>
      </c>
      <c r="I244" t="s">
        <v>89</v>
      </c>
      <c r="J244" s="5"/>
      <c r="L244" s="2">
        <v>1.35E-2</v>
      </c>
      <c r="M244" t="s">
        <v>89</v>
      </c>
      <c r="O244" s="4"/>
      <c r="AC244" t="str">
        <f>IFERROR(VLOOKUP($A244,fund_metadata!$A:$P,2,FALSE),"")</f>
        <v>Stepstone Private Markets</v>
      </c>
      <c r="AD244" t="str">
        <f>IFERROR(VLOOKUP($A244,fund_metadata!$A:$P,16,FALSE),"")</f>
        <v>secondaries</v>
      </c>
    </row>
    <row r="245" spans="1:30" x14ac:dyDescent="0.25">
      <c r="A245">
        <v>6</v>
      </c>
      <c r="B245" s="3">
        <v>44712</v>
      </c>
      <c r="C245" s="3"/>
      <c r="F245" s="4"/>
      <c r="H245" s="5">
        <v>43.97</v>
      </c>
      <c r="I245" t="s">
        <v>89</v>
      </c>
      <c r="J245" s="5"/>
      <c r="L245" s="2">
        <v>7.3000000000000001E-3</v>
      </c>
      <c r="M245" t="s">
        <v>89</v>
      </c>
      <c r="O245" s="4"/>
      <c r="AC245" t="str">
        <f>IFERROR(VLOOKUP($A245,fund_metadata!$A:$P,2,FALSE),"")</f>
        <v>Stepstone Private Markets</v>
      </c>
      <c r="AD245" t="str">
        <f>IFERROR(VLOOKUP($A245,fund_metadata!$A:$P,16,FALSE),"")</f>
        <v>secondaries</v>
      </c>
    </row>
    <row r="246" spans="1:30" x14ac:dyDescent="0.25">
      <c r="A246">
        <v>6</v>
      </c>
      <c r="B246" s="3">
        <v>44742</v>
      </c>
      <c r="C246" s="3"/>
      <c r="F246" s="4"/>
      <c r="H246" s="5">
        <v>43.6</v>
      </c>
      <c r="I246" t="s">
        <v>89</v>
      </c>
      <c r="J246" s="5"/>
      <c r="L246" s="2">
        <v>-1.1000000000000001E-3</v>
      </c>
      <c r="M246" t="s">
        <v>89</v>
      </c>
      <c r="N246">
        <v>135</v>
      </c>
      <c r="O246" s="4"/>
      <c r="AC246" t="str">
        <f>IFERROR(VLOOKUP($A246,fund_metadata!$A:$P,2,FALSE),"")</f>
        <v>Stepstone Private Markets</v>
      </c>
      <c r="AD246" t="str">
        <f>IFERROR(VLOOKUP($A246,fund_metadata!$A:$P,16,FALSE),"")</f>
        <v>secondaries</v>
      </c>
    </row>
    <row r="247" spans="1:30" x14ac:dyDescent="0.25">
      <c r="A247">
        <v>6</v>
      </c>
      <c r="B247" s="3">
        <v>44773</v>
      </c>
      <c r="C247" s="3"/>
      <c r="F247" s="4"/>
      <c r="H247" s="5">
        <v>43.71</v>
      </c>
      <c r="I247" t="s">
        <v>89</v>
      </c>
      <c r="J247" s="5"/>
      <c r="L247" s="2">
        <v>2.5000000000000001E-3</v>
      </c>
      <c r="M247" t="s">
        <v>89</v>
      </c>
      <c r="O247" s="4"/>
      <c r="AC247" t="str">
        <f>IFERROR(VLOOKUP($A247,fund_metadata!$A:$P,2,FALSE),"")</f>
        <v>Stepstone Private Markets</v>
      </c>
      <c r="AD247" t="str">
        <f>IFERROR(VLOOKUP($A247,fund_metadata!$A:$P,16,FALSE),"")</f>
        <v>secondaries</v>
      </c>
    </row>
    <row r="248" spans="1:30" x14ac:dyDescent="0.25">
      <c r="A248">
        <v>6</v>
      </c>
      <c r="B248" s="3">
        <v>44804</v>
      </c>
      <c r="C248" s="3"/>
      <c r="F248" s="4"/>
      <c r="H248" s="5">
        <v>43.32</v>
      </c>
      <c r="I248" t="s">
        <v>89</v>
      </c>
      <c r="J248" s="5"/>
      <c r="L248" s="2">
        <v>-8.8999999999999999E-3</v>
      </c>
      <c r="M248" t="s">
        <v>89</v>
      </c>
      <c r="O248" s="4"/>
      <c r="AC248" t="str">
        <f>IFERROR(VLOOKUP($A248,fund_metadata!$A:$P,2,FALSE),"")</f>
        <v>Stepstone Private Markets</v>
      </c>
      <c r="AD248" t="str">
        <f>IFERROR(VLOOKUP($A248,fund_metadata!$A:$P,16,FALSE),"")</f>
        <v>secondaries</v>
      </c>
    </row>
    <row r="249" spans="1:30" x14ac:dyDescent="0.25">
      <c r="A249">
        <v>6</v>
      </c>
      <c r="B249" s="3">
        <v>44834</v>
      </c>
      <c r="C249" s="3"/>
      <c r="F249" s="4"/>
      <c r="H249" s="5">
        <v>43.26</v>
      </c>
      <c r="I249" t="s">
        <v>89</v>
      </c>
      <c r="J249" s="5"/>
      <c r="L249" s="2">
        <v>-1.4E-3</v>
      </c>
      <c r="M249" t="s">
        <v>89</v>
      </c>
      <c r="N249">
        <v>140</v>
      </c>
      <c r="O249" s="4">
        <v>869720000</v>
      </c>
      <c r="P249" t="s">
        <v>89</v>
      </c>
      <c r="Q249">
        <v>16729144</v>
      </c>
      <c r="R249" t="s">
        <v>120</v>
      </c>
      <c r="AC249" t="str">
        <f>IFERROR(VLOOKUP($A249,fund_metadata!$A:$P,2,FALSE),"")</f>
        <v>Stepstone Private Markets</v>
      </c>
      <c r="AD249" t="str">
        <f>IFERROR(VLOOKUP($A249,fund_metadata!$A:$P,16,FALSE),"")</f>
        <v>secondaries</v>
      </c>
    </row>
    <row r="250" spans="1:30" x14ac:dyDescent="0.25">
      <c r="A250">
        <v>6</v>
      </c>
      <c r="B250" s="3">
        <v>44865</v>
      </c>
      <c r="C250" s="3"/>
      <c r="F250" s="4"/>
      <c r="H250" s="5">
        <v>43.5</v>
      </c>
      <c r="I250" t="s">
        <v>89</v>
      </c>
      <c r="J250" s="5">
        <v>0.4</v>
      </c>
      <c r="K250" t="s">
        <v>89</v>
      </c>
      <c r="L250" s="2">
        <v>5.4999999999999997E-3</v>
      </c>
      <c r="M250" t="s">
        <v>89</v>
      </c>
      <c r="O250" s="4"/>
      <c r="AC250" t="str">
        <f>IFERROR(VLOOKUP($A250,fund_metadata!$A:$P,2,FALSE),"")</f>
        <v>Stepstone Private Markets</v>
      </c>
      <c r="AD250" t="str">
        <f>IFERROR(VLOOKUP($A250,fund_metadata!$A:$P,16,FALSE),"")</f>
        <v>secondaries</v>
      </c>
    </row>
    <row r="251" spans="1:30" x14ac:dyDescent="0.25">
      <c r="A251">
        <v>6</v>
      </c>
      <c r="B251" s="3">
        <v>44895</v>
      </c>
      <c r="C251" s="3"/>
      <c r="F251" s="4"/>
      <c r="H251" s="5">
        <v>44.16</v>
      </c>
      <c r="I251" t="s">
        <v>89</v>
      </c>
      <c r="J251" s="5"/>
      <c r="L251" s="2">
        <v>1.52E-2</v>
      </c>
      <c r="M251" t="s">
        <v>89</v>
      </c>
      <c r="O251" s="4"/>
      <c r="AC251" t="str">
        <f>IFERROR(VLOOKUP($A251,fund_metadata!$A:$P,2,FALSE),"")</f>
        <v>Stepstone Private Markets</v>
      </c>
      <c r="AD251" t="str">
        <f>IFERROR(VLOOKUP($A251,fund_metadata!$A:$P,16,FALSE),"")</f>
        <v>secondaries</v>
      </c>
    </row>
    <row r="252" spans="1:30" x14ac:dyDescent="0.25">
      <c r="A252">
        <v>6</v>
      </c>
      <c r="B252" s="3">
        <v>44926</v>
      </c>
      <c r="C252" s="3"/>
      <c r="F252" s="4"/>
      <c r="H252" s="5">
        <v>43.75</v>
      </c>
      <c r="I252" t="s">
        <v>89</v>
      </c>
      <c r="J252" s="5"/>
      <c r="L252" s="2">
        <v>4.8999999999999998E-3</v>
      </c>
      <c r="M252" t="s">
        <v>89</v>
      </c>
      <c r="N252">
        <v>150</v>
      </c>
      <c r="O252" s="4"/>
      <c r="AC252" t="str">
        <f>IFERROR(VLOOKUP($A252,fund_metadata!$A:$P,2,FALSE),"")</f>
        <v>Stepstone Private Markets</v>
      </c>
      <c r="AD252" t="str">
        <f>IFERROR(VLOOKUP($A252,fund_metadata!$A:$P,16,FALSE),"")</f>
        <v>secondaries</v>
      </c>
    </row>
    <row r="253" spans="1:30" x14ac:dyDescent="0.25">
      <c r="A253">
        <v>6</v>
      </c>
      <c r="B253" s="3">
        <v>44957</v>
      </c>
      <c r="C253" s="3"/>
      <c r="F253" s="4"/>
      <c r="H253" s="5">
        <v>45.98</v>
      </c>
      <c r="I253" t="s">
        <v>89</v>
      </c>
      <c r="J253" s="5"/>
      <c r="L253" s="2">
        <v>5.0999999999999997E-2</v>
      </c>
      <c r="M253" t="s">
        <v>89</v>
      </c>
      <c r="O253" s="4"/>
      <c r="AC253" t="str">
        <f>IFERROR(VLOOKUP($A253,fund_metadata!$A:$P,2,FALSE),"")</f>
        <v>Stepstone Private Markets</v>
      </c>
      <c r="AD253" t="str">
        <f>IFERROR(VLOOKUP($A253,fund_metadata!$A:$P,16,FALSE),"")</f>
        <v>secondaries</v>
      </c>
    </row>
    <row r="254" spans="1:30" x14ac:dyDescent="0.25">
      <c r="A254">
        <v>6</v>
      </c>
      <c r="B254" s="3">
        <v>44985</v>
      </c>
      <c r="C254" s="3"/>
      <c r="F254" s="4"/>
      <c r="H254" s="5">
        <v>45.74</v>
      </c>
      <c r="I254" t="s">
        <v>89</v>
      </c>
      <c r="J254" s="5"/>
      <c r="L254" s="2">
        <v>-5.1999999999999998E-3</v>
      </c>
      <c r="M254" t="s">
        <v>89</v>
      </c>
      <c r="O254" s="4"/>
      <c r="AC254" t="str">
        <f>IFERROR(VLOOKUP($A254,fund_metadata!$A:$P,2,FALSE),"")</f>
        <v>Stepstone Private Markets</v>
      </c>
      <c r="AD254" t="str">
        <f>IFERROR(VLOOKUP($A254,fund_metadata!$A:$P,16,FALSE),"")</f>
        <v>secondaries</v>
      </c>
    </row>
    <row r="255" spans="1:30" x14ac:dyDescent="0.25">
      <c r="A255">
        <v>6</v>
      </c>
      <c r="B255" s="3">
        <v>45016</v>
      </c>
      <c r="C255" s="3"/>
      <c r="F255" s="4">
        <v>1050000000</v>
      </c>
      <c r="G255" t="s">
        <v>89</v>
      </c>
      <c r="H255" s="5">
        <v>46.15</v>
      </c>
      <c r="I255" t="s">
        <v>89</v>
      </c>
      <c r="J255" s="5"/>
      <c r="L255" s="2">
        <v>8.9999999999999993E-3</v>
      </c>
      <c r="M255" t="s">
        <v>89</v>
      </c>
      <c r="N255">
        <v>158</v>
      </c>
      <c r="O255" s="4">
        <v>1150000000</v>
      </c>
      <c r="P255" t="s">
        <v>89</v>
      </c>
      <c r="AC255" t="str">
        <f>IFERROR(VLOOKUP($A255,fund_metadata!$A:$P,2,FALSE),"")</f>
        <v>Stepstone Private Markets</v>
      </c>
      <c r="AD255" t="str">
        <f>IFERROR(VLOOKUP($A255,fund_metadata!$A:$P,16,FALSE),"")</f>
        <v>secondaries</v>
      </c>
    </row>
    <row r="256" spans="1:30" x14ac:dyDescent="0.25">
      <c r="A256">
        <v>6</v>
      </c>
      <c r="B256" s="3">
        <v>45046</v>
      </c>
      <c r="C256" s="3"/>
      <c r="F256" s="4"/>
      <c r="H256" s="5">
        <v>46.46</v>
      </c>
      <c r="I256" t="s">
        <v>89</v>
      </c>
      <c r="J256" s="5"/>
      <c r="L256" s="2">
        <v>6.7000000000000002E-3</v>
      </c>
      <c r="M256" t="s">
        <v>89</v>
      </c>
      <c r="O256" s="4"/>
      <c r="AC256" t="str">
        <f>IFERROR(VLOOKUP($A256,fund_metadata!$A:$P,2,FALSE),"")</f>
        <v>Stepstone Private Markets</v>
      </c>
      <c r="AD256" t="str">
        <f>IFERROR(VLOOKUP($A256,fund_metadata!$A:$P,16,FALSE),"")</f>
        <v>secondaries</v>
      </c>
    </row>
    <row r="257" spans="1:30" x14ac:dyDescent="0.25">
      <c r="A257">
        <v>6</v>
      </c>
      <c r="B257" s="3">
        <v>45077</v>
      </c>
      <c r="C257" s="3"/>
      <c r="F257" s="4"/>
      <c r="H257" s="5">
        <v>46.22</v>
      </c>
      <c r="I257" t="s">
        <v>89</v>
      </c>
      <c r="J257" s="5"/>
      <c r="L257" s="2">
        <v>-5.1999999999999998E-3</v>
      </c>
      <c r="M257" t="s">
        <v>89</v>
      </c>
      <c r="O257" s="4"/>
      <c r="AC257" t="str">
        <f>IFERROR(VLOOKUP($A257,fund_metadata!$A:$P,2,FALSE),"")</f>
        <v>Stepstone Private Markets</v>
      </c>
      <c r="AD257" t="str">
        <f>IFERROR(VLOOKUP($A257,fund_metadata!$A:$P,16,FALSE),"")</f>
        <v>secondaries</v>
      </c>
    </row>
    <row r="258" spans="1:30" x14ac:dyDescent="0.25">
      <c r="A258">
        <v>6</v>
      </c>
      <c r="B258" s="3">
        <v>45107</v>
      </c>
      <c r="C258" s="3"/>
      <c r="F258" s="4"/>
      <c r="H258" s="5">
        <v>47.44</v>
      </c>
      <c r="I258" t="s">
        <v>89</v>
      </c>
      <c r="J258" s="5"/>
      <c r="L258" s="2">
        <v>2.64E-2</v>
      </c>
      <c r="M258" t="s">
        <v>89</v>
      </c>
      <c r="N258">
        <v>166</v>
      </c>
      <c r="O258" s="4"/>
      <c r="AC258" t="str">
        <f>IFERROR(VLOOKUP($A258,fund_metadata!$A:$P,2,FALSE),"")</f>
        <v>Stepstone Private Markets</v>
      </c>
      <c r="AD258" t="str">
        <f>IFERROR(VLOOKUP($A258,fund_metadata!$A:$P,16,FALSE),"")</f>
        <v>secondaries</v>
      </c>
    </row>
    <row r="259" spans="1:30" x14ac:dyDescent="0.25">
      <c r="A259">
        <v>6</v>
      </c>
      <c r="B259" s="3">
        <v>45138</v>
      </c>
      <c r="C259" s="3"/>
      <c r="F259" s="4">
        <v>1360000000</v>
      </c>
      <c r="G259" t="s">
        <v>89</v>
      </c>
      <c r="H259" s="5">
        <v>48.29</v>
      </c>
      <c r="I259" t="s">
        <v>89</v>
      </c>
      <c r="J259" s="5"/>
      <c r="L259" s="2">
        <v>1.7899999999999999E-2</v>
      </c>
      <c r="M259" t="s">
        <v>89</v>
      </c>
      <c r="O259" s="4"/>
      <c r="AC259" t="str">
        <f>IFERROR(VLOOKUP($A259,fund_metadata!$A:$P,2,FALSE),"")</f>
        <v>Stepstone Private Markets</v>
      </c>
      <c r="AD259" t="str">
        <f>IFERROR(VLOOKUP($A259,fund_metadata!$A:$P,16,FALSE),"")</f>
        <v>secondaries</v>
      </c>
    </row>
    <row r="260" spans="1:30" x14ac:dyDescent="0.25">
      <c r="A260">
        <v>6</v>
      </c>
      <c r="B260" s="3">
        <v>45169</v>
      </c>
      <c r="C260" s="3"/>
      <c r="F260" s="4">
        <v>1450000000</v>
      </c>
      <c r="G260" t="s">
        <v>89</v>
      </c>
      <c r="H260" s="5">
        <v>47.45</v>
      </c>
      <c r="I260" t="s">
        <v>89</v>
      </c>
      <c r="J260" s="5"/>
      <c r="L260" s="2">
        <v>-1.7399999999999999E-2</v>
      </c>
      <c r="M260" t="s">
        <v>89</v>
      </c>
      <c r="O260" s="4"/>
      <c r="AC260" t="str">
        <f>IFERROR(VLOOKUP($A260,fund_metadata!$A:$P,2,FALSE),"")</f>
        <v>Stepstone Private Markets</v>
      </c>
      <c r="AD260" t="str">
        <f>IFERROR(VLOOKUP($A260,fund_metadata!$A:$P,16,FALSE),"")</f>
        <v>secondaries</v>
      </c>
    </row>
    <row r="261" spans="1:30" x14ac:dyDescent="0.25">
      <c r="A261">
        <v>6</v>
      </c>
      <c r="B261" s="3">
        <v>45199</v>
      </c>
      <c r="C261" s="3"/>
      <c r="F261" s="4">
        <v>1540000000</v>
      </c>
      <c r="G261" t="s">
        <v>89</v>
      </c>
      <c r="H261" s="5">
        <v>47.2</v>
      </c>
      <c r="I261" t="s">
        <v>89</v>
      </c>
      <c r="J261" s="5"/>
      <c r="L261" s="2">
        <v>-5.3E-3</v>
      </c>
      <c r="M261" t="s">
        <v>89</v>
      </c>
      <c r="N261">
        <v>178</v>
      </c>
      <c r="O261" s="4">
        <v>1560000000</v>
      </c>
      <c r="P261" t="s">
        <v>89</v>
      </c>
      <c r="AC261" t="str">
        <f>IFERROR(VLOOKUP($A261,fund_metadata!$A:$P,2,FALSE),"")</f>
        <v>Stepstone Private Markets</v>
      </c>
      <c r="AD261" t="str">
        <f>IFERROR(VLOOKUP($A261,fund_metadata!$A:$P,16,FALSE),"")</f>
        <v>secondaries</v>
      </c>
    </row>
    <row r="262" spans="1:30" x14ac:dyDescent="0.25">
      <c r="A262">
        <v>6</v>
      </c>
      <c r="B262" s="3">
        <v>45230</v>
      </c>
      <c r="C262" s="3"/>
      <c r="F262" s="4">
        <v>1570000000</v>
      </c>
      <c r="G262" t="s">
        <v>89</v>
      </c>
      <c r="H262" s="5">
        <v>47.19</v>
      </c>
      <c r="I262" t="s">
        <v>89</v>
      </c>
      <c r="J262" s="5"/>
      <c r="L262" s="2">
        <v>-2.0000000000000001E-4</v>
      </c>
      <c r="M262" t="s">
        <v>89</v>
      </c>
      <c r="O262" s="4"/>
      <c r="AC262" t="str">
        <f>IFERROR(VLOOKUP($A262,fund_metadata!$A:$P,2,FALSE),"")</f>
        <v>Stepstone Private Markets</v>
      </c>
      <c r="AD262" t="str">
        <f>IFERROR(VLOOKUP($A262,fund_metadata!$A:$P,16,FALSE),"")</f>
        <v>secondaries</v>
      </c>
    </row>
    <row r="263" spans="1:30" x14ac:dyDescent="0.25">
      <c r="A263">
        <v>6</v>
      </c>
      <c r="B263" s="3">
        <v>45260</v>
      </c>
      <c r="C263" s="3"/>
      <c r="F263" s="4">
        <v>1690000000</v>
      </c>
      <c r="G263" t="s">
        <v>89</v>
      </c>
      <c r="H263" s="5">
        <v>48.51</v>
      </c>
      <c r="I263" t="s">
        <v>89</v>
      </c>
      <c r="J263" s="5"/>
      <c r="L263" s="2">
        <v>3.1399999999999997E-2</v>
      </c>
      <c r="M263" t="s">
        <v>89</v>
      </c>
      <c r="O263" s="4"/>
      <c r="AC263" t="str">
        <f>IFERROR(VLOOKUP($A263,fund_metadata!$A:$P,2,FALSE),"")</f>
        <v>Stepstone Private Markets</v>
      </c>
      <c r="AD263" t="str">
        <f>IFERROR(VLOOKUP($A263,fund_metadata!$A:$P,16,FALSE),"")</f>
        <v>secondaries</v>
      </c>
    </row>
    <row r="264" spans="1:30" x14ac:dyDescent="0.25">
      <c r="A264">
        <v>6</v>
      </c>
      <c r="B264" s="3">
        <v>45291</v>
      </c>
      <c r="C264" s="3"/>
      <c r="F264" s="4">
        <v>1790000000</v>
      </c>
      <c r="G264" t="s">
        <v>89</v>
      </c>
      <c r="H264" s="5">
        <v>49.39</v>
      </c>
      <c r="I264" t="s">
        <v>89</v>
      </c>
      <c r="J264" s="5"/>
      <c r="L264" s="2">
        <v>1.8100000000000002E-2</v>
      </c>
      <c r="M264" t="s">
        <v>89</v>
      </c>
      <c r="N264">
        <v>190</v>
      </c>
      <c r="O264" s="4"/>
      <c r="AC264" t="str">
        <f>IFERROR(VLOOKUP($A264,fund_metadata!$A:$P,2,FALSE),"")</f>
        <v>Stepstone Private Markets</v>
      </c>
      <c r="AD264" t="str">
        <f>IFERROR(VLOOKUP($A264,fund_metadata!$A:$P,16,FALSE),"")</f>
        <v>secondaries</v>
      </c>
    </row>
    <row r="265" spans="1:30" x14ac:dyDescent="0.25">
      <c r="A265">
        <v>6</v>
      </c>
      <c r="B265" s="3">
        <v>45322</v>
      </c>
      <c r="C265" s="3"/>
      <c r="F265" s="4">
        <v>1920000000</v>
      </c>
      <c r="G265" t="s">
        <v>89</v>
      </c>
      <c r="H265" s="5">
        <v>50.16</v>
      </c>
      <c r="I265" t="s">
        <v>89</v>
      </c>
      <c r="J265" s="5"/>
      <c r="L265" s="2">
        <v>1.5599999999999999E-2</v>
      </c>
      <c r="M265" t="s">
        <v>89</v>
      </c>
      <c r="O265" s="4"/>
      <c r="AC265" t="str">
        <f>IFERROR(VLOOKUP($A265,fund_metadata!$A:$P,2,FALSE),"")</f>
        <v>Stepstone Private Markets</v>
      </c>
      <c r="AD265" t="str">
        <f>IFERROR(VLOOKUP($A265,fund_metadata!$A:$P,16,FALSE),"")</f>
        <v>secondaries</v>
      </c>
    </row>
    <row r="266" spans="1:30" x14ac:dyDescent="0.25">
      <c r="A266">
        <v>6</v>
      </c>
      <c r="B266" s="3">
        <v>45351</v>
      </c>
      <c r="C266" s="3"/>
      <c r="F266" s="4">
        <v>2090000000</v>
      </c>
      <c r="G266" t="s">
        <v>89</v>
      </c>
      <c r="H266" s="5">
        <v>50.64</v>
      </c>
      <c r="I266" t="s">
        <v>89</v>
      </c>
      <c r="J266" s="5"/>
      <c r="L266" s="2">
        <v>9.5999999999999992E-3</v>
      </c>
      <c r="M266" t="s">
        <v>89</v>
      </c>
      <c r="O266" s="4"/>
      <c r="AC266" t="str">
        <f>IFERROR(VLOOKUP($A266,fund_metadata!$A:$P,2,FALSE),"")</f>
        <v>Stepstone Private Markets</v>
      </c>
      <c r="AD266" t="str">
        <f>IFERROR(VLOOKUP($A266,fund_metadata!$A:$P,16,FALSE),"")</f>
        <v>secondaries</v>
      </c>
    </row>
    <row r="267" spans="1:30" x14ac:dyDescent="0.25">
      <c r="A267">
        <v>6</v>
      </c>
      <c r="B267" s="3">
        <v>45382</v>
      </c>
      <c r="C267" s="3"/>
      <c r="F267" s="4">
        <v>2320000000</v>
      </c>
      <c r="G267" t="s">
        <v>89</v>
      </c>
      <c r="H267" s="5">
        <v>52.49</v>
      </c>
      <c r="I267" t="s">
        <v>89</v>
      </c>
      <c r="J267" s="5"/>
      <c r="L267" s="2">
        <v>3.6499999999999998E-2</v>
      </c>
      <c r="M267" t="s">
        <v>89</v>
      </c>
      <c r="N267">
        <v>206</v>
      </c>
      <c r="O267" s="4">
        <v>2340000000</v>
      </c>
      <c r="P267" t="s">
        <v>89</v>
      </c>
      <c r="Q267">
        <v>37651634</v>
      </c>
      <c r="R267" t="s">
        <v>121</v>
      </c>
      <c r="AC267" t="str">
        <f>IFERROR(VLOOKUP($A267,fund_metadata!$A:$P,2,FALSE),"")</f>
        <v>Stepstone Private Markets</v>
      </c>
      <c r="AD267" t="str">
        <f>IFERROR(VLOOKUP($A267,fund_metadata!$A:$P,16,FALSE),"")</f>
        <v>secondaries</v>
      </c>
    </row>
    <row r="268" spans="1:30" x14ac:dyDescent="0.25">
      <c r="A268">
        <v>6</v>
      </c>
      <c r="B268" s="3">
        <v>45412</v>
      </c>
      <c r="C268" s="3"/>
      <c r="F268" s="4">
        <v>2450000000</v>
      </c>
      <c r="G268" t="s">
        <v>89</v>
      </c>
      <c r="H268" s="5">
        <v>51.87</v>
      </c>
      <c r="I268" t="s">
        <v>89</v>
      </c>
      <c r="J268" s="5"/>
      <c r="L268" s="2">
        <v>-1.18E-2</v>
      </c>
      <c r="M268" t="s">
        <v>89</v>
      </c>
      <c r="O268" s="4"/>
      <c r="AC268" t="str">
        <f>IFERROR(VLOOKUP($A268,fund_metadata!$A:$P,2,FALSE),"")</f>
        <v>Stepstone Private Markets</v>
      </c>
      <c r="AD268" t="str">
        <f>IFERROR(VLOOKUP($A268,fund_metadata!$A:$P,16,FALSE),"")</f>
        <v>secondaries</v>
      </c>
    </row>
    <row r="269" spans="1:30" x14ac:dyDescent="0.25">
      <c r="A269">
        <v>6</v>
      </c>
      <c r="B269" s="3">
        <v>45443</v>
      </c>
      <c r="C269" s="3"/>
      <c r="F269" s="4">
        <v>2640000000</v>
      </c>
      <c r="G269" t="s">
        <v>89</v>
      </c>
      <c r="H269" s="5">
        <v>52.45</v>
      </c>
      <c r="I269" t="s">
        <v>89</v>
      </c>
      <c r="J269" s="5"/>
      <c r="L269" s="2">
        <v>1.12E-2</v>
      </c>
      <c r="M269" t="s">
        <v>89</v>
      </c>
      <c r="O269" s="4"/>
      <c r="AC269" t="str">
        <f>IFERROR(VLOOKUP($A269,fund_metadata!$A:$P,2,FALSE),"")</f>
        <v>Stepstone Private Markets</v>
      </c>
      <c r="AD269" t="str">
        <f>IFERROR(VLOOKUP($A269,fund_metadata!$A:$P,16,FALSE),"")</f>
        <v>secondaries</v>
      </c>
    </row>
    <row r="270" spans="1:30" x14ac:dyDescent="0.25">
      <c r="A270">
        <v>6</v>
      </c>
      <c r="B270" s="3">
        <v>45473</v>
      </c>
      <c r="C270" s="3"/>
      <c r="F270" s="4">
        <v>2760000000</v>
      </c>
      <c r="G270" t="s">
        <v>89</v>
      </c>
      <c r="H270" s="5">
        <v>52.21</v>
      </c>
      <c r="I270" t="s">
        <v>89</v>
      </c>
      <c r="J270" s="5">
        <v>0.16</v>
      </c>
      <c r="K270" t="s">
        <v>89</v>
      </c>
      <c r="L270" s="2">
        <v>1E-3</v>
      </c>
      <c r="M270" t="s">
        <v>89</v>
      </c>
      <c r="N270">
        <v>221</v>
      </c>
      <c r="O270" s="4"/>
      <c r="AC270" t="str">
        <f>IFERROR(VLOOKUP($A270,fund_metadata!$A:$P,2,FALSE),"")</f>
        <v>Stepstone Private Markets</v>
      </c>
      <c r="AD270" t="str">
        <f>IFERROR(VLOOKUP($A270,fund_metadata!$A:$P,16,FALSE),"")</f>
        <v>secondaries</v>
      </c>
    </row>
    <row r="271" spans="1:30" x14ac:dyDescent="0.25">
      <c r="A271">
        <v>6</v>
      </c>
      <c r="B271" s="3">
        <v>45504</v>
      </c>
      <c r="C271" s="3"/>
      <c r="F271" s="4">
        <v>2930000000</v>
      </c>
      <c r="G271" t="s">
        <v>89</v>
      </c>
      <c r="H271" s="5">
        <v>53.05</v>
      </c>
      <c r="I271" t="s">
        <v>89</v>
      </c>
      <c r="J271" s="5"/>
      <c r="L271" s="2">
        <v>1.61E-2</v>
      </c>
      <c r="M271" t="s">
        <v>89</v>
      </c>
      <c r="O271" s="4"/>
      <c r="AC271" t="str">
        <f>IFERROR(VLOOKUP($A271,fund_metadata!$A:$P,2,FALSE),"")</f>
        <v>Stepstone Private Markets</v>
      </c>
      <c r="AD271" t="str">
        <f>IFERROR(VLOOKUP($A271,fund_metadata!$A:$P,16,FALSE),"")</f>
        <v>secondaries</v>
      </c>
    </row>
    <row r="272" spans="1:30" x14ac:dyDescent="0.25">
      <c r="A272">
        <v>6</v>
      </c>
      <c r="B272" s="3">
        <v>45535</v>
      </c>
      <c r="C272" s="3"/>
      <c r="F272" s="4">
        <v>3100000000</v>
      </c>
      <c r="G272" t="s">
        <v>89</v>
      </c>
      <c r="H272" s="5">
        <v>53.66</v>
      </c>
      <c r="I272" t="s">
        <v>89</v>
      </c>
      <c r="J272" s="5"/>
      <c r="L272" s="2">
        <v>1.15E-2</v>
      </c>
      <c r="M272" t="s">
        <v>89</v>
      </c>
      <c r="O272" s="4"/>
      <c r="AC272" t="str">
        <f>IFERROR(VLOOKUP($A272,fund_metadata!$A:$P,2,FALSE),"")</f>
        <v>Stepstone Private Markets</v>
      </c>
      <c r="AD272" t="str">
        <f>IFERROR(VLOOKUP($A272,fund_metadata!$A:$P,16,FALSE),"")</f>
        <v>secondaries</v>
      </c>
    </row>
    <row r="273" spans="1:30" x14ac:dyDescent="0.25">
      <c r="A273">
        <v>6</v>
      </c>
      <c r="B273" s="3">
        <v>45565</v>
      </c>
      <c r="C273" s="3"/>
      <c r="F273" s="4">
        <v>3250000000</v>
      </c>
      <c r="G273" t="s">
        <v>89</v>
      </c>
      <c r="H273" s="5">
        <v>54.97</v>
      </c>
      <c r="I273" t="s">
        <v>89</v>
      </c>
      <c r="J273" s="5"/>
      <c r="L273" s="2">
        <v>2.4400000000000002E-2</v>
      </c>
      <c r="M273" t="s">
        <v>89</v>
      </c>
      <c r="N273">
        <v>300</v>
      </c>
      <c r="O273" s="4">
        <v>3350000000</v>
      </c>
      <c r="P273" t="s">
        <v>89</v>
      </c>
      <c r="Q273">
        <v>46858698</v>
      </c>
      <c r="R273" t="s">
        <v>120</v>
      </c>
      <c r="AC273" t="str">
        <f>IFERROR(VLOOKUP($A273,fund_metadata!$A:$P,2,FALSE),"")</f>
        <v>Stepstone Private Markets</v>
      </c>
      <c r="AD273" t="str">
        <f>IFERROR(VLOOKUP($A273,fund_metadata!$A:$P,16,FALSE),"")</f>
        <v>secondaries</v>
      </c>
    </row>
    <row r="274" spans="1:30" x14ac:dyDescent="0.25">
      <c r="A274">
        <v>6</v>
      </c>
      <c r="B274" s="3">
        <v>45596</v>
      </c>
      <c r="C274" s="3"/>
      <c r="F274" s="4">
        <v>3400000000</v>
      </c>
      <c r="G274" t="s">
        <v>89</v>
      </c>
      <c r="H274" s="5">
        <v>55.08</v>
      </c>
      <c r="I274" t="s">
        <v>89</v>
      </c>
      <c r="J274" s="5"/>
      <c r="L274" s="2">
        <v>2E-3</v>
      </c>
      <c r="M274" t="s">
        <v>89</v>
      </c>
      <c r="O274" s="4"/>
      <c r="AC274" t="str">
        <f>IFERROR(VLOOKUP($A274,fund_metadata!$A:$P,2,FALSE),"")</f>
        <v>Stepstone Private Markets</v>
      </c>
      <c r="AD274" t="str">
        <f>IFERROR(VLOOKUP($A274,fund_metadata!$A:$P,16,FALSE),"")</f>
        <v>secondaries</v>
      </c>
    </row>
    <row r="275" spans="1:30" x14ac:dyDescent="0.25">
      <c r="A275">
        <v>6</v>
      </c>
      <c r="B275" s="3">
        <v>45626</v>
      </c>
      <c r="C275" s="3"/>
      <c r="F275" s="4">
        <v>3590000000</v>
      </c>
      <c r="G275" t="s">
        <v>89</v>
      </c>
      <c r="H275" s="5">
        <v>55.69</v>
      </c>
      <c r="I275" t="s">
        <v>89</v>
      </c>
      <c r="J275" s="5"/>
      <c r="L275" s="2">
        <v>1.11E-2</v>
      </c>
      <c r="M275" t="s">
        <v>89</v>
      </c>
      <c r="O275" s="4"/>
      <c r="AC275" t="str">
        <f>IFERROR(VLOOKUP($A275,fund_metadata!$A:$P,2,FALSE),"")</f>
        <v>Stepstone Private Markets</v>
      </c>
      <c r="AD275" t="str">
        <f>IFERROR(VLOOKUP($A275,fund_metadata!$A:$P,16,FALSE),"")</f>
        <v>secondaries</v>
      </c>
    </row>
    <row r="276" spans="1:30" x14ac:dyDescent="0.25">
      <c r="A276">
        <v>6</v>
      </c>
      <c r="B276" s="3">
        <v>45657</v>
      </c>
      <c r="C276" s="3"/>
      <c r="F276" s="4">
        <v>3680000000</v>
      </c>
      <c r="G276" t="s">
        <v>89</v>
      </c>
      <c r="H276" s="5">
        <v>55.06</v>
      </c>
      <c r="I276" t="s">
        <v>89</v>
      </c>
      <c r="J276" s="5">
        <v>0.03</v>
      </c>
      <c r="K276" t="s">
        <v>89</v>
      </c>
      <c r="L276" s="2">
        <v>-3.5999999999999999E-3</v>
      </c>
      <c r="M276" t="s">
        <v>89</v>
      </c>
      <c r="N276">
        <v>349</v>
      </c>
      <c r="O276" s="4"/>
      <c r="AC276" t="str">
        <f>IFERROR(VLOOKUP($A276,fund_metadata!$A:$P,2,FALSE),"")</f>
        <v>Stepstone Private Markets</v>
      </c>
      <c r="AD276" t="str">
        <f>IFERROR(VLOOKUP($A276,fund_metadata!$A:$P,16,FALSE),"")</f>
        <v>secondaries</v>
      </c>
    </row>
    <row r="277" spans="1:30" x14ac:dyDescent="0.25">
      <c r="A277">
        <v>6</v>
      </c>
      <c r="B277" s="3">
        <v>45688</v>
      </c>
      <c r="C277" s="3"/>
      <c r="F277" s="4">
        <v>3920000000</v>
      </c>
      <c r="G277" t="s">
        <v>89</v>
      </c>
      <c r="H277" s="5">
        <v>55.7</v>
      </c>
      <c r="I277" t="s">
        <v>89</v>
      </c>
      <c r="J277" s="5"/>
      <c r="L277" s="2">
        <v>1.1599999999999999E-2</v>
      </c>
      <c r="M277" t="s">
        <v>89</v>
      </c>
      <c r="O277" s="4"/>
      <c r="AC277" t="str">
        <f>IFERROR(VLOOKUP($A277,fund_metadata!$A:$P,2,FALSE),"")</f>
        <v>Stepstone Private Markets</v>
      </c>
      <c r="AD277" t="str">
        <f>IFERROR(VLOOKUP($A277,fund_metadata!$A:$P,16,FALSE),"")</f>
        <v>secondaries</v>
      </c>
    </row>
    <row r="278" spans="1:30" x14ac:dyDescent="0.25">
      <c r="A278">
        <v>6</v>
      </c>
      <c r="B278" s="3">
        <v>45716</v>
      </c>
      <c r="C278" s="3"/>
      <c r="F278" s="4">
        <v>4100000000</v>
      </c>
      <c r="G278" t="s">
        <v>89</v>
      </c>
      <c r="H278" s="5">
        <v>55.78</v>
      </c>
      <c r="I278" t="s">
        <v>89</v>
      </c>
      <c r="J278" s="5"/>
      <c r="L278" s="2">
        <v>1.4E-3</v>
      </c>
      <c r="M278" t="s">
        <v>89</v>
      </c>
      <c r="O278" s="4"/>
      <c r="AC278" t="str">
        <f>IFERROR(VLOOKUP($A278,fund_metadata!$A:$P,2,FALSE),"")</f>
        <v>Stepstone Private Markets</v>
      </c>
      <c r="AD278" t="str">
        <f>IFERROR(VLOOKUP($A278,fund_metadata!$A:$P,16,FALSE),"")</f>
        <v>secondaries</v>
      </c>
    </row>
    <row r="279" spans="1:30" x14ac:dyDescent="0.25">
      <c r="A279">
        <v>6</v>
      </c>
      <c r="B279" s="3">
        <v>45747</v>
      </c>
      <c r="C279" s="3"/>
      <c r="F279" s="4">
        <v>4200000000</v>
      </c>
      <c r="G279" t="s">
        <v>89</v>
      </c>
      <c r="H279" s="5">
        <v>55.62</v>
      </c>
      <c r="I279" t="s">
        <v>89</v>
      </c>
      <c r="J279" s="5"/>
      <c r="L279" s="2">
        <v>-2.8999999999999998E-3</v>
      </c>
      <c r="M279" t="s">
        <v>89</v>
      </c>
      <c r="N279">
        <v>360</v>
      </c>
      <c r="O279" s="4">
        <v>4410000000</v>
      </c>
      <c r="P279" t="s">
        <v>89</v>
      </c>
      <c r="Q279">
        <v>59765181</v>
      </c>
      <c r="R279" t="s">
        <v>121</v>
      </c>
      <c r="AC279" t="str">
        <f>IFERROR(VLOOKUP($A279,fund_metadata!$A:$P,2,FALSE),"")</f>
        <v>Stepstone Private Markets</v>
      </c>
      <c r="AD279" t="str">
        <f>IFERROR(VLOOKUP($A279,fund_metadata!$A:$P,16,FALSE),"")</f>
        <v>secondaries</v>
      </c>
    </row>
    <row r="280" spans="1:30" x14ac:dyDescent="0.25">
      <c r="A280">
        <v>6</v>
      </c>
      <c r="B280" s="3">
        <v>45777</v>
      </c>
      <c r="C280" s="3"/>
      <c r="F280" s="4">
        <v>4420000000</v>
      </c>
      <c r="G280" t="s">
        <v>89</v>
      </c>
      <c r="H280" s="5">
        <v>56.2</v>
      </c>
      <c r="I280" t="s">
        <v>89</v>
      </c>
      <c r="J280" s="5"/>
      <c r="L280" s="2">
        <v>1.04E-2</v>
      </c>
      <c r="M280" t="s">
        <v>89</v>
      </c>
      <c r="O280" s="4"/>
      <c r="AC280" t="str">
        <f>IFERROR(VLOOKUP($A280,fund_metadata!$A:$P,2,FALSE),"")</f>
        <v>Stepstone Private Markets</v>
      </c>
      <c r="AD280" t="str">
        <f>IFERROR(VLOOKUP($A280,fund_metadata!$A:$P,16,FALSE),"")</f>
        <v>secondaries</v>
      </c>
    </row>
    <row r="281" spans="1:30" x14ac:dyDescent="0.25">
      <c r="A281">
        <v>6</v>
      </c>
      <c r="B281" s="3">
        <v>45808</v>
      </c>
      <c r="C281" s="3"/>
      <c r="F281" s="4">
        <v>4710000000</v>
      </c>
      <c r="G281" t="s">
        <v>89</v>
      </c>
      <c r="H281" s="5">
        <v>57.79</v>
      </c>
      <c r="I281" t="s">
        <v>89</v>
      </c>
      <c r="J281" s="5"/>
      <c r="L281" s="2">
        <v>2.8299999999999999E-2</v>
      </c>
      <c r="M281" t="s">
        <v>89</v>
      </c>
      <c r="O281" s="4"/>
      <c r="AC281" t="str">
        <f>IFERROR(VLOOKUP($A281,fund_metadata!$A:$P,2,FALSE),"")</f>
        <v>Stepstone Private Markets</v>
      </c>
      <c r="AD281" t="str">
        <f>IFERROR(VLOOKUP($A281,fund_metadata!$A:$P,16,FALSE),"")</f>
        <v>secondaries</v>
      </c>
    </row>
    <row r="282" spans="1:30" x14ac:dyDescent="0.25">
      <c r="A282">
        <v>6</v>
      </c>
      <c r="B282" s="3">
        <v>45838</v>
      </c>
      <c r="C282" s="3"/>
      <c r="F282" s="4">
        <v>4870000000</v>
      </c>
      <c r="G282" t="s">
        <v>89</v>
      </c>
      <c r="H282" s="5">
        <v>58.9</v>
      </c>
      <c r="I282" t="s">
        <v>89</v>
      </c>
      <c r="J282" s="5">
        <v>0.01</v>
      </c>
      <c r="K282" t="s">
        <v>89</v>
      </c>
      <c r="L282" s="2">
        <v>2.2599999999999999E-2</v>
      </c>
      <c r="M282" t="s">
        <v>89</v>
      </c>
      <c r="N282">
        <v>389</v>
      </c>
      <c r="O282" s="4"/>
      <c r="AC282" t="str">
        <f>IFERROR(VLOOKUP($A282,fund_metadata!$A:$P,2,FALSE),"")</f>
        <v>Stepstone Private Markets</v>
      </c>
      <c r="AD282" t="str">
        <f>IFERROR(VLOOKUP($A282,fund_metadata!$A:$P,16,FALSE),"")</f>
        <v>secondaries</v>
      </c>
    </row>
    <row r="283" spans="1:30" x14ac:dyDescent="0.25">
      <c r="A283">
        <v>6</v>
      </c>
      <c r="B283" s="3">
        <v>45869</v>
      </c>
      <c r="C283" s="3"/>
      <c r="F283" s="4">
        <v>5050000000</v>
      </c>
      <c r="G283" t="s">
        <v>89</v>
      </c>
      <c r="H283" s="5">
        <v>59.03</v>
      </c>
      <c r="I283" t="s">
        <v>89</v>
      </c>
      <c r="J283" s="5"/>
      <c r="L283" s="2">
        <v>2.2000000000000001E-3</v>
      </c>
      <c r="M283" t="s">
        <v>89</v>
      </c>
      <c r="O283" s="4"/>
      <c r="AC283" t="str">
        <f>IFERROR(VLOOKUP($A283,fund_metadata!$A:$P,2,FALSE),"")</f>
        <v>Stepstone Private Markets</v>
      </c>
      <c r="AD283" t="str">
        <f>IFERROR(VLOOKUP($A283,fund_metadata!$A:$P,16,FALSE),"")</f>
        <v>secondaries</v>
      </c>
    </row>
    <row r="284" spans="1:30" x14ac:dyDescent="0.25">
      <c r="A284">
        <v>6</v>
      </c>
      <c r="B284" s="3">
        <v>45900</v>
      </c>
      <c r="C284" s="3"/>
      <c r="F284" s="4">
        <v>5270000000</v>
      </c>
      <c r="G284" t="s">
        <v>89</v>
      </c>
      <c r="H284" s="5">
        <v>59.29</v>
      </c>
      <c r="I284" t="s">
        <v>89</v>
      </c>
      <c r="J284" s="5"/>
      <c r="L284" s="2">
        <v>4.4000000000000003E-3</v>
      </c>
      <c r="M284" t="s">
        <v>89</v>
      </c>
      <c r="O284" s="4"/>
      <c r="AC284" t="str">
        <f>IFERROR(VLOOKUP($A284,fund_metadata!$A:$P,2,FALSE),"")</f>
        <v>Stepstone Private Markets</v>
      </c>
      <c r="AD284" t="str">
        <f>IFERROR(VLOOKUP($A284,fund_metadata!$A:$P,16,FALSE),"")</f>
        <v>secondaries</v>
      </c>
    </row>
    <row r="285" spans="1:30" x14ac:dyDescent="0.25">
      <c r="A285">
        <v>6</v>
      </c>
      <c r="B285" s="3">
        <v>45930</v>
      </c>
      <c r="C285" s="3"/>
      <c r="F285" s="4">
        <v>5220000000</v>
      </c>
      <c r="G285" t="s">
        <v>89</v>
      </c>
      <c r="H285" s="5">
        <v>60.68</v>
      </c>
      <c r="I285" t="s">
        <v>89</v>
      </c>
      <c r="J285" s="5"/>
      <c r="L285" s="2">
        <v>2.3400000000000001E-2</v>
      </c>
      <c r="M285" t="s">
        <v>89</v>
      </c>
      <c r="N285">
        <v>433</v>
      </c>
      <c r="O285" s="4">
        <v>5380000000</v>
      </c>
      <c r="P285" t="s">
        <v>89</v>
      </c>
      <c r="AC285" t="str">
        <f>IFERROR(VLOOKUP($A285,fund_metadata!$A:$P,2,FALSE),"")</f>
        <v>Stepstone Private Markets</v>
      </c>
      <c r="AD285" t="str">
        <f>IFERROR(VLOOKUP($A285,fund_metadata!$A:$P,16,FALSE),"")</f>
        <v>secondaries</v>
      </c>
    </row>
    <row r="286" spans="1:30" x14ac:dyDescent="0.25">
      <c r="A286">
        <v>6</v>
      </c>
      <c r="B286" s="3">
        <v>45961</v>
      </c>
      <c r="C286" s="3"/>
      <c r="F286" s="4">
        <v>5430000000</v>
      </c>
      <c r="G286" t="s">
        <v>89</v>
      </c>
      <c r="H286" s="5">
        <v>61.28</v>
      </c>
      <c r="I286" t="s">
        <v>89</v>
      </c>
      <c r="J286" s="5"/>
      <c r="L286" s="2">
        <v>9.9000000000000008E-3</v>
      </c>
      <c r="M286" t="s">
        <v>89</v>
      </c>
      <c r="O286" s="4"/>
      <c r="AC286" t="str">
        <f>IFERROR(VLOOKUP($A286,fund_metadata!$A:$P,2,FALSE),"")</f>
        <v>Stepstone Private Markets</v>
      </c>
      <c r="AD286" t="str">
        <f>IFERROR(VLOOKUP($A286,fund_metadata!$A:$P,16,FALSE),"")</f>
        <v>secondaries</v>
      </c>
    </row>
    <row r="287" spans="1:30" x14ac:dyDescent="0.25">
      <c r="A287">
        <v>6</v>
      </c>
      <c r="B287" s="3">
        <v>45991</v>
      </c>
      <c r="C287" s="3"/>
      <c r="F287" s="4">
        <v>5530000000</v>
      </c>
      <c r="G287" t="s">
        <v>89</v>
      </c>
      <c r="H287" s="5">
        <v>61.05</v>
      </c>
      <c r="I287" t="s">
        <v>89</v>
      </c>
      <c r="J287" s="5"/>
      <c r="L287" s="2">
        <v>-3.8E-3</v>
      </c>
      <c r="M287" t="s">
        <v>89</v>
      </c>
      <c r="O287" s="4"/>
      <c r="AC287" t="str">
        <f>IFERROR(VLOOKUP($A287,fund_metadata!$A:$P,2,FALSE),"")</f>
        <v>Stepstone Private Markets</v>
      </c>
      <c r="AD287" t="str">
        <f>IFERROR(VLOOKUP($A287,fund_metadata!$A:$P,16,FALSE),"")</f>
        <v>secondaries</v>
      </c>
    </row>
    <row r="288" spans="1:30" x14ac:dyDescent="0.25">
      <c r="A288">
        <v>6</v>
      </c>
      <c r="B288" s="3">
        <v>46022</v>
      </c>
      <c r="C288" s="3"/>
      <c r="D288">
        <v>9909076.1400000006</v>
      </c>
      <c r="E288" t="s">
        <v>105</v>
      </c>
      <c r="F288" s="4">
        <v>5510000000</v>
      </c>
      <c r="G288" t="s">
        <v>89</v>
      </c>
      <c r="H288" s="5">
        <v>61.03</v>
      </c>
      <c r="I288" t="s">
        <v>89</v>
      </c>
      <c r="J288" s="5"/>
      <c r="L288" s="2">
        <v>8.0000000000000002E-3</v>
      </c>
      <c r="M288" t="s">
        <v>89</v>
      </c>
      <c r="N288">
        <v>503</v>
      </c>
      <c r="O288" s="4"/>
      <c r="S288">
        <v>162364.01999999999</v>
      </c>
      <c r="T288" t="s">
        <v>105</v>
      </c>
      <c r="U288">
        <v>10000000</v>
      </c>
      <c r="V288" t="s">
        <v>105</v>
      </c>
      <c r="W288">
        <v>0</v>
      </c>
      <c r="X288" t="s">
        <v>105</v>
      </c>
      <c r="Y288">
        <v>82139.960000000006</v>
      </c>
      <c r="Z288" t="s">
        <v>105</v>
      </c>
      <c r="AC288" t="str">
        <f>IFERROR(VLOOKUP($A288,fund_metadata!$A:$P,2,FALSE),"")</f>
        <v>Stepstone Private Markets</v>
      </c>
      <c r="AD288" t="str">
        <f>IFERROR(VLOOKUP($A288,fund_metadata!$A:$P,16,FALSE),"")</f>
        <v>secondaries</v>
      </c>
    </row>
    <row r="289" spans="1:30" x14ac:dyDescent="0.25">
      <c r="A289">
        <v>6</v>
      </c>
      <c r="B289" s="3">
        <v>46053</v>
      </c>
      <c r="C289" s="3"/>
      <c r="D289">
        <v>10038967.359999999</v>
      </c>
      <c r="E289" t="s">
        <v>105</v>
      </c>
      <c r="F289" s="4">
        <v>5730000000</v>
      </c>
      <c r="G289" t="s">
        <v>89</v>
      </c>
      <c r="H289" s="5">
        <v>61.83</v>
      </c>
      <c r="I289" t="s">
        <v>89</v>
      </c>
      <c r="J289" s="5"/>
      <c r="L289" s="2">
        <v>1.3100000000000001E-2</v>
      </c>
      <c r="M289" t="s">
        <v>89</v>
      </c>
      <c r="O289" s="4"/>
      <c r="S289">
        <v>162364.01999999999</v>
      </c>
      <c r="T289" t="s">
        <v>105</v>
      </c>
      <c r="U289">
        <v>0</v>
      </c>
      <c r="V289" t="s">
        <v>105</v>
      </c>
      <c r="W289">
        <v>0</v>
      </c>
      <c r="X289" t="s">
        <v>105</v>
      </c>
      <c r="Y289">
        <v>0</v>
      </c>
      <c r="Z289" t="s">
        <v>105</v>
      </c>
      <c r="AC289" t="str">
        <f>IFERROR(VLOOKUP($A289,fund_metadata!$A:$P,2,FALSE),"")</f>
        <v>Stepstone Private Markets</v>
      </c>
      <c r="AD289" t="str">
        <f>IFERROR(VLOOKUP($A289,fund_metadata!$A:$P,16,FALSE),"")</f>
        <v>secondaries</v>
      </c>
    </row>
    <row r="290" spans="1:30" x14ac:dyDescent="0.25">
      <c r="A290">
        <v>6</v>
      </c>
      <c r="B290" s="3">
        <v>46081</v>
      </c>
      <c r="C290" s="3"/>
      <c r="D290">
        <v>10012989.109999999</v>
      </c>
      <c r="E290" t="s">
        <v>105</v>
      </c>
      <c r="F290" s="4">
        <v>5860000000</v>
      </c>
      <c r="G290" t="s">
        <v>89</v>
      </c>
      <c r="H290" s="5">
        <v>61.67</v>
      </c>
      <c r="I290" t="s">
        <v>89</v>
      </c>
      <c r="J290" s="5"/>
      <c r="L290" s="2">
        <v>-2.5999999999999999E-3</v>
      </c>
      <c r="M290" t="s">
        <v>89</v>
      </c>
      <c r="O290" s="4"/>
      <c r="S290">
        <v>162364.01999999999</v>
      </c>
      <c r="T290" t="s">
        <v>105</v>
      </c>
      <c r="U290">
        <v>0</v>
      </c>
      <c r="V290" t="s">
        <v>105</v>
      </c>
      <c r="W290">
        <v>0</v>
      </c>
      <c r="X290" t="s">
        <v>105</v>
      </c>
      <c r="Y290">
        <v>0</v>
      </c>
      <c r="Z290" t="s">
        <v>105</v>
      </c>
      <c r="AC290" t="str">
        <f>IFERROR(VLOOKUP($A290,fund_metadata!$A:$P,2,FALSE),"")</f>
        <v>Stepstone Private Markets</v>
      </c>
      <c r="AD290" t="str">
        <f>IFERROR(VLOOKUP($A290,fund_metadata!$A:$P,16,FALSE),"")</f>
        <v>secondaries</v>
      </c>
    </row>
    <row r="291" spans="1:30" x14ac:dyDescent="0.25">
      <c r="A291">
        <v>6</v>
      </c>
      <c r="B291" s="3">
        <v>46112</v>
      </c>
      <c r="C291" s="3"/>
      <c r="D291">
        <v>9974021.75</v>
      </c>
      <c r="E291" t="s">
        <v>105</v>
      </c>
      <c r="F291" s="4">
        <v>5760000000</v>
      </c>
      <c r="G291" t="s">
        <v>89</v>
      </c>
      <c r="H291" s="5">
        <v>61.43</v>
      </c>
      <c r="I291" t="s">
        <v>89</v>
      </c>
      <c r="J291" s="5"/>
      <c r="L291" s="2">
        <v>-3.8999999999999998E-3</v>
      </c>
      <c r="M291" t="s">
        <v>89</v>
      </c>
      <c r="N291">
        <v>591</v>
      </c>
      <c r="O291" s="4"/>
      <c r="S291">
        <v>162364.01999999999</v>
      </c>
      <c r="T291" t="s">
        <v>105</v>
      </c>
      <c r="U291">
        <v>0</v>
      </c>
      <c r="V291" t="s">
        <v>105</v>
      </c>
      <c r="W291">
        <v>0</v>
      </c>
      <c r="X291" t="s">
        <v>105</v>
      </c>
      <c r="Y291">
        <v>0</v>
      </c>
      <c r="Z291" t="s">
        <v>105</v>
      </c>
      <c r="AC291" t="str">
        <f>IFERROR(VLOOKUP($A291,fund_metadata!$A:$P,2,FALSE),"")</f>
        <v>Stepstone Private Markets</v>
      </c>
      <c r="AD291" t="str">
        <f>IFERROR(VLOOKUP($A291,fund_metadata!$A:$P,16,FALSE),"")</f>
        <v>secondaries</v>
      </c>
    </row>
    <row r="292" spans="1:30" x14ac:dyDescent="0.25">
      <c r="A292">
        <v>6</v>
      </c>
      <c r="B292" s="3">
        <v>46142</v>
      </c>
      <c r="C292" s="3"/>
      <c r="D292">
        <v>10318233.470000001</v>
      </c>
      <c r="E292" t="s">
        <v>105</v>
      </c>
      <c r="F292" s="4">
        <v>6090000000</v>
      </c>
      <c r="G292" t="s">
        <v>89</v>
      </c>
      <c r="H292" s="5">
        <v>63.55</v>
      </c>
      <c r="I292" t="s">
        <v>89</v>
      </c>
      <c r="J292" s="5"/>
      <c r="L292" s="2">
        <v>3.4500000000000003E-2</v>
      </c>
      <c r="M292" t="s">
        <v>89</v>
      </c>
      <c r="O292" s="4"/>
      <c r="S292">
        <v>162364.01999999999</v>
      </c>
      <c r="T292" t="s">
        <v>105</v>
      </c>
      <c r="U292">
        <v>0</v>
      </c>
      <c r="V292" t="s">
        <v>105</v>
      </c>
      <c r="W292">
        <v>0</v>
      </c>
      <c r="X292" t="s">
        <v>105</v>
      </c>
      <c r="Y292">
        <v>0</v>
      </c>
      <c r="Z292" t="s">
        <v>105</v>
      </c>
      <c r="AC292" t="str">
        <f>IFERROR(VLOOKUP($A292,fund_metadata!$A:$P,2,FALSE),"")</f>
        <v>Stepstone Private Markets</v>
      </c>
      <c r="AD292" t="str">
        <f>IFERROR(VLOOKUP($A292,fund_metadata!$A:$P,16,FALSE),"")</f>
        <v>secondaries</v>
      </c>
    </row>
    <row r="293" spans="1:30" x14ac:dyDescent="0.25">
      <c r="A293">
        <v>6</v>
      </c>
      <c r="B293" s="3">
        <v>46173</v>
      </c>
      <c r="C293" s="3"/>
      <c r="F293" s="4"/>
      <c r="H293" s="5">
        <v>63.92</v>
      </c>
      <c r="I293" t="s">
        <v>89</v>
      </c>
      <c r="J293" s="5"/>
      <c r="L293" s="2"/>
      <c r="O293" s="4"/>
      <c r="AC293" t="str">
        <f>IFERROR(VLOOKUP($A293,fund_metadata!$A:$P,2,FALSE),"")</f>
        <v>Stepstone Private Markets</v>
      </c>
      <c r="AD293" t="str">
        <f>IFERROR(VLOOKUP($A293,fund_metadata!$A:$P,16,FALSE),"")</f>
        <v>secondaries</v>
      </c>
    </row>
    <row r="294" spans="1:30" x14ac:dyDescent="0.25">
      <c r="A294">
        <v>7</v>
      </c>
      <c r="B294" s="3">
        <v>44895</v>
      </c>
      <c r="C294" s="3"/>
      <c r="F294" s="4"/>
      <c r="H294" s="5">
        <v>27.4</v>
      </c>
      <c r="I294" t="s">
        <v>108</v>
      </c>
      <c r="J294">
        <v>0</v>
      </c>
      <c r="K294" t="s">
        <v>108</v>
      </c>
      <c r="L294" s="2">
        <v>9.5899999999999999E-2</v>
      </c>
      <c r="M294" t="s">
        <v>122</v>
      </c>
      <c r="AC294" t="str">
        <f>IFERROR(VLOOKUP($A294,fund_metadata!$A:$P,2,FALSE),"")</f>
        <v>Stepstone PV/Growth</v>
      </c>
      <c r="AD294" t="str">
        <f>IFERROR(VLOOKUP($A294,fund_metadata!$A:$P,16,FALSE),"")</f>
        <v>venture</v>
      </c>
    </row>
    <row r="295" spans="1:30" x14ac:dyDescent="0.25">
      <c r="A295">
        <v>7</v>
      </c>
      <c r="B295" s="3">
        <v>44926</v>
      </c>
      <c r="C295" s="3"/>
      <c r="F295" s="4"/>
      <c r="H295" s="5">
        <v>27.4</v>
      </c>
      <c r="I295" t="s">
        <v>108</v>
      </c>
      <c r="J295">
        <v>0</v>
      </c>
      <c r="K295" t="s">
        <v>108</v>
      </c>
      <c r="L295" s="2">
        <v>4.8800000000000003E-2</v>
      </c>
      <c r="M295" t="s">
        <v>122</v>
      </c>
      <c r="N295">
        <v>9</v>
      </c>
      <c r="AC295" t="str">
        <f>IFERROR(VLOOKUP($A295,fund_metadata!$A:$P,2,FALSE),"")</f>
        <v>Stepstone PV/Growth</v>
      </c>
      <c r="AD295" t="str">
        <f>IFERROR(VLOOKUP($A295,fund_metadata!$A:$P,16,FALSE),"")</f>
        <v>venture</v>
      </c>
    </row>
    <row r="296" spans="1:30" x14ac:dyDescent="0.25">
      <c r="A296">
        <v>7</v>
      </c>
      <c r="B296" s="3">
        <v>44957</v>
      </c>
      <c r="C296" s="3"/>
      <c r="F296" s="4"/>
      <c r="H296" s="5">
        <v>28.73</v>
      </c>
      <c r="I296" t="s">
        <v>108</v>
      </c>
      <c r="J296">
        <v>0</v>
      </c>
      <c r="K296" t="s">
        <v>108</v>
      </c>
      <c r="L296" s="2">
        <v>5.3199999999999997E-2</v>
      </c>
      <c r="M296" t="s">
        <v>122</v>
      </c>
      <c r="AC296" t="str">
        <f>IFERROR(VLOOKUP($A296,fund_metadata!$A:$P,2,FALSE),"")</f>
        <v>Stepstone PV/Growth</v>
      </c>
      <c r="AD296" t="str">
        <f>IFERROR(VLOOKUP($A296,fund_metadata!$A:$P,16,FALSE),"")</f>
        <v>venture</v>
      </c>
    </row>
    <row r="297" spans="1:30" x14ac:dyDescent="0.25">
      <c r="A297">
        <v>7</v>
      </c>
      <c r="B297" s="3">
        <v>44985</v>
      </c>
      <c r="C297" s="3"/>
      <c r="F297" s="4"/>
      <c r="H297" s="5">
        <v>30.26</v>
      </c>
      <c r="I297" t="s">
        <v>108</v>
      </c>
      <c r="J297">
        <v>0</v>
      </c>
      <c r="K297" t="s">
        <v>108</v>
      </c>
      <c r="L297" s="2">
        <v>-4.8000000000000001E-2</v>
      </c>
      <c r="M297" t="s">
        <v>122</v>
      </c>
      <c r="AC297" t="str">
        <f>IFERROR(VLOOKUP($A297,fund_metadata!$A:$P,2,FALSE),"")</f>
        <v>Stepstone PV/Growth</v>
      </c>
      <c r="AD297" t="str">
        <f>IFERROR(VLOOKUP($A297,fund_metadata!$A:$P,16,FALSE),"")</f>
        <v>venture</v>
      </c>
    </row>
    <row r="298" spans="1:30" x14ac:dyDescent="0.25">
      <c r="A298">
        <v>7</v>
      </c>
      <c r="B298" s="3">
        <v>45016</v>
      </c>
      <c r="C298" s="3"/>
      <c r="F298" s="4"/>
      <c r="H298" s="5">
        <v>30.12</v>
      </c>
      <c r="I298" t="s">
        <v>108</v>
      </c>
      <c r="J298">
        <v>0</v>
      </c>
      <c r="K298" t="s">
        <v>108</v>
      </c>
      <c r="L298" s="2">
        <v>5.9999999999999995E-4</v>
      </c>
      <c r="M298" t="s">
        <v>122</v>
      </c>
      <c r="N298">
        <v>15</v>
      </c>
      <c r="Q298">
        <v>6167112</v>
      </c>
      <c r="R298" t="s">
        <v>121</v>
      </c>
      <c r="AC298" t="str">
        <f>IFERROR(VLOOKUP($A298,fund_metadata!$A:$P,2,FALSE),"")</f>
        <v>Stepstone PV/Growth</v>
      </c>
      <c r="AD298" t="str">
        <f>IFERROR(VLOOKUP($A298,fund_metadata!$A:$P,16,FALSE),"")</f>
        <v>venture</v>
      </c>
    </row>
    <row r="299" spans="1:30" x14ac:dyDescent="0.25">
      <c r="A299">
        <v>7</v>
      </c>
      <c r="B299" s="3">
        <v>45046</v>
      </c>
      <c r="C299" s="3"/>
      <c r="F299" s="4"/>
      <c r="H299" s="5">
        <v>30.13</v>
      </c>
      <c r="I299" t="s">
        <v>108</v>
      </c>
      <c r="J299">
        <v>0</v>
      </c>
      <c r="K299" t="s">
        <v>108</v>
      </c>
      <c r="L299" s="2">
        <v>2.8999999999999998E-3</v>
      </c>
      <c r="M299" t="s">
        <v>122</v>
      </c>
      <c r="AC299" t="str">
        <f>IFERROR(VLOOKUP($A299,fund_metadata!$A:$P,2,FALSE),"")</f>
        <v>Stepstone PV/Growth</v>
      </c>
      <c r="AD299" t="str">
        <f>IFERROR(VLOOKUP($A299,fund_metadata!$A:$P,16,FALSE),"")</f>
        <v>venture</v>
      </c>
    </row>
    <row r="300" spans="1:30" x14ac:dyDescent="0.25">
      <c r="A300">
        <v>7</v>
      </c>
      <c r="B300" s="3">
        <v>45077</v>
      </c>
      <c r="C300" s="3"/>
      <c r="F300" s="4"/>
      <c r="H300" s="5">
        <v>30.22</v>
      </c>
      <c r="I300" t="s">
        <v>108</v>
      </c>
      <c r="J300">
        <v>0</v>
      </c>
      <c r="K300" t="s">
        <v>108</v>
      </c>
      <c r="L300" s="2">
        <v>-2.9999999999999997E-4</v>
      </c>
      <c r="M300" t="s">
        <v>122</v>
      </c>
      <c r="AC300" t="str">
        <f>IFERROR(VLOOKUP($A300,fund_metadata!$A:$P,2,FALSE),"")</f>
        <v>Stepstone PV/Growth</v>
      </c>
      <c r="AD300" t="str">
        <f>IFERROR(VLOOKUP($A300,fund_metadata!$A:$P,16,FALSE),"")</f>
        <v>venture</v>
      </c>
    </row>
    <row r="301" spans="1:30" x14ac:dyDescent="0.25">
      <c r="A301">
        <v>7</v>
      </c>
      <c r="B301" s="3">
        <v>45107</v>
      </c>
      <c r="C301" s="3"/>
      <c r="F301" s="4"/>
      <c r="H301" s="5">
        <v>30.21</v>
      </c>
      <c r="I301" t="s">
        <v>108</v>
      </c>
      <c r="J301">
        <v>0</v>
      </c>
      <c r="K301" t="s">
        <v>108</v>
      </c>
      <c r="L301" s="2">
        <v>2.35E-2</v>
      </c>
      <c r="M301" t="s">
        <v>122</v>
      </c>
      <c r="N301">
        <v>30</v>
      </c>
      <c r="AC301" t="str">
        <f>IFERROR(VLOOKUP($A301,fund_metadata!$A:$P,2,FALSE),"")</f>
        <v>Stepstone PV/Growth</v>
      </c>
      <c r="AD301" t="str">
        <f>IFERROR(VLOOKUP($A301,fund_metadata!$A:$P,16,FALSE),"")</f>
        <v>venture</v>
      </c>
    </row>
    <row r="302" spans="1:30" x14ac:dyDescent="0.25">
      <c r="A302">
        <v>7</v>
      </c>
      <c r="B302" s="3">
        <v>45138</v>
      </c>
      <c r="C302" s="3"/>
      <c r="F302" s="4"/>
      <c r="H302" s="5">
        <v>30.92</v>
      </c>
      <c r="I302" t="s">
        <v>108</v>
      </c>
      <c r="J302">
        <v>0</v>
      </c>
      <c r="K302" t="s">
        <v>108</v>
      </c>
      <c r="L302" s="2">
        <v>5.1999999999999998E-3</v>
      </c>
      <c r="M302" t="s">
        <v>122</v>
      </c>
      <c r="AC302" t="str">
        <f>IFERROR(VLOOKUP($A302,fund_metadata!$A:$P,2,FALSE),"")</f>
        <v>Stepstone PV/Growth</v>
      </c>
      <c r="AD302" t="str">
        <f>IFERROR(VLOOKUP($A302,fund_metadata!$A:$P,16,FALSE),"")</f>
        <v>venture</v>
      </c>
    </row>
    <row r="303" spans="1:30" x14ac:dyDescent="0.25">
      <c r="A303">
        <v>7</v>
      </c>
      <c r="B303" s="3">
        <v>45169</v>
      </c>
      <c r="C303" s="3"/>
      <c r="F303" s="4"/>
      <c r="H303" s="5">
        <v>31.08</v>
      </c>
      <c r="I303" t="s">
        <v>108</v>
      </c>
      <c r="J303">
        <v>0</v>
      </c>
      <c r="K303" t="s">
        <v>108</v>
      </c>
      <c r="L303" s="2">
        <v>4.8899999999999999E-2</v>
      </c>
      <c r="M303" t="s">
        <v>122</v>
      </c>
      <c r="AC303" t="str">
        <f>IFERROR(VLOOKUP($A303,fund_metadata!$A:$P,2,FALSE),"")</f>
        <v>Stepstone PV/Growth</v>
      </c>
      <c r="AD303" t="str">
        <f>IFERROR(VLOOKUP($A303,fund_metadata!$A:$P,16,FALSE),"")</f>
        <v>venture</v>
      </c>
    </row>
    <row r="304" spans="1:30" x14ac:dyDescent="0.25">
      <c r="A304">
        <v>7</v>
      </c>
      <c r="B304" s="3">
        <v>45199</v>
      </c>
      <c r="C304" s="3"/>
      <c r="F304" s="4"/>
      <c r="H304" s="5">
        <v>32.6</v>
      </c>
      <c r="I304" t="s">
        <v>108</v>
      </c>
      <c r="J304">
        <v>0</v>
      </c>
      <c r="K304" t="s">
        <v>108</v>
      </c>
      <c r="L304" s="2">
        <v>5.1999999999999998E-3</v>
      </c>
      <c r="M304" t="s">
        <v>122</v>
      </c>
      <c r="N304">
        <v>45</v>
      </c>
      <c r="AC304" t="str">
        <f>IFERROR(VLOOKUP($A304,fund_metadata!$A:$P,2,FALSE),"")</f>
        <v>Stepstone PV/Growth</v>
      </c>
      <c r="AD304" t="str">
        <f>IFERROR(VLOOKUP($A304,fund_metadata!$A:$P,16,FALSE),"")</f>
        <v>venture</v>
      </c>
    </row>
    <row r="305" spans="1:30" x14ac:dyDescent="0.25">
      <c r="A305">
        <v>7</v>
      </c>
      <c r="B305" s="3">
        <v>45230</v>
      </c>
      <c r="C305" s="3"/>
      <c r="F305" s="4"/>
      <c r="H305" s="5">
        <v>32.770000000000003</v>
      </c>
      <c r="I305" t="s">
        <v>108</v>
      </c>
      <c r="J305">
        <v>0</v>
      </c>
      <c r="K305" t="s">
        <v>108</v>
      </c>
      <c r="L305" s="2">
        <v>2.5000000000000001E-2</v>
      </c>
      <c r="M305" t="s">
        <v>122</v>
      </c>
      <c r="AC305" t="str">
        <f>IFERROR(VLOOKUP($A305,fund_metadata!$A:$P,2,FALSE),"")</f>
        <v>Stepstone PV/Growth</v>
      </c>
      <c r="AD305" t="str">
        <f>IFERROR(VLOOKUP($A305,fund_metadata!$A:$P,16,FALSE),"")</f>
        <v>venture</v>
      </c>
    </row>
    <row r="306" spans="1:30" x14ac:dyDescent="0.25">
      <c r="A306">
        <v>7</v>
      </c>
      <c r="B306" s="3">
        <v>45260</v>
      </c>
      <c r="C306" s="3"/>
      <c r="F306" s="4"/>
      <c r="H306" s="5">
        <v>33.590000000000003</v>
      </c>
      <c r="I306" t="s">
        <v>108</v>
      </c>
      <c r="J306">
        <v>0</v>
      </c>
      <c r="K306" t="s">
        <v>108</v>
      </c>
      <c r="L306" s="2">
        <v>4.4999999999999997E-3</v>
      </c>
      <c r="M306" t="s">
        <v>122</v>
      </c>
      <c r="AC306" t="str">
        <f>IFERROR(VLOOKUP($A306,fund_metadata!$A:$P,2,FALSE),"")</f>
        <v>Stepstone PV/Growth</v>
      </c>
      <c r="AD306" t="str">
        <f>IFERROR(VLOOKUP($A306,fund_metadata!$A:$P,16,FALSE),"")</f>
        <v>venture</v>
      </c>
    </row>
    <row r="307" spans="1:30" x14ac:dyDescent="0.25">
      <c r="A307">
        <v>7</v>
      </c>
      <c r="B307" s="3">
        <v>45291</v>
      </c>
      <c r="C307" s="3"/>
      <c r="H307" s="5">
        <v>33.74</v>
      </c>
      <c r="I307" t="s">
        <v>108</v>
      </c>
      <c r="J307">
        <v>0</v>
      </c>
      <c r="K307" t="s">
        <v>108</v>
      </c>
      <c r="L307" s="2">
        <v>4.53E-2</v>
      </c>
      <c r="M307" t="s">
        <v>122</v>
      </c>
      <c r="AC307" t="str">
        <f>IFERROR(VLOOKUP($A307,fund_metadata!$A:$P,2,FALSE),"")</f>
        <v>Stepstone PV/Growth</v>
      </c>
      <c r="AD307" t="str">
        <f>IFERROR(VLOOKUP($A307,fund_metadata!$A:$P,16,FALSE),"")</f>
        <v>venture</v>
      </c>
    </row>
    <row r="308" spans="1:30" x14ac:dyDescent="0.25">
      <c r="A308">
        <v>7</v>
      </c>
      <c r="B308" s="3">
        <v>45322</v>
      </c>
      <c r="C308" s="3"/>
      <c r="H308" s="5">
        <v>35.270000000000003</v>
      </c>
      <c r="I308" t="s">
        <v>108</v>
      </c>
      <c r="J308">
        <v>0</v>
      </c>
      <c r="K308" t="s">
        <v>108</v>
      </c>
      <c r="L308" s="2">
        <v>-4.7999999999999996E-3</v>
      </c>
      <c r="M308" t="s">
        <v>122</v>
      </c>
      <c r="AC308" t="str">
        <f>IFERROR(VLOOKUP($A308,fund_metadata!$A:$P,2,FALSE),"")</f>
        <v>Stepstone PV/Growth</v>
      </c>
      <c r="AD308" t="str">
        <f>IFERROR(VLOOKUP($A308,fund_metadata!$A:$P,16,FALSE),"")</f>
        <v>venture</v>
      </c>
    </row>
    <row r="309" spans="1:30" x14ac:dyDescent="0.25">
      <c r="A309">
        <v>7</v>
      </c>
      <c r="B309" s="3">
        <v>45351</v>
      </c>
      <c r="C309" s="3"/>
      <c r="H309" s="5">
        <v>35.1</v>
      </c>
      <c r="I309" t="s">
        <v>108</v>
      </c>
      <c r="J309">
        <v>0</v>
      </c>
      <c r="K309" t="s">
        <v>108</v>
      </c>
      <c r="L309" s="2">
        <v>1.2500000000000001E-2</v>
      </c>
      <c r="M309" t="s">
        <v>122</v>
      </c>
      <c r="AC309" t="str">
        <f>IFERROR(VLOOKUP($A309,fund_metadata!$A:$P,2,FALSE),"")</f>
        <v>Stepstone PV/Growth</v>
      </c>
      <c r="AD309" t="str">
        <f>IFERROR(VLOOKUP($A309,fund_metadata!$A:$P,16,FALSE),"")</f>
        <v>venture</v>
      </c>
    </row>
    <row r="310" spans="1:30" x14ac:dyDescent="0.25">
      <c r="A310">
        <v>7</v>
      </c>
      <c r="B310" s="3">
        <v>45382</v>
      </c>
      <c r="C310" s="3"/>
      <c r="H310" s="5">
        <v>35.54</v>
      </c>
      <c r="I310" t="s">
        <v>108</v>
      </c>
      <c r="J310">
        <v>0</v>
      </c>
      <c r="K310" t="s">
        <v>108</v>
      </c>
      <c r="L310" s="2">
        <v>2.87E-2</v>
      </c>
      <c r="M310" t="s">
        <v>122</v>
      </c>
      <c r="AC310" t="str">
        <f>IFERROR(VLOOKUP($A310,fund_metadata!$A:$P,2,FALSE),"")</f>
        <v>Stepstone PV/Growth</v>
      </c>
      <c r="AD310" t="str">
        <f>IFERROR(VLOOKUP($A310,fund_metadata!$A:$P,16,FALSE),"")</f>
        <v>venture</v>
      </c>
    </row>
    <row r="311" spans="1:30" x14ac:dyDescent="0.25">
      <c r="A311">
        <v>7</v>
      </c>
      <c r="B311" s="3">
        <v>45412</v>
      </c>
      <c r="C311" s="3"/>
      <c r="H311" s="5">
        <v>36.56</v>
      </c>
      <c r="I311" t="s">
        <v>108</v>
      </c>
      <c r="J311">
        <v>0</v>
      </c>
      <c r="K311" t="s">
        <v>108</v>
      </c>
      <c r="L311" s="2">
        <v>-3.0000000000000001E-3</v>
      </c>
      <c r="M311" t="s">
        <v>122</v>
      </c>
      <c r="AC311" t="str">
        <f>IFERROR(VLOOKUP($A311,fund_metadata!$A:$P,2,FALSE),"")</f>
        <v>Stepstone PV/Growth</v>
      </c>
      <c r="AD311" t="str">
        <f>IFERROR(VLOOKUP($A311,fund_metadata!$A:$P,16,FALSE),"")</f>
        <v>venture</v>
      </c>
    </row>
    <row r="312" spans="1:30" x14ac:dyDescent="0.25">
      <c r="A312">
        <v>7</v>
      </c>
      <c r="B312" s="3">
        <v>45443</v>
      </c>
      <c r="C312" s="3"/>
      <c r="H312" s="5">
        <v>36.450000000000003</v>
      </c>
      <c r="I312" t="s">
        <v>108</v>
      </c>
      <c r="J312">
        <v>0</v>
      </c>
      <c r="K312" t="s">
        <v>108</v>
      </c>
      <c r="L312" s="2">
        <v>1.5900000000000001E-2</v>
      </c>
      <c r="M312" t="s">
        <v>122</v>
      </c>
      <c r="AC312" t="str">
        <f>IFERROR(VLOOKUP($A312,fund_metadata!$A:$P,2,FALSE),"")</f>
        <v>Stepstone PV/Growth</v>
      </c>
      <c r="AD312" t="str">
        <f>IFERROR(VLOOKUP($A312,fund_metadata!$A:$P,16,FALSE),"")</f>
        <v>venture</v>
      </c>
    </row>
    <row r="313" spans="1:30" x14ac:dyDescent="0.25">
      <c r="A313">
        <v>7</v>
      </c>
      <c r="B313" s="3">
        <v>45473</v>
      </c>
      <c r="C313" s="3"/>
      <c r="H313" s="5">
        <v>37.03</v>
      </c>
      <c r="I313" t="s">
        <v>108</v>
      </c>
      <c r="J313">
        <v>0</v>
      </c>
      <c r="K313" t="s">
        <v>108</v>
      </c>
      <c r="L313" s="2">
        <v>2.4E-2</v>
      </c>
      <c r="M313" t="s">
        <v>122</v>
      </c>
      <c r="AC313" t="str">
        <f>IFERROR(VLOOKUP($A313,fund_metadata!$A:$P,2,FALSE),"")</f>
        <v>Stepstone PV/Growth</v>
      </c>
      <c r="AD313" t="str">
        <f>IFERROR(VLOOKUP($A313,fund_metadata!$A:$P,16,FALSE),"")</f>
        <v>venture</v>
      </c>
    </row>
    <row r="314" spans="1:30" x14ac:dyDescent="0.25">
      <c r="A314">
        <v>7</v>
      </c>
      <c r="B314" s="3">
        <v>45504</v>
      </c>
      <c r="C314" s="3"/>
      <c r="H314" s="5">
        <v>37.92</v>
      </c>
      <c r="I314" t="s">
        <v>108</v>
      </c>
      <c r="J314">
        <v>0</v>
      </c>
      <c r="K314" t="s">
        <v>108</v>
      </c>
      <c r="L314" s="2">
        <v>5.7999999999999996E-3</v>
      </c>
      <c r="M314" t="s">
        <v>122</v>
      </c>
      <c r="AC314" t="str">
        <f>IFERROR(VLOOKUP($A314,fund_metadata!$A:$P,2,FALSE),"")</f>
        <v>Stepstone PV/Growth</v>
      </c>
      <c r="AD314" t="str">
        <f>IFERROR(VLOOKUP($A314,fund_metadata!$A:$P,16,FALSE),"")</f>
        <v>venture</v>
      </c>
    </row>
    <row r="315" spans="1:30" x14ac:dyDescent="0.25">
      <c r="A315">
        <v>7</v>
      </c>
      <c r="B315" s="3">
        <v>45535</v>
      </c>
      <c r="C315" s="3"/>
      <c r="H315" s="5">
        <v>38.14</v>
      </c>
      <c r="I315" t="s">
        <v>108</v>
      </c>
      <c r="J315">
        <v>0</v>
      </c>
      <c r="K315" t="s">
        <v>108</v>
      </c>
      <c r="L315" s="2">
        <v>1.6799999999999999E-2</v>
      </c>
      <c r="M315" t="s">
        <v>122</v>
      </c>
      <c r="AC315" t="str">
        <f>IFERROR(VLOOKUP($A315,fund_metadata!$A:$P,2,FALSE),"")</f>
        <v>Stepstone PV/Growth</v>
      </c>
      <c r="AD315" t="str">
        <f>IFERROR(VLOOKUP($A315,fund_metadata!$A:$P,16,FALSE),"")</f>
        <v>venture</v>
      </c>
    </row>
    <row r="316" spans="1:30" x14ac:dyDescent="0.25">
      <c r="A316">
        <v>7</v>
      </c>
      <c r="B316" s="3">
        <v>45565</v>
      </c>
      <c r="C316" s="3"/>
      <c r="H316" s="5">
        <v>38.78</v>
      </c>
      <c r="I316" t="s">
        <v>108</v>
      </c>
      <c r="J316">
        <v>0</v>
      </c>
      <c r="K316" t="s">
        <v>108</v>
      </c>
      <c r="L316" s="2">
        <v>2.3E-3</v>
      </c>
      <c r="M316" t="s">
        <v>122</v>
      </c>
      <c r="AC316" t="str">
        <f>IFERROR(VLOOKUP($A316,fund_metadata!$A:$P,2,FALSE),"")</f>
        <v>Stepstone PV/Growth</v>
      </c>
      <c r="AD316" t="str">
        <f>IFERROR(VLOOKUP($A316,fund_metadata!$A:$P,16,FALSE),"")</f>
        <v>venture</v>
      </c>
    </row>
    <row r="317" spans="1:30" x14ac:dyDescent="0.25">
      <c r="A317">
        <v>7</v>
      </c>
      <c r="B317" s="3">
        <v>45596</v>
      </c>
      <c r="C317" s="3"/>
      <c r="H317" s="5">
        <v>38.869999999999997</v>
      </c>
      <c r="I317" t="s">
        <v>108</v>
      </c>
      <c r="J317">
        <v>0</v>
      </c>
      <c r="K317" t="s">
        <v>108</v>
      </c>
      <c r="L317" s="2">
        <v>5.4000000000000003E-3</v>
      </c>
      <c r="M317" t="s">
        <v>122</v>
      </c>
      <c r="AC317" t="str">
        <f>IFERROR(VLOOKUP($A317,fund_metadata!$A:$P,2,FALSE),"")</f>
        <v>Stepstone PV/Growth</v>
      </c>
      <c r="AD317" t="str">
        <f>IFERROR(VLOOKUP($A317,fund_metadata!$A:$P,16,FALSE),"")</f>
        <v>venture</v>
      </c>
    </row>
    <row r="318" spans="1:30" x14ac:dyDescent="0.25">
      <c r="A318">
        <v>7</v>
      </c>
      <c r="B318" s="3">
        <v>45626</v>
      </c>
      <c r="C318" s="3"/>
      <c r="H318" s="5">
        <v>39.08</v>
      </c>
      <c r="I318" t="s">
        <v>108</v>
      </c>
      <c r="J318">
        <v>0</v>
      </c>
      <c r="K318" t="s">
        <v>108</v>
      </c>
      <c r="L318" s="2">
        <v>2.1000000000000001E-2</v>
      </c>
      <c r="M318" t="s">
        <v>122</v>
      </c>
      <c r="AC318" t="str">
        <f>IFERROR(VLOOKUP($A318,fund_metadata!$A:$P,2,FALSE),"")</f>
        <v>Stepstone PV/Growth</v>
      </c>
      <c r="AD318" t="str">
        <f>IFERROR(VLOOKUP($A318,fund_metadata!$A:$P,16,FALSE),"")</f>
        <v>venture</v>
      </c>
    </row>
    <row r="319" spans="1:30" x14ac:dyDescent="0.25">
      <c r="A319">
        <v>7</v>
      </c>
      <c r="B319" s="3">
        <v>45657</v>
      </c>
      <c r="C319" s="3"/>
      <c r="H319" s="5">
        <v>39.9</v>
      </c>
      <c r="I319" t="s">
        <v>108</v>
      </c>
      <c r="J319">
        <v>0</v>
      </c>
      <c r="K319" t="s">
        <v>108</v>
      </c>
      <c r="L319" s="2">
        <v>2.3900000000000001E-2</v>
      </c>
      <c r="M319" t="s">
        <v>122</v>
      </c>
      <c r="AC319" t="str">
        <f>IFERROR(VLOOKUP($A319,fund_metadata!$A:$P,2,FALSE),"")</f>
        <v>Stepstone PV/Growth</v>
      </c>
      <c r="AD319" t="str">
        <f>IFERROR(VLOOKUP($A319,fund_metadata!$A:$P,16,FALSE),"")</f>
        <v>venture</v>
      </c>
    </row>
    <row r="320" spans="1:30" x14ac:dyDescent="0.25">
      <c r="A320">
        <v>7</v>
      </c>
      <c r="B320" s="3">
        <v>45688</v>
      </c>
      <c r="C320" s="3"/>
      <c r="H320" s="5">
        <v>40.61</v>
      </c>
      <c r="I320" t="s">
        <v>108</v>
      </c>
      <c r="J320">
        <v>0</v>
      </c>
      <c r="K320" t="s">
        <v>108</v>
      </c>
      <c r="L320" s="2">
        <v>2.12E-2</v>
      </c>
      <c r="M320" t="s">
        <v>122</v>
      </c>
      <c r="AC320" t="str">
        <f>IFERROR(VLOOKUP($A320,fund_metadata!$A:$P,2,FALSE),"")</f>
        <v>Stepstone PV/Growth</v>
      </c>
      <c r="AD320" t="str">
        <f>IFERROR(VLOOKUP($A320,fund_metadata!$A:$P,16,FALSE),"")</f>
        <v>venture</v>
      </c>
    </row>
    <row r="321" spans="1:30" x14ac:dyDescent="0.25">
      <c r="A321">
        <v>7</v>
      </c>
      <c r="B321" s="3">
        <v>45716</v>
      </c>
      <c r="C321" s="3"/>
      <c r="H321" s="5">
        <v>41.47</v>
      </c>
      <c r="I321" t="s">
        <v>108</v>
      </c>
      <c r="J321">
        <v>0</v>
      </c>
      <c r="K321" t="s">
        <v>108</v>
      </c>
      <c r="L321" s="2">
        <v>1.23E-2</v>
      </c>
      <c r="M321" t="s">
        <v>122</v>
      </c>
      <c r="AC321" t="str">
        <f>IFERROR(VLOOKUP($A321,fund_metadata!$A:$P,2,FALSE),"")</f>
        <v>Stepstone PV/Growth</v>
      </c>
      <c r="AD321" t="str">
        <f>IFERROR(VLOOKUP($A321,fund_metadata!$A:$P,16,FALSE),"")</f>
        <v>venture</v>
      </c>
    </row>
    <row r="322" spans="1:30" x14ac:dyDescent="0.25">
      <c r="A322">
        <v>7</v>
      </c>
      <c r="B322" s="3">
        <v>45747</v>
      </c>
      <c r="C322" s="3"/>
      <c r="H322" s="5">
        <v>41.98</v>
      </c>
      <c r="I322" t="s">
        <v>108</v>
      </c>
      <c r="J322">
        <v>0</v>
      </c>
      <c r="K322" t="s">
        <v>108</v>
      </c>
      <c r="L322" s="2">
        <v>2.9499999999999998E-2</v>
      </c>
      <c r="M322" t="s">
        <v>122</v>
      </c>
      <c r="AC322" t="str">
        <f>IFERROR(VLOOKUP($A322,fund_metadata!$A:$P,2,FALSE),"")</f>
        <v>Stepstone PV/Growth</v>
      </c>
      <c r="AD322" t="str">
        <f>IFERROR(VLOOKUP($A322,fund_metadata!$A:$P,16,FALSE),"")</f>
        <v>venture</v>
      </c>
    </row>
    <row r="323" spans="1:30" x14ac:dyDescent="0.25">
      <c r="A323">
        <v>7</v>
      </c>
      <c r="B323" s="3">
        <v>45777</v>
      </c>
      <c r="C323" s="3"/>
      <c r="H323" s="5">
        <v>43.22</v>
      </c>
      <c r="I323" t="s">
        <v>108</v>
      </c>
      <c r="J323">
        <v>0</v>
      </c>
      <c r="K323" t="s">
        <v>108</v>
      </c>
      <c r="L323" s="2">
        <v>5.3E-3</v>
      </c>
      <c r="M323" t="s">
        <v>122</v>
      </c>
      <c r="AC323" t="str">
        <f>IFERROR(VLOOKUP($A323,fund_metadata!$A:$P,2,FALSE),"")</f>
        <v>Stepstone PV/Growth</v>
      </c>
      <c r="AD323" t="str">
        <f>IFERROR(VLOOKUP($A323,fund_metadata!$A:$P,16,FALSE),"")</f>
        <v>venture</v>
      </c>
    </row>
    <row r="324" spans="1:30" x14ac:dyDescent="0.25">
      <c r="A324">
        <v>7</v>
      </c>
      <c r="B324" s="3">
        <v>45808</v>
      </c>
      <c r="C324" s="3"/>
      <c r="H324" s="5">
        <v>43.45</v>
      </c>
      <c r="I324" t="s">
        <v>108</v>
      </c>
      <c r="J324">
        <v>0</v>
      </c>
      <c r="K324" t="s">
        <v>108</v>
      </c>
      <c r="L324" s="2">
        <v>2.8299999999999999E-2</v>
      </c>
      <c r="M324" t="s">
        <v>122</v>
      </c>
      <c r="AC324" t="str">
        <f>IFERROR(VLOOKUP($A324,fund_metadata!$A:$P,2,FALSE),"")</f>
        <v>Stepstone PV/Growth</v>
      </c>
      <c r="AD324" t="str">
        <f>IFERROR(VLOOKUP($A324,fund_metadata!$A:$P,16,FALSE),"")</f>
        <v>venture</v>
      </c>
    </row>
    <row r="325" spans="1:30" x14ac:dyDescent="0.25">
      <c r="A325">
        <v>7</v>
      </c>
      <c r="B325" s="3">
        <v>45838</v>
      </c>
      <c r="C325" s="3"/>
      <c r="H325" s="5">
        <v>44.68</v>
      </c>
      <c r="I325" t="s">
        <v>108</v>
      </c>
      <c r="J325">
        <v>0</v>
      </c>
      <c r="K325" t="s">
        <v>108</v>
      </c>
      <c r="L325" s="2">
        <v>7.1999999999999998E-3</v>
      </c>
      <c r="M325" t="s">
        <v>122</v>
      </c>
      <c r="AC325" t="str">
        <f>IFERROR(VLOOKUP($A325,fund_metadata!$A:$P,2,FALSE),"")</f>
        <v>Stepstone PV/Growth</v>
      </c>
      <c r="AD325" t="str">
        <f>IFERROR(VLOOKUP($A325,fund_metadata!$A:$P,16,FALSE),"")</f>
        <v>venture</v>
      </c>
    </row>
    <row r="326" spans="1:30" x14ac:dyDescent="0.25">
      <c r="A326">
        <v>7</v>
      </c>
      <c r="B326" s="3">
        <v>45869</v>
      </c>
      <c r="C326" s="3"/>
      <c r="H326" s="5">
        <v>45</v>
      </c>
      <c r="I326" t="s">
        <v>108</v>
      </c>
      <c r="J326">
        <v>0</v>
      </c>
      <c r="K326" t="s">
        <v>108</v>
      </c>
      <c r="L326" s="2">
        <v>1.3599999999999999E-2</v>
      </c>
      <c r="M326" t="s">
        <v>122</v>
      </c>
      <c r="AC326" t="str">
        <f>IFERROR(VLOOKUP($A326,fund_metadata!$A:$P,2,FALSE),"")</f>
        <v>Stepstone PV/Growth</v>
      </c>
      <c r="AD326" t="str">
        <f>IFERROR(VLOOKUP($A326,fund_metadata!$A:$P,16,FALSE),"")</f>
        <v>venture</v>
      </c>
    </row>
    <row r="327" spans="1:30" x14ac:dyDescent="0.25">
      <c r="A327">
        <v>7</v>
      </c>
      <c r="B327" s="3">
        <v>45900</v>
      </c>
      <c r="C327" s="3"/>
      <c r="H327" s="5">
        <v>45.61</v>
      </c>
      <c r="I327" t="s">
        <v>108</v>
      </c>
      <c r="J327">
        <v>0</v>
      </c>
      <c r="K327" t="s">
        <v>108</v>
      </c>
      <c r="L327" s="2">
        <v>2.7400000000000001E-2</v>
      </c>
      <c r="M327" t="s">
        <v>122</v>
      </c>
      <c r="AC327" t="str">
        <f>IFERROR(VLOOKUP($A327,fund_metadata!$A:$P,2,FALSE),"")</f>
        <v>Stepstone PV/Growth</v>
      </c>
      <c r="AD327" t="str">
        <f>IFERROR(VLOOKUP($A327,fund_metadata!$A:$P,16,FALSE),"")</f>
        <v>venture</v>
      </c>
    </row>
    <row r="328" spans="1:30" x14ac:dyDescent="0.25">
      <c r="A328">
        <v>7</v>
      </c>
      <c r="B328" s="3">
        <v>45930</v>
      </c>
      <c r="C328" s="3"/>
      <c r="H328" s="5">
        <v>46.86</v>
      </c>
      <c r="I328" t="s">
        <v>108</v>
      </c>
      <c r="J328">
        <v>0</v>
      </c>
      <c r="K328" t="s">
        <v>108</v>
      </c>
      <c r="L328" s="2">
        <v>2.1999999999999999E-2</v>
      </c>
      <c r="M328" t="s">
        <v>122</v>
      </c>
      <c r="AC328" t="str">
        <f>IFERROR(VLOOKUP($A328,fund_metadata!$A:$P,2,FALSE),"")</f>
        <v>Stepstone PV/Growth</v>
      </c>
      <c r="AD328" t="str">
        <f>IFERROR(VLOOKUP($A328,fund_metadata!$A:$P,16,FALSE),"")</f>
        <v>venture</v>
      </c>
    </row>
    <row r="329" spans="1:30" x14ac:dyDescent="0.25">
      <c r="A329">
        <v>7</v>
      </c>
      <c r="B329" s="3">
        <v>45961</v>
      </c>
      <c r="C329" s="3"/>
      <c r="H329" s="5">
        <v>47.89</v>
      </c>
      <c r="I329" t="s">
        <v>108</v>
      </c>
      <c r="J329">
        <v>0</v>
      </c>
      <c r="K329" t="s">
        <v>108</v>
      </c>
      <c r="L329" s="2">
        <v>3.5900000000000001E-2</v>
      </c>
      <c r="M329" t="s">
        <v>122</v>
      </c>
      <c r="AC329" t="str">
        <f>IFERROR(VLOOKUP($A329,fund_metadata!$A:$P,2,FALSE),"")</f>
        <v>Stepstone PV/Growth</v>
      </c>
      <c r="AD329" t="str">
        <f>IFERROR(VLOOKUP($A329,fund_metadata!$A:$P,16,FALSE),"")</f>
        <v>venture</v>
      </c>
    </row>
    <row r="330" spans="1:30" x14ac:dyDescent="0.25">
      <c r="A330">
        <v>7</v>
      </c>
      <c r="B330" s="3">
        <v>45991</v>
      </c>
      <c r="C330" s="3"/>
      <c r="H330" s="5">
        <v>49.61</v>
      </c>
      <c r="I330" t="s">
        <v>108</v>
      </c>
      <c r="J330">
        <v>0</v>
      </c>
      <c r="K330" t="s">
        <v>108</v>
      </c>
      <c r="L330" s="2">
        <v>5.3600000000000002E-2</v>
      </c>
      <c r="M330" t="s">
        <v>122</v>
      </c>
      <c r="AC330" t="str">
        <f>IFERROR(VLOOKUP($A330,fund_metadata!$A:$P,2,FALSE),"")</f>
        <v>Stepstone PV/Growth</v>
      </c>
      <c r="AD330" t="str">
        <f>IFERROR(VLOOKUP($A330,fund_metadata!$A:$P,16,FALSE),"")</f>
        <v>venture</v>
      </c>
    </row>
    <row r="331" spans="1:30" x14ac:dyDescent="0.25">
      <c r="A331">
        <v>7</v>
      </c>
      <c r="B331" s="3">
        <v>46022</v>
      </c>
      <c r="C331" s="3"/>
      <c r="H331" s="5">
        <v>52.27</v>
      </c>
      <c r="I331" t="s">
        <v>108</v>
      </c>
      <c r="J331">
        <v>0</v>
      </c>
      <c r="K331" t="s">
        <v>108</v>
      </c>
      <c r="L331" s="2">
        <v>7.8299999999999995E-2</v>
      </c>
      <c r="M331" t="s">
        <v>122</v>
      </c>
      <c r="AC331" t="str">
        <f>IFERROR(VLOOKUP($A331,fund_metadata!$A:$P,2,FALSE),"")</f>
        <v>Stepstone PV/Growth</v>
      </c>
      <c r="AD331" t="str">
        <f>IFERROR(VLOOKUP($A331,fund_metadata!$A:$P,16,FALSE),"")</f>
        <v>venture</v>
      </c>
    </row>
    <row r="332" spans="1:30" x14ac:dyDescent="0.25">
      <c r="A332">
        <v>7</v>
      </c>
      <c r="B332" s="3">
        <v>46053</v>
      </c>
      <c r="C332" s="3"/>
      <c r="D332" s="4">
        <v>5051518.92</v>
      </c>
      <c r="E332" t="s">
        <v>105</v>
      </c>
      <c r="H332" s="5">
        <v>56.29</v>
      </c>
      <c r="I332" t="s">
        <v>108</v>
      </c>
      <c r="J332">
        <v>0</v>
      </c>
      <c r="K332" t="s">
        <v>108</v>
      </c>
      <c r="L332" s="2">
        <v>1.03E-2</v>
      </c>
      <c r="M332" t="s">
        <v>122</v>
      </c>
      <c r="S332" s="4">
        <v>88825.724000000002</v>
      </c>
      <c r="T332" t="s">
        <v>105</v>
      </c>
      <c r="U332" s="4">
        <v>5000000</v>
      </c>
      <c r="V332" t="s">
        <v>105</v>
      </c>
      <c r="W332" s="4">
        <v>0</v>
      </c>
      <c r="X332" t="s">
        <v>105</v>
      </c>
      <c r="Y332" s="4">
        <v>0</v>
      </c>
      <c r="Z332" t="s">
        <v>105</v>
      </c>
      <c r="AC332" t="str">
        <f>IFERROR(VLOOKUP($A332,fund_metadata!$A:$P,2,FALSE),"")</f>
        <v>Stepstone PV/Growth</v>
      </c>
      <c r="AD332" t="str">
        <f>IFERROR(VLOOKUP($A332,fund_metadata!$A:$P,16,FALSE),"")</f>
        <v>venture</v>
      </c>
    </row>
    <row r="333" spans="1:30" x14ac:dyDescent="0.25">
      <c r="A333">
        <v>7</v>
      </c>
      <c r="B333" s="3">
        <v>46081</v>
      </c>
      <c r="C333" s="3"/>
      <c r="D333" s="4">
        <v>5435246.0499999998</v>
      </c>
      <c r="E333" t="s">
        <v>105</v>
      </c>
      <c r="H333" s="5">
        <v>56.87</v>
      </c>
      <c r="I333" t="s">
        <v>108</v>
      </c>
      <c r="J333">
        <v>0</v>
      </c>
      <c r="K333" t="s">
        <v>108</v>
      </c>
      <c r="L333" s="2">
        <v>7.5999999999999998E-2</v>
      </c>
      <c r="M333" t="s">
        <v>122</v>
      </c>
      <c r="S333" s="4">
        <v>88825.724000000002</v>
      </c>
      <c r="T333" t="s">
        <v>105</v>
      </c>
      <c r="U333" s="4">
        <v>0</v>
      </c>
      <c r="V333" t="s">
        <v>105</v>
      </c>
      <c r="W333" s="4">
        <v>0</v>
      </c>
      <c r="X333" t="s">
        <v>105</v>
      </c>
      <c r="Y333" s="4">
        <v>0</v>
      </c>
      <c r="Z333" t="s">
        <v>105</v>
      </c>
      <c r="AC333" t="str">
        <f>IFERROR(VLOOKUP($A333,fund_metadata!$A:$P,2,FALSE),"")</f>
        <v>Stepstone PV/Growth</v>
      </c>
      <c r="AD333" t="str">
        <f>IFERROR(VLOOKUP($A333,fund_metadata!$A:$P,16,FALSE),"")</f>
        <v>venture</v>
      </c>
    </row>
    <row r="334" spans="1:30" x14ac:dyDescent="0.25">
      <c r="A334">
        <v>7</v>
      </c>
      <c r="B334" s="3">
        <v>46112</v>
      </c>
      <c r="C334" s="3"/>
      <c r="D334" s="4">
        <v>5505418.3700000001</v>
      </c>
      <c r="E334" t="s">
        <v>105</v>
      </c>
      <c r="H334" s="5">
        <v>61.19</v>
      </c>
      <c r="I334" t="s">
        <v>108</v>
      </c>
      <c r="J334">
        <v>0</v>
      </c>
      <c r="K334" t="s">
        <v>108</v>
      </c>
      <c r="L334" s="2">
        <v>1.29E-2</v>
      </c>
      <c r="M334" t="s">
        <v>122</v>
      </c>
      <c r="N334">
        <v>364</v>
      </c>
      <c r="S334" s="4">
        <v>88825.724000000002</v>
      </c>
      <c r="T334" t="s">
        <v>105</v>
      </c>
      <c r="U334" s="4">
        <v>0</v>
      </c>
      <c r="V334" t="s">
        <v>105</v>
      </c>
      <c r="W334" s="4">
        <v>0</v>
      </c>
      <c r="X334" t="s">
        <v>105</v>
      </c>
      <c r="Y334" s="4">
        <v>0</v>
      </c>
      <c r="Z334" t="s">
        <v>105</v>
      </c>
      <c r="AC334" t="str">
        <f>IFERROR(VLOOKUP($A334,fund_metadata!$A:$P,2,FALSE),"")</f>
        <v>Stepstone PV/Growth</v>
      </c>
      <c r="AD334" t="str">
        <f>IFERROR(VLOOKUP($A334,fund_metadata!$A:$P,16,FALSE),"")</f>
        <v>venture</v>
      </c>
    </row>
    <row r="335" spans="1:30" x14ac:dyDescent="0.25">
      <c r="A335">
        <v>7</v>
      </c>
      <c r="B335" s="3">
        <v>46142</v>
      </c>
      <c r="C335" s="3"/>
      <c r="D335" s="4">
        <v>5536507.3799999999</v>
      </c>
      <c r="E335" t="s">
        <v>104</v>
      </c>
      <c r="H335" s="5">
        <v>61.98</v>
      </c>
      <c r="I335" t="s">
        <v>108</v>
      </c>
      <c r="J335">
        <v>0</v>
      </c>
      <c r="K335" t="s">
        <v>108</v>
      </c>
      <c r="L335" s="2">
        <v>5.5999999999999999E-3</v>
      </c>
      <c r="M335" t="s">
        <v>122</v>
      </c>
      <c r="S335" s="4"/>
      <c r="U335" s="4"/>
      <c r="W335" s="4"/>
      <c r="Y335" s="4"/>
      <c r="AC335" t="str">
        <f>IFERROR(VLOOKUP($A335,fund_metadata!$A:$P,2,FALSE),"")</f>
        <v>Stepstone PV/Growth</v>
      </c>
      <c r="AD335" t="str">
        <f>IFERROR(VLOOKUP($A335,fund_metadata!$A:$P,16,FALSE),"")</f>
        <v>venture</v>
      </c>
    </row>
    <row r="336" spans="1:30" x14ac:dyDescent="0.25">
      <c r="A336">
        <v>7</v>
      </c>
      <c r="B336" s="3">
        <v>46173</v>
      </c>
      <c r="C336" s="3"/>
      <c r="H336" s="5">
        <v>62.33</v>
      </c>
      <c r="I336" t="s">
        <v>108</v>
      </c>
      <c r="J336">
        <v>0</v>
      </c>
      <c r="K336" t="s">
        <v>108</v>
      </c>
      <c r="L336" s="2"/>
      <c r="AC336" t="str">
        <f>IFERROR(VLOOKUP($A336,fund_metadata!$A:$P,2,FALSE),"")</f>
        <v>Stepstone PV/Growth</v>
      </c>
      <c r="AD336" t="str">
        <f>IFERROR(VLOOKUP($A336,fund_metadata!$A:$P,16,FALSE),"")</f>
        <v>venture</v>
      </c>
    </row>
    <row r="337" spans="1:30" x14ac:dyDescent="0.25">
      <c r="A337">
        <v>8</v>
      </c>
      <c r="B337" s="3">
        <v>42308</v>
      </c>
      <c r="C337" s="3"/>
      <c r="H337" s="5">
        <v>10.27</v>
      </c>
      <c r="I337" t="s">
        <v>89</v>
      </c>
      <c r="AC337" t="str">
        <f>IFERROR(VLOOKUP($A337,fund_metadata!$A:$P,2,FALSE),"")</f>
        <v>AMG Pantheon</v>
      </c>
      <c r="AD337" t="str">
        <f>IFERROR(VLOOKUP($A337,fund_metadata!$A:$P,16,FALSE),"")</f>
        <v>secondaries</v>
      </c>
    </row>
    <row r="338" spans="1:30" x14ac:dyDescent="0.25">
      <c r="A338">
        <v>8</v>
      </c>
      <c r="B338" s="3">
        <v>42338</v>
      </c>
      <c r="C338" s="3"/>
      <c r="H338" s="5">
        <v>10.26</v>
      </c>
      <c r="I338" t="s">
        <v>89</v>
      </c>
      <c r="L338" s="7">
        <v>-1E-3</v>
      </c>
      <c r="M338" t="s">
        <v>89</v>
      </c>
      <c r="AC338" t="str">
        <f>IFERROR(VLOOKUP($A338,fund_metadata!$A:$P,2,FALSE),"")</f>
        <v>AMG Pantheon</v>
      </c>
      <c r="AD338" t="str">
        <f>IFERROR(VLOOKUP($A338,fund_metadata!$A:$P,16,FALSE),"")</f>
        <v>secondaries</v>
      </c>
    </row>
    <row r="339" spans="1:30" x14ac:dyDescent="0.25">
      <c r="A339">
        <v>8</v>
      </c>
      <c r="B339" s="3">
        <v>42369</v>
      </c>
      <c r="C339" s="3"/>
      <c r="H339" s="5">
        <v>10.28</v>
      </c>
      <c r="I339" t="s">
        <v>89</v>
      </c>
      <c r="L339" s="7">
        <v>1.9E-3</v>
      </c>
      <c r="M339" t="s">
        <v>89</v>
      </c>
      <c r="AC339" t="str">
        <f>IFERROR(VLOOKUP($A339,fund_metadata!$A:$P,2,FALSE),"")</f>
        <v>AMG Pantheon</v>
      </c>
      <c r="AD339" t="str">
        <f>IFERROR(VLOOKUP($A339,fund_metadata!$A:$P,16,FALSE),"")</f>
        <v>secondaries</v>
      </c>
    </row>
    <row r="340" spans="1:30" x14ac:dyDescent="0.25">
      <c r="A340">
        <v>8</v>
      </c>
      <c r="B340" s="3">
        <v>42400</v>
      </c>
      <c r="C340" s="3"/>
      <c r="H340" s="5">
        <v>10.220000000000001</v>
      </c>
      <c r="I340" t="s">
        <v>89</v>
      </c>
      <c r="L340" s="7">
        <v>-5.7999999999999996E-3</v>
      </c>
      <c r="M340" t="s">
        <v>89</v>
      </c>
      <c r="AC340" t="str">
        <f>IFERROR(VLOOKUP($A340,fund_metadata!$A:$P,2,FALSE),"")</f>
        <v>AMG Pantheon</v>
      </c>
      <c r="AD340" t="str">
        <f>IFERROR(VLOOKUP($A340,fund_metadata!$A:$P,16,FALSE),"")</f>
        <v>secondaries</v>
      </c>
    </row>
    <row r="341" spans="1:30" x14ac:dyDescent="0.25">
      <c r="A341">
        <v>8</v>
      </c>
      <c r="B341" s="3">
        <v>42429</v>
      </c>
      <c r="C341" s="3"/>
      <c r="H341" s="5">
        <v>10.210000000000001</v>
      </c>
      <c r="I341" t="s">
        <v>89</v>
      </c>
      <c r="L341" s="7">
        <v>-1E-3</v>
      </c>
      <c r="M341" t="s">
        <v>89</v>
      </c>
      <c r="AC341" t="str">
        <f>IFERROR(VLOOKUP($A341,fund_metadata!$A:$P,2,FALSE),"")</f>
        <v>AMG Pantheon</v>
      </c>
      <c r="AD341" t="str">
        <f>IFERROR(VLOOKUP($A341,fund_metadata!$A:$P,16,FALSE),"")</f>
        <v>secondaries</v>
      </c>
    </row>
    <row r="342" spans="1:30" x14ac:dyDescent="0.25">
      <c r="A342">
        <v>8</v>
      </c>
      <c r="B342" s="3">
        <v>42460</v>
      </c>
      <c r="C342" s="3"/>
      <c r="H342" s="5">
        <v>10.29</v>
      </c>
      <c r="I342" t="s">
        <v>89</v>
      </c>
      <c r="L342" s="7">
        <v>7.7999999999999996E-3</v>
      </c>
      <c r="M342" t="s">
        <v>89</v>
      </c>
      <c r="AC342" t="str">
        <f>IFERROR(VLOOKUP($A342,fund_metadata!$A:$P,2,FALSE),"")</f>
        <v>AMG Pantheon</v>
      </c>
      <c r="AD342" t="str">
        <f>IFERROR(VLOOKUP($A342,fund_metadata!$A:$P,16,FALSE),"")</f>
        <v>secondaries</v>
      </c>
    </row>
    <row r="343" spans="1:30" x14ac:dyDescent="0.25">
      <c r="A343">
        <v>8</v>
      </c>
      <c r="B343" s="3">
        <v>42490</v>
      </c>
      <c r="C343" s="3"/>
      <c r="H343" s="5">
        <v>10.29</v>
      </c>
      <c r="I343" t="s">
        <v>89</v>
      </c>
      <c r="L343" s="7">
        <v>0</v>
      </c>
      <c r="M343" t="s">
        <v>89</v>
      </c>
      <c r="AC343" t="str">
        <f>IFERROR(VLOOKUP($A343,fund_metadata!$A:$P,2,FALSE),"")</f>
        <v>AMG Pantheon</v>
      </c>
      <c r="AD343" t="str">
        <f>IFERROR(VLOOKUP($A343,fund_metadata!$A:$P,16,FALSE),"")</f>
        <v>secondaries</v>
      </c>
    </row>
    <row r="344" spans="1:30" x14ac:dyDescent="0.25">
      <c r="A344">
        <v>8</v>
      </c>
      <c r="B344" s="3">
        <v>42521</v>
      </c>
      <c r="C344" s="3"/>
      <c r="H344" s="5">
        <v>10.32</v>
      </c>
      <c r="I344" t="s">
        <v>89</v>
      </c>
      <c r="L344" s="7">
        <v>2.8999999999999998E-3</v>
      </c>
      <c r="M344" t="s">
        <v>89</v>
      </c>
      <c r="AC344" t="str">
        <f>IFERROR(VLOOKUP($A344,fund_metadata!$A:$P,2,FALSE),"")</f>
        <v>AMG Pantheon</v>
      </c>
      <c r="AD344" t="str">
        <f>IFERROR(VLOOKUP($A344,fund_metadata!$A:$P,16,FALSE),"")</f>
        <v>secondaries</v>
      </c>
    </row>
    <row r="345" spans="1:30" x14ac:dyDescent="0.25">
      <c r="A345">
        <v>8</v>
      </c>
      <c r="B345" s="3">
        <v>42551</v>
      </c>
      <c r="C345" s="3"/>
      <c r="H345" s="5">
        <v>10.32</v>
      </c>
      <c r="I345" t="s">
        <v>89</v>
      </c>
      <c r="L345" s="7">
        <v>0</v>
      </c>
      <c r="M345" t="s">
        <v>89</v>
      </c>
      <c r="AC345" t="str">
        <f>IFERROR(VLOOKUP($A345,fund_metadata!$A:$P,2,FALSE),"")</f>
        <v>AMG Pantheon</v>
      </c>
      <c r="AD345" t="str">
        <f>IFERROR(VLOOKUP($A345,fund_metadata!$A:$P,16,FALSE),"")</f>
        <v>secondaries</v>
      </c>
    </row>
    <row r="346" spans="1:30" x14ac:dyDescent="0.25">
      <c r="A346">
        <v>8</v>
      </c>
      <c r="B346" s="3">
        <v>42582</v>
      </c>
      <c r="C346" s="3"/>
      <c r="H346" s="5">
        <v>10.36</v>
      </c>
      <c r="I346" t="s">
        <v>89</v>
      </c>
      <c r="L346" s="7">
        <v>3.8999999999999998E-3</v>
      </c>
      <c r="M346" t="s">
        <v>89</v>
      </c>
      <c r="AC346" t="str">
        <f>IFERROR(VLOOKUP($A346,fund_metadata!$A:$P,2,FALSE),"")</f>
        <v>AMG Pantheon</v>
      </c>
      <c r="AD346" t="str">
        <f>IFERROR(VLOOKUP($A346,fund_metadata!$A:$P,16,FALSE),"")</f>
        <v>secondaries</v>
      </c>
    </row>
    <row r="347" spans="1:30" x14ac:dyDescent="0.25">
      <c r="A347">
        <v>8</v>
      </c>
      <c r="B347" s="3">
        <v>42613</v>
      </c>
      <c r="C347" s="3"/>
      <c r="H347" s="5">
        <v>10.39</v>
      </c>
      <c r="I347" t="s">
        <v>89</v>
      </c>
      <c r="L347" s="7">
        <v>2.8999999999999998E-3</v>
      </c>
      <c r="M347" t="s">
        <v>89</v>
      </c>
      <c r="AC347" t="str">
        <f>IFERROR(VLOOKUP($A347,fund_metadata!$A:$P,2,FALSE),"")</f>
        <v>AMG Pantheon</v>
      </c>
      <c r="AD347" t="str">
        <f>IFERROR(VLOOKUP($A347,fund_metadata!$A:$P,16,FALSE),"")</f>
        <v>secondaries</v>
      </c>
    </row>
    <row r="348" spans="1:30" x14ac:dyDescent="0.25">
      <c r="A348">
        <v>8</v>
      </c>
      <c r="B348" s="3">
        <v>42643</v>
      </c>
      <c r="C348" s="3"/>
      <c r="H348" s="5">
        <v>10.39</v>
      </c>
      <c r="I348" t="s">
        <v>89</v>
      </c>
      <c r="L348" s="7">
        <v>0</v>
      </c>
      <c r="M348" t="s">
        <v>89</v>
      </c>
      <c r="O348">
        <v>2700000</v>
      </c>
      <c r="P348" t="s">
        <v>89</v>
      </c>
      <c r="AC348" t="str">
        <f>IFERROR(VLOOKUP($A348,fund_metadata!$A:$P,2,FALSE),"")</f>
        <v>AMG Pantheon</v>
      </c>
      <c r="AD348" t="str">
        <f>IFERROR(VLOOKUP($A348,fund_metadata!$A:$P,16,FALSE),"")</f>
        <v>secondaries</v>
      </c>
    </row>
    <row r="349" spans="1:30" x14ac:dyDescent="0.25">
      <c r="A349">
        <v>8</v>
      </c>
      <c r="B349" s="3">
        <v>42674</v>
      </c>
      <c r="C349" s="3"/>
      <c r="H349" s="5">
        <v>10.35</v>
      </c>
      <c r="I349" t="s">
        <v>89</v>
      </c>
      <c r="L349" s="7">
        <v>-3.8E-3</v>
      </c>
      <c r="M349" t="s">
        <v>89</v>
      </c>
      <c r="AC349" t="str">
        <f>IFERROR(VLOOKUP($A349,fund_metadata!$A:$P,2,FALSE),"")</f>
        <v>AMG Pantheon</v>
      </c>
      <c r="AD349" t="str">
        <f>IFERROR(VLOOKUP($A349,fund_metadata!$A:$P,16,FALSE),"")</f>
        <v>secondaries</v>
      </c>
    </row>
    <row r="350" spans="1:30" x14ac:dyDescent="0.25">
      <c r="A350">
        <v>8</v>
      </c>
      <c r="B350" s="3">
        <v>42704</v>
      </c>
      <c r="C350" s="3"/>
      <c r="H350" s="5">
        <v>10.55</v>
      </c>
      <c r="I350" t="s">
        <v>89</v>
      </c>
      <c r="L350" s="7">
        <v>1.9300000000000001E-2</v>
      </c>
      <c r="M350" t="s">
        <v>89</v>
      </c>
      <c r="AC350" t="str">
        <f>IFERROR(VLOOKUP($A350,fund_metadata!$A:$P,2,FALSE),"")</f>
        <v>AMG Pantheon</v>
      </c>
      <c r="AD350" t="str">
        <f>IFERROR(VLOOKUP($A350,fund_metadata!$A:$P,16,FALSE),"")</f>
        <v>secondaries</v>
      </c>
    </row>
    <row r="351" spans="1:30" x14ac:dyDescent="0.25">
      <c r="A351">
        <v>8</v>
      </c>
      <c r="B351" s="3">
        <v>42735</v>
      </c>
      <c r="C351" s="3"/>
      <c r="H351" s="5">
        <v>10.57</v>
      </c>
      <c r="I351" t="s">
        <v>89</v>
      </c>
      <c r="L351" s="7">
        <v>1.9E-3</v>
      </c>
      <c r="M351" t="s">
        <v>89</v>
      </c>
      <c r="AC351" t="str">
        <f>IFERROR(VLOOKUP($A351,fund_metadata!$A:$P,2,FALSE),"")</f>
        <v>AMG Pantheon</v>
      </c>
      <c r="AD351" t="str">
        <f>IFERROR(VLOOKUP($A351,fund_metadata!$A:$P,16,FALSE),"")</f>
        <v>secondaries</v>
      </c>
    </row>
    <row r="352" spans="1:30" x14ac:dyDescent="0.25">
      <c r="A352">
        <v>8</v>
      </c>
      <c r="B352" s="3">
        <v>42766</v>
      </c>
      <c r="C352" s="3"/>
      <c r="H352" s="5">
        <v>10.58</v>
      </c>
      <c r="I352" t="s">
        <v>89</v>
      </c>
      <c r="L352" s="7">
        <v>8.9999999999999998E-4</v>
      </c>
      <c r="M352" t="s">
        <v>89</v>
      </c>
      <c r="AC352" t="str">
        <f>IFERROR(VLOOKUP($A352,fund_metadata!$A:$P,2,FALSE),"")</f>
        <v>AMG Pantheon</v>
      </c>
      <c r="AD352" t="str">
        <f>IFERROR(VLOOKUP($A352,fund_metadata!$A:$P,16,FALSE),"")</f>
        <v>secondaries</v>
      </c>
    </row>
    <row r="353" spans="1:30" x14ac:dyDescent="0.25">
      <c r="A353">
        <v>8</v>
      </c>
      <c r="B353" s="3">
        <v>42794</v>
      </c>
      <c r="C353" s="3"/>
      <c r="H353" s="5">
        <v>10.72</v>
      </c>
      <c r="I353" t="s">
        <v>89</v>
      </c>
      <c r="L353" s="7">
        <v>1.32E-2</v>
      </c>
      <c r="M353" t="s">
        <v>89</v>
      </c>
      <c r="AC353" t="str">
        <f>IFERROR(VLOOKUP($A353,fund_metadata!$A:$P,2,FALSE),"")</f>
        <v>AMG Pantheon</v>
      </c>
      <c r="AD353" t="str">
        <f>IFERROR(VLOOKUP($A353,fund_metadata!$A:$P,16,FALSE),"")</f>
        <v>secondaries</v>
      </c>
    </row>
    <row r="354" spans="1:30" x14ac:dyDescent="0.25">
      <c r="A354">
        <v>8</v>
      </c>
      <c r="B354" s="3">
        <v>42825</v>
      </c>
      <c r="C354" s="3"/>
      <c r="H354" s="5">
        <v>10.83</v>
      </c>
      <c r="I354" t="s">
        <v>89</v>
      </c>
      <c r="L354" s="7">
        <v>1.03E-2</v>
      </c>
      <c r="M354" t="s">
        <v>89</v>
      </c>
      <c r="AC354" t="str">
        <f>IFERROR(VLOOKUP($A354,fund_metadata!$A:$P,2,FALSE),"")</f>
        <v>AMG Pantheon</v>
      </c>
      <c r="AD354" t="str">
        <f>IFERROR(VLOOKUP($A354,fund_metadata!$A:$P,16,FALSE),"")</f>
        <v>secondaries</v>
      </c>
    </row>
    <row r="355" spans="1:30" x14ac:dyDescent="0.25">
      <c r="A355">
        <v>8</v>
      </c>
      <c r="B355" s="3">
        <v>42855</v>
      </c>
      <c r="C355" s="3"/>
      <c r="H355" s="5">
        <v>10.84</v>
      </c>
      <c r="I355" t="s">
        <v>89</v>
      </c>
      <c r="L355" s="7">
        <v>8.9999999999999998E-4</v>
      </c>
      <c r="M355" t="s">
        <v>89</v>
      </c>
      <c r="AC355" t="str">
        <f>IFERROR(VLOOKUP($A355,fund_metadata!$A:$P,2,FALSE),"")</f>
        <v>AMG Pantheon</v>
      </c>
      <c r="AD355" t="str">
        <f>IFERROR(VLOOKUP($A355,fund_metadata!$A:$P,16,FALSE),"")</f>
        <v>secondaries</v>
      </c>
    </row>
    <row r="356" spans="1:30" x14ac:dyDescent="0.25">
      <c r="A356">
        <v>8</v>
      </c>
      <c r="B356" s="3">
        <v>42886</v>
      </c>
      <c r="C356" s="3"/>
      <c r="H356" s="5">
        <v>11.81</v>
      </c>
      <c r="I356" t="s">
        <v>89</v>
      </c>
      <c r="L356" s="7">
        <v>8.9499999999999996E-2</v>
      </c>
      <c r="M356" t="s">
        <v>89</v>
      </c>
      <c r="AC356" t="str">
        <f>IFERROR(VLOOKUP($A356,fund_metadata!$A:$P,2,FALSE),"")</f>
        <v>AMG Pantheon</v>
      </c>
      <c r="AD356" t="str">
        <f>IFERROR(VLOOKUP($A356,fund_metadata!$A:$P,16,FALSE),"")</f>
        <v>secondaries</v>
      </c>
    </row>
    <row r="357" spans="1:30" x14ac:dyDescent="0.25">
      <c r="A357">
        <v>8</v>
      </c>
      <c r="B357" s="3">
        <v>42916</v>
      </c>
      <c r="C357" s="3"/>
      <c r="H357" s="5">
        <v>11.88</v>
      </c>
      <c r="I357" t="s">
        <v>89</v>
      </c>
      <c r="L357" s="7">
        <v>5.8999999999999999E-3</v>
      </c>
      <c r="M357" t="s">
        <v>89</v>
      </c>
      <c r="AC357" t="str">
        <f>IFERROR(VLOOKUP($A357,fund_metadata!$A:$P,2,FALSE),"")</f>
        <v>AMG Pantheon</v>
      </c>
      <c r="AD357" t="str">
        <f>IFERROR(VLOOKUP($A357,fund_metadata!$A:$P,16,FALSE),"")</f>
        <v>secondaries</v>
      </c>
    </row>
    <row r="358" spans="1:30" x14ac:dyDescent="0.25">
      <c r="A358">
        <v>8</v>
      </c>
      <c r="B358" s="3">
        <v>42947</v>
      </c>
      <c r="C358" s="3"/>
      <c r="H358" s="5">
        <v>11.97</v>
      </c>
      <c r="I358" t="s">
        <v>89</v>
      </c>
      <c r="L358" s="7">
        <v>7.6E-3</v>
      </c>
      <c r="M358" t="s">
        <v>89</v>
      </c>
      <c r="AC358" t="str">
        <f>IFERROR(VLOOKUP($A358,fund_metadata!$A:$P,2,FALSE),"")</f>
        <v>AMG Pantheon</v>
      </c>
      <c r="AD358" t="str">
        <f>IFERROR(VLOOKUP($A358,fund_metadata!$A:$P,16,FALSE),"")</f>
        <v>secondaries</v>
      </c>
    </row>
    <row r="359" spans="1:30" x14ac:dyDescent="0.25">
      <c r="A359">
        <v>8</v>
      </c>
      <c r="B359" s="3">
        <v>42978</v>
      </c>
      <c r="C359" s="3"/>
      <c r="H359" s="5">
        <v>12.29</v>
      </c>
      <c r="I359" t="s">
        <v>89</v>
      </c>
      <c r="L359" s="7">
        <v>2.6700000000000002E-2</v>
      </c>
      <c r="M359" t="s">
        <v>89</v>
      </c>
      <c r="AC359" t="str">
        <f>IFERROR(VLOOKUP($A359,fund_metadata!$A:$P,2,FALSE),"")</f>
        <v>AMG Pantheon</v>
      </c>
      <c r="AD359" t="str">
        <f>IFERROR(VLOOKUP($A359,fund_metadata!$A:$P,16,FALSE),"")</f>
        <v>secondaries</v>
      </c>
    </row>
    <row r="360" spans="1:30" x14ac:dyDescent="0.25">
      <c r="A360">
        <v>8</v>
      </c>
      <c r="B360" s="3">
        <v>43008</v>
      </c>
      <c r="C360" s="3"/>
      <c r="H360" s="5">
        <v>12.34</v>
      </c>
      <c r="I360" t="s">
        <v>89</v>
      </c>
      <c r="L360" s="7">
        <v>4.1000000000000003E-3</v>
      </c>
      <c r="M360" t="s">
        <v>89</v>
      </c>
      <c r="O360">
        <v>5250000</v>
      </c>
      <c r="P360" t="s">
        <v>89</v>
      </c>
      <c r="AC360" t="str">
        <f>IFERROR(VLOOKUP($A360,fund_metadata!$A:$P,2,FALSE),"")</f>
        <v>AMG Pantheon</v>
      </c>
      <c r="AD360" t="str">
        <f>IFERROR(VLOOKUP($A360,fund_metadata!$A:$P,16,FALSE),"")</f>
        <v>secondaries</v>
      </c>
    </row>
    <row r="361" spans="1:30" x14ac:dyDescent="0.25">
      <c r="A361">
        <v>8</v>
      </c>
      <c r="B361" s="3">
        <v>43039</v>
      </c>
      <c r="C361" s="3"/>
      <c r="H361" s="5">
        <v>12.51</v>
      </c>
      <c r="I361" t="s">
        <v>89</v>
      </c>
      <c r="L361" s="7">
        <v>1.38E-2</v>
      </c>
      <c r="M361" t="s">
        <v>89</v>
      </c>
      <c r="AC361" t="str">
        <f>IFERROR(VLOOKUP($A361,fund_metadata!$A:$P,2,FALSE),"")</f>
        <v>AMG Pantheon</v>
      </c>
      <c r="AD361" t="str">
        <f>IFERROR(VLOOKUP($A361,fund_metadata!$A:$P,16,FALSE),"")</f>
        <v>secondaries</v>
      </c>
    </row>
    <row r="362" spans="1:30" x14ac:dyDescent="0.25">
      <c r="A362">
        <v>8</v>
      </c>
      <c r="B362" s="3">
        <v>43069</v>
      </c>
      <c r="C362" s="3"/>
      <c r="H362" s="5">
        <v>12.62</v>
      </c>
      <c r="I362" t="s">
        <v>89</v>
      </c>
      <c r="L362" s="7">
        <v>8.8000000000000005E-3</v>
      </c>
      <c r="M362" t="s">
        <v>89</v>
      </c>
      <c r="AC362" t="str">
        <f>IFERROR(VLOOKUP($A362,fund_metadata!$A:$P,2,FALSE),"")</f>
        <v>AMG Pantheon</v>
      </c>
      <c r="AD362" t="str">
        <f>IFERROR(VLOOKUP($A362,fund_metadata!$A:$P,16,FALSE),"")</f>
        <v>secondaries</v>
      </c>
    </row>
    <row r="363" spans="1:30" x14ac:dyDescent="0.25">
      <c r="A363">
        <v>8</v>
      </c>
      <c r="B363" s="3">
        <v>43100</v>
      </c>
      <c r="C363" s="3"/>
      <c r="H363" s="5">
        <v>12.63</v>
      </c>
      <c r="I363" t="s">
        <v>89</v>
      </c>
      <c r="L363" s="7">
        <v>1.5E-3</v>
      </c>
      <c r="M363" t="s">
        <v>89</v>
      </c>
      <c r="AC363" t="str">
        <f>IFERROR(VLOOKUP($A363,fund_metadata!$A:$P,2,FALSE),"")</f>
        <v>AMG Pantheon</v>
      </c>
      <c r="AD363" t="str">
        <f>IFERROR(VLOOKUP($A363,fund_metadata!$A:$P,16,FALSE),"")</f>
        <v>secondaries</v>
      </c>
    </row>
    <row r="364" spans="1:30" x14ac:dyDescent="0.25">
      <c r="A364">
        <v>8</v>
      </c>
      <c r="B364" s="3">
        <v>43131</v>
      </c>
      <c r="C364" s="3"/>
      <c r="H364" s="5">
        <v>12.88</v>
      </c>
      <c r="I364" t="s">
        <v>89</v>
      </c>
      <c r="L364" s="7">
        <v>1.9800000000000002E-2</v>
      </c>
      <c r="M364" t="s">
        <v>89</v>
      </c>
      <c r="AC364" t="str">
        <f>IFERROR(VLOOKUP($A364,fund_metadata!$A:$P,2,FALSE),"")</f>
        <v>AMG Pantheon</v>
      </c>
      <c r="AD364" t="str">
        <f>IFERROR(VLOOKUP($A364,fund_metadata!$A:$P,16,FALSE),"")</f>
        <v>secondaries</v>
      </c>
    </row>
    <row r="365" spans="1:30" x14ac:dyDescent="0.25">
      <c r="A365">
        <v>8</v>
      </c>
      <c r="B365" s="3">
        <v>43159</v>
      </c>
      <c r="C365" s="3"/>
      <c r="H365" s="5">
        <v>12.95</v>
      </c>
      <c r="I365" t="s">
        <v>89</v>
      </c>
      <c r="L365" s="7">
        <v>5.4000000000000003E-3</v>
      </c>
      <c r="M365" t="s">
        <v>89</v>
      </c>
      <c r="AC365" t="str">
        <f>IFERROR(VLOOKUP($A365,fund_metadata!$A:$P,2,FALSE),"")</f>
        <v>AMG Pantheon</v>
      </c>
      <c r="AD365" t="str">
        <f>IFERROR(VLOOKUP($A365,fund_metadata!$A:$P,16,FALSE),"")</f>
        <v>secondaries</v>
      </c>
    </row>
    <row r="366" spans="1:30" x14ac:dyDescent="0.25">
      <c r="A366">
        <v>8</v>
      </c>
      <c r="B366" s="3">
        <v>43190</v>
      </c>
      <c r="C366" s="3"/>
      <c r="H366" s="5">
        <v>13.3</v>
      </c>
      <c r="I366" t="s">
        <v>89</v>
      </c>
      <c r="L366" s="7">
        <v>2.7E-2</v>
      </c>
      <c r="M366" t="s">
        <v>89</v>
      </c>
      <c r="O366">
        <v>7170000</v>
      </c>
      <c r="P366" t="s">
        <v>89</v>
      </c>
      <c r="AC366" t="str">
        <f>IFERROR(VLOOKUP($A366,fund_metadata!$A:$P,2,FALSE),"")</f>
        <v>AMG Pantheon</v>
      </c>
      <c r="AD366" t="str">
        <f>IFERROR(VLOOKUP($A366,fund_metadata!$A:$P,16,FALSE),"")</f>
        <v>secondaries</v>
      </c>
    </row>
    <row r="367" spans="1:30" x14ac:dyDescent="0.25">
      <c r="A367">
        <v>8</v>
      </c>
      <c r="B367" s="3">
        <v>43220</v>
      </c>
      <c r="C367" s="3"/>
      <c r="H367" s="5">
        <v>13.44</v>
      </c>
      <c r="I367" t="s">
        <v>89</v>
      </c>
      <c r="L367" s="7">
        <v>1.0500000000000001E-2</v>
      </c>
      <c r="M367" t="s">
        <v>89</v>
      </c>
      <c r="AC367" t="str">
        <f>IFERROR(VLOOKUP($A367,fund_metadata!$A:$P,2,FALSE),"")</f>
        <v>AMG Pantheon</v>
      </c>
      <c r="AD367" t="str">
        <f>IFERROR(VLOOKUP($A367,fund_metadata!$A:$P,16,FALSE),"")</f>
        <v>secondaries</v>
      </c>
    </row>
    <row r="368" spans="1:30" x14ac:dyDescent="0.25">
      <c r="A368">
        <v>8</v>
      </c>
      <c r="B368" s="3">
        <v>43251</v>
      </c>
      <c r="C368" s="3"/>
      <c r="H368" s="5">
        <v>13.52</v>
      </c>
      <c r="I368" t="s">
        <v>89</v>
      </c>
      <c r="L368" s="7">
        <v>6.0000000000000001E-3</v>
      </c>
      <c r="M368" t="s">
        <v>89</v>
      </c>
      <c r="AC368" t="str">
        <f>IFERROR(VLOOKUP($A368,fund_metadata!$A:$P,2,FALSE),"")</f>
        <v>AMG Pantheon</v>
      </c>
      <c r="AD368" t="str">
        <f>IFERROR(VLOOKUP($A368,fund_metadata!$A:$P,16,FALSE),"")</f>
        <v>secondaries</v>
      </c>
    </row>
    <row r="369" spans="1:30" x14ac:dyDescent="0.25">
      <c r="A369">
        <v>8</v>
      </c>
      <c r="B369" s="3">
        <v>43281</v>
      </c>
      <c r="C369" s="3"/>
      <c r="H369" s="5">
        <v>13.65</v>
      </c>
      <c r="I369" t="s">
        <v>89</v>
      </c>
      <c r="L369" s="7">
        <v>9.5999999999999992E-3</v>
      </c>
      <c r="M369" t="s">
        <v>89</v>
      </c>
      <c r="AC369" t="str">
        <f>IFERROR(VLOOKUP($A369,fund_metadata!$A:$P,2,FALSE),"")</f>
        <v>AMG Pantheon</v>
      </c>
      <c r="AD369" t="str">
        <f>IFERROR(VLOOKUP($A369,fund_metadata!$A:$P,16,FALSE),"")</f>
        <v>secondaries</v>
      </c>
    </row>
    <row r="370" spans="1:30" x14ac:dyDescent="0.25">
      <c r="A370">
        <v>8</v>
      </c>
      <c r="B370" s="3">
        <v>43312</v>
      </c>
      <c r="C370" s="3"/>
      <c r="H370" s="5">
        <v>14</v>
      </c>
      <c r="I370" t="s">
        <v>89</v>
      </c>
      <c r="L370" s="7">
        <v>2.5600000000000001E-2</v>
      </c>
      <c r="M370" t="s">
        <v>89</v>
      </c>
      <c r="AC370" t="str">
        <f>IFERROR(VLOOKUP($A370,fund_metadata!$A:$P,2,FALSE),"")</f>
        <v>AMG Pantheon</v>
      </c>
      <c r="AD370" t="str">
        <f>IFERROR(VLOOKUP($A370,fund_metadata!$A:$P,16,FALSE),"")</f>
        <v>secondaries</v>
      </c>
    </row>
    <row r="371" spans="1:30" x14ac:dyDescent="0.25">
      <c r="A371">
        <v>8</v>
      </c>
      <c r="B371" s="3">
        <v>43343</v>
      </c>
      <c r="C371" s="3"/>
      <c r="H371" s="5">
        <v>14.18</v>
      </c>
      <c r="I371" t="s">
        <v>89</v>
      </c>
      <c r="L371" s="7">
        <v>1.29E-2</v>
      </c>
      <c r="M371" t="s">
        <v>89</v>
      </c>
      <c r="AC371" t="str">
        <f>IFERROR(VLOOKUP($A371,fund_metadata!$A:$P,2,FALSE),"")</f>
        <v>AMG Pantheon</v>
      </c>
      <c r="AD371" t="str">
        <f>IFERROR(VLOOKUP($A371,fund_metadata!$A:$P,16,FALSE),"")</f>
        <v>secondaries</v>
      </c>
    </row>
    <row r="372" spans="1:30" x14ac:dyDescent="0.25">
      <c r="A372">
        <v>8</v>
      </c>
      <c r="B372" s="3">
        <v>43373</v>
      </c>
      <c r="C372" s="3"/>
      <c r="H372" s="5">
        <v>14.22</v>
      </c>
      <c r="I372" t="s">
        <v>89</v>
      </c>
      <c r="L372" s="7">
        <v>2.8E-3</v>
      </c>
      <c r="M372" t="s">
        <v>89</v>
      </c>
      <c r="O372">
        <v>19040000</v>
      </c>
      <c r="P372" t="s">
        <v>89</v>
      </c>
      <c r="AC372" t="str">
        <f>IFERROR(VLOOKUP($A372,fund_metadata!$A:$P,2,FALSE),"")</f>
        <v>AMG Pantheon</v>
      </c>
      <c r="AD372" t="str">
        <f>IFERROR(VLOOKUP($A372,fund_metadata!$A:$P,16,FALSE),"")</f>
        <v>secondaries</v>
      </c>
    </row>
    <row r="373" spans="1:30" x14ac:dyDescent="0.25">
      <c r="A373">
        <v>8</v>
      </c>
      <c r="B373" s="3">
        <v>43404</v>
      </c>
      <c r="C373" s="3"/>
      <c r="H373" s="5">
        <v>13.86</v>
      </c>
      <c r="I373" t="s">
        <v>89</v>
      </c>
      <c r="L373" s="7">
        <v>-2.53E-2</v>
      </c>
      <c r="M373" t="s">
        <v>89</v>
      </c>
      <c r="AC373" t="str">
        <f>IFERROR(VLOOKUP($A373,fund_metadata!$A:$P,2,FALSE),"")</f>
        <v>AMG Pantheon</v>
      </c>
      <c r="AD373" t="str">
        <f>IFERROR(VLOOKUP($A373,fund_metadata!$A:$P,16,FALSE),"")</f>
        <v>secondaries</v>
      </c>
    </row>
    <row r="374" spans="1:30" x14ac:dyDescent="0.25">
      <c r="A374">
        <v>8</v>
      </c>
      <c r="B374" s="3">
        <v>43434</v>
      </c>
      <c r="C374" s="3"/>
      <c r="H374" s="5">
        <v>13.92</v>
      </c>
      <c r="I374" t="s">
        <v>89</v>
      </c>
      <c r="L374" s="7">
        <v>4.3E-3</v>
      </c>
      <c r="M374" t="s">
        <v>89</v>
      </c>
      <c r="AC374" t="str">
        <f>IFERROR(VLOOKUP($A374,fund_metadata!$A:$P,2,FALSE),"")</f>
        <v>AMG Pantheon</v>
      </c>
      <c r="AD374" t="str">
        <f>IFERROR(VLOOKUP($A374,fund_metadata!$A:$P,16,FALSE),"")</f>
        <v>secondaries</v>
      </c>
    </row>
    <row r="375" spans="1:30" x14ac:dyDescent="0.25">
      <c r="A375">
        <v>8</v>
      </c>
      <c r="B375" s="3">
        <v>43465</v>
      </c>
      <c r="C375" s="3"/>
      <c r="H375" s="5">
        <v>13.25</v>
      </c>
      <c r="I375" t="s">
        <v>89</v>
      </c>
      <c r="J375">
        <v>0.28999999999999998</v>
      </c>
      <c r="K375" t="s">
        <v>89</v>
      </c>
      <c r="L375" s="7">
        <v>-2.35E-2</v>
      </c>
      <c r="M375" t="s">
        <v>89</v>
      </c>
      <c r="AC375" t="str">
        <f>IFERROR(VLOOKUP($A375,fund_metadata!$A:$P,2,FALSE),"")</f>
        <v>AMG Pantheon</v>
      </c>
      <c r="AD375" t="str">
        <f>IFERROR(VLOOKUP($A375,fund_metadata!$A:$P,16,FALSE),"")</f>
        <v>secondaries</v>
      </c>
    </row>
    <row r="376" spans="1:30" x14ac:dyDescent="0.25">
      <c r="A376">
        <v>8</v>
      </c>
      <c r="B376" s="3">
        <v>43496</v>
      </c>
      <c r="C376" s="3"/>
      <c r="H376" s="5">
        <v>13.3</v>
      </c>
      <c r="I376" t="s">
        <v>89</v>
      </c>
      <c r="L376" s="7">
        <v>3.8E-3</v>
      </c>
      <c r="M376" t="s">
        <v>89</v>
      </c>
      <c r="AC376" t="str">
        <f>IFERROR(VLOOKUP($A376,fund_metadata!$A:$P,2,FALSE),"")</f>
        <v>AMG Pantheon</v>
      </c>
      <c r="AD376" t="str">
        <f>IFERROR(VLOOKUP($A376,fund_metadata!$A:$P,16,FALSE),"")</f>
        <v>secondaries</v>
      </c>
    </row>
    <row r="377" spans="1:30" x14ac:dyDescent="0.25">
      <c r="A377">
        <v>8</v>
      </c>
      <c r="B377" s="3">
        <v>43524</v>
      </c>
      <c r="C377" s="3"/>
      <c r="H377" s="5">
        <v>13.69</v>
      </c>
      <c r="I377" t="s">
        <v>89</v>
      </c>
      <c r="L377" s="7">
        <v>2.93E-2</v>
      </c>
      <c r="M377" t="s">
        <v>89</v>
      </c>
      <c r="AC377" t="str">
        <f>IFERROR(VLOOKUP($A377,fund_metadata!$A:$P,2,FALSE),"")</f>
        <v>AMG Pantheon</v>
      </c>
      <c r="AD377" t="str">
        <f>IFERROR(VLOOKUP($A377,fund_metadata!$A:$P,16,FALSE),"")</f>
        <v>secondaries</v>
      </c>
    </row>
    <row r="378" spans="1:30" x14ac:dyDescent="0.25">
      <c r="A378">
        <v>8</v>
      </c>
      <c r="B378" s="3">
        <v>43555</v>
      </c>
      <c r="C378" s="3"/>
      <c r="H378" s="5">
        <v>13.69</v>
      </c>
      <c r="I378" t="s">
        <v>89</v>
      </c>
      <c r="L378" s="7">
        <v>0</v>
      </c>
      <c r="M378" t="s">
        <v>89</v>
      </c>
      <c r="O378">
        <v>37050000</v>
      </c>
      <c r="P378" t="s">
        <v>89</v>
      </c>
      <c r="AC378" t="str">
        <f>IFERROR(VLOOKUP($A378,fund_metadata!$A:$P,2,FALSE),"")</f>
        <v>AMG Pantheon</v>
      </c>
      <c r="AD378" t="str">
        <f>IFERROR(VLOOKUP($A378,fund_metadata!$A:$P,16,FALSE),"")</f>
        <v>secondaries</v>
      </c>
    </row>
    <row r="379" spans="1:30" x14ac:dyDescent="0.25">
      <c r="A379">
        <v>8</v>
      </c>
      <c r="B379" s="3">
        <v>43585</v>
      </c>
      <c r="C379" s="3"/>
      <c r="H379" s="5">
        <v>13.94</v>
      </c>
      <c r="I379" t="s">
        <v>89</v>
      </c>
      <c r="L379" s="7">
        <v>1.83E-2</v>
      </c>
      <c r="M379" t="s">
        <v>89</v>
      </c>
      <c r="AC379" t="str">
        <f>IFERROR(VLOOKUP($A379,fund_metadata!$A:$P,2,FALSE),"")</f>
        <v>AMG Pantheon</v>
      </c>
      <c r="AD379" t="str">
        <f>IFERROR(VLOOKUP($A379,fund_metadata!$A:$P,16,FALSE),"")</f>
        <v>secondaries</v>
      </c>
    </row>
    <row r="380" spans="1:30" x14ac:dyDescent="0.25">
      <c r="A380">
        <v>8</v>
      </c>
      <c r="B380" s="3">
        <v>43616</v>
      </c>
      <c r="C380" s="3"/>
      <c r="H380" s="5">
        <v>14.2</v>
      </c>
      <c r="I380" t="s">
        <v>89</v>
      </c>
      <c r="L380" s="7">
        <v>1.8700000000000001E-2</v>
      </c>
      <c r="M380" t="s">
        <v>89</v>
      </c>
      <c r="AC380" t="str">
        <f>IFERROR(VLOOKUP($A380,fund_metadata!$A:$P,2,FALSE),"")</f>
        <v>AMG Pantheon</v>
      </c>
      <c r="AD380" t="str">
        <f>IFERROR(VLOOKUP($A380,fund_metadata!$A:$P,16,FALSE),"")</f>
        <v>secondaries</v>
      </c>
    </row>
    <row r="381" spans="1:30" x14ac:dyDescent="0.25">
      <c r="A381">
        <v>8</v>
      </c>
      <c r="B381" s="3">
        <v>43646</v>
      </c>
      <c r="C381" s="3"/>
      <c r="H381" s="5">
        <v>14.19</v>
      </c>
      <c r="I381" t="s">
        <v>89</v>
      </c>
      <c r="L381" s="7">
        <v>-6.9999999999999999E-4</v>
      </c>
      <c r="M381" t="s">
        <v>89</v>
      </c>
      <c r="AC381" t="str">
        <f>IFERROR(VLOOKUP($A381,fund_metadata!$A:$P,2,FALSE),"")</f>
        <v>AMG Pantheon</v>
      </c>
      <c r="AD381" t="str">
        <f>IFERROR(VLOOKUP($A381,fund_metadata!$A:$P,16,FALSE),"")</f>
        <v>secondaries</v>
      </c>
    </row>
    <row r="382" spans="1:30" x14ac:dyDescent="0.25">
      <c r="A382">
        <v>8</v>
      </c>
      <c r="B382" s="3">
        <v>43677</v>
      </c>
      <c r="C382" s="3"/>
      <c r="H382" s="5">
        <v>14.55</v>
      </c>
      <c r="I382" t="s">
        <v>89</v>
      </c>
      <c r="L382" s="7">
        <v>2.5399999999999999E-2</v>
      </c>
      <c r="M382" t="s">
        <v>89</v>
      </c>
      <c r="AC382" t="str">
        <f>IFERROR(VLOOKUP($A382,fund_metadata!$A:$P,2,FALSE),"")</f>
        <v>AMG Pantheon</v>
      </c>
      <c r="AD382" t="str">
        <f>IFERROR(VLOOKUP($A382,fund_metadata!$A:$P,16,FALSE),"")</f>
        <v>secondaries</v>
      </c>
    </row>
    <row r="383" spans="1:30" x14ac:dyDescent="0.25">
      <c r="A383">
        <v>8</v>
      </c>
      <c r="B383" s="3">
        <v>43708</v>
      </c>
      <c r="C383" s="3"/>
      <c r="H383" s="5">
        <v>14.62</v>
      </c>
      <c r="I383" t="s">
        <v>89</v>
      </c>
      <c r="L383" s="7">
        <v>4.7999999999999996E-3</v>
      </c>
      <c r="M383" t="s">
        <v>89</v>
      </c>
      <c r="AC383" t="str">
        <f>IFERROR(VLOOKUP($A383,fund_metadata!$A:$P,2,FALSE),"")</f>
        <v>AMG Pantheon</v>
      </c>
      <c r="AD383" t="str">
        <f>IFERROR(VLOOKUP($A383,fund_metadata!$A:$P,16,FALSE),"")</f>
        <v>secondaries</v>
      </c>
    </row>
    <row r="384" spans="1:30" x14ac:dyDescent="0.25">
      <c r="A384">
        <v>8</v>
      </c>
      <c r="B384" s="3">
        <v>43738</v>
      </c>
      <c r="C384" s="3"/>
      <c r="H384" s="5">
        <v>14.66</v>
      </c>
      <c r="I384" t="s">
        <v>89</v>
      </c>
      <c r="L384" s="7">
        <v>2.7000000000000001E-3</v>
      </c>
      <c r="M384" t="s">
        <v>89</v>
      </c>
      <c r="O384">
        <v>62740000</v>
      </c>
      <c r="P384" t="s">
        <v>89</v>
      </c>
      <c r="AC384" t="str">
        <f>IFERROR(VLOOKUP($A384,fund_metadata!$A:$P,2,FALSE),"")</f>
        <v>AMG Pantheon</v>
      </c>
      <c r="AD384" t="str">
        <f>IFERROR(VLOOKUP($A384,fund_metadata!$A:$P,16,FALSE),"")</f>
        <v>secondaries</v>
      </c>
    </row>
    <row r="385" spans="1:30" x14ac:dyDescent="0.25">
      <c r="A385">
        <v>8</v>
      </c>
      <c r="B385" s="3">
        <v>43769</v>
      </c>
      <c r="C385" s="3"/>
      <c r="H385" s="5">
        <v>14.87</v>
      </c>
      <c r="I385" t="s">
        <v>89</v>
      </c>
      <c r="L385" s="7">
        <v>1.43E-2</v>
      </c>
      <c r="M385" t="s">
        <v>89</v>
      </c>
      <c r="AC385" t="str">
        <f>IFERROR(VLOOKUP($A385,fund_metadata!$A:$P,2,FALSE),"")</f>
        <v>AMG Pantheon</v>
      </c>
      <c r="AD385" t="str">
        <f>IFERROR(VLOOKUP($A385,fund_metadata!$A:$P,16,FALSE),"")</f>
        <v>secondaries</v>
      </c>
    </row>
    <row r="386" spans="1:30" x14ac:dyDescent="0.25">
      <c r="A386">
        <v>8</v>
      </c>
      <c r="B386" s="3">
        <v>43799</v>
      </c>
      <c r="C386" s="3"/>
      <c r="H386" s="5">
        <v>15.11</v>
      </c>
      <c r="I386" t="s">
        <v>89</v>
      </c>
      <c r="L386" s="7">
        <v>1.61E-2</v>
      </c>
      <c r="M386" t="s">
        <v>89</v>
      </c>
      <c r="AC386" t="str">
        <f>IFERROR(VLOOKUP($A386,fund_metadata!$A:$P,2,FALSE),"")</f>
        <v>AMG Pantheon</v>
      </c>
      <c r="AD386" t="str">
        <f>IFERROR(VLOOKUP($A386,fund_metadata!$A:$P,16,FALSE),"")</f>
        <v>secondaries</v>
      </c>
    </row>
    <row r="387" spans="1:30" x14ac:dyDescent="0.25">
      <c r="A387">
        <v>8</v>
      </c>
      <c r="B387" s="3">
        <v>43830</v>
      </c>
      <c r="C387" s="3"/>
      <c r="H387" s="5">
        <v>14.27</v>
      </c>
      <c r="I387" t="s">
        <v>89</v>
      </c>
      <c r="L387" s="7">
        <v>8.6999999999999994E-3</v>
      </c>
      <c r="M387" t="s">
        <v>89</v>
      </c>
      <c r="AC387" t="str">
        <f>IFERROR(VLOOKUP($A387,fund_metadata!$A:$P,2,FALSE),"")</f>
        <v>AMG Pantheon</v>
      </c>
      <c r="AD387" t="str">
        <f>IFERROR(VLOOKUP($A387,fund_metadata!$A:$P,16,FALSE),"")</f>
        <v>secondaries</v>
      </c>
    </row>
    <row r="388" spans="1:30" x14ac:dyDescent="0.25">
      <c r="A388">
        <v>8</v>
      </c>
      <c r="B388" s="3">
        <v>43861</v>
      </c>
      <c r="C388" s="3"/>
      <c r="H388" s="5">
        <v>14.23</v>
      </c>
      <c r="I388" t="s">
        <v>89</v>
      </c>
      <c r="L388" s="7">
        <v>-2.8E-3</v>
      </c>
      <c r="M388" t="s">
        <v>89</v>
      </c>
      <c r="AC388" t="str">
        <f>IFERROR(VLOOKUP($A388,fund_metadata!$A:$P,2,FALSE),"")</f>
        <v>AMG Pantheon</v>
      </c>
      <c r="AD388" t="str">
        <f>IFERROR(VLOOKUP($A388,fund_metadata!$A:$P,16,FALSE),"")</f>
        <v>secondaries</v>
      </c>
    </row>
    <row r="389" spans="1:30" x14ac:dyDescent="0.25">
      <c r="A389">
        <v>8</v>
      </c>
      <c r="B389" s="3">
        <v>43890</v>
      </c>
      <c r="C389" s="3"/>
      <c r="H389" s="5">
        <v>14.23</v>
      </c>
      <c r="I389" t="s">
        <v>89</v>
      </c>
      <c r="L389" s="7">
        <v>0</v>
      </c>
      <c r="M389" t="s">
        <v>89</v>
      </c>
      <c r="AC389" t="str">
        <f>IFERROR(VLOOKUP($A389,fund_metadata!$A:$P,2,FALSE),"")</f>
        <v>AMG Pantheon</v>
      </c>
      <c r="AD389" t="str">
        <f>IFERROR(VLOOKUP($A389,fund_metadata!$A:$P,16,FALSE),"")</f>
        <v>secondaries</v>
      </c>
    </row>
    <row r="390" spans="1:30" x14ac:dyDescent="0.25">
      <c r="A390">
        <v>8</v>
      </c>
      <c r="B390" s="3">
        <v>43921</v>
      </c>
      <c r="C390" s="3"/>
      <c r="H390" s="5">
        <v>13.96</v>
      </c>
      <c r="I390" t="s">
        <v>89</v>
      </c>
      <c r="L390" s="7">
        <v>-1.9E-2</v>
      </c>
      <c r="M390" t="s">
        <v>89</v>
      </c>
      <c r="AC390" t="str">
        <f>IFERROR(VLOOKUP($A390,fund_metadata!$A:$P,2,FALSE),"")</f>
        <v>AMG Pantheon</v>
      </c>
      <c r="AD390" t="str">
        <f>IFERROR(VLOOKUP($A390,fund_metadata!$A:$P,16,FALSE),"")</f>
        <v>secondaries</v>
      </c>
    </row>
    <row r="391" spans="1:30" x14ac:dyDescent="0.25">
      <c r="A391">
        <v>8</v>
      </c>
      <c r="B391" s="3">
        <v>43951</v>
      </c>
      <c r="C391" s="3"/>
      <c r="H391" s="5">
        <v>14.05</v>
      </c>
      <c r="I391" t="s">
        <v>89</v>
      </c>
      <c r="L391" s="7">
        <v>6.4000000000000003E-3</v>
      </c>
      <c r="M391" t="s">
        <v>89</v>
      </c>
      <c r="AC391" t="str">
        <f>IFERROR(VLOOKUP($A391,fund_metadata!$A:$P,2,FALSE),"")</f>
        <v>AMG Pantheon</v>
      </c>
      <c r="AD391" t="str">
        <f>IFERROR(VLOOKUP($A391,fund_metadata!$A:$P,16,FALSE),"")</f>
        <v>secondaries</v>
      </c>
    </row>
    <row r="392" spans="1:30" x14ac:dyDescent="0.25">
      <c r="A392">
        <v>8</v>
      </c>
      <c r="B392" s="3">
        <v>43982</v>
      </c>
      <c r="C392" s="3"/>
      <c r="F392" s="4"/>
      <c r="H392" s="5">
        <v>13.95</v>
      </c>
      <c r="I392" t="s">
        <v>89</v>
      </c>
      <c r="J392" s="5"/>
      <c r="L392" s="2">
        <v>-7.1000000000000004E-3</v>
      </c>
      <c r="M392" t="s">
        <v>89</v>
      </c>
      <c r="O392" s="4"/>
      <c r="AC392" t="str">
        <f>IFERROR(VLOOKUP($A392,fund_metadata!$A:$P,2,FALSE),"")</f>
        <v>AMG Pantheon</v>
      </c>
      <c r="AD392" t="str">
        <f>IFERROR(VLOOKUP($A392,fund_metadata!$A:$P,16,FALSE),"")</f>
        <v>secondaries</v>
      </c>
    </row>
    <row r="393" spans="1:30" x14ac:dyDescent="0.25">
      <c r="A393">
        <v>8</v>
      </c>
      <c r="B393" s="3">
        <v>44012</v>
      </c>
      <c r="C393" s="3"/>
      <c r="F393" s="4"/>
      <c r="H393" s="5">
        <v>13.92</v>
      </c>
      <c r="I393" t="s">
        <v>89</v>
      </c>
      <c r="J393" s="5"/>
      <c r="L393" s="2">
        <v>-2.2000000000000001E-3</v>
      </c>
      <c r="M393" t="s">
        <v>89</v>
      </c>
      <c r="N393">
        <v>1</v>
      </c>
      <c r="O393" s="4"/>
      <c r="AC393" t="str">
        <f>IFERROR(VLOOKUP($A393,fund_metadata!$A:$P,2,FALSE),"")</f>
        <v>AMG Pantheon</v>
      </c>
      <c r="AD393" t="str">
        <f>IFERROR(VLOOKUP($A393,fund_metadata!$A:$P,16,FALSE),"")</f>
        <v>secondaries</v>
      </c>
    </row>
    <row r="394" spans="1:30" x14ac:dyDescent="0.25">
      <c r="A394">
        <v>8</v>
      </c>
      <c r="B394" s="3">
        <v>44043</v>
      </c>
      <c r="C394" s="3"/>
      <c r="F394" s="4"/>
      <c r="H394" s="5">
        <v>14.78</v>
      </c>
      <c r="I394" t="s">
        <v>89</v>
      </c>
      <c r="J394" s="5"/>
      <c r="L394" s="2">
        <v>6.1800000000000001E-2</v>
      </c>
      <c r="M394" t="s">
        <v>89</v>
      </c>
      <c r="O394" s="4"/>
      <c r="AC394" t="str">
        <f>IFERROR(VLOOKUP($A394,fund_metadata!$A:$P,2,FALSE),"")</f>
        <v>AMG Pantheon</v>
      </c>
      <c r="AD394" t="str">
        <f>IFERROR(VLOOKUP($A394,fund_metadata!$A:$P,16,FALSE),"")</f>
        <v>secondaries</v>
      </c>
    </row>
    <row r="395" spans="1:30" x14ac:dyDescent="0.25">
      <c r="A395">
        <v>8</v>
      </c>
      <c r="B395" s="3">
        <v>44074</v>
      </c>
      <c r="C395" s="3"/>
      <c r="F395" s="4"/>
      <c r="H395" s="5">
        <v>15.1</v>
      </c>
      <c r="I395" t="s">
        <v>89</v>
      </c>
      <c r="J395" s="5"/>
      <c r="L395" s="2">
        <v>2.1700000000000001E-2</v>
      </c>
      <c r="M395" t="s">
        <v>89</v>
      </c>
      <c r="O395" s="4"/>
      <c r="AC395" t="str">
        <f>IFERROR(VLOOKUP($A395,fund_metadata!$A:$P,2,FALSE),"")</f>
        <v>AMG Pantheon</v>
      </c>
      <c r="AD395" t="str">
        <f>IFERROR(VLOOKUP($A395,fund_metadata!$A:$P,16,FALSE),"")</f>
        <v>secondaries</v>
      </c>
    </row>
    <row r="396" spans="1:30" x14ac:dyDescent="0.25">
      <c r="A396">
        <v>8</v>
      </c>
      <c r="B396" s="3">
        <v>44104</v>
      </c>
      <c r="C396" s="3"/>
      <c r="F396" s="4"/>
      <c r="H396" s="5">
        <v>15.01</v>
      </c>
      <c r="I396" t="s">
        <v>89</v>
      </c>
      <c r="J396" s="5"/>
      <c r="L396" s="2">
        <v>-6.0000000000000001E-3</v>
      </c>
      <c r="M396" t="s">
        <v>89</v>
      </c>
      <c r="N396">
        <v>1</v>
      </c>
      <c r="O396" s="4">
        <v>148050000</v>
      </c>
      <c r="P396" t="s">
        <v>89</v>
      </c>
      <c r="Q396">
        <v>5811305</v>
      </c>
      <c r="R396" t="s">
        <v>120</v>
      </c>
      <c r="AC396" t="str">
        <f>IFERROR(VLOOKUP($A396,fund_metadata!$A:$P,2,FALSE),"")</f>
        <v>AMG Pantheon</v>
      </c>
      <c r="AD396" t="str">
        <f>IFERROR(VLOOKUP($A396,fund_metadata!$A:$P,16,FALSE),"")</f>
        <v>secondaries</v>
      </c>
    </row>
    <row r="397" spans="1:30" x14ac:dyDescent="0.25">
      <c r="A397">
        <v>8</v>
      </c>
      <c r="B397" s="3">
        <v>44135</v>
      </c>
      <c r="C397" s="3"/>
      <c r="F397" s="4"/>
      <c r="H397" s="5">
        <v>15.64</v>
      </c>
      <c r="I397" t="s">
        <v>89</v>
      </c>
      <c r="J397" s="5"/>
      <c r="L397" s="2">
        <v>4.2000000000000003E-2</v>
      </c>
      <c r="M397" t="s">
        <v>89</v>
      </c>
      <c r="O397" s="4"/>
      <c r="AC397" t="str">
        <f>IFERROR(VLOOKUP($A397,fund_metadata!$A:$P,2,FALSE),"")</f>
        <v>AMG Pantheon</v>
      </c>
      <c r="AD397" t="str">
        <f>IFERROR(VLOOKUP($A397,fund_metadata!$A:$P,16,FALSE),"")</f>
        <v>secondaries</v>
      </c>
    </row>
    <row r="398" spans="1:30" x14ac:dyDescent="0.25">
      <c r="A398">
        <v>8</v>
      </c>
      <c r="B398" s="3">
        <v>44165</v>
      </c>
      <c r="C398" s="3"/>
      <c r="F398" s="4"/>
      <c r="H398" s="5">
        <v>15.89</v>
      </c>
      <c r="I398" t="s">
        <v>89</v>
      </c>
      <c r="J398" s="5"/>
      <c r="L398" s="2">
        <v>1.6E-2</v>
      </c>
      <c r="M398" t="s">
        <v>89</v>
      </c>
      <c r="O398" s="4"/>
      <c r="AC398" t="str">
        <f>IFERROR(VLOOKUP($A398,fund_metadata!$A:$P,2,FALSE),"")</f>
        <v>AMG Pantheon</v>
      </c>
      <c r="AD398" t="str">
        <f>IFERROR(VLOOKUP($A398,fund_metadata!$A:$P,16,FALSE),"")</f>
        <v>secondaries</v>
      </c>
    </row>
    <row r="399" spans="1:30" x14ac:dyDescent="0.25">
      <c r="A399">
        <v>8</v>
      </c>
      <c r="B399" s="3">
        <v>44196</v>
      </c>
      <c r="C399" s="3"/>
      <c r="F399" s="4"/>
      <c r="H399" s="5">
        <v>16.059999999999999</v>
      </c>
      <c r="I399" t="s">
        <v>89</v>
      </c>
      <c r="J399" s="5"/>
      <c r="L399" s="2">
        <v>2.1700000000000001E-2</v>
      </c>
      <c r="M399" t="s">
        <v>89</v>
      </c>
      <c r="N399">
        <v>1</v>
      </c>
      <c r="O399" s="4"/>
      <c r="AC399" t="str">
        <f>IFERROR(VLOOKUP($A399,fund_metadata!$A:$P,2,FALSE),"")</f>
        <v>AMG Pantheon</v>
      </c>
      <c r="AD399" t="str">
        <f>IFERROR(VLOOKUP($A399,fund_metadata!$A:$P,16,FALSE),"")</f>
        <v>secondaries</v>
      </c>
    </row>
    <row r="400" spans="1:30" x14ac:dyDescent="0.25">
      <c r="A400">
        <v>8</v>
      </c>
      <c r="B400" s="3">
        <v>44227</v>
      </c>
      <c r="C400" s="3"/>
      <c r="F400" s="4"/>
      <c r="H400" s="5">
        <v>16.579999999999998</v>
      </c>
      <c r="I400" t="s">
        <v>89</v>
      </c>
      <c r="J400" s="5"/>
      <c r="L400" s="2">
        <v>3.2399999999999998E-2</v>
      </c>
      <c r="M400" t="s">
        <v>89</v>
      </c>
      <c r="O400" s="4"/>
      <c r="AC400" t="str">
        <f>IFERROR(VLOOKUP($A400,fund_metadata!$A:$P,2,FALSE),"")</f>
        <v>AMG Pantheon</v>
      </c>
      <c r="AD400" t="str">
        <f>IFERROR(VLOOKUP($A400,fund_metadata!$A:$P,16,FALSE),"")</f>
        <v>secondaries</v>
      </c>
    </row>
    <row r="401" spans="1:30" x14ac:dyDescent="0.25">
      <c r="A401">
        <v>8</v>
      </c>
      <c r="B401" s="3">
        <v>44255</v>
      </c>
      <c r="C401" s="3"/>
      <c r="F401" s="4"/>
      <c r="H401" s="5">
        <v>17.420000000000002</v>
      </c>
      <c r="I401" t="s">
        <v>89</v>
      </c>
      <c r="J401" s="5"/>
      <c r="L401" s="2">
        <v>5.0700000000000002E-2</v>
      </c>
      <c r="M401" t="s">
        <v>89</v>
      </c>
      <c r="O401" s="4"/>
      <c r="AC401" t="str">
        <f>IFERROR(VLOOKUP($A401,fund_metadata!$A:$P,2,FALSE),"")</f>
        <v>AMG Pantheon</v>
      </c>
      <c r="AD401" t="str">
        <f>IFERROR(VLOOKUP($A401,fund_metadata!$A:$P,16,FALSE),"")</f>
        <v>secondaries</v>
      </c>
    </row>
    <row r="402" spans="1:30" x14ac:dyDescent="0.25">
      <c r="A402">
        <v>8</v>
      </c>
      <c r="B402" s="3">
        <v>44286</v>
      </c>
      <c r="C402" s="3"/>
      <c r="F402" s="4">
        <v>268980000</v>
      </c>
      <c r="G402" t="s">
        <v>89</v>
      </c>
      <c r="H402" s="5">
        <v>17.57</v>
      </c>
      <c r="I402" t="s">
        <v>89</v>
      </c>
      <c r="J402" s="5"/>
      <c r="L402" s="2">
        <v>8.6E-3</v>
      </c>
      <c r="M402" t="s">
        <v>89</v>
      </c>
      <c r="N402">
        <v>1</v>
      </c>
      <c r="O402" s="4">
        <v>306390000</v>
      </c>
      <c r="P402" t="s">
        <v>89</v>
      </c>
      <c r="Q402">
        <v>8241191</v>
      </c>
      <c r="R402" t="s">
        <v>121</v>
      </c>
      <c r="AC402" t="str">
        <f>IFERROR(VLOOKUP($A402,fund_metadata!$A:$P,2,FALSE),"")</f>
        <v>AMG Pantheon</v>
      </c>
      <c r="AD402" t="str">
        <f>IFERROR(VLOOKUP($A402,fund_metadata!$A:$P,16,FALSE),"")</f>
        <v>secondaries</v>
      </c>
    </row>
    <row r="403" spans="1:30" x14ac:dyDescent="0.25">
      <c r="A403">
        <v>8</v>
      </c>
      <c r="B403" s="3">
        <v>44316</v>
      </c>
      <c r="C403" s="3"/>
      <c r="F403" s="4"/>
      <c r="H403" s="5">
        <v>18.16</v>
      </c>
      <c r="I403" t="s">
        <v>89</v>
      </c>
      <c r="J403" s="5"/>
      <c r="L403" s="2">
        <v>3.3599999999999998E-2</v>
      </c>
      <c r="M403" t="s">
        <v>89</v>
      </c>
      <c r="O403" s="4"/>
      <c r="AC403" t="str">
        <f>IFERROR(VLOOKUP($A403,fund_metadata!$A:$P,2,FALSE),"")</f>
        <v>AMG Pantheon</v>
      </c>
      <c r="AD403" t="str">
        <f>IFERROR(VLOOKUP($A403,fund_metadata!$A:$P,16,FALSE),"")</f>
        <v>secondaries</v>
      </c>
    </row>
    <row r="404" spans="1:30" x14ac:dyDescent="0.25">
      <c r="A404">
        <v>8</v>
      </c>
      <c r="B404" s="3">
        <v>44347</v>
      </c>
      <c r="C404" s="3"/>
      <c r="F404" s="4"/>
      <c r="H404" s="5">
        <v>18.649999999999999</v>
      </c>
      <c r="I404" t="s">
        <v>89</v>
      </c>
      <c r="J404" s="5"/>
      <c r="L404" s="2">
        <v>2.7E-2</v>
      </c>
      <c r="M404" t="s">
        <v>89</v>
      </c>
      <c r="O404" s="4"/>
      <c r="AC404" t="str">
        <f>IFERROR(VLOOKUP($A404,fund_metadata!$A:$P,2,FALSE),"")</f>
        <v>AMG Pantheon</v>
      </c>
      <c r="AD404" t="str">
        <f>IFERROR(VLOOKUP($A404,fund_metadata!$A:$P,16,FALSE),"")</f>
        <v>secondaries</v>
      </c>
    </row>
    <row r="405" spans="1:30" x14ac:dyDescent="0.25">
      <c r="A405">
        <v>8</v>
      </c>
      <c r="B405" s="3">
        <v>44377</v>
      </c>
      <c r="C405" s="3"/>
      <c r="F405" s="4"/>
      <c r="H405" s="5">
        <v>18.53</v>
      </c>
      <c r="I405" t="s">
        <v>89</v>
      </c>
      <c r="J405" s="5"/>
      <c r="L405" s="2">
        <v>-6.4000000000000003E-3</v>
      </c>
      <c r="M405" t="s">
        <v>89</v>
      </c>
      <c r="N405">
        <v>1</v>
      </c>
      <c r="O405" s="4"/>
      <c r="AC405" t="str">
        <f>IFERROR(VLOOKUP($A405,fund_metadata!$A:$P,2,FALSE),"")</f>
        <v>AMG Pantheon</v>
      </c>
      <c r="AD405" t="str">
        <f>IFERROR(VLOOKUP($A405,fund_metadata!$A:$P,16,FALSE),"")</f>
        <v>secondaries</v>
      </c>
    </row>
    <row r="406" spans="1:30" x14ac:dyDescent="0.25">
      <c r="A406">
        <v>8</v>
      </c>
      <c r="B406" s="3">
        <v>44408</v>
      </c>
      <c r="C406" s="3"/>
      <c r="F406" s="4"/>
      <c r="H406" s="5">
        <v>19.100000000000001</v>
      </c>
      <c r="I406" t="s">
        <v>89</v>
      </c>
      <c r="J406" s="5"/>
      <c r="L406" s="2">
        <v>3.0800000000000001E-2</v>
      </c>
      <c r="M406" t="s">
        <v>89</v>
      </c>
      <c r="O406" s="4"/>
      <c r="AC406" t="str">
        <f>IFERROR(VLOOKUP($A406,fund_metadata!$A:$P,2,FALSE),"")</f>
        <v>AMG Pantheon</v>
      </c>
      <c r="AD406" t="str">
        <f>IFERROR(VLOOKUP($A406,fund_metadata!$A:$P,16,FALSE),"")</f>
        <v>secondaries</v>
      </c>
    </row>
    <row r="407" spans="1:30" x14ac:dyDescent="0.25">
      <c r="A407">
        <v>8</v>
      </c>
      <c r="B407" s="3">
        <v>44439</v>
      </c>
      <c r="C407" s="3"/>
      <c r="F407" s="4"/>
      <c r="H407" s="5">
        <v>19.71</v>
      </c>
      <c r="I407" t="s">
        <v>89</v>
      </c>
      <c r="J407" s="5"/>
      <c r="L407" s="2">
        <v>3.1899999999999998E-2</v>
      </c>
      <c r="M407" t="s">
        <v>89</v>
      </c>
      <c r="O407" s="4"/>
      <c r="AC407" t="str">
        <f>IFERROR(VLOOKUP($A407,fund_metadata!$A:$P,2,FALSE),"")</f>
        <v>AMG Pantheon</v>
      </c>
      <c r="AD407" t="str">
        <f>IFERROR(VLOOKUP($A407,fund_metadata!$A:$P,16,FALSE),"")</f>
        <v>secondaries</v>
      </c>
    </row>
    <row r="408" spans="1:30" x14ac:dyDescent="0.25">
      <c r="A408">
        <v>8</v>
      </c>
      <c r="B408" s="3">
        <v>44469</v>
      </c>
      <c r="C408" s="3"/>
      <c r="F408" s="4">
        <v>491230000</v>
      </c>
      <c r="G408" t="s">
        <v>89</v>
      </c>
      <c r="H408" s="5">
        <v>19.57</v>
      </c>
      <c r="I408" t="s">
        <v>89</v>
      </c>
      <c r="J408" s="5"/>
      <c r="L408" s="2">
        <v>-7.1000000000000004E-3</v>
      </c>
      <c r="M408" t="s">
        <v>89</v>
      </c>
      <c r="N408">
        <v>1</v>
      </c>
      <c r="O408" s="4">
        <v>528300000</v>
      </c>
      <c r="P408" t="s">
        <v>89</v>
      </c>
      <c r="Q408">
        <v>11673031</v>
      </c>
      <c r="R408" t="s">
        <v>120</v>
      </c>
      <c r="AC408" t="str">
        <f>IFERROR(VLOOKUP($A408,fund_metadata!$A:$P,2,FALSE),"")</f>
        <v>AMG Pantheon</v>
      </c>
      <c r="AD408" t="str">
        <f>IFERROR(VLOOKUP($A408,fund_metadata!$A:$P,16,FALSE),"")</f>
        <v>secondaries</v>
      </c>
    </row>
    <row r="409" spans="1:30" x14ac:dyDescent="0.25">
      <c r="A409">
        <v>8</v>
      </c>
      <c r="B409" s="3">
        <v>44500</v>
      </c>
      <c r="C409" s="3"/>
      <c r="F409" s="4"/>
      <c r="H409" s="5">
        <v>20.04</v>
      </c>
      <c r="I409" t="s">
        <v>89</v>
      </c>
      <c r="J409" s="5"/>
      <c r="L409" s="2">
        <v>2.4E-2</v>
      </c>
      <c r="M409" t="s">
        <v>89</v>
      </c>
      <c r="O409" s="4"/>
      <c r="AC409" t="str">
        <f>IFERROR(VLOOKUP($A409,fund_metadata!$A:$P,2,FALSE),"")</f>
        <v>AMG Pantheon</v>
      </c>
      <c r="AD409" t="str">
        <f>IFERROR(VLOOKUP($A409,fund_metadata!$A:$P,16,FALSE),"")</f>
        <v>secondaries</v>
      </c>
    </row>
    <row r="410" spans="1:30" x14ac:dyDescent="0.25">
      <c r="A410">
        <v>8</v>
      </c>
      <c r="B410" s="3">
        <v>44530</v>
      </c>
      <c r="C410" s="3"/>
      <c r="F410" s="4"/>
      <c r="H410" s="5">
        <v>20.37</v>
      </c>
      <c r="I410" t="s">
        <v>89</v>
      </c>
      <c r="J410" s="5"/>
      <c r="L410" s="2">
        <v>1.6500000000000001E-2</v>
      </c>
      <c r="M410" t="s">
        <v>89</v>
      </c>
      <c r="O410" s="4"/>
      <c r="AC410" t="str">
        <f>IFERROR(VLOOKUP($A410,fund_metadata!$A:$P,2,FALSE),"")</f>
        <v>AMG Pantheon</v>
      </c>
      <c r="AD410" t="str">
        <f>IFERROR(VLOOKUP($A410,fund_metadata!$A:$P,16,FALSE),"")</f>
        <v>secondaries</v>
      </c>
    </row>
    <row r="411" spans="1:30" x14ac:dyDescent="0.25">
      <c r="A411">
        <v>8</v>
      </c>
      <c r="B411" s="3">
        <v>44561</v>
      </c>
      <c r="C411" s="3"/>
      <c r="F411" s="4"/>
      <c r="H411" s="5">
        <v>19.670000000000002</v>
      </c>
      <c r="I411" t="s">
        <v>89</v>
      </c>
      <c r="J411" s="5"/>
      <c r="L411" s="2">
        <v>1E-3</v>
      </c>
      <c r="M411" t="s">
        <v>89</v>
      </c>
      <c r="N411">
        <v>1</v>
      </c>
      <c r="O411" s="4"/>
      <c r="AC411" t="str">
        <f>IFERROR(VLOOKUP($A411,fund_metadata!$A:$P,2,FALSE),"")</f>
        <v>AMG Pantheon</v>
      </c>
      <c r="AD411" t="str">
        <f>IFERROR(VLOOKUP($A411,fund_metadata!$A:$P,16,FALSE),"")</f>
        <v>secondaries</v>
      </c>
    </row>
    <row r="412" spans="1:30" x14ac:dyDescent="0.25">
      <c r="A412">
        <v>8</v>
      </c>
      <c r="B412" s="3">
        <v>44592</v>
      </c>
      <c r="C412" s="3"/>
      <c r="F412" s="4"/>
      <c r="H412" s="5">
        <v>19.670000000000002</v>
      </c>
      <c r="I412" t="s">
        <v>89</v>
      </c>
      <c r="J412" s="5"/>
      <c r="L412" s="2">
        <v>0</v>
      </c>
      <c r="M412" t="s">
        <v>89</v>
      </c>
      <c r="O412" s="4"/>
      <c r="AC412" t="str">
        <f>IFERROR(VLOOKUP($A412,fund_metadata!$A:$P,2,FALSE),"")</f>
        <v>AMG Pantheon</v>
      </c>
      <c r="AD412" t="str">
        <f>IFERROR(VLOOKUP($A412,fund_metadata!$A:$P,16,FALSE),"")</f>
        <v>secondaries</v>
      </c>
    </row>
    <row r="413" spans="1:30" x14ac:dyDescent="0.25">
      <c r="A413">
        <v>8</v>
      </c>
      <c r="B413" s="3">
        <v>44620</v>
      </c>
      <c r="C413" s="3"/>
      <c r="F413" s="4"/>
      <c r="H413" s="5">
        <v>19.87</v>
      </c>
      <c r="I413" t="s">
        <v>89</v>
      </c>
      <c r="J413" s="5"/>
      <c r="L413" s="2">
        <v>1.0200000000000001E-2</v>
      </c>
      <c r="M413" t="s">
        <v>89</v>
      </c>
      <c r="O413" s="4"/>
      <c r="AC413" t="str">
        <f>IFERROR(VLOOKUP($A413,fund_metadata!$A:$P,2,FALSE),"")</f>
        <v>AMG Pantheon</v>
      </c>
      <c r="AD413" t="str">
        <f>IFERROR(VLOOKUP($A413,fund_metadata!$A:$P,16,FALSE),"")</f>
        <v>secondaries</v>
      </c>
    </row>
    <row r="414" spans="1:30" x14ac:dyDescent="0.25">
      <c r="A414">
        <v>8</v>
      </c>
      <c r="B414" s="3">
        <v>44651</v>
      </c>
      <c r="C414" s="3"/>
      <c r="F414" s="4">
        <v>910710000</v>
      </c>
      <c r="G414" t="s">
        <v>89</v>
      </c>
      <c r="H414" s="5">
        <v>20.46</v>
      </c>
      <c r="I414" t="s">
        <v>89</v>
      </c>
      <c r="J414" s="5"/>
      <c r="L414" s="2">
        <v>2.9700000000000001E-2</v>
      </c>
      <c r="M414" t="s">
        <v>89</v>
      </c>
      <c r="N414">
        <v>1</v>
      </c>
      <c r="O414" s="4">
        <v>981250000</v>
      </c>
      <c r="P414" t="s">
        <v>89</v>
      </c>
      <c r="Q414">
        <v>16220264</v>
      </c>
      <c r="R414" t="s">
        <v>121</v>
      </c>
      <c r="AC414" t="str">
        <f>IFERROR(VLOOKUP($A414,fund_metadata!$A:$P,2,FALSE),"")</f>
        <v>AMG Pantheon</v>
      </c>
      <c r="AD414" t="str">
        <f>IFERROR(VLOOKUP($A414,fund_metadata!$A:$P,16,FALSE),"")</f>
        <v>secondaries</v>
      </c>
    </row>
    <row r="415" spans="1:30" x14ac:dyDescent="0.25">
      <c r="A415">
        <v>8</v>
      </c>
      <c r="B415" s="3">
        <v>44681</v>
      </c>
      <c r="C415" s="3"/>
      <c r="F415" s="4"/>
      <c r="H415" s="5">
        <v>20.53</v>
      </c>
      <c r="I415" t="s">
        <v>89</v>
      </c>
      <c r="J415" s="5"/>
      <c r="L415" s="2">
        <v>3.3999999999999998E-3</v>
      </c>
      <c r="M415" t="s">
        <v>89</v>
      </c>
      <c r="O415" s="4"/>
      <c r="AC415" t="str">
        <f>IFERROR(VLOOKUP($A415,fund_metadata!$A:$P,2,FALSE),"")</f>
        <v>AMG Pantheon</v>
      </c>
      <c r="AD415" t="str">
        <f>IFERROR(VLOOKUP($A415,fund_metadata!$A:$P,16,FALSE),"")</f>
        <v>secondaries</v>
      </c>
    </row>
    <row r="416" spans="1:30" x14ac:dyDescent="0.25">
      <c r="A416">
        <v>8</v>
      </c>
      <c r="B416" s="3">
        <v>44712</v>
      </c>
      <c r="C416" s="3"/>
      <c r="F416" s="4"/>
      <c r="H416" s="5">
        <v>20.83</v>
      </c>
      <c r="I416" t="s">
        <v>89</v>
      </c>
      <c r="J416" s="5"/>
      <c r="L416" s="2">
        <v>1.46E-2</v>
      </c>
      <c r="M416" t="s">
        <v>89</v>
      </c>
      <c r="O416" s="4"/>
      <c r="AC416" t="str">
        <f>IFERROR(VLOOKUP($A416,fund_metadata!$A:$P,2,FALSE),"")</f>
        <v>AMG Pantheon</v>
      </c>
      <c r="AD416" t="str">
        <f>IFERROR(VLOOKUP($A416,fund_metadata!$A:$P,16,FALSE),"")</f>
        <v>secondaries</v>
      </c>
    </row>
    <row r="417" spans="1:30" x14ac:dyDescent="0.25">
      <c r="A417">
        <v>8</v>
      </c>
      <c r="B417" s="3">
        <v>44742</v>
      </c>
      <c r="C417" s="3"/>
      <c r="F417" s="4"/>
      <c r="H417" s="5">
        <v>20.51</v>
      </c>
      <c r="I417" t="s">
        <v>89</v>
      </c>
      <c r="J417" s="5"/>
      <c r="L417" s="2">
        <v>-1.54E-2</v>
      </c>
      <c r="M417" t="s">
        <v>89</v>
      </c>
      <c r="N417">
        <v>1</v>
      </c>
      <c r="O417" s="4"/>
      <c r="AC417" t="str">
        <f>IFERROR(VLOOKUP($A417,fund_metadata!$A:$P,2,FALSE),"")</f>
        <v>AMG Pantheon</v>
      </c>
      <c r="AD417" t="str">
        <f>IFERROR(VLOOKUP($A417,fund_metadata!$A:$P,16,FALSE),"")</f>
        <v>secondaries</v>
      </c>
    </row>
    <row r="418" spans="1:30" x14ac:dyDescent="0.25">
      <c r="A418">
        <v>8</v>
      </c>
      <c r="B418" s="3">
        <v>44773</v>
      </c>
      <c r="C418" s="3"/>
      <c r="F418" s="4"/>
      <c r="H418" s="5">
        <v>20.68</v>
      </c>
      <c r="I418" t="s">
        <v>89</v>
      </c>
      <c r="J418" s="5"/>
      <c r="L418" s="2">
        <v>8.3000000000000001E-3</v>
      </c>
      <c r="M418" t="s">
        <v>89</v>
      </c>
      <c r="O418" s="4"/>
      <c r="AC418" t="str">
        <f>IFERROR(VLOOKUP($A418,fund_metadata!$A:$P,2,FALSE),"")</f>
        <v>AMG Pantheon</v>
      </c>
      <c r="AD418" t="str">
        <f>IFERROR(VLOOKUP($A418,fund_metadata!$A:$P,16,FALSE),"")</f>
        <v>secondaries</v>
      </c>
    </row>
    <row r="419" spans="1:30" x14ac:dyDescent="0.25">
      <c r="A419">
        <v>8</v>
      </c>
      <c r="B419" s="3">
        <v>44804</v>
      </c>
      <c r="C419" s="3"/>
      <c r="F419" s="4"/>
      <c r="H419" s="5">
        <v>20.95</v>
      </c>
      <c r="I419" t="s">
        <v>89</v>
      </c>
      <c r="J419" s="5"/>
      <c r="L419" s="2">
        <v>1.3100000000000001E-2</v>
      </c>
      <c r="M419" t="s">
        <v>89</v>
      </c>
      <c r="O419" s="4"/>
      <c r="AC419" t="str">
        <f>IFERROR(VLOOKUP($A419,fund_metadata!$A:$P,2,FALSE),"")</f>
        <v>AMG Pantheon</v>
      </c>
      <c r="AD419" t="str">
        <f>IFERROR(VLOOKUP($A419,fund_metadata!$A:$P,16,FALSE),"")</f>
        <v>secondaries</v>
      </c>
    </row>
    <row r="420" spans="1:30" x14ac:dyDescent="0.25">
      <c r="A420">
        <v>8</v>
      </c>
      <c r="B420" s="3">
        <v>44834</v>
      </c>
      <c r="C420" s="3"/>
      <c r="F420" s="4">
        <v>1200000000</v>
      </c>
      <c r="G420" t="s">
        <v>89</v>
      </c>
      <c r="H420" s="5">
        <v>20.79</v>
      </c>
      <c r="I420" t="s">
        <v>89</v>
      </c>
      <c r="J420" s="5"/>
      <c r="L420" s="2">
        <v>-7.6E-3</v>
      </c>
      <c r="M420" t="s">
        <v>89</v>
      </c>
      <c r="N420">
        <v>1</v>
      </c>
      <c r="O420" s="4">
        <v>1240000000</v>
      </c>
      <c r="P420" t="s">
        <v>89</v>
      </c>
      <c r="Q420">
        <v>18376168</v>
      </c>
      <c r="R420" t="s">
        <v>120</v>
      </c>
      <c r="AC420" t="str">
        <f>IFERROR(VLOOKUP($A420,fund_metadata!$A:$P,2,FALSE),"")</f>
        <v>AMG Pantheon</v>
      </c>
      <c r="AD420" t="str">
        <f>IFERROR(VLOOKUP($A420,fund_metadata!$A:$P,16,FALSE),"")</f>
        <v>secondaries</v>
      </c>
    </row>
    <row r="421" spans="1:30" x14ac:dyDescent="0.25">
      <c r="A421">
        <v>8</v>
      </c>
      <c r="B421" s="3">
        <v>44865</v>
      </c>
      <c r="C421" s="3"/>
      <c r="F421" s="4"/>
      <c r="H421" s="5">
        <v>20.64</v>
      </c>
      <c r="I421" t="s">
        <v>89</v>
      </c>
      <c r="J421" s="5"/>
      <c r="L421" s="2">
        <v>-7.1999999999999998E-3</v>
      </c>
      <c r="M421" t="s">
        <v>89</v>
      </c>
      <c r="O421" s="4"/>
      <c r="AC421" t="str">
        <f>IFERROR(VLOOKUP($A421,fund_metadata!$A:$P,2,FALSE),"")</f>
        <v>AMG Pantheon</v>
      </c>
      <c r="AD421" t="str">
        <f>IFERROR(VLOOKUP($A421,fund_metadata!$A:$P,16,FALSE),"")</f>
        <v>secondaries</v>
      </c>
    </row>
    <row r="422" spans="1:30" x14ac:dyDescent="0.25">
      <c r="A422">
        <v>8</v>
      </c>
      <c r="B422" s="3">
        <v>44895</v>
      </c>
      <c r="C422" s="3"/>
      <c r="F422" s="4"/>
      <c r="H422" s="5">
        <v>21.14</v>
      </c>
      <c r="I422" t="s">
        <v>89</v>
      </c>
      <c r="J422" s="5"/>
      <c r="L422" s="2">
        <v>2.4199999999999999E-2</v>
      </c>
      <c r="M422" t="s">
        <v>89</v>
      </c>
      <c r="O422" s="4"/>
      <c r="AC422" t="str">
        <f>IFERROR(VLOOKUP($A422,fund_metadata!$A:$P,2,FALSE),"")</f>
        <v>AMG Pantheon</v>
      </c>
      <c r="AD422" t="str">
        <f>IFERROR(VLOOKUP($A422,fund_metadata!$A:$P,16,FALSE),"")</f>
        <v>secondaries</v>
      </c>
    </row>
    <row r="423" spans="1:30" x14ac:dyDescent="0.25">
      <c r="A423">
        <v>8</v>
      </c>
      <c r="B423" s="3">
        <v>44926</v>
      </c>
      <c r="C423" s="3"/>
      <c r="F423" s="4"/>
      <c r="H423" s="5">
        <v>20.91</v>
      </c>
      <c r="I423" t="s">
        <v>89</v>
      </c>
      <c r="J423" s="5"/>
      <c r="L423" s="2">
        <v>8.3000000000000001E-3</v>
      </c>
      <c r="M423" t="s">
        <v>89</v>
      </c>
      <c r="N423">
        <v>1</v>
      </c>
      <c r="O423" s="4"/>
      <c r="AC423" t="str">
        <f>IFERROR(VLOOKUP($A423,fund_metadata!$A:$P,2,FALSE),"")</f>
        <v>AMG Pantheon</v>
      </c>
      <c r="AD423" t="str">
        <f>IFERROR(VLOOKUP($A423,fund_metadata!$A:$P,16,FALSE),"")</f>
        <v>secondaries</v>
      </c>
    </row>
    <row r="424" spans="1:30" x14ac:dyDescent="0.25">
      <c r="A424">
        <v>8</v>
      </c>
      <c r="B424" s="3">
        <v>44957</v>
      </c>
      <c r="C424" s="3"/>
      <c r="F424" s="4"/>
      <c r="H424" s="5">
        <v>21.43</v>
      </c>
      <c r="I424" t="s">
        <v>89</v>
      </c>
      <c r="J424" s="5"/>
      <c r="L424" s="2">
        <v>2.4899999999999999E-2</v>
      </c>
      <c r="M424" t="s">
        <v>89</v>
      </c>
      <c r="O424" s="4"/>
      <c r="AC424" t="str">
        <f>IFERROR(VLOOKUP($A424,fund_metadata!$A:$P,2,FALSE),"")</f>
        <v>AMG Pantheon</v>
      </c>
      <c r="AD424" t="str">
        <f>IFERROR(VLOOKUP($A424,fund_metadata!$A:$P,16,FALSE),"")</f>
        <v>secondaries</v>
      </c>
    </row>
    <row r="425" spans="1:30" x14ac:dyDescent="0.25">
      <c r="A425">
        <v>8</v>
      </c>
      <c r="B425" s="3">
        <v>44985</v>
      </c>
      <c r="C425" s="3"/>
      <c r="F425" s="4"/>
      <c r="H425" s="5">
        <v>21.2</v>
      </c>
      <c r="I425" t="s">
        <v>89</v>
      </c>
      <c r="J425" s="5"/>
      <c r="L425" s="2">
        <v>-1.0699999999999999E-2</v>
      </c>
      <c r="M425" t="s">
        <v>89</v>
      </c>
      <c r="O425" s="4"/>
      <c r="AC425" t="str">
        <f>IFERROR(VLOOKUP($A425,fund_metadata!$A:$P,2,FALSE),"")</f>
        <v>AMG Pantheon</v>
      </c>
      <c r="AD425" t="str">
        <f>IFERROR(VLOOKUP($A425,fund_metadata!$A:$P,16,FALSE),"")</f>
        <v>secondaries</v>
      </c>
    </row>
    <row r="426" spans="1:30" x14ac:dyDescent="0.25">
      <c r="A426">
        <v>8</v>
      </c>
      <c r="B426" s="3">
        <v>45016</v>
      </c>
      <c r="C426" s="3"/>
      <c r="F426" s="4">
        <v>1710000000</v>
      </c>
      <c r="G426" t="s">
        <v>89</v>
      </c>
      <c r="H426" s="5">
        <v>21.72</v>
      </c>
      <c r="I426" t="s">
        <v>89</v>
      </c>
      <c r="J426" s="5"/>
      <c r="L426" s="2">
        <v>2.4500000000000001E-2</v>
      </c>
      <c r="M426" t="s">
        <v>89</v>
      </c>
      <c r="N426">
        <v>1</v>
      </c>
      <c r="O426" s="4">
        <v>1820000000</v>
      </c>
      <c r="P426" t="s">
        <v>89</v>
      </c>
      <c r="Q426">
        <v>20017479</v>
      </c>
      <c r="R426" t="s">
        <v>121</v>
      </c>
      <c r="AC426" t="str">
        <f>IFERROR(VLOOKUP($A426,fund_metadata!$A:$P,2,FALSE),"")</f>
        <v>AMG Pantheon</v>
      </c>
      <c r="AD426" t="str">
        <f>IFERROR(VLOOKUP($A426,fund_metadata!$A:$P,16,FALSE),"")</f>
        <v>secondaries</v>
      </c>
    </row>
    <row r="427" spans="1:30" x14ac:dyDescent="0.25">
      <c r="A427">
        <v>8</v>
      </c>
      <c r="B427" s="3">
        <v>45046</v>
      </c>
      <c r="C427" s="3"/>
      <c r="F427" s="4"/>
      <c r="H427" s="5">
        <v>21.6</v>
      </c>
      <c r="I427" t="s">
        <v>89</v>
      </c>
      <c r="J427" s="5"/>
      <c r="L427" s="2">
        <v>-5.4999999999999997E-3</v>
      </c>
      <c r="M427" t="s">
        <v>89</v>
      </c>
      <c r="O427" s="4"/>
      <c r="AC427" t="str">
        <f>IFERROR(VLOOKUP($A427,fund_metadata!$A:$P,2,FALSE),"")</f>
        <v>AMG Pantheon</v>
      </c>
      <c r="AD427" t="str">
        <f>IFERROR(VLOOKUP($A427,fund_metadata!$A:$P,16,FALSE),"")</f>
        <v>secondaries</v>
      </c>
    </row>
    <row r="428" spans="1:30" x14ac:dyDescent="0.25">
      <c r="A428">
        <v>8</v>
      </c>
      <c r="B428" s="3">
        <v>45077</v>
      </c>
      <c r="C428" s="3"/>
      <c r="F428" s="4"/>
      <c r="H428" s="5">
        <v>22.24</v>
      </c>
      <c r="I428" t="s">
        <v>89</v>
      </c>
      <c r="J428" s="5"/>
      <c r="L428" s="2">
        <v>2.9600000000000001E-2</v>
      </c>
      <c r="M428" t="s">
        <v>89</v>
      </c>
      <c r="O428" s="4"/>
      <c r="AC428" t="str">
        <f>IFERROR(VLOOKUP($A428,fund_metadata!$A:$P,2,FALSE),"")</f>
        <v>AMG Pantheon</v>
      </c>
      <c r="AD428" t="str">
        <f>IFERROR(VLOOKUP($A428,fund_metadata!$A:$P,16,FALSE),"")</f>
        <v>secondaries</v>
      </c>
    </row>
    <row r="429" spans="1:30" x14ac:dyDescent="0.25">
      <c r="A429">
        <v>8</v>
      </c>
      <c r="B429" s="3">
        <v>45107</v>
      </c>
      <c r="C429" s="3"/>
      <c r="F429" s="4"/>
      <c r="H429" s="5">
        <v>22.48</v>
      </c>
      <c r="I429" t="s">
        <v>89</v>
      </c>
      <c r="J429" s="5"/>
      <c r="L429" s="2">
        <v>1.0800000000000001E-2</v>
      </c>
      <c r="M429" t="s">
        <v>89</v>
      </c>
      <c r="N429">
        <v>1</v>
      </c>
      <c r="O429" s="4"/>
      <c r="AC429" t="str">
        <f>IFERROR(VLOOKUP($A429,fund_metadata!$A:$P,2,FALSE),"")</f>
        <v>AMG Pantheon</v>
      </c>
      <c r="AD429" t="str">
        <f>IFERROR(VLOOKUP($A429,fund_metadata!$A:$P,16,FALSE),"")</f>
        <v>secondaries</v>
      </c>
    </row>
    <row r="430" spans="1:30" x14ac:dyDescent="0.25">
      <c r="A430">
        <v>8</v>
      </c>
      <c r="B430" s="3">
        <v>45138</v>
      </c>
      <c r="C430" s="3"/>
      <c r="F430" s="4"/>
      <c r="H430" s="5">
        <v>22.79</v>
      </c>
      <c r="I430" t="s">
        <v>89</v>
      </c>
      <c r="J430" s="5"/>
      <c r="L430" s="2">
        <v>1.38E-2</v>
      </c>
      <c r="M430" t="s">
        <v>89</v>
      </c>
      <c r="O430" s="4"/>
      <c r="AC430" t="str">
        <f>IFERROR(VLOOKUP($A430,fund_metadata!$A:$P,2,FALSE),"")</f>
        <v>AMG Pantheon</v>
      </c>
      <c r="AD430" t="str">
        <f>IFERROR(VLOOKUP($A430,fund_metadata!$A:$P,16,FALSE),"")</f>
        <v>secondaries</v>
      </c>
    </row>
    <row r="431" spans="1:30" x14ac:dyDescent="0.25">
      <c r="A431">
        <v>8</v>
      </c>
      <c r="B431" s="3">
        <v>45169</v>
      </c>
      <c r="C431" s="3"/>
      <c r="F431" s="4"/>
      <c r="H431" s="5">
        <v>22.93</v>
      </c>
      <c r="I431" t="s">
        <v>89</v>
      </c>
      <c r="J431" s="5"/>
      <c r="L431" s="2">
        <v>6.1000000000000004E-3</v>
      </c>
      <c r="M431" t="s">
        <v>89</v>
      </c>
      <c r="O431" s="4"/>
      <c r="AC431" t="str">
        <f>IFERROR(VLOOKUP($A431,fund_metadata!$A:$P,2,FALSE),"")</f>
        <v>AMG Pantheon</v>
      </c>
      <c r="AD431" t="str">
        <f>IFERROR(VLOOKUP($A431,fund_metadata!$A:$P,16,FALSE),"")</f>
        <v>secondaries</v>
      </c>
    </row>
    <row r="432" spans="1:30" x14ac:dyDescent="0.25">
      <c r="A432">
        <v>8</v>
      </c>
      <c r="B432" s="3">
        <v>45199</v>
      </c>
      <c r="C432" s="3"/>
      <c r="F432" s="4">
        <v>2280000000</v>
      </c>
      <c r="G432" t="s">
        <v>89</v>
      </c>
      <c r="H432" s="5">
        <v>23.12</v>
      </c>
      <c r="I432" t="s">
        <v>89</v>
      </c>
      <c r="J432" s="5"/>
      <c r="L432" s="2">
        <v>8.3000000000000001E-3</v>
      </c>
      <c r="M432" t="s">
        <v>89</v>
      </c>
      <c r="N432">
        <v>1</v>
      </c>
      <c r="O432" s="4">
        <v>2420000000</v>
      </c>
      <c r="P432" t="s">
        <v>89</v>
      </c>
      <c r="Q432">
        <v>23441677</v>
      </c>
      <c r="R432" t="s">
        <v>120</v>
      </c>
      <c r="AC432" t="str">
        <f>IFERROR(VLOOKUP($A432,fund_metadata!$A:$P,2,FALSE),"")</f>
        <v>AMG Pantheon</v>
      </c>
      <c r="AD432" t="str">
        <f>IFERROR(VLOOKUP($A432,fund_metadata!$A:$P,16,FALSE),"")</f>
        <v>secondaries</v>
      </c>
    </row>
    <row r="433" spans="1:30" x14ac:dyDescent="0.25">
      <c r="A433">
        <v>8</v>
      </c>
      <c r="B433" s="3">
        <v>45230</v>
      </c>
      <c r="C433" s="3"/>
      <c r="F433" s="4"/>
      <c r="H433" s="5">
        <v>22.83</v>
      </c>
      <c r="I433" t="s">
        <v>89</v>
      </c>
      <c r="J433" s="5"/>
      <c r="L433" s="2">
        <v>-1.2500000000000001E-2</v>
      </c>
      <c r="M433" t="s">
        <v>89</v>
      </c>
      <c r="O433" s="4"/>
      <c r="AC433" t="str">
        <f>IFERROR(VLOOKUP($A433,fund_metadata!$A:$P,2,FALSE),"")</f>
        <v>AMG Pantheon</v>
      </c>
      <c r="AD433" t="str">
        <f>IFERROR(VLOOKUP($A433,fund_metadata!$A:$P,16,FALSE),"")</f>
        <v>secondaries</v>
      </c>
    </row>
    <row r="434" spans="1:30" x14ac:dyDescent="0.25">
      <c r="A434">
        <v>8</v>
      </c>
      <c r="B434" s="3">
        <v>45260</v>
      </c>
      <c r="C434" s="3"/>
      <c r="F434" s="4"/>
      <c r="H434" s="5">
        <v>23.59</v>
      </c>
      <c r="I434" t="s">
        <v>89</v>
      </c>
      <c r="J434" s="5"/>
      <c r="L434" s="2">
        <v>3.3300000000000003E-2</v>
      </c>
      <c r="M434" t="s">
        <v>89</v>
      </c>
      <c r="O434" s="4"/>
      <c r="AC434" t="str">
        <f>IFERROR(VLOOKUP($A434,fund_metadata!$A:$P,2,FALSE),"")</f>
        <v>AMG Pantheon</v>
      </c>
      <c r="AD434" t="str">
        <f>IFERROR(VLOOKUP($A434,fund_metadata!$A:$P,16,FALSE),"")</f>
        <v>secondaries</v>
      </c>
    </row>
    <row r="435" spans="1:30" x14ac:dyDescent="0.25">
      <c r="A435">
        <v>8</v>
      </c>
      <c r="B435" s="3">
        <v>45291</v>
      </c>
      <c r="C435" s="3"/>
      <c r="F435" s="4"/>
      <c r="H435" s="5">
        <v>23.82</v>
      </c>
      <c r="I435" t="s">
        <v>89</v>
      </c>
      <c r="J435" s="5"/>
      <c r="L435" s="2">
        <v>1.6799999999999999E-2</v>
      </c>
      <c r="M435" t="s">
        <v>89</v>
      </c>
      <c r="N435">
        <v>1</v>
      </c>
      <c r="O435" s="4"/>
      <c r="AC435" t="str">
        <f>IFERROR(VLOOKUP($A435,fund_metadata!$A:$P,2,FALSE),"")</f>
        <v>AMG Pantheon</v>
      </c>
      <c r="AD435" t="str">
        <f>IFERROR(VLOOKUP($A435,fund_metadata!$A:$P,16,FALSE),"")</f>
        <v>secondaries</v>
      </c>
    </row>
    <row r="436" spans="1:30" x14ac:dyDescent="0.25">
      <c r="A436">
        <v>8</v>
      </c>
      <c r="B436" s="3">
        <v>45322</v>
      </c>
      <c r="C436" s="3"/>
      <c r="F436" s="4"/>
      <c r="H436" s="5">
        <v>23.76</v>
      </c>
      <c r="I436" t="s">
        <v>89</v>
      </c>
      <c r="J436" s="5"/>
      <c r="L436" s="2">
        <v>-2.5000000000000001E-3</v>
      </c>
      <c r="M436" t="s">
        <v>89</v>
      </c>
      <c r="O436" s="4"/>
      <c r="AC436" t="str">
        <f>IFERROR(VLOOKUP($A436,fund_metadata!$A:$P,2,FALSE),"")</f>
        <v>AMG Pantheon</v>
      </c>
      <c r="AD436" t="str">
        <f>IFERROR(VLOOKUP($A436,fund_metadata!$A:$P,16,FALSE),"")</f>
        <v>secondaries</v>
      </c>
    </row>
    <row r="437" spans="1:30" x14ac:dyDescent="0.25">
      <c r="A437">
        <v>8</v>
      </c>
      <c r="B437" s="3">
        <v>45351</v>
      </c>
      <c r="C437" s="3"/>
      <c r="F437" s="4"/>
      <c r="H437" s="5">
        <v>24.13</v>
      </c>
      <c r="I437" t="s">
        <v>89</v>
      </c>
      <c r="J437" s="5"/>
      <c r="L437" s="2">
        <v>1.5599999999999999E-2</v>
      </c>
      <c r="M437" t="s">
        <v>89</v>
      </c>
      <c r="O437" s="4"/>
      <c r="AC437" t="str">
        <f>IFERROR(VLOOKUP($A437,fund_metadata!$A:$P,2,FALSE),"")</f>
        <v>AMG Pantheon</v>
      </c>
      <c r="AD437" t="str">
        <f>IFERROR(VLOOKUP($A437,fund_metadata!$A:$P,16,FALSE),"")</f>
        <v>secondaries</v>
      </c>
    </row>
    <row r="438" spans="1:30" x14ac:dyDescent="0.25">
      <c r="A438">
        <v>8</v>
      </c>
      <c r="B438" s="3">
        <v>45382</v>
      </c>
      <c r="C438" s="3"/>
      <c r="F438" s="4">
        <v>3050000000</v>
      </c>
      <c r="G438" t="s">
        <v>89</v>
      </c>
      <c r="H438" s="5">
        <v>24.11</v>
      </c>
      <c r="I438" t="s">
        <v>89</v>
      </c>
      <c r="J438" s="5"/>
      <c r="L438" s="2">
        <v>-8.0000000000000004E-4</v>
      </c>
      <c r="M438" t="s">
        <v>89</v>
      </c>
      <c r="N438">
        <v>1</v>
      </c>
      <c r="O438" s="4">
        <v>3280000000</v>
      </c>
      <c r="P438" t="s">
        <v>89</v>
      </c>
      <c r="Q438">
        <v>27632376</v>
      </c>
      <c r="R438" t="s">
        <v>121</v>
      </c>
      <c r="AC438" t="str">
        <f>IFERROR(VLOOKUP($A438,fund_metadata!$A:$P,2,FALSE),"")</f>
        <v>AMG Pantheon</v>
      </c>
      <c r="AD438" t="str">
        <f>IFERROR(VLOOKUP($A438,fund_metadata!$A:$P,16,FALSE),"")</f>
        <v>secondaries</v>
      </c>
    </row>
    <row r="439" spans="1:30" x14ac:dyDescent="0.25">
      <c r="A439">
        <v>8</v>
      </c>
      <c r="B439" s="3">
        <v>45412</v>
      </c>
      <c r="C439" s="3"/>
      <c r="F439" s="4"/>
      <c r="H439" s="5">
        <v>23.95</v>
      </c>
      <c r="I439" t="s">
        <v>89</v>
      </c>
      <c r="J439" s="5"/>
      <c r="L439" s="2">
        <v>-6.6E-3</v>
      </c>
      <c r="M439" t="s">
        <v>89</v>
      </c>
      <c r="O439" s="4"/>
      <c r="AC439" t="str">
        <f>IFERROR(VLOOKUP($A439,fund_metadata!$A:$P,2,FALSE),"")</f>
        <v>AMG Pantheon</v>
      </c>
      <c r="AD439" t="str">
        <f>IFERROR(VLOOKUP($A439,fund_metadata!$A:$P,16,FALSE),"")</f>
        <v>secondaries</v>
      </c>
    </row>
    <row r="440" spans="1:30" x14ac:dyDescent="0.25">
      <c r="A440">
        <v>8</v>
      </c>
      <c r="B440" s="3">
        <v>45443</v>
      </c>
      <c r="C440" s="3"/>
      <c r="F440" s="4"/>
      <c r="H440" s="5">
        <v>24.48</v>
      </c>
      <c r="I440" t="s">
        <v>89</v>
      </c>
      <c r="J440" s="5"/>
      <c r="L440" s="2">
        <v>2.2100000000000002E-2</v>
      </c>
      <c r="M440" t="s">
        <v>89</v>
      </c>
      <c r="O440" s="4"/>
      <c r="AC440" t="str">
        <f>IFERROR(VLOOKUP($A440,fund_metadata!$A:$P,2,FALSE),"")</f>
        <v>AMG Pantheon</v>
      </c>
      <c r="AD440" t="str">
        <f>IFERROR(VLOOKUP($A440,fund_metadata!$A:$P,16,FALSE),"")</f>
        <v>secondaries</v>
      </c>
    </row>
    <row r="441" spans="1:30" x14ac:dyDescent="0.25">
      <c r="A441">
        <v>8</v>
      </c>
      <c r="B441" s="3">
        <v>45473</v>
      </c>
      <c r="C441" s="3"/>
      <c r="F441" s="4"/>
      <c r="H441" s="5">
        <v>24.9</v>
      </c>
      <c r="I441" t="s">
        <v>89</v>
      </c>
      <c r="J441" s="5"/>
      <c r="L441" s="2">
        <v>1.72E-2</v>
      </c>
      <c r="M441" t="s">
        <v>89</v>
      </c>
      <c r="N441">
        <v>1</v>
      </c>
      <c r="O441" s="4"/>
      <c r="AC441" t="str">
        <f>IFERROR(VLOOKUP($A441,fund_metadata!$A:$P,2,FALSE),"")</f>
        <v>AMG Pantheon</v>
      </c>
      <c r="AD441" t="str">
        <f>IFERROR(VLOOKUP($A441,fund_metadata!$A:$P,16,FALSE),"")</f>
        <v>secondaries</v>
      </c>
    </row>
    <row r="442" spans="1:30" x14ac:dyDescent="0.25">
      <c r="A442">
        <v>8</v>
      </c>
      <c r="B442" s="3">
        <v>45504</v>
      </c>
      <c r="C442" s="3"/>
      <c r="F442" s="4"/>
      <c r="H442" s="5">
        <v>25.67</v>
      </c>
      <c r="I442" t="s">
        <v>89</v>
      </c>
      <c r="J442" s="5"/>
      <c r="L442" s="2">
        <v>3.09E-2</v>
      </c>
      <c r="M442" t="s">
        <v>89</v>
      </c>
      <c r="O442" s="4"/>
      <c r="AC442" t="str">
        <f>IFERROR(VLOOKUP($A442,fund_metadata!$A:$P,2,FALSE),"")</f>
        <v>AMG Pantheon</v>
      </c>
      <c r="AD442" t="str">
        <f>IFERROR(VLOOKUP($A442,fund_metadata!$A:$P,16,FALSE),"")</f>
        <v>secondaries</v>
      </c>
    </row>
    <row r="443" spans="1:30" x14ac:dyDescent="0.25">
      <c r="A443">
        <v>8</v>
      </c>
      <c r="B443" s="3">
        <v>45535</v>
      </c>
      <c r="C443" s="3"/>
      <c r="F443" s="4"/>
      <c r="H443" s="5">
        <v>25.75</v>
      </c>
      <c r="I443" t="s">
        <v>89</v>
      </c>
      <c r="J443" s="5"/>
      <c r="L443" s="2">
        <v>3.0999999999999999E-3</v>
      </c>
      <c r="M443" t="s">
        <v>89</v>
      </c>
      <c r="O443" s="4"/>
      <c r="AC443" t="str">
        <f>IFERROR(VLOOKUP($A443,fund_metadata!$A:$P,2,FALSE),"")</f>
        <v>AMG Pantheon</v>
      </c>
      <c r="AD443" t="str">
        <f>IFERROR(VLOOKUP($A443,fund_metadata!$A:$P,16,FALSE),"")</f>
        <v>secondaries</v>
      </c>
    </row>
    <row r="444" spans="1:30" x14ac:dyDescent="0.25">
      <c r="A444">
        <v>8</v>
      </c>
      <c r="B444" s="3">
        <v>45565</v>
      </c>
      <c r="C444" s="3"/>
      <c r="F444" s="4">
        <v>4140000000</v>
      </c>
      <c r="G444" t="s">
        <v>89</v>
      </c>
      <c r="H444" s="5">
        <v>26.97</v>
      </c>
      <c r="I444" t="s">
        <v>89</v>
      </c>
      <c r="J444" s="5"/>
      <c r="L444" s="2">
        <v>4.7399999999999998E-2</v>
      </c>
      <c r="M444" t="s">
        <v>89</v>
      </c>
      <c r="N444">
        <v>1</v>
      </c>
      <c r="O444" s="4">
        <v>4340000000</v>
      </c>
      <c r="P444" t="s">
        <v>89</v>
      </c>
      <c r="Q444">
        <v>33303668</v>
      </c>
      <c r="R444" t="s">
        <v>120</v>
      </c>
      <c r="AC444" t="str">
        <f>IFERROR(VLOOKUP($A444,fund_metadata!$A:$P,2,FALSE),"")</f>
        <v>AMG Pantheon</v>
      </c>
      <c r="AD444" t="str">
        <f>IFERROR(VLOOKUP($A444,fund_metadata!$A:$P,16,FALSE),"")</f>
        <v>secondaries</v>
      </c>
    </row>
    <row r="445" spans="1:30" x14ac:dyDescent="0.25">
      <c r="A445">
        <v>8</v>
      </c>
      <c r="B445" s="3">
        <v>45596</v>
      </c>
      <c r="C445" s="3"/>
      <c r="F445" s="4"/>
      <c r="H445" s="5">
        <v>26.89</v>
      </c>
      <c r="I445" t="s">
        <v>89</v>
      </c>
      <c r="J445" s="5"/>
      <c r="L445" s="2">
        <v>-3.0000000000000001E-3</v>
      </c>
      <c r="M445" t="s">
        <v>89</v>
      </c>
      <c r="O445" s="4"/>
      <c r="AC445" t="str">
        <f>IFERROR(VLOOKUP($A445,fund_metadata!$A:$P,2,FALSE),"")</f>
        <v>AMG Pantheon</v>
      </c>
      <c r="AD445" t="str">
        <f>IFERROR(VLOOKUP($A445,fund_metadata!$A:$P,16,FALSE),"")</f>
        <v>secondaries</v>
      </c>
    </row>
    <row r="446" spans="1:30" x14ac:dyDescent="0.25">
      <c r="A446">
        <v>8</v>
      </c>
      <c r="B446" s="3">
        <v>45626</v>
      </c>
      <c r="C446" s="3"/>
      <c r="F446" s="4"/>
      <c r="H446" s="5">
        <v>27.01</v>
      </c>
      <c r="I446" t="s">
        <v>89</v>
      </c>
      <c r="J446" s="5"/>
      <c r="L446" s="2">
        <v>4.4999999999999997E-3</v>
      </c>
      <c r="M446" t="s">
        <v>89</v>
      </c>
      <c r="O446" s="4"/>
      <c r="AC446" t="str">
        <f>IFERROR(VLOOKUP($A446,fund_metadata!$A:$P,2,FALSE),"")</f>
        <v>AMG Pantheon</v>
      </c>
      <c r="AD446" t="str">
        <f>IFERROR(VLOOKUP($A446,fund_metadata!$A:$P,16,FALSE),"")</f>
        <v>secondaries</v>
      </c>
    </row>
    <row r="447" spans="1:30" x14ac:dyDescent="0.25">
      <c r="A447">
        <v>8</v>
      </c>
      <c r="B447" s="3">
        <v>45657</v>
      </c>
      <c r="C447" s="3"/>
      <c r="F447" s="4"/>
      <c r="H447" s="5">
        <v>27.01</v>
      </c>
      <c r="I447" t="s">
        <v>89</v>
      </c>
      <c r="J447" s="5"/>
      <c r="L447" s="2">
        <v>9.1000000000000004E-3</v>
      </c>
      <c r="M447" t="s">
        <v>89</v>
      </c>
      <c r="N447">
        <v>1</v>
      </c>
      <c r="O447" s="4"/>
      <c r="AC447" t="str">
        <f>IFERROR(VLOOKUP($A447,fund_metadata!$A:$P,2,FALSE),"")</f>
        <v>AMG Pantheon</v>
      </c>
      <c r="AD447" t="str">
        <f>IFERROR(VLOOKUP($A447,fund_metadata!$A:$P,16,FALSE),"")</f>
        <v>secondaries</v>
      </c>
    </row>
    <row r="448" spans="1:30" x14ac:dyDescent="0.25">
      <c r="A448">
        <v>8</v>
      </c>
      <c r="B448" s="3">
        <v>45688</v>
      </c>
      <c r="C448" s="3"/>
      <c r="F448" s="4"/>
      <c r="H448" s="5">
        <v>27.51</v>
      </c>
      <c r="I448" t="s">
        <v>89</v>
      </c>
      <c r="J448" s="5"/>
      <c r="L448" s="2">
        <v>1.8499999999999999E-2</v>
      </c>
      <c r="M448" t="s">
        <v>89</v>
      </c>
      <c r="O448" s="4"/>
      <c r="AC448" t="str">
        <f>IFERROR(VLOOKUP($A448,fund_metadata!$A:$P,2,FALSE),"")</f>
        <v>AMG Pantheon</v>
      </c>
      <c r="AD448" t="str">
        <f>IFERROR(VLOOKUP($A448,fund_metadata!$A:$P,16,FALSE),"")</f>
        <v>secondaries</v>
      </c>
    </row>
    <row r="449" spans="1:30" x14ac:dyDescent="0.25">
      <c r="A449">
        <v>8</v>
      </c>
      <c r="B449" s="3">
        <v>45716</v>
      </c>
      <c r="C449" s="3"/>
      <c r="F449" s="4"/>
      <c r="H449" s="5">
        <v>26.64</v>
      </c>
      <c r="I449" t="s">
        <v>89</v>
      </c>
      <c r="J449" s="5"/>
      <c r="L449" s="2">
        <v>-3.1600000000000003E-2</v>
      </c>
      <c r="M449" t="s">
        <v>89</v>
      </c>
      <c r="O449" s="4"/>
      <c r="AC449" t="str">
        <f>IFERROR(VLOOKUP($A449,fund_metadata!$A:$P,2,FALSE),"")</f>
        <v>AMG Pantheon</v>
      </c>
      <c r="AD449" t="str">
        <f>IFERROR(VLOOKUP($A449,fund_metadata!$A:$P,16,FALSE),"")</f>
        <v>secondaries</v>
      </c>
    </row>
    <row r="450" spans="1:30" x14ac:dyDescent="0.25">
      <c r="A450">
        <v>8</v>
      </c>
      <c r="B450" s="3">
        <v>45747</v>
      </c>
      <c r="C450" s="3"/>
      <c r="F450" s="4">
        <v>4840000000</v>
      </c>
      <c r="G450" t="s">
        <v>89</v>
      </c>
      <c r="H450" s="5">
        <v>26.2</v>
      </c>
      <c r="I450" t="s">
        <v>89</v>
      </c>
      <c r="J450" s="5"/>
      <c r="L450" s="2">
        <v>-1.6500000000000001E-2</v>
      </c>
      <c r="M450" t="s">
        <v>89</v>
      </c>
      <c r="N450">
        <v>1</v>
      </c>
      <c r="O450" s="4">
        <v>5160000000</v>
      </c>
      <c r="P450" t="s">
        <v>89</v>
      </c>
      <c r="Q450">
        <v>41331380</v>
      </c>
      <c r="R450" t="s">
        <v>121</v>
      </c>
      <c r="AC450" t="str">
        <f>IFERROR(VLOOKUP($A450,fund_metadata!$A:$P,2,FALSE),"")</f>
        <v>AMG Pantheon</v>
      </c>
      <c r="AD450" t="str">
        <f>IFERROR(VLOOKUP($A450,fund_metadata!$A:$P,16,FALSE),"")</f>
        <v>secondaries</v>
      </c>
    </row>
    <row r="451" spans="1:30" x14ac:dyDescent="0.25">
      <c r="A451">
        <v>8</v>
      </c>
      <c r="B451" s="3">
        <v>45777</v>
      </c>
      <c r="C451" s="3"/>
      <c r="F451" s="4"/>
      <c r="H451" s="5">
        <v>26.67</v>
      </c>
      <c r="I451" t="s">
        <v>89</v>
      </c>
      <c r="J451" s="5"/>
      <c r="L451" s="2">
        <v>1.7899999999999999E-2</v>
      </c>
      <c r="M451" t="s">
        <v>89</v>
      </c>
      <c r="O451" s="4"/>
      <c r="AC451" t="str">
        <f>IFERROR(VLOOKUP($A451,fund_metadata!$A:$P,2,FALSE),"")</f>
        <v>AMG Pantheon</v>
      </c>
      <c r="AD451" t="str">
        <f>IFERROR(VLOOKUP($A451,fund_metadata!$A:$P,16,FALSE),"")</f>
        <v>secondaries</v>
      </c>
    </row>
    <row r="452" spans="1:30" x14ac:dyDescent="0.25">
      <c r="A452">
        <v>8</v>
      </c>
      <c r="B452" s="3">
        <v>45808</v>
      </c>
      <c r="C452" s="3"/>
      <c r="F452" s="4"/>
      <c r="H452" s="5">
        <v>27.44</v>
      </c>
      <c r="I452" t="s">
        <v>89</v>
      </c>
      <c r="J452" s="5"/>
      <c r="L452" s="2">
        <v>2.8899999999999999E-2</v>
      </c>
      <c r="M452" t="s">
        <v>89</v>
      </c>
      <c r="O452" s="4"/>
      <c r="AC452" t="str">
        <f>IFERROR(VLOOKUP($A452,fund_metadata!$A:$P,2,FALSE),"")</f>
        <v>AMG Pantheon</v>
      </c>
      <c r="AD452" t="str">
        <f>IFERROR(VLOOKUP($A452,fund_metadata!$A:$P,16,FALSE),"")</f>
        <v>secondaries</v>
      </c>
    </row>
    <row r="453" spans="1:30" x14ac:dyDescent="0.25">
      <c r="A453">
        <v>8</v>
      </c>
      <c r="B453" s="3">
        <v>45838</v>
      </c>
      <c r="C453" s="3"/>
      <c r="F453" s="4"/>
      <c r="H453" s="5">
        <v>28.45</v>
      </c>
      <c r="I453" t="s">
        <v>89</v>
      </c>
      <c r="J453" s="5"/>
      <c r="L453" s="2">
        <v>3.6799999999999999E-2</v>
      </c>
      <c r="M453" t="s">
        <v>89</v>
      </c>
      <c r="N453">
        <v>1</v>
      </c>
      <c r="O453" s="4"/>
      <c r="AC453" t="str">
        <f>IFERROR(VLOOKUP($A453,fund_metadata!$A:$P,2,FALSE),"")</f>
        <v>AMG Pantheon</v>
      </c>
      <c r="AD453" t="str">
        <f>IFERROR(VLOOKUP($A453,fund_metadata!$A:$P,16,FALSE),"")</f>
        <v>secondaries</v>
      </c>
    </row>
    <row r="454" spans="1:30" x14ac:dyDescent="0.25">
      <c r="A454">
        <v>8</v>
      </c>
      <c r="B454" s="3">
        <v>45869</v>
      </c>
      <c r="C454" s="3"/>
      <c r="F454" s="4"/>
      <c r="H454" s="5">
        <v>28.45</v>
      </c>
      <c r="I454" t="s">
        <v>89</v>
      </c>
      <c r="J454" s="5"/>
      <c r="L454" s="2">
        <v>0</v>
      </c>
      <c r="M454" t="s">
        <v>89</v>
      </c>
      <c r="O454" s="4"/>
      <c r="AC454" t="str">
        <f>IFERROR(VLOOKUP($A454,fund_metadata!$A:$P,2,FALSE),"")</f>
        <v>AMG Pantheon</v>
      </c>
      <c r="AD454" t="str">
        <f>IFERROR(VLOOKUP($A454,fund_metadata!$A:$P,16,FALSE),"")</f>
        <v>secondaries</v>
      </c>
    </row>
    <row r="455" spans="1:30" x14ac:dyDescent="0.25">
      <c r="A455">
        <v>8</v>
      </c>
      <c r="B455" s="3">
        <v>45900</v>
      </c>
      <c r="C455" s="3"/>
      <c r="F455" s="4"/>
      <c r="H455" s="5">
        <v>28.53</v>
      </c>
      <c r="I455" t="s">
        <v>89</v>
      </c>
      <c r="J455" s="5"/>
      <c r="L455" s="2">
        <v>2.8E-3</v>
      </c>
      <c r="M455" t="s">
        <v>89</v>
      </c>
      <c r="O455" s="4"/>
      <c r="AC455" t="str">
        <f>IFERROR(VLOOKUP($A455,fund_metadata!$A:$P,2,FALSE),"")</f>
        <v>AMG Pantheon</v>
      </c>
      <c r="AD455" t="str">
        <f>IFERROR(VLOOKUP($A455,fund_metadata!$A:$P,16,FALSE),"")</f>
        <v>secondaries</v>
      </c>
    </row>
    <row r="456" spans="1:30" x14ac:dyDescent="0.25">
      <c r="A456">
        <v>8</v>
      </c>
      <c r="B456" s="3">
        <v>45930</v>
      </c>
      <c r="C456" s="3"/>
      <c r="F456" s="4">
        <v>5980000000</v>
      </c>
      <c r="G456" t="s">
        <v>89</v>
      </c>
      <c r="H456" s="5">
        <v>28.65</v>
      </c>
      <c r="I456" t="s">
        <v>89</v>
      </c>
      <c r="J456" s="5"/>
      <c r="L456" s="2">
        <v>4.1999999999999997E-3</v>
      </c>
      <c r="M456" t="s">
        <v>89</v>
      </c>
      <c r="N456">
        <v>1</v>
      </c>
      <c r="O456" s="4">
        <v>6160000000</v>
      </c>
      <c r="P456" t="s">
        <v>89</v>
      </c>
      <c r="Q456">
        <v>47539435</v>
      </c>
      <c r="R456" t="s">
        <v>120</v>
      </c>
      <c r="AC456" t="str">
        <f>IFERROR(VLOOKUP($A456,fund_metadata!$A:$P,2,FALSE),"")</f>
        <v>AMG Pantheon</v>
      </c>
      <c r="AD456" t="str">
        <f>IFERROR(VLOOKUP($A456,fund_metadata!$A:$P,16,FALSE),"")</f>
        <v>secondaries</v>
      </c>
    </row>
    <row r="457" spans="1:30" x14ac:dyDescent="0.25">
      <c r="A457">
        <v>8</v>
      </c>
      <c r="B457" s="3">
        <v>45961</v>
      </c>
      <c r="C457" s="3"/>
      <c r="F457" s="4"/>
      <c r="H457" s="5">
        <v>28.41</v>
      </c>
      <c r="I457" t="s">
        <v>89</v>
      </c>
      <c r="J457" s="5"/>
      <c r="L457" s="2">
        <v>-8.3999999999999995E-3</v>
      </c>
      <c r="M457" t="s">
        <v>89</v>
      </c>
      <c r="O457" s="4"/>
      <c r="AC457" t="str">
        <f>IFERROR(VLOOKUP($A457,fund_metadata!$A:$P,2,FALSE),"")</f>
        <v>AMG Pantheon</v>
      </c>
      <c r="AD457" t="str">
        <f>IFERROR(VLOOKUP($A457,fund_metadata!$A:$P,16,FALSE),"")</f>
        <v>secondaries</v>
      </c>
    </row>
    <row r="458" spans="1:30" x14ac:dyDescent="0.25">
      <c r="A458">
        <v>8</v>
      </c>
      <c r="B458" s="3">
        <v>45991</v>
      </c>
      <c r="C458" s="3"/>
      <c r="F458" s="4"/>
      <c r="H458" s="5">
        <v>28.53</v>
      </c>
      <c r="I458" t="s">
        <v>89</v>
      </c>
      <c r="J458" s="5"/>
      <c r="L458" s="2">
        <v>4.1999999999999997E-3</v>
      </c>
      <c r="M458" t="s">
        <v>89</v>
      </c>
      <c r="O458" s="4"/>
      <c r="AC458" t="str">
        <f>IFERROR(VLOOKUP($A458,fund_metadata!$A:$P,2,FALSE),"")</f>
        <v>AMG Pantheon</v>
      </c>
      <c r="AD458" t="str">
        <f>IFERROR(VLOOKUP($A458,fund_metadata!$A:$P,16,FALSE),"")</f>
        <v>secondaries</v>
      </c>
    </row>
    <row r="459" spans="1:30" x14ac:dyDescent="0.25">
      <c r="A459">
        <v>8</v>
      </c>
      <c r="B459" s="3">
        <v>46022</v>
      </c>
      <c r="C459" s="3"/>
      <c r="D459">
        <v>10000000</v>
      </c>
      <c r="E459" t="s">
        <v>104</v>
      </c>
      <c r="F459" s="4"/>
      <c r="H459" s="5">
        <v>28.24</v>
      </c>
      <c r="I459" t="s">
        <v>89</v>
      </c>
      <c r="J459" s="5"/>
      <c r="L459" s="2">
        <v>1.2E-2</v>
      </c>
      <c r="M459" t="s">
        <v>89</v>
      </c>
      <c r="N459">
        <v>1</v>
      </c>
      <c r="O459" s="4"/>
      <c r="AC459" t="str">
        <f>IFERROR(VLOOKUP($A459,fund_metadata!$A:$P,2,FALSE),"")</f>
        <v>AMG Pantheon</v>
      </c>
      <c r="AD459" t="str">
        <f>IFERROR(VLOOKUP($A459,fund_metadata!$A:$P,16,FALSE),"")</f>
        <v>secondaries</v>
      </c>
    </row>
    <row r="460" spans="1:30" x14ac:dyDescent="0.25">
      <c r="A460">
        <v>8</v>
      </c>
      <c r="B460" s="3">
        <v>46053</v>
      </c>
      <c r="C460" s="3"/>
      <c r="D460">
        <v>9961048.1699999999</v>
      </c>
      <c r="E460" t="s">
        <v>106</v>
      </c>
      <c r="F460" s="4"/>
      <c r="H460" s="5">
        <v>28.13</v>
      </c>
      <c r="I460" t="s">
        <v>89</v>
      </c>
      <c r="J460" s="5"/>
      <c r="L460" s="2">
        <v>-3.8999999999999998E-3</v>
      </c>
      <c r="M460" t="s">
        <v>89</v>
      </c>
      <c r="O460" s="4"/>
      <c r="S460">
        <v>354107.64899999998</v>
      </c>
      <c r="T460" t="s">
        <v>106</v>
      </c>
      <c r="U460">
        <v>10000000</v>
      </c>
      <c r="V460" t="s">
        <v>107</v>
      </c>
      <c r="W460">
        <v>0</v>
      </c>
      <c r="X460" t="s">
        <v>107</v>
      </c>
      <c r="Y460">
        <v>0</v>
      </c>
      <c r="Z460" t="s">
        <v>107</v>
      </c>
      <c r="AC460" t="str">
        <f>IFERROR(VLOOKUP($A460,fund_metadata!$A:$P,2,FALSE),"")</f>
        <v>AMG Pantheon</v>
      </c>
      <c r="AD460" t="str">
        <f>IFERROR(VLOOKUP($A460,fund_metadata!$A:$P,16,FALSE),"")</f>
        <v>secondaries</v>
      </c>
    </row>
    <row r="461" spans="1:30" x14ac:dyDescent="0.25">
      <c r="A461">
        <v>8</v>
      </c>
      <c r="B461" s="3">
        <v>46081</v>
      </c>
      <c r="C461" s="3"/>
      <c r="D461">
        <v>10028328.619999999</v>
      </c>
      <c r="E461" t="s">
        <v>106</v>
      </c>
      <c r="F461" s="4"/>
      <c r="H461" s="5">
        <v>28.32</v>
      </c>
      <c r="I461" t="s">
        <v>89</v>
      </c>
      <c r="J461" s="5"/>
      <c r="L461" s="2">
        <v>6.7999999999999996E-3</v>
      </c>
      <c r="M461" t="s">
        <v>89</v>
      </c>
      <c r="O461" s="4"/>
      <c r="S461">
        <v>354107.64899999998</v>
      </c>
      <c r="T461" t="s">
        <v>106</v>
      </c>
      <c r="U461">
        <v>0</v>
      </c>
      <c r="V461" t="s">
        <v>107</v>
      </c>
      <c r="W461">
        <v>0</v>
      </c>
      <c r="X461" t="s">
        <v>107</v>
      </c>
      <c r="Y461">
        <v>0</v>
      </c>
      <c r="Z461" t="s">
        <v>107</v>
      </c>
      <c r="AC461" t="str">
        <f>IFERROR(VLOOKUP($A461,fund_metadata!$A:$P,2,FALSE),"")</f>
        <v>AMG Pantheon</v>
      </c>
      <c r="AD461" t="str">
        <f>IFERROR(VLOOKUP($A461,fund_metadata!$A:$P,16,FALSE),"")</f>
        <v>secondaries</v>
      </c>
    </row>
    <row r="462" spans="1:30" x14ac:dyDescent="0.25">
      <c r="A462">
        <v>8</v>
      </c>
      <c r="B462" s="3">
        <v>46112</v>
      </c>
      <c r="C462" s="3"/>
      <c r="D462">
        <v>9989376.7799999993</v>
      </c>
      <c r="E462" t="s">
        <v>106</v>
      </c>
      <c r="F462" s="4"/>
      <c r="H462" s="5">
        <v>28.21</v>
      </c>
      <c r="I462" t="s">
        <v>89</v>
      </c>
      <c r="J462" s="5"/>
      <c r="L462" s="2">
        <v>-3.8999999999999998E-3</v>
      </c>
      <c r="M462" t="s">
        <v>89</v>
      </c>
      <c r="N462">
        <v>1</v>
      </c>
      <c r="O462" s="4"/>
      <c r="S462">
        <v>354107.64899999998</v>
      </c>
      <c r="T462" t="s">
        <v>106</v>
      </c>
      <c r="U462">
        <v>0</v>
      </c>
      <c r="V462" t="s">
        <v>107</v>
      </c>
      <c r="W462">
        <v>0</v>
      </c>
      <c r="X462" t="s">
        <v>107</v>
      </c>
      <c r="Y462">
        <v>0</v>
      </c>
      <c r="Z462" t="s">
        <v>107</v>
      </c>
      <c r="AC462" t="str">
        <f>IFERROR(VLOOKUP($A462,fund_metadata!$A:$P,2,FALSE),"")</f>
        <v>AMG Pantheon</v>
      </c>
      <c r="AD462" t="str">
        <f>IFERROR(VLOOKUP($A462,fund_metadata!$A:$P,16,FALSE),"")</f>
        <v>secondaries</v>
      </c>
    </row>
    <row r="463" spans="1:30" x14ac:dyDescent="0.25">
      <c r="A463">
        <v>8</v>
      </c>
      <c r="B463" s="3">
        <v>46142</v>
      </c>
      <c r="C463" s="3"/>
      <c r="F463" s="4"/>
      <c r="H463" s="5">
        <v>28.53</v>
      </c>
      <c r="I463" t="s">
        <v>89</v>
      </c>
      <c r="J463" s="5"/>
      <c r="L463" s="2">
        <v>1.1299999999999999E-2</v>
      </c>
      <c r="M463" t="s">
        <v>89</v>
      </c>
      <c r="O463" s="4"/>
      <c r="AC463" t="str">
        <f>IFERROR(VLOOKUP($A463,fund_metadata!$A:$P,2,FALSE),"")</f>
        <v>AMG Pantheon</v>
      </c>
      <c r="AD463" t="str">
        <f>IFERROR(VLOOKUP($A463,fund_metadata!$A:$P,16,FALSE),"")</f>
        <v>secondaries</v>
      </c>
    </row>
    <row r="464" spans="1:30" x14ac:dyDescent="0.25">
      <c r="A464">
        <v>8</v>
      </c>
      <c r="B464" s="3">
        <v>46173</v>
      </c>
      <c r="C464" s="3"/>
      <c r="F464" s="4"/>
      <c r="H464" s="5"/>
      <c r="J464" s="5"/>
      <c r="L464" s="2"/>
      <c r="O464" s="4"/>
      <c r="AC464" t="str">
        <f>IFERROR(VLOOKUP($A464,fund_metadata!$A:$P,2,FALSE),"")</f>
        <v>AMG Pantheon</v>
      </c>
      <c r="AD464" t="str">
        <f>IFERROR(VLOOKUP($A464,fund_metadata!$A:$P,16,FALSE),"")</f>
        <v>secondaries</v>
      </c>
    </row>
    <row r="465" spans="1:30" x14ac:dyDescent="0.25">
      <c r="A465">
        <v>9</v>
      </c>
      <c r="B465" s="3">
        <v>45657</v>
      </c>
      <c r="C465" s="3"/>
      <c r="L465" s="7">
        <v>5.28E-2</v>
      </c>
      <c r="M465" t="s">
        <v>122</v>
      </c>
      <c r="AC465" t="str">
        <f>IFERROR(VLOOKUP($A465,fund_metadata!$A:$P,2,FALSE),"")</f>
        <v>FLEX</v>
      </c>
      <c r="AD465" t="str">
        <f>IFERROR(VLOOKUP($A465,fund_metadata!$A:$P,16,FALSE),"")</f>
        <v>secondaries</v>
      </c>
    </row>
    <row r="466" spans="1:30" x14ac:dyDescent="0.25">
      <c r="A466">
        <v>9</v>
      </c>
      <c r="B466" s="3">
        <v>45688</v>
      </c>
      <c r="C466" s="3"/>
      <c r="L466" s="7">
        <v>1.7100000000000001E-2</v>
      </c>
      <c r="M466" t="s">
        <v>122</v>
      </c>
      <c r="AC466" t="str">
        <f>IFERROR(VLOOKUP($A466,fund_metadata!$A:$P,2,FALSE),"")</f>
        <v>FLEX</v>
      </c>
      <c r="AD466" t="str">
        <f>IFERROR(VLOOKUP($A466,fund_metadata!$A:$P,16,FALSE),"")</f>
        <v>secondaries</v>
      </c>
    </row>
    <row r="467" spans="1:30" x14ac:dyDescent="0.25">
      <c r="A467">
        <v>9</v>
      </c>
      <c r="B467" s="3">
        <v>45716</v>
      </c>
      <c r="C467" s="3"/>
      <c r="L467" s="7">
        <v>4.0000000000000002E-4</v>
      </c>
      <c r="M467" t="s">
        <v>122</v>
      </c>
      <c r="AC467" t="str">
        <f>IFERROR(VLOOKUP($A467,fund_metadata!$A:$P,2,FALSE),"")</f>
        <v>FLEX</v>
      </c>
      <c r="AD467" t="str">
        <f>IFERROR(VLOOKUP($A467,fund_metadata!$A:$P,16,FALSE),"")</f>
        <v>secondaries</v>
      </c>
    </row>
    <row r="468" spans="1:30" x14ac:dyDescent="0.25">
      <c r="A468">
        <v>9</v>
      </c>
      <c r="B468" s="3">
        <v>45747</v>
      </c>
      <c r="C468" s="3"/>
      <c r="L468" s="7">
        <v>1.3100000000000001E-2</v>
      </c>
      <c r="M468" t="s">
        <v>122</v>
      </c>
      <c r="AC468" t="str">
        <f>IFERROR(VLOOKUP($A468,fund_metadata!$A:$P,2,FALSE),"")</f>
        <v>FLEX</v>
      </c>
      <c r="AD468" t="str">
        <f>IFERROR(VLOOKUP($A468,fund_metadata!$A:$P,16,FALSE),"")</f>
        <v>secondaries</v>
      </c>
    </row>
    <row r="469" spans="1:30" x14ac:dyDescent="0.25">
      <c r="A469">
        <v>9</v>
      </c>
      <c r="B469" s="3">
        <v>45777</v>
      </c>
      <c r="C469" s="3"/>
      <c r="L469" s="7">
        <v>8.0999999999999996E-3</v>
      </c>
      <c r="M469" t="s">
        <v>122</v>
      </c>
      <c r="AC469" t="str">
        <f>IFERROR(VLOOKUP($A469,fund_metadata!$A:$P,2,FALSE),"")</f>
        <v>FLEX</v>
      </c>
      <c r="AD469" t="str">
        <f>IFERROR(VLOOKUP($A469,fund_metadata!$A:$P,16,FALSE),"")</f>
        <v>secondaries</v>
      </c>
    </row>
    <row r="470" spans="1:30" x14ac:dyDescent="0.25">
      <c r="A470">
        <v>9</v>
      </c>
      <c r="B470" s="3">
        <v>45808</v>
      </c>
      <c r="C470" s="3"/>
      <c r="L470" s="7">
        <v>9.9000000000000008E-3</v>
      </c>
      <c r="M470" t="s">
        <v>122</v>
      </c>
      <c r="AC470" t="str">
        <f>IFERROR(VLOOKUP($A470,fund_metadata!$A:$P,2,FALSE),"")</f>
        <v>FLEX</v>
      </c>
      <c r="AD470" t="str">
        <f>IFERROR(VLOOKUP($A470,fund_metadata!$A:$P,16,FALSE),"")</f>
        <v>secondaries</v>
      </c>
    </row>
    <row r="471" spans="1:30" x14ac:dyDescent="0.25">
      <c r="A471">
        <v>9</v>
      </c>
      <c r="B471" s="3">
        <v>45838</v>
      </c>
      <c r="C471" s="3"/>
      <c r="L471" s="7">
        <v>2.7199999999999998E-2</v>
      </c>
      <c r="M471" t="s">
        <v>122</v>
      </c>
      <c r="AC471" t="str">
        <f>IFERROR(VLOOKUP($A471,fund_metadata!$A:$P,2,FALSE),"")</f>
        <v>FLEX</v>
      </c>
      <c r="AD471" t="str">
        <f>IFERROR(VLOOKUP($A471,fund_metadata!$A:$P,16,FALSE),"")</f>
        <v>secondaries</v>
      </c>
    </row>
    <row r="472" spans="1:30" x14ac:dyDescent="0.25">
      <c r="A472">
        <v>9</v>
      </c>
      <c r="B472" s="3">
        <v>45869</v>
      </c>
      <c r="C472" s="3"/>
      <c r="L472" s="7">
        <v>3.2000000000000002E-3</v>
      </c>
      <c r="M472" t="s">
        <v>122</v>
      </c>
      <c r="AC472" t="str">
        <f>IFERROR(VLOOKUP($A472,fund_metadata!$A:$P,2,FALSE),"")</f>
        <v>FLEX</v>
      </c>
      <c r="AD472" t="str">
        <f>IFERROR(VLOOKUP($A472,fund_metadata!$A:$P,16,FALSE),"")</f>
        <v>secondaries</v>
      </c>
    </row>
    <row r="473" spans="1:30" x14ac:dyDescent="0.25">
      <c r="A473">
        <v>9</v>
      </c>
      <c r="B473" s="3">
        <v>45900</v>
      </c>
      <c r="C473" s="3"/>
      <c r="L473" s="7">
        <v>3.1300000000000001E-2</v>
      </c>
      <c r="M473" t="s">
        <v>122</v>
      </c>
      <c r="AC473" t="str">
        <f>IFERROR(VLOOKUP($A473,fund_metadata!$A:$P,2,FALSE),"")</f>
        <v>FLEX</v>
      </c>
      <c r="AD473" t="str">
        <f>IFERROR(VLOOKUP($A473,fund_metadata!$A:$P,16,FALSE),"")</f>
        <v>secondaries</v>
      </c>
    </row>
    <row r="474" spans="1:30" x14ac:dyDescent="0.25">
      <c r="A474">
        <v>9</v>
      </c>
      <c r="B474" s="3">
        <v>45930</v>
      </c>
      <c r="C474" s="3"/>
      <c r="L474" s="7">
        <v>6.4999999999999997E-3</v>
      </c>
      <c r="M474" t="s">
        <v>122</v>
      </c>
      <c r="AC474" t="str">
        <f>IFERROR(VLOOKUP($A474,fund_metadata!$A:$P,2,FALSE),"")</f>
        <v>FLEX</v>
      </c>
      <c r="AD474" t="str">
        <f>IFERROR(VLOOKUP($A474,fund_metadata!$A:$P,16,FALSE),"")</f>
        <v>secondaries</v>
      </c>
    </row>
    <row r="475" spans="1:30" x14ac:dyDescent="0.25">
      <c r="A475">
        <v>9</v>
      </c>
      <c r="B475" s="3">
        <v>45961</v>
      </c>
      <c r="C475" s="3"/>
      <c r="L475" s="7">
        <v>8.5000000000000006E-3</v>
      </c>
      <c r="M475" t="s">
        <v>122</v>
      </c>
      <c r="AC475" t="str">
        <f>IFERROR(VLOOKUP($A475,fund_metadata!$A:$P,2,FALSE),"")</f>
        <v>FLEX</v>
      </c>
      <c r="AD475" t="str">
        <f>IFERROR(VLOOKUP($A475,fund_metadata!$A:$P,16,FALSE),"")</f>
        <v>secondaries</v>
      </c>
    </row>
    <row r="476" spans="1:30" x14ac:dyDescent="0.25">
      <c r="A476">
        <v>9</v>
      </c>
      <c r="B476" s="3">
        <v>45991</v>
      </c>
      <c r="C476" s="3"/>
      <c r="L476" s="7">
        <v>2.6200000000000001E-2</v>
      </c>
      <c r="M476" t="s">
        <v>122</v>
      </c>
      <c r="AC476" t="str">
        <f>IFERROR(VLOOKUP($A476,fund_metadata!$A:$P,2,FALSE),"")</f>
        <v>FLEX</v>
      </c>
      <c r="AD476" t="str">
        <f>IFERROR(VLOOKUP($A476,fund_metadata!$A:$P,16,FALSE),"")</f>
        <v>secondaries</v>
      </c>
    </row>
    <row r="477" spans="1:30" x14ac:dyDescent="0.25">
      <c r="A477">
        <v>9</v>
      </c>
      <c r="B477" s="3">
        <v>46022</v>
      </c>
      <c r="C477" s="3"/>
      <c r="D477" s="4">
        <v>10000000</v>
      </c>
      <c r="E477" t="s">
        <v>104</v>
      </c>
      <c r="L477" s="2">
        <v>1.3100000000000001E-2</v>
      </c>
      <c r="M477" t="s">
        <v>122</v>
      </c>
      <c r="N477">
        <v>234</v>
      </c>
      <c r="S477" s="4"/>
      <c r="U477" s="4"/>
      <c r="W477" s="4"/>
      <c r="Y477" s="4"/>
      <c r="AC477" t="str">
        <f>IFERROR(VLOOKUP($A477,fund_metadata!$A:$P,2,FALSE),"")</f>
        <v>FLEX</v>
      </c>
      <c r="AD477" t="str">
        <f>IFERROR(VLOOKUP($A477,fund_metadata!$A:$P,16,FALSE),"")</f>
        <v>secondaries</v>
      </c>
    </row>
    <row r="478" spans="1:30" x14ac:dyDescent="0.25">
      <c r="A478">
        <v>9</v>
      </c>
      <c r="B478" s="3">
        <v>46053</v>
      </c>
      <c r="C478" s="3"/>
      <c r="D478" s="4">
        <v>10074457.75</v>
      </c>
      <c r="E478" t="s">
        <v>107</v>
      </c>
      <c r="L478" s="2">
        <v>7.4999999999999997E-3</v>
      </c>
      <c r="M478" t="s">
        <v>122</v>
      </c>
      <c r="S478" s="4">
        <v>323729.36200000002</v>
      </c>
      <c r="T478" t="s">
        <v>107</v>
      </c>
      <c r="U478" s="4">
        <v>10000000</v>
      </c>
      <c r="V478" t="s">
        <v>107</v>
      </c>
      <c r="W478" s="4">
        <v>0</v>
      </c>
      <c r="X478" t="s">
        <v>107</v>
      </c>
      <c r="Y478" s="4">
        <v>0</v>
      </c>
      <c r="Z478" t="s">
        <v>107</v>
      </c>
      <c r="AC478" t="str">
        <f>IFERROR(VLOOKUP($A478,fund_metadata!$A:$P,2,FALSE),"")</f>
        <v>FLEX</v>
      </c>
      <c r="AD478" t="str">
        <f>IFERROR(VLOOKUP($A478,fund_metadata!$A:$P,16,FALSE),"")</f>
        <v>secondaries</v>
      </c>
    </row>
    <row r="479" spans="1:30" x14ac:dyDescent="0.25">
      <c r="A479">
        <v>9</v>
      </c>
      <c r="B479" s="3">
        <v>46081</v>
      </c>
      <c r="C479" s="3"/>
      <c r="D479" s="4">
        <v>10129491.74</v>
      </c>
      <c r="E479" t="s">
        <v>107</v>
      </c>
      <c r="L479" s="2">
        <v>5.4999999999999997E-3</v>
      </c>
      <c r="M479" t="s">
        <v>122</v>
      </c>
      <c r="S479" s="4">
        <v>323729.36200000002</v>
      </c>
      <c r="T479" t="s">
        <v>107</v>
      </c>
      <c r="U479" s="4">
        <v>0</v>
      </c>
      <c r="V479" t="s">
        <v>107</v>
      </c>
      <c r="W479" s="4">
        <v>0</v>
      </c>
      <c r="X479" t="s">
        <v>107</v>
      </c>
      <c r="Y479" s="4">
        <v>0</v>
      </c>
      <c r="Z479" t="s">
        <v>107</v>
      </c>
      <c r="AC479" t="str">
        <f>IFERROR(VLOOKUP($A479,fund_metadata!$A:$P,2,FALSE),"")</f>
        <v>FLEX</v>
      </c>
      <c r="AD479" t="str">
        <f>IFERROR(VLOOKUP($A479,fund_metadata!$A:$P,16,FALSE),"")</f>
        <v>secondaries</v>
      </c>
    </row>
    <row r="480" spans="1:30" x14ac:dyDescent="0.25">
      <c r="A480">
        <v>9</v>
      </c>
      <c r="B480" s="3">
        <v>46112</v>
      </c>
      <c r="C480" s="3"/>
      <c r="D480" s="4">
        <v>10242797.01</v>
      </c>
      <c r="E480" t="s">
        <v>107</v>
      </c>
      <c r="L480" s="2">
        <v>1.12E-2</v>
      </c>
      <c r="M480" t="s">
        <v>122</v>
      </c>
      <c r="N480">
        <v>257</v>
      </c>
      <c r="S480" s="4">
        <v>323729.36200000002</v>
      </c>
      <c r="T480" t="s">
        <v>107</v>
      </c>
      <c r="U480" s="4">
        <v>0</v>
      </c>
      <c r="V480" t="s">
        <v>107</v>
      </c>
      <c r="W480" s="4">
        <v>0</v>
      </c>
      <c r="X480" t="s">
        <v>107</v>
      </c>
      <c r="Y480" s="4">
        <v>0</v>
      </c>
      <c r="Z480" t="s">
        <v>107</v>
      </c>
      <c r="AC480" t="str">
        <f>IFERROR(VLOOKUP($A480,fund_metadata!$A:$P,2,FALSE),"")</f>
        <v>FLEX</v>
      </c>
      <c r="AD480" t="str">
        <f>IFERROR(VLOOKUP($A480,fund_metadata!$A:$P,16,FALSE),"")</f>
        <v>secondaries</v>
      </c>
    </row>
    <row r="481" spans="1:30" x14ac:dyDescent="0.25">
      <c r="A481">
        <v>9</v>
      </c>
      <c r="B481" s="3">
        <v>46142</v>
      </c>
      <c r="C481" s="3"/>
      <c r="L481" s="7">
        <v>-2.9999999999999997E-4</v>
      </c>
      <c r="M481" t="s">
        <v>122</v>
      </c>
      <c r="AC481" t="str">
        <f>IFERROR(VLOOKUP($A481,fund_metadata!$A:$P,2,FALSE),"")</f>
        <v>FLEX</v>
      </c>
      <c r="AD481" t="str">
        <f>IFERROR(VLOOKUP($A481,fund_metadata!$A:$P,16,FALSE),"")</f>
        <v>secondaries</v>
      </c>
    </row>
    <row r="482" spans="1:30" x14ac:dyDescent="0.25">
      <c r="A482">
        <v>10</v>
      </c>
      <c r="B482" s="3">
        <v>44227</v>
      </c>
      <c r="C482" s="3"/>
      <c r="F482" s="4"/>
      <c r="H482" s="5">
        <v>10</v>
      </c>
      <c r="I482" t="s">
        <v>89</v>
      </c>
      <c r="J482" s="5"/>
      <c r="L482" s="2"/>
      <c r="O482" s="4"/>
      <c r="AC482" t="str">
        <f>IFERROR(VLOOKUP($A482,fund_metadata!$A:$P,2,FALSE),"")</f>
        <v>Hamilton Lane</v>
      </c>
      <c r="AD482" t="str">
        <f>IFERROR(VLOOKUP($A482,fund_metadata!$A:$P,16,FALSE),"")</f>
        <v>private_equity</v>
      </c>
    </row>
    <row r="483" spans="1:30" x14ac:dyDescent="0.25">
      <c r="A483">
        <v>10</v>
      </c>
      <c r="B483" s="3">
        <v>44255</v>
      </c>
      <c r="C483" s="3"/>
      <c r="F483" s="4"/>
      <c r="H483" s="5">
        <v>10.029999999999999</v>
      </c>
      <c r="I483" t="s">
        <v>89</v>
      </c>
      <c r="J483" s="5"/>
      <c r="L483" s="2">
        <v>3.0000000000000001E-3</v>
      </c>
      <c r="M483" t="s">
        <v>89</v>
      </c>
      <c r="O483" s="4"/>
      <c r="AC483" t="str">
        <f>IFERROR(VLOOKUP($A483,fund_metadata!$A:$P,2,FALSE),"")</f>
        <v>Hamilton Lane</v>
      </c>
      <c r="AD483" t="str">
        <f>IFERROR(VLOOKUP($A483,fund_metadata!$A:$P,16,FALSE),"")</f>
        <v>private_equity</v>
      </c>
    </row>
    <row r="484" spans="1:30" x14ac:dyDescent="0.25">
      <c r="A484">
        <v>10</v>
      </c>
      <c r="B484" s="3">
        <v>44286</v>
      </c>
      <c r="C484" s="3"/>
      <c r="F484" s="4">
        <v>158870000</v>
      </c>
      <c r="G484" t="s">
        <v>89</v>
      </c>
      <c r="H484" s="5">
        <v>10.38</v>
      </c>
      <c r="I484" t="s">
        <v>89</v>
      </c>
      <c r="J484" s="5"/>
      <c r="L484" s="2">
        <v>3.49E-2</v>
      </c>
      <c r="M484" t="s">
        <v>89</v>
      </c>
      <c r="N484">
        <v>38</v>
      </c>
      <c r="O484" s="4">
        <v>165420000</v>
      </c>
      <c r="P484" t="s">
        <v>89</v>
      </c>
      <c r="Q484">
        <v>15484525</v>
      </c>
      <c r="R484" t="s">
        <v>121</v>
      </c>
      <c r="AC484" t="str">
        <f>IFERROR(VLOOKUP($A484,fund_metadata!$A:$P,2,FALSE),"")</f>
        <v>Hamilton Lane</v>
      </c>
      <c r="AD484" t="str">
        <f>IFERROR(VLOOKUP($A484,fund_metadata!$A:$P,16,FALSE),"")</f>
        <v>private_equity</v>
      </c>
    </row>
    <row r="485" spans="1:30" x14ac:dyDescent="0.25">
      <c r="A485">
        <v>10</v>
      </c>
      <c r="B485" s="3">
        <v>44316</v>
      </c>
      <c r="C485" s="3"/>
      <c r="F485" s="4">
        <v>166170000</v>
      </c>
      <c r="G485" t="s">
        <v>89</v>
      </c>
      <c r="H485" s="5">
        <v>10.38</v>
      </c>
      <c r="I485" t="s">
        <v>89</v>
      </c>
      <c r="J485" s="5"/>
      <c r="L485" s="2">
        <v>0</v>
      </c>
      <c r="M485" t="s">
        <v>89</v>
      </c>
      <c r="O485" s="4"/>
      <c r="AC485" t="str">
        <f>IFERROR(VLOOKUP($A485,fund_metadata!$A:$P,2,FALSE),"")</f>
        <v>Hamilton Lane</v>
      </c>
      <c r="AD485" t="str">
        <f>IFERROR(VLOOKUP($A485,fund_metadata!$A:$P,16,FALSE),"")</f>
        <v>private_equity</v>
      </c>
    </row>
    <row r="486" spans="1:30" x14ac:dyDescent="0.25">
      <c r="A486">
        <v>10</v>
      </c>
      <c r="B486" s="3">
        <v>44347</v>
      </c>
      <c r="C486" s="3"/>
      <c r="F486" s="4">
        <v>181560000</v>
      </c>
      <c r="G486" t="s">
        <v>89</v>
      </c>
      <c r="H486" s="5">
        <v>10.56</v>
      </c>
      <c r="I486" t="s">
        <v>89</v>
      </c>
      <c r="J486" s="5"/>
      <c r="L486" s="2">
        <v>1.7299999999999999E-2</v>
      </c>
      <c r="M486" t="s">
        <v>89</v>
      </c>
      <c r="O486" s="4"/>
      <c r="AC486" t="str">
        <f>IFERROR(VLOOKUP($A486,fund_metadata!$A:$P,2,FALSE),"")</f>
        <v>Hamilton Lane</v>
      </c>
      <c r="AD486" t="str">
        <f>IFERROR(VLOOKUP($A486,fund_metadata!$A:$P,16,FALSE),"")</f>
        <v>private_equity</v>
      </c>
    </row>
    <row r="487" spans="1:30" x14ac:dyDescent="0.25">
      <c r="A487">
        <v>10</v>
      </c>
      <c r="B487" s="3">
        <v>44377</v>
      </c>
      <c r="C487" s="3"/>
      <c r="F487" s="4">
        <v>196960000</v>
      </c>
      <c r="G487" t="s">
        <v>89</v>
      </c>
      <c r="H487" s="5">
        <v>11.08</v>
      </c>
      <c r="I487" t="s">
        <v>89</v>
      </c>
      <c r="J487" s="5"/>
      <c r="L487" s="2">
        <v>4.9200000000000001E-2</v>
      </c>
      <c r="M487" t="s">
        <v>89</v>
      </c>
      <c r="N487">
        <v>51</v>
      </c>
      <c r="O487" s="4"/>
      <c r="AC487" t="str">
        <f>IFERROR(VLOOKUP($A487,fund_metadata!$A:$P,2,FALSE),"")</f>
        <v>Hamilton Lane</v>
      </c>
      <c r="AD487" t="str">
        <f>IFERROR(VLOOKUP($A487,fund_metadata!$A:$P,16,FALSE),"")</f>
        <v>private_equity</v>
      </c>
    </row>
    <row r="488" spans="1:30" x14ac:dyDescent="0.25">
      <c r="A488">
        <v>10</v>
      </c>
      <c r="B488" s="3">
        <v>44408</v>
      </c>
      <c r="C488" s="3"/>
      <c r="F488" s="4"/>
      <c r="H488" s="5">
        <v>11.1</v>
      </c>
      <c r="I488" t="s">
        <v>89</v>
      </c>
      <c r="J488" s="5"/>
      <c r="L488" s="2">
        <v>1.8E-3</v>
      </c>
      <c r="M488" t="s">
        <v>89</v>
      </c>
      <c r="O488" s="4"/>
      <c r="AC488" t="str">
        <f>IFERROR(VLOOKUP($A488,fund_metadata!$A:$P,2,FALSE),"")</f>
        <v>Hamilton Lane</v>
      </c>
      <c r="AD488" t="str">
        <f>IFERROR(VLOOKUP($A488,fund_metadata!$A:$P,16,FALSE),"")</f>
        <v>private_equity</v>
      </c>
    </row>
    <row r="489" spans="1:30" x14ac:dyDescent="0.25">
      <c r="A489">
        <v>10</v>
      </c>
      <c r="B489" s="3">
        <v>44439</v>
      </c>
      <c r="C489" s="3"/>
      <c r="F489" s="4">
        <v>214240000</v>
      </c>
      <c r="G489" t="s">
        <v>89</v>
      </c>
      <c r="H489" s="5">
        <v>11.4</v>
      </c>
      <c r="I489" t="s">
        <v>89</v>
      </c>
      <c r="J489" s="5"/>
      <c r="L489" s="2">
        <v>2.7E-2</v>
      </c>
      <c r="M489" t="s">
        <v>89</v>
      </c>
      <c r="O489" s="4"/>
      <c r="AC489" t="str">
        <f>IFERROR(VLOOKUP($A489,fund_metadata!$A:$P,2,FALSE),"")</f>
        <v>Hamilton Lane</v>
      </c>
      <c r="AD489" t="str">
        <f>IFERROR(VLOOKUP($A489,fund_metadata!$A:$P,16,FALSE),"")</f>
        <v>private_equity</v>
      </c>
    </row>
    <row r="490" spans="1:30" x14ac:dyDescent="0.25">
      <c r="A490">
        <v>10</v>
      </c>
      <c r="B490" s="3">
        <v>44469</v>
      </c>
      <c r="C490" s="3"/>
      <c r="F490" s="4">
        <v>225580000</v>
      </c>
      <c r="G490" t="s">
        <v>89</v>
      </c>
      <c r="H490" s="5">
        <v>11.84</v>
      </c>
      <c r="I490" t="s">
        <v>89</v>
      </c>
      <c r="J490" s="5"/>
      <c r="L490" s="2">
        <v>3.8600000000000002E-2</v>
      </c>
      <c r="M490" t="s">
        <v>89</v>
      </c>
      <c r="N490">
        <v>57</v>
      </c>
      <c r="O490" s="4">
        <v>249430000</v>
      </c>
      <c r="P490" t="s">
        <v>89</v>
      </c>
      <c r="Q490">
        <v>19651138</v>
      </c>
      <c r="R490" t="s">
        <v>120</v>
      </c>
      <c r="AC490" t="str">
        <f>IFERROR(VLOOKUP($A490,fund_metadata!$A:$P,2,FALSE),"")</f>
        <v>Hamilton Lane</v>
      </c>
      <c r="AD490" t="str">
        <f>IFERROR(VLOOKUP($A490,fund_metadata!$A:$P,16,FALSE),"")</f>
        <v>private_equity</v>
      </c>
    </row>
    <row r="491" spans="1:30" x14ac:dyDescent="0.25">
      <c r="A491">
        <v>10</v>
      </c>
      <c r="B491" s="3">
        <v>44500</v>
      </c>
      <c r="C491" s="3"/>
      <c r="F491" s="4">
        <v>251050000</v>
      </c>
      <c r="G491" t="s">
        <v>89</v>
      </c>
      <c r="H491" s="5">
        <v>12.01</v>
      </c>
      <c r="I491" t="s">
        <v>89</v>
      </c>
      <c r="J491" s="5"/>
      <c r="L491" s="2">
        <v>1.44E-2</v>
      </c>
      <c r="M491" t="s">
        <v>89</v>
      </c>
      <c r="O491" s="4"/>
      <c r="AC491" t="str">
        <f>IFERROR(VLOOKUP($A491,fund_metadata!$A:$P,2,FALSE),"")</f>
        <v>Hamilton Lane</v>
      </c>
      <c r="AD491" t="str">
        <f>IFERROR(VLOOKUP($A491,fund_metadata!$A:$P,16,FALSE),"")</f>
        <v>private_equity</v>
      </c>
    </row>
    <row r="492" spans="1:30" x14ac:dyDescent="0.25">
      <c r="A492">
        <v>10</v>
      </c>
      <c r="B492" s="3">
        <v>44530</v>
      </c>
      <c r="C492" s="3"/>
      <c r="F492" s="4">
        <v>267890000</v>
      </c>
      <c r="G492" t="s">
        <v>89</v>
      </c>
      <c r="H492" s="5">
        <v>12.02</v>
      </c>
      <c r="I492" t="s">
        <v>89</v>
      </c>
      <c r="J492" s="5"/>
      <c r="L492" s="2">
        <v>8.0000000000000004E-4</v>
      </c>
      <c r="M492" t="s">
        <v>89</v>
      </c>
      <c r="O492" s="4"/>
      <c r="AC492" t="str">
        <f>IFERROR(VLOOKUP($A492,fund_metadata!$A:$P,2,FALSE),"")</f>
        <v>Hamilton Lane</v>
      </c>
      <c r="AD492" t="str">
        <f>IFERROR(VLOOKUP($A492,fund_metadata!$A:$P,16,FALSE),"")</f>
        <v>private_equity</v>
      </c>
    </row>
    <row r="493" spans="1:30" x14ac:dyDescent="0.25">
      <c r="A493">
        <v>10</v>
      </c>
      <c r="B493" s="3">
        <v>44561</v>
      </c>
      <c r="C493" s="3"/>
      <c r="F493" s="4">
        <v>292500000</v>
      </c>
      <c r="G493" t="s">
        <v>89</v>
      </c>
      <c r="H493" s="5">
        <v>12.1</v>
      </c>
      <c r="I493" t="s">
        <v>89</v>
      </c>
      <c r="J493" s="5"/>
      <c r="L493" s="2">
        <v>2.18E-2</v>
      </c>
      <c r="M493" t="s">
        <v>89</v>
      </c>
      <c r="N493">
        <v>73</v>
      </c>
      <c r="O493" s="4"/>
      <c r="AC493" t="str">
        <f>IFERROR(VLOOKUP($A493,fund_metadata!$A:$P,2,FALSE),"")</f>
        <v>Hamilton Lane</v>
      </c>
      <c r="AD493" t="str">
        <f>IFERROR(VLOOKUP($A493,fund_metadata!$A:$P,16,FALSE),"")</f>
        <v>private_equity</v>
      </c>
    </row>
    <row r="494" spans="1:30" x14ac:dyDescent="0.25">
      <c r="A494">
        <v>10</v>
      </c>
      <c r="B494" s="3">
        <v>44592</v>
      </c>
      <c r="C494" s="3"/>
      <c r="F494" s="4">
        <v>303490000</v>
      </c>
      <c r="G494" t="s">
        <v>89</v>
      </c>
      <c r="H494" s="5">
        <v>11.91</v>
      </c>
      <c r="I494" t="s">
        <v>89</v>
      </c>
      <c r="J494" s="5"/>
      <c r="L494" s="2">
        <v>-1.5699999999999999E-2</v>
      </c>
      <c r="M494" t="s">
        <v>89</v>
      </c>
      <c r="O494" s="4"/>
      <c r="AC494" t="str">
        <f>IFERROR(VLOOKUP($A494,fund_metadata!$A:$P,2,FALSE),"")</f>
        <v>Hamilton Lane</v>
      </c>
      <c r="AD494" t="str">
        <f>IFERROR(VLOOKUP($A494,fund_metadata!$A:$P,16,FALSE),"")</f>
        <v>private_equity</v>
      </c>
    </row>
    <row r="495" spans="1:30" x14ac:dyDescent="0.25">
      <c r="A495">
        <v>10</v>
      </c>
      <c r="B495" s="3">
        <v>44620</v>
      </c>
      <c r="C495" s="3"/>
      <c r="F495" s="4">
        <v>321840000</v>
      </c>
      <c r="G495" t="s">
        <v>89</v>
      </c>
      <c r="H495" s="5">
        <v>11.97</v>
      </c>
      <c r="I495" t="s">
        <v>89</v>
      </c>
      <c r="J495" s="5"/>
      <c r="L495" s="2">
        <v>5.0000000000000001E-3</v>
      </c>
      <c r="M495" t="s">
        <v>89</v>
      </c>
      <c r="O495" s="4"/>
      <c r="AC495" t="str">
        <f>IFERROR(VLOOKUP($A495,fund_metadata!$A:$P,2,FALSE),"")</f>
        <v>Hamilton Lane</v>
      </c>
      <c r="AD495" t="str">
        <f>IFERROR(VLOOKUP($A495,fund_metadata!$A:$P,16,FALSE),"")</f>
        <v>private_equity</v>
      </c>
    </row>
    <row r="496" spans="1:30" x14ac:dyDescent="0.25">
      <c r="A496">
        <v>10</v>
      </c>
      <c r="B496" s="3">
        <v>44651</v>
      </c>
      <c r="C496" s="3"/>
      <c r="F496" s="4">
        <v>338480000</v>
      </c>
      <c r="G496" t="s">
        <v>89</v>
      </c>
      <c r="H496" s="5">
        <v>12.35</v>
      </c>
      <c r="I496" t="s">
        <v>89</v>
      </c>
      <c r="J496" s="5"/>
      <c r="L496" s="2">
        <v>3.1699999999999999E-2</v>
      </c>
      <c r="M496" t="s">
        <v>89</v>
      </c>
      <c r="N496">
        <v>79</v>
      </c>
      <c r="O496" s="4">
        <v>365370000</v>
      </c>
      <c r="P496" t="s">
        <v>89</v>
      </c>
      <c r="Q496">
        <v>26710202</v>
      </c>
      <c r="R496" t="s">
        <v>121</v>
      </c>
      <c r="AC496" t="str">
        <f>IFERROR(VLOOKUP($A496,fund_metadata!$A:$P,2,FALSE),"")</f>
        <v>Hamilton Lane</v>
      </c>
      <c r="AD496" t="str">
        <f>IFERROR(VLOOKUP($A496,fund_metadata!$A:$P,16,FALSE),"")</f>
        <v>private_equity</v>
      </c>
    </row>
    <row r="497" spans="1:30" x14ac:dyDescent="0.25">
      <c r="A497">
        <v>10</v>
      </c>
      <c r="B497" s="3">
        <v>44681</v>
      </c>
      <c r="C497" s="3"/>
      <c r="F497" s="4">
        <v>344500000</v>
      </c>
      <c r="G497" t="s">
        <v>89</v>
      </c>
      <c r="H497" s="5">
        <v>12.01</v>
      </c>
      <c r="I497" t="s">
        <v>89</v>
      </c>
      <c r="J497" s="5"/>
      <c r="L497" s="2">
        <v>-2.75E-2</v>
      </c>
      <c r="M497" t="s">
        <v>89</v>
      </c>
      <c r="O497" s="4"/>
      <c r="AC497" t="str">
        <f>IFERROR(VLOOKUP($A497,fund_metadata!$A:$P,2,FALSE),"")</f>
        <v>Hamilton Lane</v>
      </c>
      <c r="AD497" t="str">
        <f>IFERROR(VLOOKUP($A497,fund_metadata!$A:$P,16,FALSE),"")</f>
        <v>private_equity</v>
      </c>
    </row>
    <row r="498" spans="1:30" x14ac:dyDescent="0.25">
      <c r="A498">
        <v>10</v>
      </c>
      <c r="B498" s="3">
        <v>44712</v>
      </c>
      <c r="C498" s="3"/>
      <c r="F498" s="4">
        <v>367980000</v>
      </c>
      <c r="G498" t="s">
        <v>89</v>
      </c>
      <c r="H498" s="5">
        <v>12.29</v>
      </c>
      <c r="I498" t="s">
        <v>89</v>
      </c>
      <c r="J498" s="5"/>
      <c r="L498" s="2">
        <v>2.3300000000000001E-2</v>
      </c>
      <c r="M498" t="s">
        <v>89</v>
      </c>
      <c r="O498" s="4"/>
      <c r="AC498" t="str">
        <f>IFERROR(VLOOKUP($A498,fund_metadata!$A:$P,2,FALSE),"")</f>
        <v>Hamilton Lane</v>
      </c>
      <c r="AD498" t="str">
        <f>IFERROR(VLOOKUP($A498,fund_metadata!$A:$P,16,FALSE),"")</f>
        <v>private_equity</v>
      </c>
    </row>
    <row r="499" spans="1:30" x14ac:dyDescent="0.25">
      <c r="A499">
        <v>10</v>
      </c>
      <c r="B499" s="3">
        <v>44742</v>
      </c>
      <c r="C499" s="3"/>
      <c r="F499" s="4">
        <v>383670000</v>
      </c>
      <c r="G499" t="s">
        <v>89</v>
      </c>
      <c r="H499" s="5">
        <v>12.2</v>
      </c>
      <c r="I499" t="s">
        <v>89</v>
      </c>
      <c r="J499" s="5"/>
      <c r="L499" s="2">
        <v>-7.3000000000000001E-3</v>
      </c>
      <c r="M499" t="s">
        <v>89</v>
      </c>
      <c r="N499">
        <v>84</v>
      </c>
      <c r="O499" s="4"/>
      <c r="AC499" t="str">
        <f>IFERROR(VLOOKUP($A499,fund_metadata!$A:$P,2,FALSE),"")</f>
        <v>Hamilton Lane</v>
      </c>
      <c r="AD499" t="str">
        <f>IFERROR(VLOOKUP($A499,fund_metadata!$A:$P,16,FALSE),"")</f>
        <v>private_equity</v>
      </c>
    </row>
    <row r="500" spans="1:30" x14ac:dyDescent="0.25">
      <c r="A500">
        <v>10</v>
      </c>
      <c r="B500" s="3">
        <v>44773</v>
      </c>
      <c r="C500" s="3"/>
      <c r="F500" s="4">
        <v>411080000</v>
      </c>
      <c r="G500" t="s">
        <v>89</v>
      </c>
      <c r="H500" s="5">
        <v>12.79</v>
      </c>
      <c r="I500" t="s">
        <v>89</v>
      </c>
      <c r="J500" s="5"/>
      <c r="L500" s="2">
        <v>4.8399999999999999E-2</v>
      </c>
      <c r="M500" t="s">
        <v>89</v>
      </c>
      <c r="O500" s="4"/>
      <c r="AC500" t="str">
        <f>IFERROR(VLOOKUP($A500,fund_metadata!$A:$P,2,FALSE),"")</f>
        <v>Hamilton Lane</v>
      </c>
      <c r="AD500" t="str">
        <f>IFERROR(VLOOKUP($A500,fund_metadata!$A:$P,16,FALSE),"")</f>
        <v>private_equity</v>
      </c>
    </row>
    <row r="501" spans="1:30" x14ac:dyDescent="0.25">
      <c r="A501">
        <v>10</v>
      </c>
      <c r="B501" s="3">
        <v>44804</v>
      </c>
      <c r="C501" s="3"/>
      <c r="F501" s="4">
        <v>428430000</v>
      </c>
      <c r="G501" t="s">
        <v>89</v>
      </c>
      <c r="H501" s="5">
        <v>13</v>
      </c>
      <c r="I501" t="s">
        <v>89</v>
      </c>
      <c r="J501" s="5"/>
      <c r="L501" s="2">
        <v>1.6400000000000001E-2</v>
      </c>
      <c r="M501" t="s">
        <v>89</v>
      </c>
      <c r="O501" s="4"/>
      <c r="AC501" t="str">
        <f>IFERROR(VLOOKUP($A501,fund_metadata!$A:$P,2,FALSE),"")</f>
        <v>Hamilton Lane</v>
      </c>
      <c r="AD501" t="str">
        <f>IFERROR(VLOOKUP($A501,fund_metadata!$A:$P,16,FALSE),"")</f>
        <v>private_equity</v>
      </c>
    </row>
    <row r="502" spans="1:30" x14ac:dyDescent="0.25">
      <c r="A502">
        <v>10</v>
      </c>
      <c r="B502" s="3">
        <v>44834</v>
      </c>
      <c r="C502" s="3"/>
      <c r="F502" s="4">
        <v>436710000</v>
      </c>
      <c r="G502" t="s">
        <v>89</v>
      </c>
      <c r="H502" s="5">
        <v>12.99</v>
      </c>
      <c r="I502" t="s">
        <v>89</v>
      </c>
      <c r="J502" s="5"/>
      <c r="L502" s="2">
        <v>-8.0000000000000004E-4</v>
      </c>
      <c r="M502" t="s">
        <v>89</v>
      </c>
      <c r="N502">
        <v>90</v>
      </c>
      <c r="O502" s="4">
        <v>463950000</v>
      </c>
      <c r="P502" t="s">
        <v>89</v>
      </c>
      <c r="Q502">
        <v>31669215</v>
      </c>
      <c r="R502" t="s">
        <v>120</v>
      </c>
      <c r="AC502" t="str">
        <f>IFERROR(VLOOKUP($A502,fund_metadata!$A:$P,2,FALSE),"")</f>
        <v>Hamilton Lane</v>
      </c>
      <c r="AD502" t="str">
        <f>IFERROR(VLOOKUP($A502,fund_metadata!$A:$P,16,FALSE),"")</f>
        <v>private_equity</v>
      </c>
    </row>
    <row r="503" spans="1:30" x14ac:dyDescent="0.25">
      <c r="A503">
        <v>10</v>
      </c>
      <c r="B503" s="3">
        <v>44865</v>
      </c>
      <c r="C503" s="3"/>
      <c r="F503" s="4">
        <v>461990000</v>
      </c>
      <c r="G503" t="s">
        <v>89</v>
      </c>
      <c r="H503" s="5">
        <v>13.42</v>
      </c>
      <c r="I503" t="s">
        <v>89</v>
      </c>
      <c r="J503" s="5"/>
      <c r="L503" s="2">
        <v>3.3099999999999997E-2</v>
      </c>
      <c r="M503" t="s">
        <v>89</v>
      </c>
      <c r="O503" s="4"/>
      <c r="AC503" t="str">
        <f>IFERROR(VLOOKUP($A503,fund_metadata!$A:$P,2,FALSE),"")</f>
        <v>Hamilton Lane</v>
      </c>
      <c r="AD503" t="str">
        <f>IFERROR(VLOOKUP($A503,fund_metadata!$A:$P,16,FALSE),"")</f>
        <v>private_equity</v>
      </c>
    </row>
    <row r="504" spans="1:30" x14ac:dyDescent="0.25">
      <c r="A504">
        <v>10</v>
      </c>
      <c r="B504" s="3">
        <v>44895</v>
      </c>
      <c r="C504" s="3"/>
      <c r="F504" s="4">
        <v>482750000</v>
      </c>
      <c r="G504" t="s">
        <v>89</v>
      </c>
      <c r="H504" s="5">
        <v>13.9</v>
      </c>
      <c r="I504" t="s">
        <v>89</v>
      </c>
      <c r="J504" s="5"/>
      <c r="L504" s="2">
        <v>3.5799999999999998E-2</v>
      </c>
      <c r="M504" t="s">
        <v>89</v>
      </c>
      <c r="O504" s="4"/>
      <c r="AC504" t="str">
        <f>IFERROR(VLOOKUP($A504,fund_metadata!$A:$P,2,FALSE),"")</f>
        <v>Hamilton Lane</v>
      </c>
      <c r="AD504" t="str">
        <f>IFERROR(VLOOKUP($A504,fund_metadata!$A:$P,16,FALSE),"")</f>
        <v>private_equity</v>
      </c>
    </row>
    <row r="505" spans="1:30" x14ac:dyDescent="0.25">
      <c r="A505">
        <v>10</v>
      </c>
      <c r="B505" s="3">
        <v>44926</v>
      </c>
      <c r="C505" s="3"/>
      <c r="F505" s="4">
        <v>502120000</v>
      </c>
      <c r="G505" t="s">
        <v>89</v>
      </c>
      <c r="H505" s="5">
        <v>13.87</v>
      </c>
      <c r="I505" t="s">
        <v>89</v>
      </c>
      <c r="J505" s="5"/>
      <c r="L505" s="2">
        <v>1.1900000000000001E-2</v>
      </c>
      <c r="M505" t="s">
        <v>89</v>
      </c>
      <c r="N505">
        <v>89</v>
      </c>
      <c r="O505" s="4"/>
      <c r="AC505" t="str">
        <f>IFERROR(VLOOKUP($A505,fund_metadata!$A:$P,2,FALSE),"")</f>
        <v>Hamilton Lane</v>
      </c>
      <c r="AD505" t="str">
        <f>IFERROR(VLOOKUP($A505,fund_metadata!$A:$P,16,FALSE),"")</f>
        <v>private_equity</v>
      </c>
    </row>
    <row r="506" spans="1:30" x14ac:dyDescent="0.25">
      <c r="A506">
        <v>10</v>
      </c>
      <c r="B506" s="3">
        <v>44957</v>
      </c>
      <c r="C506" s="3"/>
      <c r="F506" s="4">
        <v>540760000</v>
      </c>
      <c r="G506" t="s">
        <v>89</v>
      </c>
      <c r="H506" s="5">
        <v>14.22</v>
      </c>
      <c r="I506" t="s">
        <v>89</v>
      </c>
      <c r="J506" s="5"/>
      <c r="L506" s="2">
        <v>2.52E-2</v>
      </c>
      <c r="M506" t="s">
        <v>89</v>
      </c>
      <c r="O506" s="4"/>
      <c r="AC506" t="str">
        <f>IFERROR(VLOOKUP($A506,fund_metadata!$A:$P,2,FALSE),"")</f>
        <v>Hamilton Lane</v>
      </c>
      <c r="AD506" t="str">
        <f>IFERROR(VLOOKUP($A506,fund_metadata!$A:$P,16,FALSE),"")</f>
        <v>private_equity</v>
      </c>
    </row>
    <row r="507" spans="1:30" x14ac:dyDescent="0.25">
      <c r="A507">
        <v>10</v>
      </c>
      <c r="B507" s="3">
        <v>44985</v>
      </c>
      <c r="C507" s="3"/>
      <c r="F507" s="4">
        <v>555100000</v>
      </c>
      <c r="G507" t="s">
        <v>89</v>
      </c>
      <c r="H507" s="5">
        <v>14.24</v>
      </c>
      <c r="I507" t="s">
        <v>89</v>
      </c>
      <c r="J507" s="5"/>
      <c r="L507" s="2">
        <v>1.4E-3</v>
      </c>
      <c r="M507" t="s">
        <v>89</v>
      </c>
      <c r="O507" s="4"/>
      <c r="AC507" t="str">
        <f>IFERROR(VLOOKUP($A507,fund_metadata!$A:$P,2,FALSE),"")</f>
        <v>Hamilton Lane</v>
      </c>
      <c r="AD507" t="str">
        <f>IFERROR(VLOOKUP($A507,fund_metadata!$A:$P,16,FALSE),"")</f>
        <v>private_equity</v>
      </c>
    </row>
    <row r="508" spans="1:30" x14ac:dyDescent="0.25">
      <c r="A508">
        <v>10</v>
      </c>
      <c r="B508" s="3">
        <v>45016</v>
      </c>
      <c r="C508" s="3"/>
      <c r="F508" s="4">
        <v>581630000</v>
      </c>
      <c r="G508" t="s">
        <v>89</v>
      </c>
      <c r="H508" s="5">
        <v>14.14</v>
      </c>
      <c r="I508" t="s">
        <v>89</v>
      </c>
      <c r="J508" s="5"/>
      <c r="L508" s="2">
        <v>-7.0000000000000001E-3</v>
      </c>
      <c r="M508" t="s">
        <v>89</v>
      </c>
      <c r="N508">
        <v>109</v>
      </c>
      <c r="O508" s="4">
        <v>644780000</v>
      </c>
      <c r="P508" t="s">
        <v>89</v>
      </c>
      <c r="Q508">
        <v>37766460</v>
      </c>
      <c r="R508" t="s">
        <v>121</v>
      </c>
      <c r="AC508" t="str">
        <f>IFERROR(VLOOKUP($A508,fund_metadata!$A:$P,2,FALSE),"")</f>
        <v>Hamilton Lane</v>
      </c>
      <c r="AD508" t="str">
        <f>IFERROR(VLOOKUP($A508,fund_metadata!$A:$P,16,FALSE),"")</f>
        <v>private_equity</v>
      </c>
    </row>
    <row r="509" spans="1:30" x14ac:dyDescent="0.25">
      <c r="A509">
        <v>10</v>
      </c>
      <c r="B509" s="3">
        <v>45046</v>
      </c>
      <c r="C509" s="3"/>
      <c r="F509" s="4">
        <v>621540000</v>
      </c>
      <c r="G509" t="s">
        <v>89</v>
      </c>
      <c r="H509" s="5">
        <v>14.2</v>
      </c>
      <c r="I509" t="s">
        <v>89</v>
      </c>
      <c r="J509" s="5"/>
      <c r="L509" s="2">
        <v>4.1999999999999997E-3</v>
      </c>
      <c r="M509" t="s">
        <v>89</v>
      </c>
      <c r="O509" s="4"/>
      <c r="AC509" t="str">
        <f>IFERROR(VLOOKUP($A509,fund_metadata!$A:$P,2,FALSE),"")</f>
        <v>Hamilton Lane</v>
      </c>
      <c r="AD509" t="str">
        <f>IFERROR(VLOOKUP($A509,fund_metadata!$A:$P,16,FALSE),"")</f>
        <v>private_equity</v>
      </c>
    </row>
    <row r="510" spans="1:30" x14ac:dyDescent="0.25">
      <c r="A510">
        <v>10</v>
      </c>
      <c r="B510" s="3">
        <v>45077</v>
      </c>
      <c r="C510" s="3"/>
      <c r="F510" s="4">
        <v>646400000</v>
      </c>
      <c r="G510" t="s">
        <v>89</v>
      </c>
      <c r="H510" s="5">
        <v>14.23</v>
      </c>
      <c r="I510" t="s">
        <v>89</v>
      </c>
      <c r="J510" s="5"/>
      <c r="L510" s="2">
        <v>2.0999999999999999E-3</v>
      </c>
      <c r="M510" t="s">
        <v>89</v>
      </c>
      <c r="O510" s="4"/>
      <c r="AC510" t="str">
        <f>IFERROR(VLOOKUP($A510,fund_metadata!$A:$P,2,FALSE),"")</f>
        <v>Hamilton Lane</v>
      </c>
      <c r="AD510" t="str">
        <f>IFERROR(VLOOKUP($A510,fund_metadata!$A:$P,16,FALSE),"")</f>
        <v>private_equity</v>
      </c>
    </row>
    <row r="511" spans="1:30" x14ac:dyDescent="0.25">
      <c r="A511">
        <v>10</v>
      </c>
      <c r="B511" s="3">
        <v>45107</v>
      </c>
      <c r="C511" s="3"/>
      <c r="F511" s="4">
        <v>734520000</v>
      </c>
      <c r="G511" t="s">
        <v>89</v>
      </c>
      <c r="H511" s="5">
        <v>14.65</v>
      </c>
      <c r="I511" t="s">
        <v>89</v>
      </c>
      <c r="J511" s="5"/>
      <c r="L511" s="2">
        <v>2.9499999999999998E-2</v>
      </c>
      <c r="M511" t="s">
        <v>89</v>
      </c>
      <c r="N511">
        <v>114</v>
      </c>
      <c r="O511" s="4"/>
      <c r="AC511" t="str">
        <f>IFERROR(VLOOKUP($A511,fund_metadata!$A:$P,2,FALSE),"")</f>
        <v>Hamilton Lane</v>
      </c>
      <c r="AD511" t="str">
        <f>IFERROR(VLOOKUP($A511,fund_metadata!$A:$P,16,FALSE),"")</f>
        <v>private_equity</v>
      </c>
    </row>
    <row r="512" spans="1:30" x14ac:dyDescent="0.25">
      <c r="A512">
        <v>10</v>
      </c>
      <c r="B512" s="3">
        <v>45138</v>
      </c>
      <c r="C512" s="3"/>
      <c r="F512" s="4">
        <v>903380000</v>
      </c>
      <c r="G512" t="s">
        <v>89</v>
      </c>
      <c r="H512" s="5">
        <v>14.74</v>
      </c>
      <c r="I512" t="s">
        <v>89</v>
      </c>
      <c r="J512" s="5"/>
      <c r="L512" s="2">
        <v>6.0000000000000001E-3</v>
      </c>
      <c r="M512" t="s">
        <v>89</v>
      </c>
      <c r="O512" s="4"/>
      <c r="AC512" t="str">
        <f>IFERROR(VLOOKUP($A512,fund_metadata!$A:$P,2,FALSE),"")</f>
        <v>Hamilton Lane</v>
      </c>
      <c r="AD512" t="str">
        <f>IFERROR(VLOOKUP($A512,fund_metadata!$A:$P,16,FALSE),"")</f>
        <v>private_equity</v>
      </c>
    </row>
    <row r="513" spans="1:30" x14ac:dyDescent="0.25">
      <c r="A513">
        <v>10</v>
      </c>
      <c r="B513" s="3">
        <v>45169</v>
      </c>
      <c r="C513" s="3"/>
      <c r="F513" s="4">
        <v>962580000</v>
      </c>
      <c r="G513" t="s">
        <v>89</v>
      </c>
      <c r="H513" s="5">
        <v>14.62</v>
      </c>
      <c r="I513" t="s">
        <v>89</v>
      </c>
      <c r="J513" s="5"/>
      <c r="L513" s="2">
        <v>-7.9000000000000008E-3</v>
      </c>
      <c r="M513" t="s">
        <v>89</v>
      </c>
      <c r="O513" s="4"/>
      <c r="AC513" t="str">
        <f>IFERROR(VLOOKUP($A513,fund_metadata!$A:$P,2,FALSE),"")</f>
        <v>Hamilton Lane</v>
      </c>
      <c r="AD513" t="str">
        <f>IFERROR(VLOOKUP($A513,fund_metadata!$A:$P,16,FALSE),"")</f>
        <v>private_equity</v>
      </c>
    </row>
    <row r="514" spans="1:30" x14ac:dyDescent="0.25">
      <c r="A514">
        <v>10</v>
      </c>
      <c r="B514" s="3">
        <v>45199</v>
      </c>
      <c r="C514" s="3"/>
      <c r="F514" s="4">
        <v>1050000000</v>
      </c>
      <c r="G514" t="s">
        <v>89</v>
      </c>
      <c r="H514" s="5">
        <v>14.79</v>
      </c>
      <c r="I514" t="s">
        <v>89</v>
      </c>
      <c r="J514" s="5"/>
      <c r="L514" s="2">
        <v>1.1299999999999999E-2</v>
      </c>
      <c r="M514" t="s">
        <v>89</v>
      </c>
      <c r="N514">
        <v>163</v>
      </c>
      <c r="O514" s="4">
        <v>1340000000</v>
      </c>
      <c r="P514" t="s">
        <v>89</v>
      </c>
      <c r="Q514">
        <v>53023949</v>
      </c>
      <c r="R514" t="s">
        <v>120</v>
      </c>
      <c r="AC514" t="str">
        <f>IFERROR(VLOOKUP($A514,fund_metadata!$A:$P,2,FALSE),"")</f>
        <v>Hamilton Lane</v>
      </c>
      <c r="AD514" t="str">
        <f>IFERROR(VLOOKUP($A514,fund_metadata!$A:$P,16,FALSE),"")</f>
        <v>private_equity</v>
      </c>
    </row>
    <row r="515" spans="1:30" x14ac:dyDescent="0.25">
      <c r="A515">
        <v>10</v>
      </c>
      <c r="B515" s="3">
        <v>45230</v>
      </c>
      <c r="C515" s="3"/>
      <c r="F515" s="4">
        <v>1200000000</v>
      </c>
      <c r="G515" t="s">
        <v>89</v>
      </c>
      <c r="H515" s="5">
        <v>14.8</v>
      </c>
      <c r="I515" t="s">
        <v>89</v>
      </c>
      <c r="J515" s="5"/>
      <c r="L515" s="2">
        <v>5.9999999999999995E-4</v>
      </c>
      <c r="M515" t="s">
        <v>89</v>
      </c>
      <c r="O515" s="4"/>
      <c r="AC515" t="str">
        <f>IFERROR(VLOOKUP($A515,fund_metadata!$A:$P,2,FALSE),"")</f>
        <v>Hamilton Lane</v>
      </c>
      <c r="AD515" t="str">
        <f>IFERROR(VLOOKUP($A515,fund_metadata!$A:$P,16,FALSE),"")</f>
        <v>private_equity</v>
      </c>
    </row>
    <row r="516" spans="1:30" x14ac:dyDescent="0.25">
      <c r="A516">
        <v>10</v>
      </c>
      <c r="B516" s="3">
        <v>45260</v>
      </c>
      <c r="C516" s="3"/>
      <c r="F516" s="4">
        <v>1290000000</v>
      </c>
      <c r="G516" t="s">
        <v>89</v>
      </c>
      <c r="H516" s="5">
        <v>15.13</v>
      </c>
      <c r="I516" t="s">
        <v>89</v>
      </c>
      <c r="J516" s="5"/>
      <c r="L516" s="2">
        <v>2.2499999999999999E-2</v>
      </c>
      <c r="M516" t="s">
        <v>89</v>
      </c>
      <c r="O516" s="4"/>
      <c r="AC516" t="str">
        <f>IFERROR(VLOOKUP($A516,fund_metadata!$A:$P,2,FALSE),"")</f>
        <v>Hamilton Lane</v>
      </c>
      <c r="AD516" t="str">
        <f>IFERROR(VLOOKUP($A516,fund_metadata!$A:$P,16,FALSE),"")</f>
        <v>private_equity</v>
      </c>
    </row>
    <row r="517" spans="1:30" x14ac:dyDescent="0.25">
      <c r="A517">
        <v>10</v>
      </c>
      <c r="B517" s="3">
        <v>45291</v>
      </c>
      <c r="C517" s="3"/>
      <c r="F517" s="4">
        <v>1380000000</v>
      </c>
      <c r="G517" t="s">
        <v>89</v>
      </c>
      <c r="H517" s="5">
        <v>15.47</v>
      </c>
      <c r="I517" t="s">
        <v>89</v>
      </c>
      <c r="J517" s="5"/>
      <c r="L517" s="2">
        <v>3.04E-2</v>
      </c>
      <c r="M517" t="s">
        <v>89</v>
      </c>
      <c r="N517">
        <v>188</v>
      </c>
      <c r="O517" s="4"/>
      <c r="AC517" t="str">
        <f>IFERROR(VLOOKUP($A517,fund_metadata!$A:$P,2,FALSE),"")</f>
        <v>Hamilton Lane</v>
      </c>
      <c r="AD517" t="str">
        <f>IFERROR(VLOOKUP($A517,fund_metadata!$A:$P,16,FALSE),"")</f>
        <v>private_equity</v>
      </c>
    </row>
    <row r="518" spans="1:30" x14ac:dyDescent="0.25">
      <c r="A518">
        <v>10</v>
      </c>
      <c r="B518" s="3">
        <v>45322</v>
      </c>
      <c r="C518" s="3"/>
      <c r="F518" s="4">
        <v>1520000000</v>
      </c>
      <c r="G518" t="s">
        <v>89</v>
      </c>
      <c r="H518" s="5">
        <v>15.57</v>
      </c>
      <c r="I518" t="s">
        <v>89</v>
      </c>
      <c r="J518" s="5"/>
      <c r="L518" s="2">
        <v>6.6E-3</v>
      </c>
      <c r="M518" t="s">
        <v>89</v>
      </c>
      <c r="O518" s="4"/>
      <c r="AC518" t="str">
        <f>IFERROR(VLOOKUP($A518,fund_metadata!$A:$P,2,FALSE),"")</f>
        <v>Hamilton Lane</v>
      </c>
      <c r="AD518" t="str">
        <f>IFERROR(VLOOKUP($A518,fund_metadata!$A:$P,16,FALSE),"")</f>
        <v>private_equity</v>
      </c>
    </row>
    <row r="519" spans="1:30" x14ac:dyDescent="0.25">
      <c r="A519">
        <v>10</v>
      </c>
      <c r="B519" s="3">
        <v>45351</v>
      </c>
      <c r="C519" s="3"/>
      <c r="F519" s="4">
        <v>1630000000</v>
      </c>
      <c r="G519" t="s">
        <v>89</v>
      </c>
      <c r="H519" s="5">
        <v>15.72</v>
      </c>
      <c r="I519" t="s">
        <v>89</v>
      </c>
      <c r="J519" s="5"/>
      <c r="L519" s="2">
        <v>9.5999999999999992E-3</v>
      </c>
      <c r="M519" t="s">
        <v>89</v>
      </c>
      <c r="O519" s="4"/>
      <c r="AC519" t="str">
        <f>IFERROR(VLOOKUP($A519,fund_metadata!$A:$P,2,FALSE),"")</f>
        <v>Hamilton Lane</v>
      </c>
      <c r="AD519" t="str">
        <f>IFERROR(VLOOKUP($A519,fund_metadata!$A:$P,16,FALSE),"")</f>
        <v>private_equity</v>
      </c>
    </row>
    <row r="520" spans="1:30" x14ac:dyDescent="0.25">
      <c r="A520">
        <v>10</v>
      </c>
      <c r="B520" s="3">
        <v>45382</v>
      </c>
      <c r="C520" s="3"/>
      <c r="F520" s="4">
        <v>1780000000</v>
      </c>
      <c r="G520" t="s">
        <v>89</v>
      </c>
      <c r="H520" s="5">
        <v>15.81</v>
      </c>
      <c r="I520" t="s">
        <v>89</v>
      </c>
      <c r="J520" s="5"/>
      <c r="L520" s="2">
        <v>5.7000000000000002E-3</v>
      </c>
      <c r="M520" t="s">
        <v>89</v>
      </c>
      <c r="N520">
        <v>213</v>
      </c>
      <c r="O520" s="4">
        <v>2050000000</v>
      </c>
      <c r="P520" t="s">
        <v>89</v>
      </c>
      <c r="Q520">
        <v>72728591</v>
      </c>
      <c r="R520" t="s">
        <v>121</v>
      </c>
      <c r="AC520" t="str">
        <f>IFERROR(VLOOKUP($A520,fund_metadata!$A:$P,2,FALSE),"")</f>
        <v>Hamilton Lane</v>
      </c>
      <c r="AD520" t="str">
        <f>IFERROR(VLOOKUP($A520,fund_metadata!$A:$P,16,FALSE),"")</f>
        <v>private_equity</v>
      </c>
    </row>
    <row r="521" spans="1:30" x14ac:dyDescent="0.25">
      <c r="A521">
        <v>10</v>
      </c>
      <c r="B521" s="3">
        <v>45412</v>
      </c>
      <c r="C521" s="3"/>
      <c r="F521" s="4">
        <v>1890000000</v>
      </c>
      <c r="G521" t="s">
        <v>89</v>
      </c>
      <c r="H521" s="5">
        <v>15.67</v>
      </c>
      <c r="I521" t="s">
        <v>89</v>
      </c>
      <c r="J521" s="5"/>
      <c r="L521" s="2">
        <v>-8.9999999999999993E-3</v>
      </c>
      <c r="M521" t="s">
        <v>89</v>
      </c>
      <c r="O521" s="4"/>
      <c r="AC521" t="str">
        <f>IFERROR(VLOOKUP($A521,fund_metadata!$A:$P,2,FALSE),"")</f>
        <v>Hamilton Lane</v>
      </c>
      <c r="AD521" t="str">
        <f>IFERROR(VLOOKUP($A521,fund_metadata!$A:$P,16,FALSE),"")</f>
        <v>private_equity</v>
      </c>
    </row>
    <row r="522" spans="1:30" x14ac:dyDescent="0.25">
      <c r="A522">
        <v>10</v>
      </c>
      <c r="B522" s="3">
        <v>45443</v>
      </c>
      <c r="C522" s="3"/>
      <c r="F522" s="4">
        <v>2060000000</v>
      </c>
      <c r="G522" t="s">
        <v>89</v>
      </c>
      <c r="H522" s="5">
        <v>15.81</v>
      </c>
      <c r="I522" t="s">
        <v>89</v>
      </c>
      <c r="J522" s="5"/>
      <c r="L522" s="2">
        <v>9.4000000000000004E-3</v>
      </c>
      <c r="M522" t="s">
        <v>89</v>
      </c>
      <c r="O522" s="4"/>
      <c r="AC522" t="str">
        <f>IFERROR(VLOOKUP($A522,fund_metadata!$A:$P,2,FALSE),"")</f>
        <v>Hamilton Lane</v>
      </c>
      <c r="AD522" t="str">
        <f>IFERROR(VLOOKUP($A522,fund_metadata!$A:$P,16,FALSE),"")</f>
        <v>private_equity</v>
      </c>
    </row>
    <row r="523" spans="1:30" x14ac:dyDescent="0.25">
      <c r="A523">
        <v>10</v>
      </c>
      <c r="B523" s="3">
        <v>45473</v>
      </c>
      <c r="C523" s="3"/>
      <c r="F523" s="4">
        <v>2260000000</v>
      </c>
      <c r="G523" t="s">
        <v>89</v>
      </c>
      <c r="H523" s="5">
        <v>16.170000000000002</v>
      </c>
      <c r="I523" t="s">
        <v>89</v>
      </c>
      <c r="J523" s="5">
        <v>0</v>
      </c>
      <c r="K523" t="s">
        <v>108</v>
      </c>
      <c r="L523" s="2">
        <v>2.24E-2</v>
      </c>
      <c r="M523" t="s">
        <v>89</v>
      </c>
      <c r="N523">
        <v>232</v>
      </c>
      <c r="O523" s="4"/>
      <c r="AC523" t="str">
        <f>IFERROR(VLOOKUP($A523,fund_metadata!$A:$P,2,FALSE),"")</f>
        <v>Hamilton Lane</v>
      </c>
      <c r="AD523" t="str">
        <f>IFERROR(VLOOKUP($A523,fund_metadata!$A:$P,16,FALSE),"")</f>
        <v>private_equity</v>
      </c>
    </row>
    <row r="524" spans="1:30" x14ac:dyDescent="0.25">
      <c r="A524">
        <v>10</v>
      </c>
      <c r="B524" s="3">
        <v>45504</v>
      </c>
      <c r="C524" s="3"/>
      <c r="F524" s="4">
        <v>2370000000</v>
      </c>
      <c r="G524" t="s">
        <v>89</v>
      </c>
      <c r="H524" s="5">
        <v>16.22</v>
      </c>
      <c r="I524" t="s">
        <v>89</v>
      </c>
      <c r="J524" s="5">
        <v>0</v>
      </c>
      <c r="K524" t="s">
        <v>108</v>
      </c>
      <c r="L524" s="2">
        <v>3.3E-3</v>
      </c>
      <c r="M524" t="s">
        <v>89</v>
      </c>
      <c r="O524" s="4"/>
      <c r="AC524" t="str">
        <f>IFERROR(VLOOKUP($A524,fund_metadata!$A:$P,2,FALSE),"")</f>
        <v>Hamilton Lane</v>
      </c>
      <c r="AD524" t="str">
        <f>IFERROR(VLOOKUP($A524,fund_metadata!$A:$P,16,FALSE),"")</f>
        <v>private_equity</v>
      </c>
    </row>
    <row r="525" spans="1:30" x14ac:dyDescent="0.25">
      <c r="A525">
        <v>10</v>
      </c>
      <c r="B525" s="3">
        <v>45535</v>
      </c>
      <c r="C525" s="3"/>
      <c r="F525" s="4">
        <v>2520000000</v>
      </c>
      <c r="G525" t="s">
        <v>89</v>
      </c>
      <c r="H525" s="5">
        <v>16.46</v>
      </c>
      <c r="I525" t="s">
        <v>89</v>
      </c>
      <c r="J525" s="5">
        <v>0</v>
      </c>
      <c r="K525" t="s">
        <v>108</v>
      </c>
      <c r="L525" s="2">
        <v>1.44E-2</v>
      </c>
      <c r="M525" t="s">
        <v>89</v>
      </c>
      <c r="O525" s="4"/>
      <c r="AC525" t="str">
        <f>IFERROR(VLOOKUP($A525,fund_metadata!$A:$P,2,FALSE),"")</f>
        <v>Hamilton Lane</v>
      </c>
      <c r="AD525" t="str">
        <f>IFERROR(VLOOKUP($A525,fund_metadata!$A:$P,16,FALSE),"")</f>
        <v>private_equity</v>
      </c>
    </row>
    <row r="526" spans="1:30" x14ac:dyDescent="0.25">
      <c r="A526">
        <v>10</v>
      </c>
      <c r="B526" s="3">
        <v>45565</v>
      </c>
      <c r="C526" s="3"/>
      <c r="F526" s="4">
        <v>2690000000</v>
      </c>
      <c r="G526" t="s">
        <v>89</v>
      </c>
      <c r="H526" s="5">
        <v>16.760000000000002</v>
      </c>
      <c r="I526" t="s">
        <v>89</v>
      </c>
      <c r="J526" s="5">
        <v>0</v>
      </c>
      <c r="K526" t="s">
        <v>108</v>
      </c>
      <c r="L526" s="2">
        <v>1.8200000000000001E-2</v>
      </c>
      <c r="M526" t="s">
        <v>89</v>
      </c>
      <c r="N526">
        <v>253</v>
      </c>
      <c r="O526" s="4">
        <v>3030000000</v>
      </c>
      <c r="P526" t="s">
        <v>89</v>
      </c>
      <c r="AC526" t="str">
        <f>IFERROR(VLOOKUP($A526,fund_metadata!$A:$P,2,FALSE),"")</f>
        <v>Hamilton Lane</v>
      </c>
      <c r="AD526" t="str">
        <f>IFERROR(VLOOKUP($A526,fund_metadata!$A:$P,16,FALSE),"")</f>
        <v>private_equity</v>
      </c>
    </row>
    <row r="527" spans="1:30" x14ac:dyDescent="0.25">
      <c r="A527">
        <v>10</v>
      </c>
      <c r="B527" s="3">
        <v>45596</v>
      </c>
      <c r="C527" s="3"/>
      <c r="F527" s="4">
        <v>2800000000</v>
      </c>
      <c r="G527" t="s">
        <v>89</v>
      </c>
      <c r="H527" s="5">
        <v>16.670000000000002</v>
      </c>
      <c r="I527" t="s">
        <v>89</v>
      </c>
      <c r="J527" s="5">
        <v>0</v>
      </c>
      <c r="K527" t="s">
        <v>108</v>
      </c>
      <c r="L527" s="2">
        <v>-5.3E-3</v>
      </c>
      <c r="M527" t="s">
        <v>89</v>
      </c>
      <c r="O527" s="4"/>
      <c r="AC527" t="str">
        <f>IFERROR(VLOOKUP($A527,fund_metadata!$A:$P,2,FALSE),"")</f>
        <v>Hamilton Lane</v>
      </c>
      <c r="AD527" t="str">
        <f>IFERROR(VLOOKUP($A527,fund_metadata!$A:$P,16,FALSE),"")</f>
        <v>private_equity</v>
      </c>
    </row>
    <row r="528" spans="1:30" x14ac:dyDescent="0.25">
      <c r="A528">
        <v>10</v>
      </c>
      <c r="B528" s="3">
        <v>45626</v>
      </c>
      <c r="C528" s="3"/>
      <c r="F528" s="4">
        <v>2990000000</v>
      </c>
      <c r="G528" t="s">
        <v>89</v>
      </c>
      <c r="H528" s="5">
        <v>17.059999999999999</v>
      </c>
      <c r="I528" t="s">
        <v>89</v>
      </c>
      <c r="J528" s="5">
        <v>0</v>
      </c>
      <c r="K528" t="s">
        <v>108</v>
      </c>
      <c r="L528" s="2">
        <v>2.3699999999999999E-2</v>
      </c>
      <c r="M528" t="s">
        <v>89</v>
      </c>
      <c r="O528" s="4"/>
      <c r="AC528" t="str">
        <f>IFERROR(VLOOKUP($A528,fund_metadata!$A:$P,2,FALSE),"")</f>
        <v>Hamilton Lane</v>
      </c>
      <c r="AD528" t="str">
        <f>IFERROR(VLOOKUP($A528,fund_metadata!$A:$P,16,FALSE),"")</f>
        <v>private_equity</v>
      </c>
    </row>
    <row r="529" spans="1:30" x14ac:dyDescent="0.25">
      <c r="A529">
        <v>10</v>
      </c>
      <c r="B529" s="3">
        <v>45657</v>
      </c>
      <c r="C529" s="3"/>
      <c r="F529" s="4">
        <v>3110000000</v>
      </c>
      <c r="G529" t="s">
        <v>89</v>
      </c>
      <c r="H529" s="5">
        <v>16.77</v>
      </c>
      <c r="I529" t="s">
        <v>89</v>
      </c>
      <c r="J529" s="5">
        <v>0</v>
      </c>
      <c r="K529" t="s">
        <v>108</v>
      </c>
      <c r="L529" s="2">
        <v>-3.3999999999999998E-3</v>
      </c>
      <c r="M529" t="s">
        <v>89</v>
      </c>
      <c r="N529">
        <v>260</v>
      </c>
      <c r="O529" s="4"/>
      <c r="AC529" t="str">
        <f>IFERROR(VLOOKUP($A529,fund_metadata!$A:$P,2,FALSE),"")</f>
        <v>Hamilton Lane</v>
      </c>
      <c r="AD529" t="str">
        <f>IFERROR(VLOOKUP($A529,fund_metadata!$A:$P,16,FALSE),"")</f>
        <v>private_equity</v>
      </c>
    </row>
    <row r="530" spans="1:30" x14ac:dyDescent="0.25">
      <c r="A530">
        <v>10</v>
      </c>
      <c r="B530" s="3">
        <v>45688</v>
      </c>
      <c r="C530" s="3"/>
      <c r="F530" s="4">
        <v>3280000000</v>
      </c>
      <c r="G530" t="s">
        <v>89</v>
      </c>
      <c r="H530" s="5">
        <v>17.04</v>
      </c>
      <c r="I530" t="s">
        <v>89</v>
      </c>
      <c r="J530" s="5">
        <v>0</v>
      </c>
      <c r="K530" t="s">
        <v>108</v>
      </c>
      <c r="L530" s="2">
        <v>1.6400000000000001E-2</v>
      </c>
      <c r="M530" t="s">
        <v>89</v>
      </c>
      <c r="O530" s="4"/>
      <c r="AC530" t="str">
        <f>IFERROR(VLOOKUP($A530,fund_metadata!$A:$P,2,FALSE),"")</f>
        <v>Hamilton Lane</v>
      </c>
      <c r="AD530" t="str">
        <f>IFERROR(VLOOKUP($A530,fund_metadata!$A:$P,16,FALSE),"")</f>
        <v>private_equity</v>
      </c>
    </row>
    <row r="531" spans="1:30" x14ac:dyDescent="0.25">
      <c r="A531">
        <v>10</v>
      </c>
      <c r="B531" s="3">
        <v>45716</v>
      </c>
      <c r="C531" s="3"/>
      <c r="F531" s="4">
        <v>3440000000</v>
      </c>
      <c r="G531" t="s">
        <v>89</v>
      </c>
      <c r="H531" s="5">
        <v>17.18</v>
      </c>
      <c r="I531" t="s">
        <v>89</v>
      </c>
      <c r="J531" s="5">
        <v>0</v>
      </c>
      <c r="K531" t="s">
        <v>108</v>
      </c>
      <c r="L531" s="2">
        <v>8.2000000000000007E-3</v>
      </c>
      <c r="M531" t="s">
        <v>89</v>
      </c>
      <c r="O531" s="4"/>
      <c r="AC531" t="str">
        <f>IFERROR(VLOOKUP($A531,fund_metadata!$A:$P,2,FALSE),"")</f>
        <v>Hamilton Lane</v>
      </c>
      <c r="AD531" t="str">
        <f>IFERROR(VLOOKUP($A531,fund_metadata!$A:$P,16,FALSE),"")</f>
        <v>private_equity</v>
      </c>
    </row>
    <row r="532" spans="1:30" x14ac:dyDescent="0.25">
      <c r="A532">
        <v>10</v>
      </c>
      <c r="B532" s="3">
        <v>45747</v>
      </c>
      <c r="C532" s="3"/>
      <c r="F532" s="4">
        <v>3630000000</v>
      </c>
      <c r="G532" t="s">
        <v>89</v>
      </c>
      <c r="H532" s="5">
        <v>17.399999999999999</v>
      </c>
      <c r="I532" t="s">
        <v>89</v>
      </c>
      <c r="J532" s="5">
        <v>0</v>
      </c>
      <c r="K532" t="s">
        <v>108</v>
      </c>
      <c r="L532" s="2">
        <v>1.29E-2</v>
      </c>
      <c r="M532" t="s">
        <v>89</v>
      </c>
      <c r="N532">
        <v>271</v>
      </c>
      <c r="O532" s="4">
        <v>3940000000</v>
      </c>
      <c r="P532" t="s">
        <v>89</v>
      </c>
      <c r="Q532">
        <v>123601931</v>
      </c>
      <c r="R532" t="s">
        <v>121</v>
      </c>
      <c r="AC532" t="str">
        <f>IFERROR(VLOOKUP($A532,fund_metadata!$A:$P,2,FALSE),"")</f>
        <v>Hamilton Lane</v>
      </c>
      <c r="AD532" t="str">
        <f>IFERROR(VLOOKUP($A532,fund_metadata!$A:$P,16,FALSE),"")</f>
        <v>private_equity</v>
      </c>
    </row>
    <row r="533" spans="1:30" x14ac:dyDescent="0.25">
      <c r="A533">
        <v>10</v>
      </c>
      <c r="B533" s="3">
        <v>45777</v>
      </c>
      <c r="C533" s="3"/>
      <c r="F533" s="4">
        <v>3800000000</v>
      </c>
      <c r="G533" t="s">
        <v>89</v>
      </c>
      <c r="H533" s="5">
        <v>17.64</v>
      </c>
      <c r="I533" t="s">
        <v>89</v>
      </c>
      <c r="J533" s="5">
        <v>0</v>
      </c>
      <c r="K533" t="s">
        <v>108</v>
      </c>
      <c r="L533" s="2">
        <v>1.35E-2</v>
      </c>
      <c r="M533" t="s">
        <v>89</v>
      </c>
      <c r="O533" s="4"/>
      <c r="AC533" t="str">
        <f>IFERROR(VLOOKUP($A533,fund_metadata!$A:$P,2,FALSE),"")</f>
        <v>Hamilton Lane</v>
      </c>
      <c r="AD533" t="str">
        <f>IFERROR(VLOOKUP($A533,fund_metadata!$A:$P,16,FALSE),"")</f>
        <v>private_equity</v>
      </c>
    </row>
    <row r="534" spans="1:30" x14ac:dyDescent="0.25">
      <c r="A534">
        <v>10</v>
      </c>
      <c r="B534" s="3">
        <v>45808</v>
      </c>
      <c r="C534" s="3"/>
      <c r="F534" s="4">
        <v>4000000000</v>
      </c>
      <c r="G534" t="s">
        <v>89</v>
      </c>
      <c r="H534" s="5">
        <v>18.100000000000001</v>
      </c>
      <c r="I534" t="s">
        <v>89</v>
      </c>
      <c r="J534" s="5">
        <v>0</v>
      </c>
      <c r="K534" t="s">
        <v>108</v>
      </c>
      <c r="L534" s="2">
        <v>2.63E-2</v>
      </c>
      <c r="M534" t="s">
        <v>89</v>
      </c>
      <c r="O534" s="4"/>
      <c r="AC534" t="str">
        <f>IFERROR(VLOOKUP($A534,fund_metadata!$A:$P,2,FALSE),"")</f>
        <v>Hamilton Lane</v>
      </c>
      <c r="AD534" t="str">
        <f>IFERROR(VLOOKUP($A534,fund_metadata!$A:$P,16,FALSE),"")</f>
        <v>private_equity</v>
      </c>
    </row>
    <row r="535" spans="1:30" x14ac:dyDescent="0.25">
      <c r="A535">
        <v>10</v>
      </c>
      <c r="B535" s="3">
        <v>45838</v>
      </c>
      <c r="C535" s="3"/>
      <c r="F535" s="4">
        <v>4230000000</v>
      </c>
      <c r="G535" t="s">
        <v>89</v>
      </c>
      <c r="H535" s="5">
        <v>18.57</v>
      </c>
      <c r="I535" t="s">
        <v>89</v>
      </c>
      <c r="J535" s="5">
        <v>0</v>
      </c>
      <c r="K535" t="s">
        <v>108</v>
      </c>
      <c r="L535" s="2">
        <v>2.5899999999999999E-2</v>
      </c>
      <c r="M535" t="s">
        <v>89</v>
      </c>
      <c r="N535">
        <v>289</v>
      </c>
      <c r="O535" s="4"/>
      <c r="AC535" t="str">
        <f>IFERROR(VLOOKUP($A535,fund_metadata!$A:$P,2,FALSE),"")</f>
        <v>Hamilton Lane</v>
      </c>
      <c r="AD535" t="str">
        <f>IFERROR(VLOOKUP($A535,fund_metadata!$A:$P,16,FALSE),"")</f>
        <v>private_equity</v>
      </c>
    </row>
    <row r="536" spans="1:30" x14ac:dyDescent="0.25">
      <c r="A536">
        <v>10</v>
      </c>
      <c r="B536" s="3">
        <v>45869</v>
      </c>
      <c r="C536" s="3"/>
      <c r="F536" s="4">
        <v>4360000000</v>
      </c>
      <c r="G536" t="s">
        <v>89</v>
      </c>
      <c r="H536" s="5">
        <v>18.64</v>
      </c>
      <c r="I536" t="s">
        <v>89</v>
      </c>
      <c r="J536" s="5"/>
      <c r="L536" s="2">
        <v>3.7000000000000002E-3</v>
      </c>
      <c r="M536" t="s">
        <v>89</v>
      </c>
      <c r="O536" s="4"/>
      <c r="AC536" t="str">
        <f>IFERROR(VLOOKUP($A536,fund_metadata!$A:$P,2,FALSE),"")</f>
        <v>Hamilton Lane</v>
      </c>
      <c r="AD536" t="str">
        <f>IFERROR(VLOOKUP($A536,fund_metadata!$A:$P,16,FALSE),"")</f>
        <v>private_equity</v>
      </c>
    </row>
    <row r="537" spans="1:30" x14ac:dyDescent="0.25">
      <c r="A537">
        <v>10</v>
      </c>
      <c r="B537" s="3">
        <v>45900</v>
      </c>
      <c r="C537" s="3"/>
      <c r="F537" s="4">
        <v>4490000000</v>
      </c>
      <c r="G537" t="s">
        <v>89</v>
      </c>
      <c r="H537" s="5">
        <v>18.510000000000002</v>
      </c>
      <c r="I537" t="s">
        <v>89</v>
      </c>
      <c r="J537" s="5"/>
      <c r="L537" s="2">
        <v>-6.7000000000000002E-3</v>
      </c>
      <c r="M537" t="s">
        <v>89</v>
      </c>
      <c r="O537" s="4"/>
      <c r="AC537" t="str">
        <f>IFERROR(VLOOKUP($A537,fund_metadata!$A:$P,2,FALSE),"")</f>
        <v>Hamilton Lane</v>
      </c>
      <c r="AD537" t="str">
        <f>IFERROR(VLOOKUP($A537,fund_metadata!$A:$P,16,FALSE),"")</f>
        <v>private_equity</v>
      </c>
    </row>
    <row r="538" spans="1:30" x14ac:dyDescent="0.25">
      <c r="A538">
        <v>10</v>
      </c>
      <c r="B538" s="3">
        <v>45930</v>
      </c>
      <c r="C538" s="3"/>
      <c r="F538" s="4">
        <v>4760000000</v>
      </c>
      <c r="G538" t="s">
        <v>89</v>
      </c>
      <c r="H538" s="5">
        <v>18.88</v>
      </c>
      <c r="I538" t="s">
        <v>89</v>
      </c>
      <c r="J538" s="5"/>
      <c r="L538" s="2">
        <v>1.9900000000000001E-2</v>
      </c>
      <c r="M538" t="s">
        <v>89</v>
      </c>
      <c r="N538">
        <v>298</v>
      </c>
      <c r="O538" s="4">
        <v>5030000000</v>
      </c>
      <c r="P538" t="s">
        <v>89</v>
      </c>
      <c r="Q538">
        <v>150025625</v>
      </c>
      <c r="R538" t="s">
        <v>120</v>
      </c>
      <c r="AC538" t="str">
        <f>IFERROR(VLOOKUP($A538,fund_metadata!$A:$P,2,FALSE),"")</f>
        <v>Hamilton Lane</v>
      </c>
      <c r="AD538" t="str">
        <f>IFERROR(VLOOKUP($A538,fund_metadata!$A:$P,16,FALSE),"")</f>
        <v>private_equity</v>
      </c>
    </row>
    <row r="539" spans="1:30" x14ac:dyDescent="0.25">
      <c r="A539">
        <v>10</v>
      </c>
      <c r="B539" s="3">
        <v>45961</v>
      </c>
      <c r="C539" s="3"/>
      <c r="F539" s="4">
        <v>4970000000</v>
      </c>
      <c r="G539" t="s">
        <v>89</v>
      </c>
      <c r="H539" s="5">
        <v>19.23</v>
      </c>
      <c r="I539" t="s">
        <v>89</v>
      </c>
      <c r="J539" s="5"/>
      <c r="L539" s="2">
        <v>1.8499999999999999E-2</v>
      </c>
      <c r="M539" t="s">
        <v>89</v>
      </c>
      <c r="O539" s="4"/>
      <c r="AC539" t="str">
        <f>IFERROR(VLOOKUP($A539,fund_metadata!$A:$P,2,FALSE),"")</f>
        <v>Hamilton Lane</v>
      </c>
      <c r="AD539" t="str">
        <f>IFERROR(VLOOKUP($A539,fund_metadata!$A:$P,16,FALSE),"")</f>
        <v>private_equity</v>
      </c>
    </row>
    <row r="540" spans="1:30" x14ac:dyDescent="0.25">
      <c r="A540">
        <v>10</v>
      </c>
      <c r="B540" s="3">
        <v>45991</v>
      </c>
      <c r="C540" s="3"/>
      <c r="F540" s="4">
        <v>5120000000</v>
      </c>
      <c r="G540" t="s">
        <v>89</v>
      </c>
      <c r="H540" s="5">
        <v>19.23</v>
      </c>
      <c r="I540" t="s">
        <v>89</v>
      </c>
      <c r="J540" s="5"/>
      <c r="L540" s="2">
        <v>-1E-4</v>
      </c>
      <c r="M540" t="s">
        <v>89</v>
      </c>
      <c r="O540" s="4"/>
      <c r="AC540" t="str">
        <f>IFERROR(VLOOKUP($A540,fund_metadata!$A:$P,2,FALSE),"")</f>
        <v>Hamilton Lane</v>
      </c>
      <c r="AD540" t="str">
        <f>IFERROR(VLOOKUP($A540,fund_metadata!$A:$P,16,FALSE),"")</f>
        <v>private_equity</v>
      </c>
    </row>
    <row r="541" spans="1:30" x14ac:dyDescent="0.25">
      <c r="A541">
        <v>10</v>
      </c>
      <c r="B541" s="3">
        <v>46022</v>
      </c>
      <c r="C541" s="3"/>
      <c r="D541">
        <v>10000000</v>
      </c>
      <c r="E541" t="s">
        <v>104</v>
      </c>
      <c r="F541" s="4">
        <v>5310000000</v>
      </c>
      <c r="G541" t="s">
        <v>89</v>
      </c>
      <c r="H541" s="5">
        <v>19.12</v>
      </c>
      <c r="I541" t="s">
        <v>89</v>
      </c>
      <c r="J541" s="5"/>
      <c r="L541" s="2">
        <v>1.1599999999999999E-2</v>
      </c>
      <c r="M541" t="s">
        <v>89</v>
      </c>
      <c r="N541">
        <v>309</v>
      </c>
      <c r="O541" s="4"/>
      <c r="AC541" t="str">
        <f>IFERROR(VLOOKUP($A541,fund_metadata!$A:$P,2,FALSE),"")</f>
        <v>Hamilton Lane</v>
      </c>
      <c r="AD541" t="str">
        <f>IFERROR(VLOOKUP($A541,fund_metadata!$A:$P,16,FALSE),"")</f>
        <v>private_equity</v>
      </c>
    </row>
    <row r="542" spans="1:30" x14ac:dyDescent="0.25">
      <c r="A542">
        <v>10</v>
      </c>
      <c r="B542" s="3">
        <v>46053</v>
      </c>
      <c r="C542" s="3"/>
      <c r="D542">
        <v>10159296.289999999</v>
      </c>
      <c r="E542" t="s">
        <v>106</v>
      </c>
      <c r="F542" s="4">
        <v>5490000000</v>
      </c>
      <c r="G542" t="s">
        <v>89</v>
      </c>
      <c r="H542" s="5">
        <v>19.43</v>
      </c>
      <c r="I542" t="s">
        <v>89</v>
      </c>
      <c r="J542" s="5"/>
      <c r="L542" s="2">
        <v>1.5900000000000001E-2</v>
      </c>
      <c r="M542" t="s">
        <v>89</v>
      </c>
      <c r="O542" s="4"/>
      <c r="S542">
        <v>522968.78899999999</v>
      </c>
      <c r="T542" t="s">
        <v>106</v>
      </c>
      <c r="U542">
        <v>10000000</v>
      </c>
      <c r="V542" t="s">
        <v>106</v>
      </c>
      <c r="W542">
        <v>0</v>
      </c>
      <c r="X542" t="s">
        <v>107</v>
      </c>
      <c r="Y542">
        <v>0</v>
      </c>
      <c r="Z542" t="s">
        <v>107</v>
      </c>
      <c r="AC542" t="str">
        <f>IFERROR(VLOOKUP($A542,fund_metadata!$A:$P,2,FALSE),"")</f>
        <v>Hamilton Lane</v>
      </c>
      <c r="AD542" t="str">
        <f>IFERROR(VLOOKUP($A542,fund_metadata!$A:$P,16,FALSE),"")</f>
        <v>private_equity</v>
      </c>
    </row>
    <row r="543" spans="1:30" x14ac:dyDescent="0.25">
      <c r="A543">
        <v>10</v>
      </c>
      <c r="B543" s="3">
        <v>46081</v>
      </c>
      <c r="C543" s="3"/>
      <c r="D543">
        <v>10217502.720000001</v>
      </c>
      <c r="E543" t="s">
        <v>106</v>
      </c>
      <c r="F543" s="4">
        <v>5630000000</v>
      </c>
      <c r="G543" t="s">
        <v>89</v>
      </c>
      <c r="H543" s="5">
        <v>19.54</v>
      </c>
      <c r="I543" t="s">
        <v>89</v>
      </c>
      <c r="J543" s="5"/>
      <c r="L543" s="2">
        <v>5.7000000000000002E-3</v>
      </c>
      <c r="M543" t="s">
        <v>89</v>
      </c>
      <c r="O543" s="4"/>
      <c r="S543">
        <v>522968.78899999999</v>
      </c>
      <c r="T543" t="s">
        <v>106</v>
      </c>
      <c r="U543">
        <v>0</v>
      </c>
      <c r="V543" t="s">
        <v>107</v>
      </c>
      <c r="W543">
        <v>0</v>
      </c>
      <c r="X543" t="s">
        <v>107</v>
      </c>
      <c r="Y543">
        <v>0</v>
      </c>
      <c r="Z543" t="s">
        <v>107</v>
      </c>
      <c r="AC543" t="str">
        <f>IFERROR(VLOOKUP($A543,fund_metadata!$A:$P,2,FALSE),"")</f>
        <v>Hamilton Lane</v>
      </c>
      <c r="AD543" t="str">
        <f>IFERROR(VLOOKUP($A543,fund_metadata!$A:$P,16,FALSE),"")</f>
        <v>private_equity</v>
      </c>
    </row>
    <row r="544" spans="1:30" x14ac:dyDescent="0.25">
      <c r="A544">
        <v>10</v>
      </c>
      <c r="B544" s="3">
        <v>46112</v>
      </c>
      <c r="C544" s="3"/>
      <c r="D544">
        <v>10211436.279999999</v>
      </c>
      <c r="E544" t="s">
        <v>106</v>
      </c>
      <c r="F544" s="4">
        <v>5800000000</v>
      </c>
      <c r="G544" t="s">
        <v>89</v>
      </c>
      <c r="H544" s="5">
        <v>19.53</v>
      </c>
      <c r="I544" t="s">
        <v>89</v>
      </c>
      <c r="J544" s="5"/>
      <c r="L544" s="2">
        <v>-5.9999999999999995E-4</v>
      </c>
      <c r="M544" t="s">
        <v>89</v>
      </c>
      <c r="N544">
        <v>328</v>
      </c>
      <c r="O544" s="4"/>
      <c r="S544">
        <v>522968.78899999999</v>
      </c>
      <c r="T544" t="s">
        <v>106</v>
      </c>
      <c r="U544">
        <v>0</v>
      </c>
      <c r="V544" t="s">
        <v>106</v>
      </c>
      <c r="W544">
        <v>0</v>
      </c>
      <c r="X544" t="s">
        <v>106</v>
      </c>
      <c r="Y544">
        <v>0</v>
      </c>
      <c r="Z544" t="s">
        <v>106</v>
      </c>
      <c r="AC544" t="str">
        <f>IFERROR(VLOOKUP($A544,fund_metadata!$A:$P,2,FALSE),"")</f>
        <v>Hamilton Lane</v>
      </c>
      <c r="AD544" t="str">
        <f>IFERROR(VLOOKUP($A544,fund_metadata!$A:$P,16,FALSE),"")</f>
        <v>private_equity</v>
      </c>
    </row>
    <row r="545" spans="1:30" x14ac:dyDescent="0.25">
      <c r="A545">
        <v>10</v>
      </c>
      <c r="B545" s="3">
        <v>46142</v>
      </c>
      <c r="C545" s="3"/>
      <c r="F545" s="4">
        <v>6070000000</v>
      </c>
      <c r="G545" t="s">
        <v>89</v>
      </c>
      <c r="H545" s="5">
        <v>20.28</v>
      </c>
      <c r="I545" t="s">
        <v>89</v>
      </c>
      <c r="J545" s="5"/>
      <c r="L545" s="2">
        <v>3.8800000000000001E-2</v>
      </c>
      <c r="M545" t="s">
        <v>89</v>
      </c>
      <c r="O545" s="4"/>
      <c r="AC545" t="str">
        <f>IFERROR(VLOOKUP($A545,fund_metadata!$A:$P,2,FALSE),"")</f>
        <v>Hamilton Lane</v>
      </c>
      <c r="AD545" t="str">
        <f>IFERROR(VLOOKUP($A545,fund_metadata!$A:$P,16,FALSE),"")</f>
        <v>private_equity</v>
      </c>
    </row>
    <row r="546" spans="1:30" x14ac:dyDescent="0.25">
      <c r="A546">
        <v>10</v>
      </c>
      <c r="B546" s="3">
        <v>46173</v>
      </c>
      <c r="C546" s="3"/>
      <c r="F546" s="4"/>
      <c r="H546" s="5"/>
      <c r="J546" s="5"/>
      <c r="L546" s="2"/>
      <c r="O546" s="4"/>
      <c r="AC546" t="str">
        <f>IFERROR(VLOOKUP($A546,fund_metadata!$A:$P,2,FALSE),"")</f>
        <v>Hamilton Lane</v>
      </c>
      <c r="AD546" t="str">
        <f>IFERROR(VLOOKUP($A546,fund_metadata!$A:$P,16,FALSE),"")</f>
        <v>private_equity</v>
      </c>
    </row>
    <row r="547" spans="1:30" x14ac:dyDescent="0.25">
      <c r="A547">
        <v>11</v>
      </c>
      <c r="B547" s="3">
        <v>45138</v>
      </c>
      <c r="C547" s="3"/>
      <c r="F547" s="4"/>
      <c r="H547" s="5">
        <v>12.29</v>
      </c>
      <c r="I547" t="s">
        <v>89</v>
      </c>
      <c r="J547" s="5"/>
      <c r="L547" s="2"/>
      <c r="O547" s="4"/>
      <c r="AC547" t="str">
        <f>IFERROR(VLOOKUP($A547,fund_metadata!$A:$P,2,FALSE),"")</f>
        <v>JPMF</v>
      </c>
      <c r="AD547" t="str">
        <f>IFERROR(VLOOKUP($A547,fund_metadata!$A:$P,16,FALSE),"")</f>
        <v>private_equity</v>
      </c>
    </row>
    <row r="548" spans="1:30" x14ac:dyDescent="0.25">
      <c r="A548">
        <v>11</v>
      </c>
      <c r="B548" s="3">
        <v>45169</v>
      </c>
      <c r="C548" s="3"/>
      <c r="F548" s="4"/>
      <c r="H548" s="5">
        <v>12.31</v>
      </c>
      <c r="I548" t="s">
        <v>89</v>
      </c>
      <c r="J548" s="5"/>
      <c r="L548" s="2">
        <v>1.6000000000000001E-3</v>
      </c>
      <c r="M548" t="s">
        <v>89</v>
      </c>
      <c r="O548" s="4"/>
      <c r="AC548" t="str">
        <f>IFERROR(VLOOKUP($A548,fund_metadata!$A:$P,2,FALSE),"")</f>
        <v>JPMF</v>
      </c>
      <c r="AD548" t="str">
        <f>IFERROR(VLOOKUP($A548,fund_metadata!$A:$P,16,FALSE),"")</f>
        <v>private_equity</v>
      </c>
    </row>
    <row r="549" spans="1:30" x14ac:dyDescent="0.25">
      <c r="A549">
        <v>11</v>
      </c>
      <c r="B549" s="3">
        <v>45199</v>
      </c>
      <c r="C549" s="3"/>
      <c r="F549" s="4"/>
      <c r="H549" s="5">
        <v>12.78</v>
      </c>
      <c r="I549" t="s">
        <v>89</v>
      </c>
      <c r="J549" s="5"/>
      <c r="L549" s="2">
        <v>3.8199999999999998E-2</v>
      </c>
      <c r="M549" t="s">
        <v>89</v>
      </c>
      <c r="N549">
        <v>10</v>
      </c>
      <c r="O549" s="4"/>
      <c r="Q549">
        <v>8398982</v>
      </c>
      <c r="R549" t="s">
        <v>120</v>
      </c>
      <c r="AC549" t="str">
        <f>IFERROR(VLOOKUP($A549,fund_metadata!$A:$P,2,FALSE),"")</f>
        <v>JPMF</v>
      </c>
      <c r="AD549" t="str">
        <f>IFERROR(VLOOKUP($A549,fund_metadata!$A:$P,16,FALSE),"")</f>
        <v>private_equity</v>
      </c>
    </row>
    <row r="550" spans="1:30" x14ac:dyDescent="0.25">
      <c r="A550">
        <v>11</v>
      </c>
      <c r="B550" s="3">
        <v>45230</v>
      </c>
      <c r="C550" s="3"/>
      <c r="F550" s="4"/>
      <c r="H550" s="5">
        <v>12.71</v>
      </c>
      <c r="I550" t="s">
        <v>89</v>
      </c>
      <c r="J550" s="5"/>
      <c r="L550" s="2">
        <v>-5.4999999999999997E-3</v>
      </c>
      <c r="M550" t="s">
        <v>89</v>
      </c>
      <c r="O550" s="4"/>
      <c r="AC550" t="str">
        <f>IFERROR(VLOOKUP($A550,fund_metadata!$A:$P,2,FALSE),"")</f>
        <v>JPMF</v>
      </c>
      <c r="AD550" t="str">
        <f>IFERROR(VLOOKUP($A550,fund_metadata!$A:$P,16,FALSE),"")</f>
        <v>private_equity</v>
      </c>
    </row>
    <row r="551" spans="1:30" x14ac:dyDescent="0.25">
      <c r="A551">
        <v>11</v>
      </c>
      <c r="B551" s="3">
        <v>45260</v>
      </c>
      <c r="C551" s="3"/>
      <c r="F551" s="4"/>
      <c r="H551" s="5">
        <v>12.9</v>
      </c>
      <c r="I551" t="s">
        <v>89</v>
      </c>
      <c r="J551" s="5"/>
      <c r="L551" s="2">
        <v>1.49E-2</v>
      </c>
      <c r="M551" t="s">
        <v>89</v>
      </c>
      <c r="O551" s="4"/>
      <c r="AC551" t="str">
        <f>IFERROR(VLOOKUP($A551,fund_metadata!$A:$P,2,FALSE),"")</f>
        <v>JPMF</v>
      </c>
      <c r="AD551" t="str">
        <f>IFERROR(VLOOKUP($A551,fund_metadata!$A:$P,16,FALSE),"")</f>
        <v>private_equity</v>
      </c>
    </row>
    <row r="552" spans="1:30" x14ac:dyDescent="0.25">
      <c r="A552">
        <v>11</v>
      </c>
      <c r="B552" s="3">
        <v>45291</v>
      </c>
      <c r="C552" s="3"/>
      <c r="F552" s="4"/>
      <c r="H552" s="5">
        <v>13.4</v>
      </c>
      <c r="I552" t="s">
        <v>89</v>
      </c>
      <c r="J552" s="5"/>
      <c r="L552" s="2">
        <v>3.8800000000000001E-2</v>
      </c>
      <c r="M552" t="s">
        <v>89</v>
      </c>
      <c r="N552">
        <v>17</v>
      </c>
      <c r="O552" s="4"/>
      <c r="AC552" t="str">
        <f>IFERROR(VLOOKUP($A552,fund_metadata!$A:$P,2,FALSE),"")</f>
        <v>JPMF</v>
      </c>
      <c r="AD552" t="str">
        <f>IFERROR(VLOOKUP($A552,fund_metadata!$A:$P,16,FALSE),"")</f>
        <v>private_equity</v>
      </c>
    </row>
    <row r="553" spans="1:30" x14ac:dyDescent="0.25">
      <c r="A553">
        <v>11</v>
      </c>
      <c r="B553" s="3">
        <v>45322</v>
      </c>
      <c r="C553" s="3"/>
      <c r="F553" s="4"/>
      <c r="H553" s="5">
        <v>13.43</v>
      </c>
      <c r="I553" t="s">
        <v>89</v>
      </c>
      <c r="J553" s="5"/>
      <c r="L553" s="2">
        <v>2.2000000000000001E-3</v>
      </c>
      <c r="M553" t="s">
        <v>89</v>
      </c>
      <c r="O553" s="4"/>
      <c r="AC553" t="str">
        <f>IFERROR(VLOOKUP($A553,fund_metadata!$A:$P,2,FALSE),"")</f>
        <v>JPMF</v>
      </c>
      <c r="AD553" t="str">
        <f>IFERROR(VLOOKUP($A553,fund_metadata!$A:$P,16,FALSE),"")</f>
        <v>private_equity</v>
      </c>
    </row>
    <row r="554" spans="1:30" x14ac:dyDescent="0.25">
      <c r="A554">
        <v>11</v>
      </c>
      <c r="B554" s="3">
        <v>45351</v>
      </c>
      <c r="C554" s="3"/>
      <c r="F554" s="4"/>
      <c r="H554" s="5">
        <v>13.53</v>
      </c>
      <c r="I554" t="s">
        <v>89</v>
      </c>
      <c r="J554" s="5"/>
      <c r="L554" s="2">
        <v>7.4000000000000003E-3</v>
      </c>
      <c r="M554" t="s">
        <v>89</v>
      </c>
      <c r="O554" s="4"/>
      <c r="AC554" t="str">
        <f>IFERROR(VLOOKUP($A554,fund_metadata!$A:$P,2,FALSE),"")</f>
        <v>JPMF</v>
      </c>
      <c r="AD554" t="str">
        <f>IFERROR(VLOOKUP($A554,fund_metadata!$A:$P,16,FALSE),"")</f>
        <v>private_equity</v>
      </c>
    </row>
    <row r="555" spans="1:30" x14ac:dyDescent="0.25">
      <c r="A555">
        <v>11</v>
      </c>
      <c r="B555" s="3">
        <v>45382</v>
      </c>
      <c r="C555" s="3"/>
      <c r="F555" s="4"/>
      <c r="H555" s="5">
        <v>14.29</v>
      </c>
      <c r="I555" t="s">
        <v>89</v>
      </c>
      <c r="J555" s="5"/>
      <c r="L555" s="2">
        <v>5.62E-2</v>
      </c>
      <c r="M555" t="s">
        <v>89</v>
      </c>
      <c r="N555">
        <v>26</v>
      </c>
      <c r="O555" s="4"/>
      <c r="Q555">
        <v>13090812</v>
      </c>
      <c r="R555" t="s">
        <v>121</v>
      </c>
      <c r="AC555" t="str">
        <f>IFERROR(VLOOKUP($A555,fund_metadata!$A:$P,2,FALSE),"")</f>
        <v>JPMF</v>
      </c>
      <c r="AD555" t="str">
        <f>IFERROR(VLOOKUP($A555,fund_metadata!$A:$P,16,FALSE),"")</f>
        <v>private_equity</v>
      </c>
    </row>
    <row r="556" spans="1:30" x14ac:dyDescent="0.25">
      <c r="A556">
        <v>11</v>
      </c>
      <c r="B556" s="3">
        <v>45412</v>
      </c>
      <c r="C556" s="3"/>
      <c r="F556" s="4"/>
      <c r="H556" s="5">
        <v>14.61</v>
      </c>
      <c r="I556" t="s">
        <v>89</v>
      </c>
      <c r="J556" s="5"/>
      <c r="L556" s="2">
        <v>2.24E-2</v>
      </c>
      <c r="M556" t="s">
        <v>89</v>
      </c>
      <c r="O556" s="4"/>
      <c r="AC556" t="str">
        <f>IFERROR(VLOOKUP($A556,fund_metadata!$A:$P,2,FALSE),"")</f>
        <v>JPMF</v>
      </c>
      <c r="AD556" t="str">
        <f>IFERROR(VLOOKUP($A556,fund_metadata!$A:$P,16,FALSE),"")</f>
        <v>private_equity</v>
      </c>
    </row>
    <row r="557" spans="1:30" x14ac:dyDescent="0.25">
      <c r="A557">
        <v>11</v>
      </c>
      <c r="B557" s="3">
        <v>45443</v>
      </c>
      <c r="C557" s="3"/>
      <c r="F557" s="4"/>
      <c r="H557" s="5">
        <v>15.06</v>
      </c>
      <c r="I557" t="s">
        <v>89</v>
      </c>
      <c r="J557" s="5"/>
      <c r="L557" s="2">
        <v>3.0800000000000001E-2</v>
      </c>
      <c r="M557" t="s">
        <v>89</v>
      </c>
      <c r="O557" s="4"/>
      <c r="AC557" t="str">
        <f>IFERROR(VLOOKUP($A557,fund_metadata!$A:$P,2,FALSE),"")</f>
        <v>JPMF</v>
      </c>
      <c r="AD557" t="str">
        <f>IFERROR(VLOOKUP($A557,fund_metadata!$A:$P,16,FALSE),"")</f>
        <v>private_equity</v>
      </c>
    </row>
    <row r="558" spans="1:30" x14ac:dyDescent="0.25">
      <c r="A558">
        <v>11</v>
      </c>
      <c r="B558" s="3">
        <v>45473</v>
      </c>
      <c r="C558" s="3"/>
      <c r="F558" s="4"/>
      <c r="H558" s="5">
        <v>15.19</v>
      </c>
      <c r="I558" t="s">
        <v>89</v>
      </c>
      <c r="J558" s="5"/>
      <c r="L558" s="2">
        <v>8.6E-3</v>
      </c>
      <c r="M558" t="s">
        <v>89</v>
      </c>
      <c r="N558">
        <v>36</v>
      </c>
      <c r="O558" s="4"/>
      <c r="AC558" t="str">
        <f>IFERROR(VLOOKUP($A558,fund_metadata!$A:$P,2,FALSE),"")</f>
        <v>JPMF</v>
      </c>
      <c r="AD558" t="str">
        <f>IFERROR(VLOOKUP($A558,fund_metadata!$A:$P,16,FALSE),"")</f>
        <v>private_equity</v>
      </c>
    </row>
    <row r="559" spans="1:30" x14ac:dyDescent="0.25">
      <c r="A559">
        <v>11</v>
      </c>
      <c r="B559" s="3">
        <v>45504</v>
      </c>
      <c r="C559" s="3"/>
      <c r="F559" s="4"/>
      <c r="H559" s="5">
        <v>15.2</v>
      </c>
      <c r="I559" t="s">
        <v>89</v>
      </c>
      <c r="J559" s="5"/>
      <c r="L559" s="2">
        <v>6.9999999999999999E-4</v>
      </c>
      <c r="M559" t="s">
        <v>89</v>
      </c>
      <c r="O559" s="4"/>
      <c r="AC559" t="str">
        <f>IFERROR(VLOOKUP($A559,fund_metadata!$A:$P,2,FALSE),"")</f>
        <v>JPMF</v>
      </c>
      <c r="AD559" t="str">
        <f>IFERROR(VLOOKUP($A559,fund_metadata!$A:$P,16,FALSE),"")</f>
        <v>private_equity</v>
      </c>
    </row>
    <row r="560" spans="1:30" x14ac:dyDescent="0.25">
      <c r="A560">
        <v>11</v>
      </c>
      <c r="B560" s="3">
        <v>45535</v>
      </c>
      <c r="C560" s="3"/>
      <c r="F560" s="4"/>
      <c r="H560" s="5">
        <v>15.24</v>
      </c>
      <c r="I560" t="s">
        <v>89</v>
      </c>
      <c r="J560" s="5"/>
      <c r="L560" s="2">
        <v>2.5999999999999999E-3</v>
      </c>
      <c r="M560" t="s">
        <v>89</v>
      </c>
      <c r="O560" s="4"/>
      <c r="AC560" t="str">
        <f>IFERROR(VLOOKUP($A560,fund_metadata!$A:$P,2,FALSE),"")</f>
        <v>JPMF</v>
      </c>
      <c r="AD560" t="str">
        <f>IFERROR(VLOOKUP($A560,fund_metadata!$A:$P,16,FALSE),"")</f>
        <v>private_equity</v>
      </c>
    </row>
    <row r="561" spans="1:30" x14ac:dyDescent="0.25">
      <c r="A561">
        <v>11</v>
      </c>
      <c r="B561" s="3">
        <v>45565</v>
      </c>
      <c r="C561" s="3"/>
      <c r="F561" s="4"/>
      <c r="H561" s="5">
        <v>15.37</v>
      </c>
      <c r="I561" t="s">
        <v>89</v>
      </c>
      <c r="J561" s="5"/>
      <c r="L561" s="2">
        <v>8.5000000000000006E-3</v>
      </c>
      <c r="M561" t="s">
        <v>89</v>
      </c>
      <c r="N561">
        <v>45</v>
      </c>
      <c r="O561" s="4"/>
      <c r="Q561">
        <v>19419769</v>
      </c>
      <c r="R561" t="s">
        <v>120</v>
      </c>
      <c r="AC561" t="str">
        <f>IFERROR(VLOOKUP($A561,fund_metadata!$A:$P,2,FALSE),"")</f>
        <v>JPMF</v>
      </c>
      <c r="AD561" t="str">
        <f>IFERROR(VLOOKUP($A561,fund_metadata!$A:$P,16,FALSE),"")</f>
        <v>private_equity</v>
      </c>
    </row>
    <row r="562" spans="1:30" x14ac:dyDescent="0.25">
      <c r="A562">
        <v>11</v>
      </c>
      <c r="B562" s="3">
        <v>45596</v>
      </c>
      <c r="C562" s="3"/>
      <c r="F562" s="4"/>
      <c r="H562" s="5">
        <v>15.69</v>
      </c>
      <c r="I562" t="s">
        <v>89</v>
      </c>
      <c r="J562" s="5"/>
      <c r="L562" s="2">
        <v>2.0799999999999999E-2</v>
      </c>
      <c r="M562" t="s">
        <v>89</v>
      </c>
      <c r="O562" s="4"/>
      <c r="AC562" t="str">
        <f>IFERROR(VLOOKUP($A562,fund_metadata!$A:$P,2,FALSE),"")</f>
        <v>JPMF</v>
      </c>
      <c r="AD562" t="str">
        <f>IFERROR(VLOOKUP($A562,fund_metadata!$A:$P,16,FALSE),"")</f>
        <v>private_equity</v>
      </c>
    </row>
    <row r="563" spans="1:30" x14ac:dyDescent="0.25">
      <c r="A563">
        <v>11</v>
      </c>
      <c r="B563" s="3">
        <v>45626</v>
      </c>
      <c r="C563" s="3"/>
      <c r="F563" s="4"/>
      <c r="H563" s="5">
        <v>15.69</v>
      </c>
      <c r="I563" t="s">
        <v>89</v>
      </c>
      <c r="J563" s="5"/>
      <c r="L563" s="2">
        <v>0</v>
      </c>
      <c r="M563" t="s">
        <v>89</v>
      </c>
      <c r="O563" s="4"/>
      <c r="AC563" t="str">
        <f>IFERROR(VLOOKUP($A563,fund_metadata!$A:$P,2,FALSE),"")</f>
        <v>JPMF</v>
      </c>
      <c r="AD563" t="str">
        <f>IFERROR(VLOOKUP($A563,fund_metadata!$A:$P,16,FALSE),"")</f>
        <v>private_equity</v>
      </c>
    </row>
    <row r="564" spans="1:30" x14ac:dyDescent="0.25">
      <c r="A564">
        <v>11</v>
      </c>
      <c r="B564" s="3">
        <v>45657</v>
      </c>
      <c r="C564" s="3"/>
      <c r="F564" s="4"/>
      <c r="H564" s="5">
        <v>15.83</v>
      </c>
      <c r="I564" t="s">
        <v>89</v>
      </c>
      <c r="J564" s="5"/>
      <c r="L564" s="2">
        <v>8.8999999999999999E-3</v>
      </c>
      <c r="M564" t="s">
        <v>89</v>
      </c>
      <c r="N564">
        <v>61</v>
      </c>
      <c r="O564" s="4"/>
      <c r="AC564" t="str">
        <f>IFERROR(VLOOKUP($A564,fund_metadata!$A:$P,2,FALSE),"")</f>
        <v>JPMF</v>
      </c>
      <c r="AD564" t="str">
        <f>IFERROR(VLOOKUP($A564,fund_metadata!$A:$P,16,FALSE),"")</f>
        <v>private_equity</v>
      </c>
    </row>
    <row r="565" spans="1:30" x14ac:dyDescent="0.25">
      <c r="A565">
        <v>11</v>
      </c>
      <c r="B565" s="3">
        <v>45688</v>
      </c>
      <c r="C565" s="3"/>
      <c r="F565" s="4"/>
      <c r="H565" s="5">
        <v>15.95</v>
      </c>
      <c r="I565" t="s">
        <v>89</v>
      </c>
      <c r="J565" s="5"/>
      <c r="L565" s="2">
        <v>7.6E-3</v>
      </c>
      <c r="M565" t="s">
        <v>89</v>
      </c>
      <c r="O565" s="4"/>
      <c r="AC565" t="str">
        <f>IFERROR(VLOOKUP($A565,fund_metadata!$A:$P,2,FALSE),"")</f>
        <v>JPMF</v>
      </c>
      <c r="AD565" t="str">
        <f>IFERROR(VLOOKUP($A565,fund_metadata!$A:$P,16,FALSE),"")</f>
        <v>private_equity</v>
      </c>
    </row>
    <row r="566" spans="1:30" x14ac:dyDescent="0.25">
      <c r="A566">
        <v>11</v>
      </c>
      <c r="B566" s="3">
        <v>45716</v>
      </c>
      <c r="C566" s="3"/>
      <c r="F566" s="4"/>
      <c r="H566" s="5">
        <v>16</v>
      </c>
      <c r="I566" t="s">
        <v>89</v>
      </c>
      <c r="J566" s="5"/>
      <c r="L566" s="2">
        <v>3.3E-3</v>
      </c>
      <c r="M566" t="s">
        <v>89</v>
      </c>
      <c r="O566" s="4"/>
      <c r="AC566" t="str">
        <f>IFERROR(VLOOKUP($A566,fund_metadata!$A:$P,2,FALSE),"")</f>
        <v>JPMF</v>
      </c>
      <c r="AD566" t="str">
        <f>IFERROR(VLOOKUP($A566,fund_metadata!$A:$P,16,FALSE),"")</f>
        <v>private_equity</v>
      </c>
    </row>
    <row r="567" spans="1:30" x14ac:dyDescent="0.25">
      <c r="A567">
        <v>11</v>
      </c>
      <c r="B567" s="3">
        <v>45747</v>
      </c>
      <c r="C567" s="3"/>
      <c r="F567" s="4">
        <v>999150000</v>
      </c>
      <c r="G567" t="s">
        <v>89</v>
      </c>
      <c r="H567" s="5">
        <v>16.3</v>
      </c>
      <c r="I567" t="s">
        <v>89</v>
      </c>
      <c r="J567" s="5"/>
      <c r="L567" s="2">
        <v>1.8599999999999998E-2</v>
      </c>
      <c r="M567" t="s">
        <v>89</v>
      </c>
      <c r="N567">
        <v>75</v>
      </c>
      <c r="O567" s="4">
        <v>1020000000</v>
      </c>
      <c r="P567" t="s">
        <v>89</v>
      </c>
      <c r="Q567">
        <v>28166468</v>
      </c>
      <c r="R567" t="s">
        <v>121</v>
      </c>
      <c r="AC567" t="str">
        <f>IFERROR(VLOOKUP($A567,fund_metadata!$A:$P,2,FALSE),"")</f>
        <v>JPMF</v>
      </c>
      <c r="AD567" t="str">
        <f>IFERROR(VLOOKUP($A567,fund_metadata!$A:$P,16,FALSE),"")</f>
        <v>private_equity</v>
      </c>
    </row>
    <row r="568" spans="1:30" x14ac:dyDescent="0.25">
      <c r="A568">
        <v>11</v>
      </c>
      <c r="B568" s="3">
        <v>45777</v>
      </c>
      <c r="C568" s="3"/>
      <c r="F568" s="4"/>
      <c r="H568" s="5">
        <v>16.440000000000001</v>
      </c>
      <c r="I568" t="s">
        <v>89</v>
      </c>
      <c r="J568" s="5"/>
      <c r="L568" s="2">
        <v>8.6E-3</v>
      </c>
      <c r="M568" t="s">
        <v>89</v>
      </c>
      <c r="O568" s="4"/>
      <c r="AC568" t="str">
        <f>IFERROR(VLOOKUP($A568,fund_metadata!$A:$P,2,FALSE),"")</f>
        <v>JPMF</v>
      </c>
      <c r="AD568" t="str">
        <f>IFERROR(VLOOKUP($A568,fund_metadata!$A:$P,16,FALSE),"")</f>
        <v>private_equity</v>
      </c>
    </row>
    <row r="569" spans="1:30" x14ac:dyDescent="0.25">
      <c r="A569">
        <v>11</v>
      </c>
      <c r="B569" s="3">
        <v>45808</v>
      </c>
      <c r="C569" s="3"/>
      <c r="F569" s="4"/>
      <c r="H569" s="5">
        <v>16.559999999999999</v>
      </c>
      <c r="I569" t="s">
        <v>89</v>
      </c>
      <c r="J569" s="5"/>
      <c r="L569" s="2">
        <v>7.3000000000000001E-3</v>
      </c>
      <c r="M569" t="s">
        <v>89</v>
      </c>
      <c r="O569" s="4"/>
      <c r="AC569" t="str">
        <f>IFERROR(VLOOKUP($A569,fund_metadata!$A:$P,2,FALSE),"")</f>
        <v>JPMF</v>
      </c>
      <c r="AD569" t="str">
        <f>IFERROR(VLOOKUP($A569,fund_metadata!$A:$P,16,FALSE),"")</f>
        <v>private_equity</v>
      </c>
    </row>
    <row r="570" spans="1:30" x14ac:dyDescent="0.25">
      <c r="A570">
        <v>11</v>
      </c>
      <c r="B570" s="3">
        <v>45838</v>
      </c>
      <c r="C570" s="3"/>
      <c r="F570" s="4"/>
      <c r="H570" s="5">
        <v>16.87</v>
      </c>
      <c r="I570" t="s">
        <v>89</v>
      </c>
      <c r="J570" s="5"/>
      <c r="L570" s="2">
        <v>1.8700000000000001E-2</v>
      </c>
      <c r="M570" t="s">
        <v>89</v>
      </c>
      <c r="N570">
        <v>95</v>
      </c>
      <c r="O570" s="4"/>
      <c r="AC570" t="str">
        <f>IFERROR(VLOOKUP($A570,fund_metadata!$A:$P,2,FALSE),"")</f>
        <v>JPMF</v>
      </c>
      <c r="AD570" t="str">
        <f>IFERROR(VLOOKUP($A570,fund_metadata!$A:$P,16,FALSE),"")</f>
        <v>private_equity</v>
      </c>
    </row>
    <row r="571" spans="1:30" x14ac:dyDescent="0.25">
      <c r="A571">
        <v>11</v>
      </c>
      <c r="B571" s="3">
        <v>45869</v>
      </c>
      <c r="C571" s="3"/>
      <c r="F571" s="4"/>
      <c r="H571" s="5">
        <v>17.010000000000002</v>
      </c>
      <c r="I571" t="s">
        <v>89</v>
      </c>
      <c r="J571" s="5"/>
      <c r="L571" s="2">
        <v>8.6E-3</v>
      </c>
      <c r="M571" t="s">
        <v>89</v>
      </c>
      <c r="O571" s="4"/>
      <c r="AC571" t="str">
        <f>IFERROR(VLOOKUP($A571,fund_metadata!$A:$P,2,FALSE),"")</f>
        <v>JPMF</v>
      </c>
      <c r="AD571" t="str">
        <f>IFERROR(VLOOKUP($A571,fund_metadata!$A:$P,16,FALSE),"")</f>
        <v>private_equity</v>
      </c>
    </row>
    <row r="572" spans="1:30" x14ac:dyDescent="0.25">
      <c r="A572">
        <v>11</v>
      </c>
      <c r="B572" s="3">
        <v>45900</v>
      </c>
      <c r="C572" s="3"/>
      <c r="F572" s="4"/>
      <c r="H572" s="5">
        <v>17.21</v>
      </c>
      <c r="I572" t="s">
        <v>89</v>
      </c>
      <c r="J572" s="5"/>
      <c r="L572" s="2">
        <v>1.12E-2</v>
      </c>
      <c r="M572" t="s">
        <v>89</v>
      </c>
      <c r="O572" s="4"/>
      <c r="AC572" t="str">
        <f>IFERROR(VLOOKUP($A572,fund_metadata!$A:$P,2,FALSE),"")</f>
        <v>JPMF</v>
      </c>
      <c r="AD572" t="str">
        <f>IFERROR(VLOOKUP($A572,fund_metadata!$A:$P,16,FALSE),"")</f>
        <v>private_equity</v>
      </c>
    </row>
    <row r="573" spans="1:30" x14ac:dyDescent="0.25">
      <c r="A573">
        <v>11</v>
      </c>
      <c r="B573" s="3">
        <v>45930</v>
      </c>
      <c r="C573" s="3"/>
      <c r="F573" s="4">
        <v>1430000000</v>
      </c>
      <c r="G573" t="s">
        <v>89</v>
      </c>
      <c r="H573" s="5">
        <v>17.350000000000001</v>
      </c>
      <c r="I573" t="s">
        <v>89</v>
      </c>
      <c r="J573" s="5"/>
      <c r="L573" s="2">
        <v>8.6E-3</v>
      </c>
      <c r="M573" t="s">
        <v>89</v>
      </c>
      <c r="N573">
        <v>100</v>
      </c>
      <c r="O573" s="4">
        <v>1480000000</v>
      </c>
      <c r="P573" t="s">
        <v>89</v>
      </c>
      <c r="Q573">
        <v>36369168</v>
      </c>
      <c r="R573" t="s">
        <v>120</v>
      </c>
      <c r="AC573" t="str">
        <f>IFERROR(VLOOKUP($A573,fund_metadata!$A:$P,2,FALSE),"")</f>
        <v>JPMF</v>
      </c>
      <c r="AD573" t="str">
        <f>IFERROR(VLOOKUP($A573,fund_metadata!$A:$P,16,FALSE),"")</f>
        <v>private_equity</v>
      </c>
    </row>
    <row r="574" spans="1:30" x14ac:dyDescent="0.25">
      <c r="A574">
        <v>11</v>
      </c>
      <c r="B574" s="3">
        <v>45961</v>
      </c>
      <c r="C574" s="3"/>
      <c r="F574" s="4">
        <v>1450000000</v>
      </c>
      <c r="G574" t="s">
        <v>89</v>
      </c>
      <c r="H574" s="5">
        <v>17.579999999999998</v>
      </c>
      <c r="I574" t="s">
        <v>89</v>
      </c>
      <c r="J574" s="5"/>
      <c r="L574" s="2">
        <v>1.2800000000000001E-2</v>
      </c>
      <c r="M574" t="s">
        <v>89</v>
      </c>
      <c r="O574" s="4"/>
      <c r="AC574" t="str">
        <f>IFERROR(VLOOKUP($A574,fund_metadata!$A:$P,2,FALSE),"")</f>
        <v>JPMF</v>
      </c>
      <c r="AD574" t="str">
        <f>IFERROR(VLOOKUP($A574,fund_metadata!$A:$P,16,FALSE),"")</f>
        <v>private_equity</v>
      </c>
    </row>
    <row r="575" spans="1:30" x14ac:dyDescent="0.25">
      <c r="A575">
        <v>11</v>
      </c>
      <c r="B575" s="3">
        <v>45991</v>
      </c>
      <c r="C575" s="3"/>
      <c r="F575" s="4">
        <v>1500000000</v>
      </c>
      <c r="G575" t="s">
        <v>89</v>
      </c>
      <c r="H575" s="5">
        <v>17.489999999999998</v>
      </c>
      <c r="I575" t="s">
        <v>89</v>
      </c>
      <c r="J575" s="5">
        <v>0.15</v>
      </c>
      <c r="K575" t="s">
        <v>89</v>
      </c>
      <c r="L575" s="2">
        <v>4.0000000000000001E-3</v>
      </c>
      <c r="M575" t="s">
        <v>89</v>
      </c>
      <c r="O575" s="4"/>
      <c r="AC575" t="str">
        <f>IFERROR(VLOOKUP($A575,fund_metadata!$A:$P,2,FALSE),"")</f>
        <v>JPMF</v>
      </c>
      <c r="AD575" t="str">
        <f>IFERROR(VLOOKUP($A575,fund_metadata!$A:$P,16,FALSE),"")</f>
        <v>private_equity</v>
      </c>
    </row>
    <row r="576" spans="1:30" x14ac:dyDescent="0.25">
      <c r="A576">
        <v>11</v>
      </c>
      <c r="B576" s="3">
        <v>46022</v>
      </c>
      <c r="C576" s="3"/>
      <c r="D576">
        <v>10000000</v>
      </c>
      <c r="E576" t="s">
        <v>104</v>
      </c>
      <c r="F576" s="4">
        <v>1570000000</v>
      </c>
      <c r="G576" t="s">
        <v>89</v>
      </c>
      <c r="H576" s="5">
        <v>17.78</v>
      </c>
      <c r="I576" t="s">
        <v>89</v>
      </c>
      <c r="J576" s="5"/>
      <c r="L576" s="2">
        <v>1.6400000000000001E-2</v>
      </c>
      <c r="M576" t="s">
        <v>89</v>
      </c>
      <c r="N576">
        <v>115</v>
      </c>
      <c r="O576" s="4"/>
      <c r="AC576" t="str">
        <f>IFERROR(VLOOKUP($A576,fund_metadata!$A:$P,2,FALSE),"")</f>
        <v>JPMF</v>
      </c>
      <c r="AD576" t="str">
        <f>IFERROR(VLOOKUP($A576,fund_metadata!$A:$P,16,FALSE),"")</f>
        <v>private_equity</v>
      </c>
    </row>
    <row r="577" spans="1:30" x14ac:dyDescent="0.25">
      <c r="A577">
        <v>11</v>
      </c>
      <c r="B577" s="3">
        <v>46053</v>
      </c>
      <c r="C577" s="3"/>
      <c r="D577">
        <v>10000000</v>
      </c>
      <c r="E577" t="s">
        <v>107</v>
      </c>
      <c r="F577" s="4">
        <v>1590000000</v>
      </c>
      <c r="G577" t="s">
        <v>89</v>
      </c>
      <c r="H577" s="5">
        <v>17.96</v>
      </c>
      <c r="I577" t="s">
        <v>89</v>
      </c>
      <c r="J577" s="5"/>
      <c r="L577" s="2">
        <v>1.03E-2</v>
      </c>
      <c r="M577" t="s">
        <v>89</v>
      </c>
      <c r="O577" s="4"/>
      <c r="S577">
        <v>562467.65800000005</v>
      </c>
      <c r="T577" t="s">
        <v>107</v>
      </c>
      <c r="U577">
        <v>10000000</v>
      </c>
      <c r="V577" t="s">
        <v>107</v>
      </c>
      <c r="W577">
        <v>0</v>
      </c>
      <c r="X577" t="s">
        <v>107</v>
      </c>
      <c r="Y577">
        <v>0</v>
      </c>
      <c r="Z577" t="s">
        <v>107</v>
      </c>
      <c r="AC577" t="str">
        <f>IFERROR(VLOOKUP($A577,fund_metadata!$A:$P,2,FALSE),"")</f>
        <v>JPMF</v>
      </c>
      <c r="AD577" t="str">
        <f>IFERROR(VLOOKUP($A577,fund_metadata!$A:$P,16,FALSE),"")</f>
        <v>private_equity</v>
      </c>
    </row>
    <row r="578" spans="1:30" x14ac:dyDescent="0.25">
      <c r="A578">
        <v>11</v>
      </c>
      <c r="B578" s="3">
        <v>46081</v>
      </c>
      <c r="C578" s="3"/>
      <c r="D578">
        <v>10107431.32</v>
      </c>
      <c r="E578" t="s">
        <v>106</v>
      </c>
      <c r="F578" s="4">
        <v>1640000000</v>
      </c>
      <c r="G578" t="s">
        <v>89</v>
      </c>
      <c r="H578" s="5">
        <v>17.97</v>
      </c>
      <c r="I578" t="s">
        <v>89</v>
      </c>
      <c r="J578" s="5"/>
      <c r="L578" s="2">
        <v>4.0000000000000002E-4</v>
      </c>
      <c r="M578" t="s">
        <v>89</v>
      </c>
      <c r="O578" s="4"/>
      <c r="S578">
        <v>562467.65800000005</v>
      </c>
      <c r="T578" t="s">
        <v>106</v>
      </c>
      <c r="U578">
        <v>0</v>
      </c>
      <c r="V578" t="s">
        <v>107</v>
      </c>
      <c r="W578">
        <v>0</v>
      </c>
      <c r="X578" t="s">
        <v>107</v>
      </c>
      <c r="Y578">
        <v>0</v>
      </c>
      <c r="Z578" t="s">
        <v>107</v>
      </c>
      <c r="AC578" t="str">
        <f>IFERROR(VLOOKUP($A578,fund_metadata!$A:$P,2,FALSE),"")</f>
        <v>JPMF</v>
      </c>
      <c r="AD578" t="str">
        <f>IFERROR(VLOOKUP($A578,fund_metadata!$A:$P,16,FALSE),"")</f>
        <v>private_equity</v>
      </c>
    </row>
    <row r="579" spans="1:30" x14ac:dyDescent="0.25">
      <c r="A579">
        <v>11</v>
      </c>
      <c r="B579" s="3">
        <v>46112</v>
      </c>
      <c r="C579" s="3"/>
      <c r="D579">
        <v>10093875.85</v>
      </c>
      <c r="E579" t="s">
        <v>106</v>
      </c>
      <c r="F579" s="4">
        <v>1680000000</v>
      </c>
      <c r="G579" t="s">
        <v>89</v>
      </c>
      <c r="H579" s="5">
        <v>17.95</v>
      </c>
      <c r="I579" t="s">
        <v>89</v>
      </c>
      <c r="J579" s="5"/>
      <c r="L579" s="2">
        <v>-1.2999999999999999E-3</v>
      </c>
      <c r="M579" t="s">
        <v>89</v>
      </c>
      <c r="N579">
        <v>124</v>
      </c>
      <c r="O579" s="4"/>
      <c r="S579">
        <v>562467.65800000005</v>
      </c>
      <c r="T579" t="s">
        <v>106</v>
      </c>
      <c r="U579">
        <v>0</v>
      </c>
      <c r="V579" t="s">
        <v>106</v>
      </c>
      <c r="W579">
        <v>0</v>
      </c>
      <c r="X579" t="s">
        <v>106</v>
      </c>
      <c r="Y579">
        <v>0</v>
      </c>
      <c r="Z579" t="s">
        <v>106</v>
      </c>
      <c r="AC579" t="str">
        <f>IFERROR(VLOOKUP($A579,fund_metadata!$A:$P,2,FALSE),"")</f>
        <v>JPMF</v>
      </c>
      <c r="AD579" t="str">
        <f>IFERROR(VLOOKUP($A579,fund_metadata!$A:$P,16,FALSE),"")</f>
        <v>private_equity</v>
      </c>
    </row>
    <row r="580" spans="1:30" x14ac:dyDescent="0.25">
      <c r="A580">
        <v>11</v>
      </c>
      <c r="B580" s="3">
        <v>46142</v>
      </c>
      <c r="C580" s="3"/>
      <c r="F580" s="4"/>
      <c r="H580" s="5"/>
      <c r="J580" s="5"/>
      <c r="L580" s="2"/>
      <c r="O580" s="4"/>
      <c r="AC580" t="str">
        <f>IFERROR(VLOOKUP($A580,fund_metadata!$A:$P,2,FALSE),"")</f>
        <v>JPMF</v>
      </c>
      <c r="AD580" t="str">
        <f>IFERROR(VLOOKUP($A580,fund_metadata!$A:$P,16,FALSE),"")</f>
        <v>private_equity</v>
      </c>
    </row>
    <row r="581" spans="1:30" x14ac:dyDescent="0.25">
      <c r="A581">
        <v>11</v>
      </c>
      <c r="B581" s="3">
        <v>46173</v>
      </c>
      <c r="C581" s="3"/>
      <c r="F581" s="4"/>
      <c r="H581" s="5"/>
      <c r="J581" s="5"/>
      <c r="L581" s="2"/>
      <c r="O581" s="4"/>
      <c r="AC581" t="str">
        <f>IFERROR(VLOOKUP($A581,fund_metadata!$A:$P,2,FALSE),"")</f>
        <v>JPMF</v>
      </c>
      <c r="AD581" t="str">
        <f>IFERROR(VLOOKUP($A581,fund_metadata!$A:$P,16,FALSE),"")</f>
        <v>private_equity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3A8F-F29D-419A-B1ED-605D4EB01FC2}">
  <dimension ref="B3:F600"/>
  <sheetViews>
    <sheetView workbookViewId="0">
      <selection activeCell="B3" sqref="B3"/>
    </sheetView>
  </sheetViews>
  <sheetFormatPr defaultRowHeight="15" x14ac:dyDescent="0.25"/>
  <cols>
    <col min="2" max="2" width="14.42578125" bestFit="1" customWidth="1"/>
    <col min="3" max="3" width="13.5703125" bestFit="1" customWidth="1"/>
    <col min="4" max="4" width="15.5703125" bestFit="1" customWidth="1"/>
    <col min="5" max="5" width="12.140625" bestFit="1" customWidth="1"/>
    <col min="6" max="6" width="14.5703125" bestFit="1" customWidth="1"/>
  </cols>
  <sheetData>
    <row r="3" spans="2:6" x14ac:dyDescent="0.25">
      <c r="B3" s="11" t="s">
        <v>0</v>
      </c>
      <c r="C3" s="11" t="s">
        <v>3</v>
      </c>
      <c r="D3" t="s">
        <v>128</v>
      </c>
      <c r="E3" t="s">
        <v>129</v>
      </c>
      <c r="F3" t="s">
        <v>130</v>
      </c>
    </row>
    <row r="4" spans="2:6" x14ac:dyDescent="0.25">
      <c r="B4" s="16">
        <v>1</v>
      </c>
      <c r="D4" s="2">
        <v>1.1815492957746476E-2</v>
      </c>
      <c r="E4" s="13">
        <v>20401211.25</v>
      </c>
      <c r="F4" s="14">
        <v>41.856438356164396</v>
      </c>
    </row>
    <row r="5" spans="2:6" x14ac:dyDescent="0.25">
      <c r="B5" s="16">
        <v>2</v>
      </c>
      <c r="D5" s="2">
        <v>1.2669230769230769E-2</v>
      </c>
      <c r="E5" s="13">
        <v>10154379.32</v>
      </c>
      <c r="F5" s="14">
        <v>12.135999999999997</v>
      </c>
    </row>
    <row r="6" spans="2:6" x14ac:dyDescent="0.25">
      <c r="B6" s="16">
        <v>3</v>
      </c>
      <c r="D6" s="2">
        <v>9.6465517241379264E-3</v>
      </c>
      <c r="E6" s="13">
        <v>38468269.859999999</v>
      </c>
      <c r="F6" s="14">
        <v>10.800666666666665</v>
      </c>
    </row>
    <row r="7" spans="2:6" x14ac:dyDescent="0.25">
      <c r="B7" s="16">
        <v>4</v>
      </c>
      <c r="D7" s="2">
        <v>1.3162500000000002E-2</v>
      </c>
      <c r="E7" s="13">
        <v>30569224.130000003</v>
      </c>
      <c r="F7" s="14"/>
    </row>
    <row r="8" spans="2:6" x14ac:dyDescent="0.25">
      <c r="B8" s="16">
        <v>5</v>
      </c>
      <c r="D8" s="2">
        <v>7.0173913043478251E-3</v>
      </c>
      <c r="E8" s="13">
        <v>24655004.850000001</v>
      </c>
      <c r="F8" s="14">
        <v>10.165199999999999</v>
      </c>
    </row>
    <row r="9" spans="2:6" x14ac:dyDescent="0.25">
      <c r="B9" s="16">
        <v>6</v>
      </c>
      <c r="D9" s="2">
        <v>1.4418181818181813E-2</v>
      </c>
      <c r="E9" s="13">
        <v>50253287.829999998</v>
      </c>
      <c r="F9" s="14">
        <v>47.998676470588251</v>
      </c>
    </row>
    <row r="10" spans="2:6" x14ac:dyDescent="0.25">
      <c r="B10" s="16">
        <v>7</v>
      </c>
      <c r="D10" s="2">
        <v>2.1395238095238096E-2</v>
      </c>
      <c r="E10" s="13">
        <v>21528690.719999999</v>
      </c>
      <c r="F10" s="14">
        <v>39.979534883720923</v>
      </c>
    </row>
    <row r="11" spans="2:6" x14ac:dyDescent="0.25">
      <c r="B11" s="16"/>
      <c r="C11" s="12">
        <v>44895</v>
      </c>
      <c r="D11" s="2">
        <v>9.5899999999999999E-2</v>
      </c>
      <c r="E11" s="13"/>
      <c r="F11" s="14">
        <v>27.4</v>
      </c>
    </row>
    <row r="12" spans="2:6" x14ac:dyDescent="0.25">
      <c r="B12" s="16"/>
      <c r="C12" s="12">
        <v>44926</v>
      </c>
      <c r="D12" s="2">
        <v>4.8800000000000003E-2</v>
      </c>
      <c r="E12" s="13"/>
      <c r="F12" s="14">
        <v>27.4</v>
      </c>
    </row>
    <row r="13" spans="2:6" x14ac:dyDescent="0.25">
      <c r="B13" s="16"/>
      <c r="C13" s="12">
        <v>44957</v>
      </c>
      <c r="D13" s="2">
        <v>5.3199999999999997E-2</v>
      </c>
      <c r="E13" s="13"/>
      <c r="F13" s="14">
        <v>28.73</v>
      </c>
    </row>
    <row r="14" spans="2:6" x14ac:dyDescent="0.25">
      <c r="B14" s="16"/>
      <c r="C14" s="12">
        <v>44985</v>
      </c>
      <c r="D14" s="2">
        <v>-4.8000000000000001E-2</v>
      </c>
      <c r="E14" s="13"/>
      <c r="F14" s="14">
        <v>30.26</v>
      </c>
    </row>
    <row r="15" spans="2:6" x14ac:dyDescent="0.25">
      <c r="B15" s="16"/>
      <c r="C15" s="12">
        <v>45016</v>
      </c>
      <c r="D15" s="2">
        <v>5.9999999999999995E-4</v>
      </c>
      <c r="E15" s="13"/>
      <c r="F15" s="14">
        <v>30.12</v>
      </c>
    </row>
    <row r="16" spans="2:6" x14ac:dyDescent="0.25">
      <c r="B16" s="16"/>
      <c r="C16" s="12">
        <v>45046</v>
      </c>
      <c r="D16" s="2">
        <v>2.8999999999999998E-3</v>
      </c>
      <c r="E16" s="13"/>
      <c r="F16" s="14">
        <v>30.13</v>
      </c>
    </row>
    <row r="17" spans="2:6" x14ac:dyDescent="0.25">
      <c r="B17" s="16"/>
      <c r="C17" s="12">
        <v>45077</v>
      </c>
      <c r="D17" s="2">
        <v>-2.9999999999999997E-4</v>
      </c>
      <c r="E17" s="13"/>
      <c r="F17" s="14">
        <v>30.22</v>
      </c>
    </row>
    <row r="18" spans="2:6" x14ac:dyDescent="0.25">
      <c r="B18" s="16"/>
      <c r="C18" s="12">
        <v>45107</v>
      </c>
      <c r="D18" s="2">
        <v>2.35E-2</v>
      </c>
      <c r="E18" s="13"/>
      <c r="F18" s="14">
        <v>30.21</v>
      </c>
    </row>
    <row r="19" spans="2:6" x14ac:dyDescent="0.25">
      <c r="B19" s="16"/>
      <c r="C19" s="12">
        <v>45138</v>
      </c>
      <c r="D19" s="2">
        <v>5.1999999999999998E-3</v>
      </c>
      <c r="E19" s="13"/>
      <c r="F19" s="14">
        <v>30.92</v>
      </c>
    </row>
    <row r="20" spans="2:6" x14ac:dyDescent="0.25">
      <c r="B20" s="16"/>
      <c r="C20" s="12">
        <v>45169</v>
      </c>
      <c r="D20" s="2">
        <v>4.8899999999999999E-2</v>
      </c>
      <c r="E20" s="13"/>
      <c r="F20" s="14">
        <v>31.08</v>
      </c>
    </row>
    <row r="21" spans="2:6" x14ac:dyDescent="0.25">
      <c r="B21" s="16"/>
      <c r="C21" s="12">
        <v>45199</v>
      </c>
      <c r="D21" s="2">
        <v>5.1999999999999998E-3</v>
      </c>
      <c r="E21" s="13"/>
      <c r="F21" s="14">
        <v>32.6</v>
      </c>
    </row>
    <row r="22" spans="2:6" x14ac:dyDescent="0.25">
      <c r="B22" s="16"/>
      <c r="C22" s="12">
        <v>45230</v>
      </c>
      <c r="D22" s="2">
        <v>2.5000000000000001E-2</v>
      </c>
      <c r="E22" s="13"/>
      <c r="F22" s="14">
        <v>32.770000000000003</v>
      </c>
    </row>
    <row r="23" spans="2:6" x14ac:dyDescent="0.25">
      <c r="B23" s="16"/>
      <c r="C23" s="12">
        <v>45260</v>
      </c>
      <c r="D23" s="2">
        <v>4.4999999999999997E-3</v>
      </c>
      <c r="E23" s="13"/>
      <c r="F23" s="14">
        <v>33.590000000000003</v>
      </c>
    </row>
    <row r="24" spans="2:6" x14ac:dyDescent="0.25">
      <c r="B24" s="16"/>
      <c r="C24" s="12">
        <v>45291</v>
      </c>
      <c r="D24" s="2">
        <v>4.53E-2</v>
      </c>
      <c r="E24" s="13"/>
      <c r="F24" s="14">
        <v>33.74</v>
      </c>
    </row>
    <row r="25" spans="2:6" x14ac:dyDescent="0.25">
      <c r="B25" s="16"/>
      <c r="C25" s="12">
        <v>45322</v>
      </c>
      <c r="D25" s="2">
        <v>-4.7999999999999996E-3</v>
      </c>
      <c r="E25" s="13"/>
      <c r="F25" s="14">
        <v>35.270000000000003</v>
      </c>
    </row>
    <row r="26" spans="2:6" x14ac:dyDescent="0.25">
      <c r="B26" s="16"/>
      <c r="C26" s="12">
        <v>45351</v>
      </c>
      <c r="D26" s="2">
        <v>1.2500000000000001E-2</v>
      </c>
      <c r="E26" s="13"/>
      <c r="F26" s="14">
        <v>35.1</v>
      </c>
    </row>
    <row r="27" spans="2:6" x14ac:dyDescent="0.25">
      <c r="B27" s="16"/>
      <c r="C27" s="12">
        <v>45382</v>
      </c>
      <c r="D27" s="2">
        <v>2.87E-2</v>
      </c>
      <c r="E27" s="13"/>
      <c r="F27" s="14">
        <v>35.54</v>
      </c>
    </row>
    <row r="28" spans="2:6" x14ac:dyDescent="0.25">
      <c r="B28" s="16"/>
      <c r="C28" s="12">
        <v>45412</v>
      </c>
      <c r="D28" s="2">
        <v>-3.0000000000000001E-3</v>
      </c>
      <c r="E28" s="13"/>
      <c r="F28" s="14">
        <v>36.56</v>
      </c>
    </row>
    <row r="29" spans="2:6" x14ac:dyDescent="0.25">
      <c r="B29" s="16"/>
      <c r="C29" s="12">
        <v>45443</v>
      </c>
      <c r="D29" s="2">
        <v>1.5900000000000001E-2</v>
      </c>
      <c r="E29" s="13"/>
      <c r="F29" s="14">
        <v>36.450000000000003</v>
      </c>
    </row>
    <row r="30" spans="2:6" x14ac:dyDescent="0.25">
      <c r="B30" s="16"/>
      <c r="C30" s="12">
        <v>45473</v>
      </c>
      <c r="D30" s="2">
        <v>2.4E-2</v>
      </c>
      <c r="E30" s="13"/>
      <c r="F30" s="14">
        <v>37.03</v>
      </c>
    </row>
    <row r="31" spans="2:6" x14ac:dyDescent="0.25">
      <c r="B31" s="16"/>
      <c r="C31" s="12">
        <v>45504</v>
      </c>
      <c r="D31" s="2">
        <v>5.7999999999999996E-3</v>
      </c>
      <c r="E31" s="13"/>
      <c r="F31" s="14">
        <v>37.92</v>
      </c>
    </row>
    <row r="32" spans="2:6" x14ac:dyDescent="0.25">
      <c r="B32" s="16"/>
      <c r="C32" s="12">
        <v>45535</v>
      </c>
      <c r="D32" s="2">
        <v>1.6799999999999999E-2</v>
      </c>
      <c r="E32" s="13"/>
      <c r="F32" s="14">
        <v>38.14</v>
      </c>
    </row>
    <row r="33" spans="2:6" x14ac:dyDescent="0.25">
      <c r="B33" s="16"/>
      <c r="C33" s="12">
        <v>45565</v>
      </c>
      <c r="D33" s="2">
        <v>2.3E-3</v>
      </c>
      <c r="E33" s="13"/>
      <c r="F33" s="14">
        <v>38.78</v>
      </c>
    </row>
    <row r="34" spans="2:6" x14ac:dyDescent="0.25">
      <c r="B34" s="16"/>
      <c r="C34" s="12">
        <v>45596</v>
      </c>
      <c r="D34" s="2">
        <v>5.4000000000000003E-3</v>
      </c>
      <c r="E34" s="13"/>
      <c r="F34" s="14">
        <v>38.869999999999997</v>
      </c>
    </row>
    <row r="35" spans="2:6" x14ac:dyDescent="0.25">
      <c r="B35" s="16"/>
      <c r="C35" s="12">
        <v>45626</v>
      </c>
      <c r="D35" s="2">
        <v>2.1000000000000001E-2</v>
      </c>
      <c r="E35" s="13"/>
      <c r="F35" s="14">
        <v>39.08</v>
      </c>
    </row>
    <row r="36" spans="2:6" x14ac:dyDescent="0.25">
      <c r="B36" s="16"/>
      <c r="C36" s="12">
        <v>45657</v>
      </c>
      <c r="D36" s="2">
        <v>2.3900000000000001E-2</v>
      </c>
      <c r="E36" s="13"/>
      <c r="F36" s="14">
        <v>39.9</v>
      </c>
    </row>
    <row r="37" spans="2:6" x14ac:dyDescent="0.25">
      <c r="B37" s="16"/>
      <c r="C37" s="12">
        <v>45688</v>
      </c>
      <c r="D37" s="2">
        <v>2.12E-2</v>
      </c>
      <c r="E37" s="13"/>
      <c r="F37" s="14">
        <v>40.61</v>
      </c>
    </row>
    <row r="38" spans="2:6" x14ac:dyDescent="0.25">
      <c r="B38" s="16"/>
      <c r="C38" s="12">
        <v>45716</v>
      </c>
      <c r="D38" s="2">
        <v>1.23E-2</v>
      </c>
      <c r="E38" s="13"/>
      <c r="F38" s="14">
        <v>41.47</v>
      </c>
    </row>
    <row r="39" spans="2:6" x14ac:dyDescent="0.25">
      <c r="B39" s="16"/>
      <c r="C39" s="12">
        <v>45747</v>
      </c>
      <c r="D39" s="2">
        <v>2.9499999999999998E-2</v>
      </c>
      <c r="E39" s="13"/>
      <c r="F39" s="14">
        <v>41.98</v>
      </c>
    </row>
    <row r="40" spans="2:6" x14ac:dyDescent="0.25">
      <c r="B40" s="16"/>
      <c r="C40" s="12">
        <v>45777</v>
      </c>
      <c r="D40" s="2">
        <v>5.3E-3</v>
      </c>
      <c r="E40" s="13"/>
      <c r="F40" s="14">
        <v>43.22</v>
      </c>
    </row>
    <row r="41" spans="2:6" x14ac:dyDescent="0.25">
      <c r="B41" s="16"/>
      <c r="C41" s="12">
        <v>45808</v>
      </c>
      <c r="D41" s="2">
        <v>2.8299999999999999E-2</v>
      </c>
      <c r="E41" s="13"/>
      <c r="F41" s="14">
        <v>43.45</v>
      </c>
    </row>
    <row r="42" spans="2:6" x14ac:dyDescent="0.25">
      <c r="B42" s="16"/>
      <c r="C42" s="12">
        <v>45838</v>
      </c>
      <c r="D42" s="2">
        <v>7.1999999999999998E-3</v>
      </c>
      <c r="E42" s="13"/>
      <c r="F42" s="14">
        <v>44.68</v>
      </c>
    </row>
    <row r="43" spans="2:6" x14ac:dyDescent="0.25">
      <c r="B43" s="16"/>
      <c r="C43" s="12">
        <v>45869</v>
      </c>
      <c r="D43" s="2">
        <v>1.3599999999999999E-2</v>
      </c>
      <c r="E43" s="13"/>
      <c r="F43" s="14">
        <v>45</v>
      </c>
    </row>
    <row r="44" spans="2:6" x14ac:dyDescent="0.25">
      <c r="B44" s="16"/>
      <c r="C44" s="12">
        <v>45900</v>
      </c>
      <c r="D44" s="2">
        <v>2.7400000000000001E-2</v>
      </c>
      <c r="E44" s="13"/>
      <c r="F44" s="14">
        <v>45.61</v>
      </c>
    </row>
    <row r="45" spans="2:6" x14ac:dyDescent="0.25">
      <c r="B45" s="16"/>
      <c r="C45" s="12">
        <v>45930</v>
      </c>
      <c r="D45" s="2">
        <v>2.1999999999999999E-2</v>
      </c>
      <c r="E45" s="13"/>
      <c r="F45" s="14">
        <v>46.86</v>
      </c>
    </row>
    <row r="46" spans="2:6" x14ac:dyDescent="0.25">
      <c r="B46" s="16"/>
      <c r="C46" s="12">
        <v>45961</v>
      </c>
      <c r="D46" s="2">
        <v>3.5900000000000001E-2</v>
      </c>
      <c r="E46" s="13"/>
      <c r="F46" s="14">
        <v>47.89</v>
      </c>
    </row>
    <row r="47" spans="2:6" x14ac:dyDescent="0.25">
      <c r="B47" s="16"/>
      <c r="C47" s="12">
        <v>45991</v>
      </c>
      <c r="D47" s="2">
        <v>5.3600000000000002E-2</v>
      </c>
      <c r="E47" s="13"/>
      <c r="F47" s="14">
        <v>49.61</v>
      </c>
    </row>
    <row r="48" spans="2:6" x14ac:dyDescent="0.25">
      <c r="B48" s="16"/>
      <c r="C48" s="12">
        <v>46022</v>
      </c>
      <c r="D48" s="2">
        <v>7.8299999999999995E-2</v>
      </c>
      <c r="E48" s="13"/>
      <c r="F48" s="14">
        <v>52.27</v>
      </c>
    </row>
    <row r="49" spans="2:6" x14ac:dyDescent="0.25">
      <c r="B49" s="16"/>
      <c r="C49" s="12">
        <v>46053</v>
      </c>
      <c r="D49" s="2">
        <v>1.03E-2</v>
      </c>
      <c r="E49" s="13">
        <v>5051518.92</v>
      </c>
      <c r="F49" s="14">
        <v>56.29</v>
      </c>
    </row>
    <row r="50" spans="2:6" x14ac:dyDescent="0.25">
      <c r="B50" s="16"/>
      <c r="C50" s="12">
        <v>46081</v>
      </c>
      <c r="D50" s="2">
        <v>7.5999999999999998E-2</v>
      </c>
      <c r="E50" s="13">
        <v>5435246.0499999998</v>
      </c>
      <c r="F50" s="14">
        <v>56.87</v>
      </c>
    </row>
    <row r="51" spans="2:6" x14ac:dyDescent="0.25">
      <c r="B51" s="16"/>
      <c r="C51" s="12">
        <v>46112</v>
      </c>
      <c r="D51" s="2">
        <v>1.29E-2</v>
      </c>
      <c r="E51" s="13">
        <v>5505418.3700000001</v>
      </c>
      <c r="F51" s="14">
        <v>61.19</v>
      </c>
    </row>
    <row r="52" spans="2:6" x14ac:dyDescent="0.25">
      <c r="B52" s="16"/>
      <c r="C52" s="12">
        <v>46142</v>
      </c>
      <c r="D52" s="2">
        <v>5.5999999999999999E-3</v>
      </c>
      <c r="E52" s="13">
        <v>5536507.3799999999</v>
      </c>
      <c r="F52" s="14">
        <v>61.98</v>
      </c>
    </row>
    <row r="53" spans="2:6" x14ac:dyDescent="0.25">
      <c r="B53" s="16"/>
      <c r="C53" s="12">
        <v>46173</v>
      </c>
      <c r="D53" s="2"/>
      <c r="E53" s="13"/>
      <c r="F53" s="14">
        <v>62.33</v>
      </c>
    </row>
    <row r="54" spans="2:6" x14ac:dyDescent="0.25">
      <c r="B54" s="16">
        <v>8</v>
      </c>
      <c r="D54" s="2">
        <v>9.8515873015873057E-3</v>
      </c>
      <c r="E54" s="13">
        <v>39978753.57</v>
      </c>
      <c r="F54" s="14">
        <v>18.116614173228356</v>
      </c>
    </row>
    <row r="55" spans="2:6" x14ac:dyDescent="0.25">
      <c r="B55" s="16">
        <v>9</v>
      </c>
      <c r="D55" s="2">
        <v>1.4194117647058824E-2</v>
      </c>
      <c r="E55" s="13">
        <v>40446746.5</v>
      </c>
      <c r="F55" s="14"/>
    </row>
    <row r="56" spans="2:6" x14ac:dyDescent="0.25">
      <c r="B56" s="16">
        <v>10</v>
      </c>
      <c r="D56" s="2">
        <v>1.2490476190476192E-2</v>
      </c>
      <c r="E56" s="13">
        <v>40588235.289999999</v>
      </c>
      <c r="F56" s="14">
        <v>14.903749999999995</v>
      </c>
    </row>
    <row r="57" spans="2:6" x14ac:dyDescent="0.25">
      <c r="B57" s="16">
        <v>11</v>
      </c>
      <c r="D57" s="2">
        <v>1.2256249999999998E-2</v>
      </c>
      <c r="E57" s="13">
        <v>40201307.170000002</v>
      </c>
      <c r="F57" s="14">
        <v>15.513333333333334</v>
      </c>
    </row>
    <row r="58" spans="2:6" x14ac:dyDescent="0.25">
      <c r="B58" s="12" t="s">
        <v>127</v>
      </c>
      <c r="C58" s="12"/>
      <c r="D58" s="2">
        <v>1.2266844919786093E-2</v>
      </c>
      <c r="E58" s="13">
        <v>357245110.49000007</v>
      </c>
      <c r="F58" s="14">
        <v>24.993097514340366</v>
      </c>
    </row>
    <row r="596" spans="2:6" x14ac:dyDescent="0.25">
      <c r="B596" s="15"/>
      <c r="C596" s="12"/>
      <c r="D596" s="2"/>
      <c r="E596" s="13"/>
      <c r="F596" s="14"/>
    </row>
    <row r="597" spans="2:6" x14ac:dyDescent="0.25">
      <c r="B597" s="15"/>
      <c r="C597" s="12"/>
      <c r="D597" s="2"/>
      <c r="E597" s="13"/>
      <c r="F597" s="14"/>
    </row>
    <row r="598" spans="2:6" x14ac:dyDescent="0.25">
      <c r="B598" s="15"/>
      <c r="C598" s="12"/>
      <c r="D598" s="2"/>
      <c r="E598" s="13"/>
      <c r="F598" s="14"/>
    </row>
    <row r="599" spans="2:6" x14ac:dyDescent="0.25">
      <c r="B599" s="15"/>
      <c r="C599" s="12"/>
      <c r="D599" s="2"/>
      <c r="E599" s="13"/>
      <c r="F599" s="14"/>
    </row>
    <row r="600" spans="2:6" x14ac:dyDescent="0.25">
      <c r="B600" s="15"/>
      <c r="C600" s="12"/>
      <c r="D600" s="2"/>
      <c r="E600" s="13"/>
      <c r="F6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E5C3-FD19-4882-B635-D8E9B9C4970F}">
  <dimension ref="A1:T12"/>
  <sheetViews>
    <sheetView tabSelected="1" zoomScaleNormal="100" workbookViewId="0">
      <pane xSplit="2" topLeftCell="C1" activePane="topRight" state="frozen"/>
      <selection pane="topRight" activeCell="D14" sqref="D14"/>
    </sheetView>
  </sheetViews>
  <sheetFormatPr defaultRowHeight="15" x14ac:dyDescent="0.25"/>
  <cols>
    <col min="2" max="2" width="24.7109375" bestFit="1" customWidth="1"/>
    <col min="3" max="3" width="28.42578125" customWidth="1"/>
    <col min="5" max="5" width="13.5703125" customWidth="1"/>
    <col min="6" max="6" width="17.28515625" bestFit="1" customWidth="1"/>
    <col min="7" max="7" width="49.140625" bestFit="1" customWidth="1"/>
    <col min="8" max="8" width="15.42578125" customWidth="1"/>
    <col min="9" max="9" width="13.7109375" customWidth="1"/>
    <col min="10" max="10" width="11" bestFit="1" customWidth="1"/>
    <col min="11" max="11" width="49.140625" bestFit="1" customWidth="1"/>
    <col min="12" max="12" width="9.5703125" bestFit="1" customWidth="1"/>
    <col min="13" max="13" width="29.28515625" bestFit="1" customWidth="1"/>
    <col min="14" max="14" width="103.140625" bestFit="1" customWidth="1"/>
    <col min="15" max="15" width="13.42578125" customWidth="1"/>
    <col min="16" max="16" width="15" bestFit="1" customWidth="1"/>
    <col min="17" max="17" width="16.85546875" bestFit="1" customWidth="1"/>
    <col min="18" max="18" width="16.42578125" customWidth="1"/>
    <col min="19" max="19" width="12.7109375" bestFit="1" customWidth="1"/>
    <col min="20" max="20" width="24.85546875" bestFit="1" customWidth="1"/>
  </cols>
  <sheetData>
    <row r="1" spans="1:20" x14ac:dyDescent="0.25">
      <c r="A1" t="s">
        <v>0</v>
      </c>
      <c r="B1" t="s">
        <v>1</v>
      </c>
      <c r="C1" t="s">
        <v>114</v>
      </c>
      <c r="D1" t="s">
        <v>2</v>
      </c>
      <c r="E1" t="s">
        <v>7</v>
      </c>
      <c r="F1" t="s">
        <v>111</v>
      </c>
      <c r="G1" t="s">
        <v>12</v>
      </c>
      <c r="H1" t="s">
        <v>8</v>
      </c>
      <c r="I1" t="s">
        <v>9</v>
      </c>
      <c r="J1" t="s">
        <v>10</v>
      </c>
      <c r="K1" t="s">
        <v>13</v>
      </c>
      <c r="L1" t="s">
        <v>14</v>
      </c>
      <c r="M1" t="s">
        <v>15</v>
      </c>
      <c r="N1" t="s">
        <v>16</v>
      </c>
      <c r="O1" t="s">
        <v>96</v>
      </c>
      <c r="P1" t="s">
        <v>91</v>
      </c>
      <c r="Q1" t="s">
        <v>113</v>
      </c>
      <c r="R1" t="s">
        <v>11</v>
      </c>
      <c r="S1" t="s">
        <v>125</v>
      </c>
      <c r="T1" t="s">
        <v>124</v>
      </c>
    </row>
    <row r="2" spans="1:20" x14ac:dyDescent="0.25">
      <c r="A2">
        <v>1</v>
      </c>
      <c r="B2" t="s">
        <v>17</v>
      </c>
      <c r="C2" s="3">
        <v>44196</v>
      </c>
      <c r="D2" t="s">
        <v>43</v>
      </c>
      <c r="E2">
        <v>1810256</v>
      </c>
      <c r="F2">
        <v>2</v>
      </c>
      <c r="G2" t="s">
        <v>51</v>
      </c>
      <c r="H2" s="1" t="s">
        <v>29</v>
      </c>
      <c r="I2" t="s">
        <v>74</v>
      </c>
      <c r="J2" t="s">
        <v>41</v>
      </c>
      <c r="K2" t="s">
        <v>61</v>
      </c>
      <c r="N2" s="6" t="s">
        <v>30</v>
      </c>
      <c r="O2" t="s">
        <v>97</v>
      </c>
      <c r="P2" t="s">
        <v>115</v>
      </c>
      <c r="Q2" s="7">
        <v>1.7500000000000002E-2</v>
      </c>
      <c r="R2" s="2">
        <v>2.9899999999999999E-2</v>
      </c>
      <c r="T2" s="10">
        <v>0.05</v>
      </c>
    </row>
    <row r="3" spans="1:20" x14ac:dyDescent="0.25">
      <c r="A3">
        <v>2</v>
      </c>
      <c r="B3" t="s">
        <v>18</v>
      </c>
      <c r="C3" s="3">
        <v>45294</v>
      </c>
      <c r="D3" t="s">
        <v>44</v>
      </c>
      <c r="E3">
        <v>1899610</v>
      </c>
      <c r="F3">
        <v>4</v>
      </c>
      <c r="G3" t="s">
        <v>52</v>
      </c>
      <c r="H3" s="1" t="s">
        <v>28</v>
      </c>
      <c r="I3" t="s">
        <v>75</v>
      </c>
      <c r="J3" t="s">
        <v>41</v>
      </c>
      <c r="K3" t="s">
        <v>62</v>
      </c>
      <c r="N3" s="6" t="s">
        <v>31</v>
      </c>
      <c r="O3" t="s">
        <v>97</v>
      </c>
      <c r="P3" t="s">
        <v>115</v>
      </c>
      <c r="Q3" s="7">
        <v>1.2500000000000001E-2</v>
      </c>
      <c r="R3" s="2">
        <v>3.2399999999999998E-2</v>
      </c>
      <c r="S3" s="8">
        <v>0.1</v>
      </c>
      <c r="T3" s="10">
        <v>0.05</v>
      </c>
    </row>
    <row r="4" spans="1:20" x14ac:dyDescent="0.25">
      <c r="A4">
        <v>3</v>
      </c>
      <c r="B4" t="s">
        <v>19</v>
      </c>
      <c r="C4" s="3">
        <v>44377</v>
      </c>
      <c r="D4" t="s">
        <v>45</v>
      </c>
      <c r="E4">
        <v>1842754</v>
      </c>
      <c r="F4">
        <v>1</v>
      </c>
      <c r="G4" t="s">
        <v>53</v>
      </c>
      <c r="H4" s="1" t="s">
        <v>29</v>
      </c>
      <c r="I4" s="6" t="s">
        <v>76</v>
      </c>
      <c r="J4" t="s">
        <v>41</v>
      </c>
      <c r="K4" t="s">
        <v>63</v>
      </c>
      <c r="N4" s="6" t="s">
        <v>32</v>
      </c>
      <c r="O4" t="s">
        <v>97</v>
      </c>
      <c r="P4" t="s">
        <v>116</v>
      </c>
      <c r="Q4" s="7">
        <v>9.4999999999999998E-3</v>
      </c>
      <c r="T4" s="10">
        <v>0.05</v>
      </c>
    </row>
    <row r="5" spans="1:20" x14ac:dyDescent="0.25">
      <c r="A5">
        <v>4</v>
      </c>
      <c r="B5" t="s">
        <v>20</v>
      </c>
      <c r="C5" s="3">
        <v>45383</v>
      </c>
      <c r="E5">
        <v>1969180</v>
      </c>
      <c r="F5">
        <v>3</v>
      </c>
      <c r="G5" t="s">
        <v>54</v>
      </c>
      <c r="H5" s="1" t="s">
        <v>28</v>
      </c>
      <c r="J5" t="s">
        <v>41</v>
      </c>
      <c r="K5" t="s">
        <v>54</v>
      </c>
      <c r="N5" s="6" t="s">
        <v>33</v>
      </c>
      <c r="O5" t="s">
        <v>97</v>
      </c>
      <c r="P5" t="s">
        <v>117</v>
      </c>
      <c r="Q5" s="7">
        <v>1.6500000000000001E-2</v>
      </c>
      <c r="T5" s="10">
        <v>0.05</v>
      </c>
    </row>
    <row r="6" spans="1:20" x14ac:dyDescent="0.25">
      <c r="A6">
        <v>5</v>
      </c>
      <c r="B6" t="s">
        <v>21</v>
      </c>
      <c r="C6" s="3">
        <v>45446</v>
      </c>
      <c r="D6" t="s">
        <v>46</v>
      </c>
      <c r="E6">
        <v>2006100</v>
      </c>
      <c r="F6">
        <v>4</v>
      </c>
      <c r="G6" t="s">
        <v>55</v>
      </c>
      <c r="H6" s="1" t="s">
        <v>29</v>
      </c>
      <c r="I6" t="s">
        <v>77</v>
      </c>
      <c r="J6" t="s">
        <v>41</v>
      </c>
      <c r="K6" t="s">
        <v>64</v>
      </c>
      <c r="N6" s="6" t="s">
        <v>34</v>
      </c>
      <c r="O6" t="s">
        <v>97</v>
      </c>
      <c r="P6" t="s">
        <v>116</v>
      </c>
      <c r="Q6" s="7">
        <v>1.15E-2</v>
      </c>
      <c r="T6" s="10">
        <v>0.05</v>
      </c>
    </row>
    <row r="7" spans="1:20" x14ac:dyDescent="0.25">
      <c r="A7">
        <v>6</v>
      </c>
      <c r="B7" t="s">
        <v>22</v>
      </c>
      <c r="C7" s="3">
        <v>44105</v>
      </c>
      <c r="D7" t="s">
        <v>47</v>
      </c>
      <c r="E7">
        <v>1789470</v>
      </c>
      <c r="F7">
        <v>3</v>
      </c>
      <c r="G7" t="s">
        <v>56</v>
      </c>
      <c r="H7" s="1" t="s">
        <v>28</v>
      </c>
      <c r="I7" t="s">
        <v>78</v>
      </c>
      <c r="J7" t="s">
        <v>41</v>
      </c>
      <c r="K7" t="s">
        <v>65</v>
      </c>
      <c r="N7" s="6" t="s">
        <v>35</v>
      </c>
      <c r="O7" t="s">
        <v>97</v>
      </c>
      <c r="P7" t="s">
        <v>117</v>
      </c>
      <c r="Q7" s="7">
        <v>1.4E-2</v>
      </c>
      <c r="T7" s="10">
        <v>0.05</v>
      </c>
    </row>
    <row r="8" spans="1:20" x14ac:dyDescent="0.25">
      <c r="A8">
        <v>7</v>
      </c>
      <c r="B8" t="s">
        <v>23</v>
      </c>
      <c r="C8" s="3">
        <v>44866</v>
      </c>
      <c r="D8" t="s">
        <v>48</v>
      </c>
      <c r="E8">
        <v>1918642</v>
      </c>
      <c r="F8">
        <v>3</v>
      </c>
      <c r="G8" t="s">
        <v>57</v>
      </c>
      <c r="H8" s="1" t="s">
        <v>28</v>
      </c>
      <c r="I8" s="6" t="s">
        <v>79</v>
      </c>
      <c r="J8" t="s">
        <v>41</v>
      </c>
      <c r="K8" t="s">
        <v>66</v>
      </c>
      <c r="N8" s="6" t="s">
        <v>36</v>
      </c>
      <c r="O8" t="s">
        <v>97</v>
      </c>
      <c r="P8" t="s">
        <v>118</v>
      </c>
      <c r="Q8" s="7">
        <v>1.4999999999999999E-2</v>
      </c>
      <c r="T8" s="10">
        <v>2.5000000000000001E-2</v>
      </c>
    </row>
    <row r="9" spans="1:20" x14ac:dyDescent="0.25">
      <c r="A9">
        <v>8</v>
      </c>
      <c r="B9" t="s">
        <v>24</v>
      </c>
      <c r="C9" s="3">
        <v>42304</v>
      </c>
      <c r="D9" t="s">
        <v>49</v>
      </c>
      <c r="E9">
        <v>1609211</v>
      </c>
      <c r="F9">
        <v>1</v>
      </c>
      <c r="G9" t="s">
        <v>119</v>
      </c>
      <c r="H9" s="1" t="s">
        <v>28</v>
      </c>
      <c r="J9" t="s">
        <v>42</v>
      </c>
      <c r="L9" t="s">
        <v>71</v>
      </c>
      <c r="M9" t="s">
        <v>67</v>
      </c>
      <c r="N9" s="6" t="s">
        <v>37</v>
      </c>
      <c r="O9" t="s">
        <v>97</v>
      </c>
      <c r="P9" t="s">
        <v>117</v>
      </c>
      <c r="Q9" s="7">
        <v>1.2500000000000001E-2</v>
      </c>
      <c r="T9" s="10">
        <v>0.05</v>
      </c>
    </row>
    <row r="10" spans="1:20" x14ac:dyDescent="0.25">
      <c r="A10">
        <v>9</v>
      </c>
      <c r="B10" t="s">
        <v>27</v>
      </c>
      <c r="C10" s="3">
        <v>45646</v>
      </c>
      <c r="E10">
        <v>2008602</v>
      </c>
      <c r="F10">
        <v>4</v>
      </c>
      <c r="G10" t="s">
        <v>58</v>
      </c>
      <c r="H10" s="1" t="s">
        <v>28</v>
      </c>
      <c r="J10" t="s">
        <v>41</v>
      </c>
      <c r="M10" t="s">
        <v>68</v>
      </c>
      <c r="N10" s="6" t="s">
        <v>38</v>
      </c>
      <c r="O10" t="s">
        <v>97</v>
      </c>
      <c r="P10" t="s">
        <v>117</v>
      </c>
      <c r="Q10" s="7">
        <v>1.2500000000000001E-2</v>
      </c>
      <c r="T10" s="10">
        <v>0.05</v>
      </c>
    </row>
    <row r="11" spans="1:20" x14ac:dyDescent="0.25">
      <c r="A11">
        <v>10</v>
      </c>
      <c r="B11" t="s">
        <v>25</v>
      </c>
      <c r="C11" s="3">
        <v>44200</v>
      </c>
      <c r="D11" t="s">
        <v>50</v>
      </c>
      <c r="E11">
        <v>1803491</v>
      </c>
      <c r="F11">
        <v>3</v>
      </c>
      <c r="G11" t="s">
        <v>59</v>
      </c>
      <c r="H11" s="1" t="s">
        <v>28</v>
      </c>
      <c r="I11" t="s">
        <v>80</v>
      </c>
      <c r="J11" t="s">
        <v>41</v>
      </c>
      <c r="L11" t="s">
        <v>72</v>
      </c>
      <c r="M11" t="s">
        <v>69</v>
      </c>
      <c r="N11" s="6" t="s">
        <v>39</v>
      </c>
      <c r="O11" t="s">
        <v>97</v>
      </c>
      <c r="P11" t="s">
        <v>115</v>
      </c>
      <c r="Q11" s="7">
        <v>1.4E-2</v>
      </c>
      <c r="R11" s="2">
        <v>3.3799999999999997E-2</v>
      </c>
      <c r="S11" s="8">
        <v>0.1</v>
      </c>
      <c r="T11" s="10">
        <v>0.05</v>
      </c>
    </row>
    <row r="12" spans="1:20" x14ac:dyDescent="0.25">
      <c r="A12">
        <v>11</v>
      </c>
      <c r="B12" t="s">
        <v>26</v>
      </c>
      <c r="C12" s="3">
        <v>45119</v>
      </c>
      <c r="E12">
        <v>1940499</v>
      </c>
      <c r="F12">
        <v>3</v>
      </c>
      <c r="G12" t="s">
        <v>60</v>
      </c>
      <c r="H12" s="1" t="s">
        <v>28</v>
      </c>
      <c r="J12" t="s">
        <v>41</v>
      </c>
      <c r="L12" t="s">
        <v>73</v>
      </c>
      <c r="M12" t="s">
        <v>70</v>
      </c>
      <c r="N12" s="6" t="s">
        <v>40</v>
      </c>
      <c r="O12" t="s">
        <v>97</v>
      </c>
      <c r="P12" t="s">
        <v>115</v>
      </c>
      <c r="Q12" s="7">
        <v>0.01</v>
      </c>
      <c r="T12" s="10">
        <v>0.05</v>
      </c>
    </row>
  </sheetData>
  <hyperlinks>
    <hyperlink ref="I4" r:id="rId1" xr:uid="{CA224E14-E7E4-45E3-893F-A158591A05D9}"/>
    <hyperlink ref="I8" r:id="rId2" xr:uid="{EED59507-78F9-4485-9CA7-E2F0D38BD009}"/>
    <hyperlink ref="N2" r:id="rId3" xr:uid="{1B0BC8EC-1BB0-4E35-BBBB-E124EB9010C4}"/>
    <hyperlink ref="N3" r:id="rId4" xr:uid="{B972CAF4-2FC7-4C15-8490-C35E8A18E54D}"/>
    <hyperlink ref="N4" r:id="rId5" xr:uid="{A51B14B6-1070-4D5A-AAF7-3CCE29AC57A6}"/>
    <hyperlink ref="N5" r:id="rId6" xr:uid="{53916F5D-5F6C-4867-B480-3338B4A18101}"/>
    <hyperlink ref="N6" r:id="rId7" xr:uid="{2F396279-0E50-4FD7-935F-5485D7B11445}"/>
    <hyperlink ref="N7" r:id="rId8" xr:uid="{55BFF612-DB1B-4258-A860-3C316D7311E3}"/>
    <hyperlink ref="N8" r:id="rId9" xr:uid="{77F24161-5C42-4521-9E79-BE88D670A743}"/>
    <hyperlink ref="N9" r:id="rId10" xr:uid="{206E1370-2BFE-4365-8C56-9D1034AB1AA1}"/>
    <hyperlink ref="N10" r:id="rId11" xr:uid="{7ED948B6-DEFF-49A3-889C-A372AEACDF06}"/>
    <hyperlink ref="N11" r:id="rId12" xr:uid="{FCA7A941-AD7D-465B-B1C3-4CF2699789FA}"/>
    <hyperlink ref="N12" r:id="rId13" xr:uid="{A2E425F8-9559-45A3-937F-7039BD357E2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73A6-F7E7-46C4-B5F0-716A5D8A2532}">
  <dimension ref="A1:B139"/>
  <sheetViews>
    <sheetView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5.85546875" bestFit="1" customWidth="1"/>
  </cols>
  <sheetData>
    <row r="1" spans="1:2" x14ac:dyDescent="0.25">
      <c r="A1" t="s">
        <v>3</v>
      </c>
      <c r="B1" t="s">
        <v>123</v>
      </c>
    </row>
    <row r="2" spans="1:2" x14ac:dyDescent="0.25">
      <c r="A2" s="3">
        <v>41820</v>
      </c>
      <c r="B2" s="9">
        <v>100</v>
      </c>
    </row>
    <row r="3" spans="1:2" x14ac:dyDescent="0.25">
      <c r="A3" s="3">
        <v>41851</v>
      </c>
      <c r="B3" s="9">
        <v>99.92261828996412</v>
      </c>
    </row>
    <row r="4" spans="1:2" x14ac:dyDescent="0.25">
      <c r="A4" s="3">
        <v>41882</v>
      </c>
      <c r="B4" s="9">
        <v>100.48178645635798</v>
      </c>
    </row>
    <row r="5" spans="1:2" x14ac:dyDescent="0.25">
      <c r="A5" s="3">
        <v>41912</v>
      </c>
      <c r="B5" s="9">
        <v>100.70547662686238</v>
      </c>
    </row>
    <row r="6" spans="1:2" x14ac:dyDescent="0.25">
      <c r="A6" s="3">
        <v>41943</v>
      </c>
      <c r="B6" s="9">
        <v>101.05813354486315</v>
      </c>
    </row>
    <row r="7" spans="1:2" x14ac:dyDescent="0.25">
      <c r="A7" s="3">
        <v>41973</v>
      </c>
      <c r="B7" s="9">
        <v>101.53131330279186</v>
      </c>
    </row>
    <row r="8" spans="1:2" x14ac:dyDescent="0.25">
      <c r="A8" s="3">
        <v>42004</v>
      </c>
      <c r="B8" s="9">
        <v>100.99359323076483</v>
      </c>
    </row>
    <row r="9" spans="1:2" x14ac:dyDescent="0.25">
      <c r="A9" s="3">
        <v>42035</v>
      </c>
      <c r="B9" s="9">
        <v>101.15964523186716</v>
      </c>
    </row>
    <row r="10" spans="1:2" x14ac:dyDescent="0.25">
      <c r="A10" s="3">
        <v>42063</v>
      </c>
      <c r="B10" s="9">
        <v>102.68617761242655</v>
      </c>
    </row>
    <row r="11" spans="1:2" x14ac:dyDescent="0.25">
      <c r="A11" s="3">
        <v>42094</v>
      </c>
      <c r="B11" s="9">
        <v>103.68793877474678</v>
      </c>
    </row>
    <row r="12" spans="1:2" x14ac:dyDescent="0.25">
      <c r="A12" s="3">
        <v>42124</v>
      </c>
      <c r="B12" s="9">
        <v>104.06626732990763</v>
      </c>
    </row>
    <row r="13" spans="1:2" x14ac:dyDescent="0.25">
      <c r="A13" s="3">
        <v>42155</v>
      </c>
      <c r="B13" s="9">
        <v>104.49654787815763</v>
      </c>
    </row>
    <row r="14" spans="1:2" x14ac:dyDescent="0.25">
      <c r="A14" s="3">
        <v>42185</v>
      </c>
      <c r="B14" s="9">
        <v>104.55701218812079</v>
      </c>
    </row>
    <row r="15" spans="1:2" x14ac:dyDescent="0.25">
      <c r="A15" s="3">
        <v>42216</v>
      </c>
      <c r="B15" s="9">
        <v>105.16658216895819</v>
      </c>
    </row>
    <row r="16" spans="1:2" x14ac:dyDescent="0.25">
      <c r="A16" s="3">
        <v>42247</v>
      </c>
      <c r="B16" s="9">
        <v>104.4406234078661</v>
      </c>
    </row>
    <row r="17" spans="1:2" x14ac:dyDescent="0.25">
      <c r="A17" s="3">
        <v>42277</v>
      </c>
      <c r="B17" s="9">
        <v>104.52822908064107</v>
      </c>
    </row>
    <row r="18" spans="1:2" x14ac:dyDescent="0.25">
      <c r="A18" s="3">
        <v>42308</v>
      </c>
      <c r="B18" s="9">
        <v>105.47361742714519</v>
      </c>
    </row>
    <row r="19" spans="1:2" x14ac:dyDescent="0.25">
      <c r="A19" s="3">
        <v>42338</v>
      </c>
      <c r="B19" s="9">
        <v>104.85664128187562</v>
      </c>
    </row>
    <row r="20" spans="1:2" x14ac:dyDescent="0.25">
      <c r="A20" s="3">
        <v>42369</v>
      </c>
      <c r="B20" s="9">
        <v>104.69187975279769</v>
      </c>
    </row>
    <row r="21" spans="1:2" x14ac:dyDescent="0.25">
      <c r="A21" s="3">
        <v>42400</v>
      </c>
      <c r="B21" s="9">
        <v>103.84018038719717</v>
      </c>
    </row>
    <row r="22" spans="1:2" x14ac:dyDescent="0.25">
      <c r="A22" s="3">
        <v>42429</v>
      </c>
      <c r="B22" s="9">
        <v>103.73276106714535</v>
      </c>
    </row>
    <row r="23" spans="1:2" x14ac:dyDescent="0.25">
      <c r="A23" s="3">
        <v>42460</v>
      </c>
      <c r="B23" s="9">
        <v>106.6235059313203</v>
      </c>
    </row>
    <row r="24" spans="1:2" x14ac:dyDescent="0.25">
      <c r="A24" s="3">
        <v>42490</v>
      </c>
      <c r="B24" s="9">
        <v>108.20094136752532</v>
      </c>
    </row>
    <row r="25" spans="1:2" x14ac:dyDescent="0.25">
      <c r="A25" s="3">
        <v>42521</v>
      </c>
      <c r="B25" s="9">
        <v>109.00348553429879</v>
      </c>
    </row>
    <row r="26" spans="1:2" x14ac:dyDescent="0.25">
      <c r="A26" s="3">
        <v>42551</v>
      </c>
      <c r="B26" s="9">
        <v>110.24522020461858</v>
      </c>
    </row>
    <row r="27" spans="1:2" x14ac:dyDescent="0.25">
      <c r="A27" s="3">
        <v>42582</v>
      </c>
      <c r="B27" s="9">
        <v>111.5748117448077</v>
      </c>
    </row>
    <row r="28" spans="1:2" x14ac:dyDescent="0.25">
      <c r="A28" s="3">
        <v>42613</v>
      </c>
      <c r="B28" s="9">
        <v>112.19708870078992</v>
      </c>
    </row>
    <row r="29" spans="1:2" x14ac:dyDescent="0.25">
      <c r="A29" s="3">
        <v>42643</v>
      </c>
      <c r="B29" s="9">
        <v>112.99194538699859</v>
      </c>
    </row>
    <row r="30" spans="1:2" x14ac:dyDescent="0.25">
      <c r="A30" s="3">
        <v>42674</v>
      </c>
      <c r="B30" s="9">
        <v>113.04296036662136</v>
      </c>
    </row>
    <row r="31" spans="1:2" x14ac:dyDescent="0.25">
      <c r="A31" s="3">
        <v>42704</v>
      </c>
      <c r="B31" s="9">
        <v>113.29066253338833</v>
      </c>
    </row>
    <row r="32" spans="1:2" x14ac:dyDescent="0.25">
      <c r="A32" s="3">
        <v>42735</v>
      </c>
      <c r="B32" s="9">
        <v>115.21040380777832</v>
      </c>
    </row>
    <row r="33" spans="1:2" x14ac:dyDescent="0.25">
      <c r="A33" s="3">
        <v>42766</v>
      </c>
      <c r="B33" s="9">
        <v>115.95390284073957</v>
      </c>
    </row>
    <row r="34" spans="1:2" x14ac:dyDescent="0.25">
      <c r="A34" s="3">
        <v>42794</v>
      </c>
      <c r="B34" s="9">
        <v>116.72163560057953</v>
      </c>
    </row>
    <row r="35" spans="1:2" x14ac:dyDescent="0.25">
      <c r="A35" s="3">
        <v>42825</v>
      </c>
      <c r="B35" s="9">
        <v>117.29356009536795</v>
      </c>
    </row>
    <row r="36" spans="1:2" x14ac:dyDescent="0.25">
      <c r="A36" s="3">
        <v>42855</v>
      </c>
      <c r="B36" s="9">
        <v>117.90088251774978</v>
      </c>
    </row>
    <row r="37" spans="1:2" x14ac:dyDescent="0.25">
      <c r="A37" s="3">
        <v>42886</v>
      </c>
      <c r="B37" s="9">
        <v>118.4545521430629</v>
      </c>
    </row>
    <row r="38" spans="1:2" x14ac:dyDescent="0.25">
      <c r="A38" s="3">
        <v>42916</v>
      </c>
      <c r="B38" s="9">
        <v>119.38512312941276</v>
      </c>
    </row>
    <row r="39" spans="1:2" x14ac:dyDescent="0.25">
      <c r="A39" s="3">
        <v>42947</v>
      </c>
      <c r="B39" s="9">
        <v>120.20165348869236</v>
      </c>
    </row>
    <row r="40" spans="1:2" x14ac:dyDescent="0.25">
      <c r="A40" s="3">
        <v>42978</v>
      </c>
      <c r="B40" s="9">
        <v>120.46509617931738</v>
      </c>
    </row>
    <row r="41" spans="1:2" x14ac:dyDescent="0.25">
      <c r="A41" s="3">
        <v>43008</v>
      </c>
      <c r="B41" s="9">
        <v>120.67906035522375</v>
      </c>
    </row>
    <row r="42" spans="1:2" x14ac:dyDescent="0.25">
      <c r="A42" s="3">
        <v>43039</v>
      </c>
      <c r="B42" s="9">
        <v>120.97059557073618</v>
      </c>
    </row>
    <row r="43" spans="1:2" x14ac:dyDescent="0.25">
      <c r="A43" s="3">
        <v>43069</v>
      </c>
      <c r="B43" s="9">
        <v>121.81576306612092</v>
      </c>
    </row>
    <row r="44" spans="1:2" x14ac:dyDescent="0.25">
      <c r="A44" s="3">
        <v>43100</v>
      </c>
      <c r="B44" s="9">
        <v>122.75910428533366</v>
      </c>
    </row>
    <row r="45" spans="1:2" x14ac:dyDescent="0.25">
      <c r="A45" s="3">
        <v>43131</v>
      </c>
      <c r="B45" s="9">
        <v>123.39610067664667</v>
      </c>
    </row>
    <row r="46" spans="1:2" x14ac:dyDescent="0.25">
      <c r="A46" s="3">
        <v>43159</v>
      </c>
      <c r="B46" s="9">
        <v>123.11728989981665</v>
      </c>
    </row>
    <row r="47" spans="1:2" x14ac:dyDescent="0.25">
      <c r="A47" s="3">
        <v>43190</v>
      </c>
      <c r="B47" s="9">
        <v>124.10133502434252</v>
      </c>
    </row>
    <row r="48" spans="1:2" x14ac:dyDescent="0.25">
      <c r="A48" s="3">
        <v>43220</v>
      </c>
      <c r="B48" s="9">
        <v>124.58887383746519</v>
      </c>
    </row>
    <row r="49" spans="1:2" x14ac:dyDescent="0.25">
      <c r="A49" s="3">
        <v>43251</v>
      </c>
      <c r="B49" s="9">
        <v>125.22252227676299</v>
      </c>
    </row>
    <row r="50" spans="1:2" x14ac:dyDescent="0.25">
      <c r="A50" s="3">
        <v>43281</v>
      </c>
      <c r="B50" s="9">
        <v>126.40525590531674</v>
      </c>
    </row>
    <row r="51" spans="1:2" x14ac:dyDescent="0.25">
      <c r="A51" s="3">
        <v>43312</v>
      </c>
      <c r="B51" s="9">
        <v>127.17051740277483</v>
      </c>
    </row>
    <row r="52" spans="1:2" x14ac:dyDescent="0.25">
      <c r="A52" s="3">
        <v>43343</v>
      </c>
      <c r="B52" s="9">
        <v>127.84419683849234</v>
      </c>
    </row>
    <row r="53" spans="1:2" x14ac:dyDescent="0.25">
      <c r="A53" s="3">
        <v>43373</v>
      </c>
      <c r="B53" s="9">
        <v>128.45369112750214</v>
      </c>
    </row>
    <row r="54" spans="1:2" x14ac:dyDescent="0.25">
      <c r="A54" s="3">
        <v>43404</v>
      </c>
      <c r="B54" s="9">
        <v>128.25431901113478</v>
      </c>
    </row>
    <row r="55" spans="1:2" x14ac:dyDescent="0.25">
      <c r="A55" s="3">
        <v>43434</v>
      </c>
      <c r="B55" s="9">
        <v>128.67497592650338</v>
      </c>
    </row>
    <row r="56" spans="1:2" x14ac:dyDescent="0.25">
      <c r="A56" s="3">
        <v>43465</v>
      </c>
      <c r="B56" s="9">
        <v>127.30840309687048</v>
      </c>
    </row>
    <row r="57" spans="1:2" x14ac:dyDescent="0.25">
      <c r="A57" s="3">
        <v>43496</v>
      </c>
      <c r="B57" s="9">
        <v>129.40671925453816</v>
      </c>
    </row>
    <row r="58" spans="1:2" x14ac:dyDescent="0.25">
      <c r="A58" s="3">
        <v>43524</v>
      </c>
      <c r="B58" s="9">
        <v>130.29827124671218</v>
      </c>
    </row>
    <row r="59" spans="1:2" x14ac:dyDescent="0.25">
      <c r="A59" s="3">
        <v>43555</v>
      </c>
      <c r="B59" s="9">
        <v>131.54607378965869</v>
      </c>
    </row>
    <row r="60" spans="1:2" x14ac:dyDescent="0.25">
      <c r="A60" s="3">
        <v>43585</v>
      </c>
      <c r="B60" s="9">
        <v>132.50591114216382</v>
      </c>
    </row>
    <row r="61" spans="1:2" x14ac:dyDescent="0.25">
      <c r="A61" s="3">
        <v>43616</v>
      </c>
      <c r="B61" s="9">
        <v>132.80016436450396</v>
      </c>
    </row>
    <row r="62" spans="1:2" x14ac:dyDescent="0.25">
      <c r="A62" s="3">
        <v>43646</v>
      </c>
      <c r="B62" s="9">
        <v>133.93442770634988</v>
      </c>
    </row>
    <row r="63" spans="1:2" x14ac:dyDescent="0.25">
      <c r="A63" s="3">
        <v>43677</v>
      </c>
      <c r="B63" s="9">
        <v>134.60958764935791</v>
      </c>
    </row>
    <row r="64" spans="1:2" x14ac:dyDescent="0.25">
      <c r="A64" s="3">
        <v>43708</v>
      </c>
      <c r="B64" s="9">
        <v>135.17975037331163</v>
      </c>
    </row>
    <row r="65" spans="1:2" x14ac:dyDescent="0.25">
      <c r="A65" s="3">
        <v>43738</v>
      </c>
      <c r="B65" s="9">
        <v>136.12157228438988</v>
      </c>
    </row>
    <row r="66" spans="1:2" x14ac:dyDescent="0.25">
      <c r="A66" s="3">
        <v>43769</v>
      </c>
      <c r="B66" s="9">
        <v>136.73924961098481</v>
      </c>
    </row>
    <row r="67" spans="1:2" x14ac:dyDescent="0.25">
      <c r="A67" s="3">
        <v>43799</v>
      </c>
      <c r="B67" s="9">
        <v>137.32247013231532</v>
      </c>
    </row>
    <row r="68" spans="1:2" x14ac:dyDescent="0.25">
      <c r="A68" s="3">
        <v>43830</v>
      </c>
      <c r="B68" s="9">
        <v>139.19306370021576</v>
      </c>
    </row>
    <row r="69" spans="1:2" x14ac:dyDescent="0.25">
      <c r="A69" s="3">
        <v>43861</v>
      </c>
      <c r="B69" s="9">
        <v>140.08645577845826</v>
      </c>
    </row>
    <row r="70" spans="1:2" x14ac:dyDescent="0.25">
      <c r="A70" s="3">
        <v>43890</v>
      </c>
      <c r="B70" s="9">
        <v>138.98599105129819</v>
      </c>
    </row>
    <row r="71" spans="1:2" x14ac:dyDescent="0.25">
      <c r="A71" s="3">
        <v>43921</v>
      </c>
      <c r="B71" s="9">
        <v>126.90161032838165</v>
      </c>
    </row>
    <row r="72" spans="1:2" x14ac:dyDescent="0.25">
      <c r="A72" s="3">
        <v>43951</v>
      </c>
      <c r="B72" s="9">
        <v>129.03241450851061</v>
      </c>
    </row>
    <row r="73" spans="1:2" x14ac:dyDescent="0.25">
      <c r="A73" s="3">
        <v>43982</v>
      </c>
      <c r="B73" s="9">
        <v>131.09159562661745</v>
      </c>
    </row>
    <row r="74" spans="1:2" x14ac:dyDescent="0.25">
      <c r="A74" s="3">
        <v>44012</v>
      </c>
      <c r="B74" s="9">
        <v>132.71293662059762</v>
      </c>
    </row>
    <row r="75" spans="1:2" x14ac:dyDescent="0.25">
      <c r="A75" s="3">
        <v>44043</v>
      </c>
      <c r="B75" s="9">
        <v>135.10781152903937</v>
      </c>
    </row>
    <row r="76" spans="1:2" x14ac:dyDescent="0.25">
      <c r="A76" s="3">
        <v>44074</v>
      </c>
      <c r="B76" s="9">
        <v>136.53955500532726</v>
      </c>
    </row>
    <row r="77" spans="1:2" x14ac:dyDescent="0.25">
      <c r="A77" s="3">
        <v>44104</v>
      </c>
      <c r="B77" s="9">
        <v>138.43317814893737</v>
      </c>
    </row>
    <row r="78" spans="1:2" x14ac:dyDescent="0.25">
      <c r="A78" s="3">
        <v>44135</v>
      </c>
      <c r="B78" s="9">
        <v>139.43714045728132</v>
      </c>
    </row>
    <row r="79" spans="1:2" x14ac:dyDescent="0.25">
      <c r="A79" s="3">
        <v>44165</v>
      </c>
      <c r="B79" s="9">
        <v>142.82028416903154</v>
      </c>
    </row>
    <row r="80" spans="1:2" x14ac:dyDescent="0.25">
      <c r="A80" s="3">
        <v>44196</v>
      </c>
      <c r="B80" s="9">
        <v>145.12385748693828</v>
      </c>
    </row>
    <row r="81" spans="1:2" x14ac:dyDescent="0.25">
      <c r="A81" s="3">
        <v>44227</v>
      </c>
      <c r="B81" s="9">
        <v>146.58329125584237</v>
      </c>
    </row>
    <row r="82" spans="1:2" x14ac:dyDescent="0.25">
      <c r="A82" s="3">
        <v>44255</v>
      </c>
      <c r="B82" s="9">
        <v>148.15746035183091</v>
      </c>
    </row>
    <row r="83" spans="1:2" x14ac:dyDescent="0.25">
      <c r="A83" s="3">
        <v>44286</v>
      </c>
      <c r="B83" s="9">
        <v>150.76837210540072</v>
      </c>
    </row>
    <row r="84" spans="1:2" x14ac:dyDescent="0.25">
      <c r="A84" s="3">
        <v>44316</v>
      </c>
      <c r="B84" s="9">
        <v>153.5094472567242</v>
      </c>
    </row>
    <row r="85" spans="1:2" x14ac:dyDescent="0.25">
      <c r="A85" s="3">
        <v>44347</v>
      </c>
      <c r="B85" s="9">
        <v>156.65417108121861</v>
      </c>
    </row>
    <row r="86" spans="1:2" x14ac:dyDescent="0.25">
      <c r="A86" s="3">
        <v>44377</v>
      </c>
      <c r="B86" s="9">
        <v>159.08566482181848</v>
      </c>
    </row>
    <row r="87" spans="1:2" x14ac:dyDescent="0.25">
      <c r="A87" s="3">
        <v>44408</v>
      </c>
      <c r="B87" s="9">
        <v>161.63793693810268</v>
      </c>
    </row>
    <row r="88" spans="1:2" x14ac:dyDescent="0.25">
      <c r="A88" s="3">
        <v>44439</v>
      </c>
      <c r="B88" s="9">
        <v>165.01258312867475</v>
      </c>
    </row>
    <row r="89" spans="1:2" x14ac:dyDescent="0.25">
      <c r="A89" s="3">
        <v>44469</v>
      </c>
      <c r="B89" s="9">
        <v>167.73918424079869</v>
      </c>
    </row>
    <row r="90" spans="1:2" x14ac:dyDescent="0.25">
      <c r="A90" s="3">
        <v>44500</v>
      </c>
      <c r="B90" s="9">
        <v>171.22311285348539</v>
      </c>
    </row>
    <row r="91" spans="1:2" x14ac:dyDescent="0.25">
      <c r="A91" s="3">
        <v>44530</v>
      </c>
      <c r="B91" s="9">
        <v>173.45036941719039</v>
      </c>
    </row>
    <row r="92" spans="1:2" x14ac:dyDescent="0.25">
      <c r="A92" s="3">
        <v>44561</v>
      </c>
      <c r="B92" s="9">
        <v>176.48554853450798</v>
      </c>
    </row>
    <row r="93" spans="1:2" x14ac:dyDescent="0.25">
      <c r="A93" s="3">
        <v>44592</v>
      </c>
      <c r="B93" s="9">
        <v>178.09967945482458</v>
      </c>
    </row>
    <row r="94" spans="1:2" x14ac:dyDescent="0.25">
      <c r="A94" s="3">
        <v>44620</v>
      </c>
      <c r="B94" s="9">
        <v>179.21993488637207</v>
      </c>
    </row>
    <row r="95" spans="1:2" x14ac:dyDescent="0.25">
      <c r="A95" s="3">
        <v>44651</v>
      </c>
      <c r="B95" s="9">
        <v>181.82293849562063</v>
      </c>
    </row>
    <row r="96" spans="1:2" x14ac:dyDescent="0.25">
      <c r="A96" s="3">
        <v>44681</v>
      </c>
      <c r="B96" s="9">
        <v>182.88311599329413</v>
      </c>
    </row>
    <row r="97" spans="1:2" x14ac:dyDescent="0.25">
      <c r="A97" s="3">
        <v>44712</v>
      </c>
      <c r="B97" s="9">
        <v>182.93779862809981</v>
      </c>
    </row>
    <row r="98" spans="1:2" x14ac:dyDescent="0.25">
      <c r="A98" s="3">
        <v>44742</v>
      </c>
      <c r="B98" s="9">
        <v>181.55042293648438</v>
      </c>
    </row>
    <row r="99" spans="1:2" x14ac:dyDescent="0.25">
      <c r="A99" s="3">
        <v>44773</v>
      </c>
      <c r="B99" s="9">
        <v>183.55264303472291</v>
      </c>
    </row>
    <row r="100" spans="1:2" x14ac:dyDescent="0.25">
      <c r="A100" s="3">
        <v>44804</v>
      </c>
      <c r="B100" s="9">
        <v>184.95462569329356</v>
      </c>
    </row>
    <row r="101" spans="1:2" x14ac:dyDescent="0.25">
      <c r="A101" s="3">
        <v>44834</v>
      </c>
      <c r="B101" s="9">
        <v>183.82010908593057</v>
      </c>
    </row>
    <row r="102" spans="1:2" x14ac:dyDescent="0.25">
      <c r="A102" s="3">
        <v>44865</v>
      </c>
      <c r="B102" s="9">
        <v>184.23631699075418</v>
      </c>
    </row>
    <row r="103" spans="1:2" x14ac:dyDescent="0.25">
      <c r="A103" s="3">
        <v>44895</v>
      </c>
      <c r="B103" s="9">
        <v>184.58927408392262</v>
      </c>
    </row>
    <row r="104" spans="1:2" x14ac:dyDescent="0.25">
      <c r="A104" s="3">
        <v>44926</v>
      </c>
      <c r="B104" s="9">
        <v>184.41952465875852</v>
      </c>
    </row>
    <row r="105" spans="1:2" x14ac:dyDescent="0.25">
      <c r="A105" s="3">
        <v>44957</v>
      </c>
      <c r="B105" s="9">
        <v>185.65827923843773</v>
      </c>
    </row>
    <row r="106" spans="1:2" x14ac:dyDescent="0.25">
      <c r="A106" s="3">
        <v>44985</v>
      </c>
      <c r="B106" s="9">
        <v>186.34216603745296</v>
      </c>
    </row>
    <row r="107" spans="1:2" x14ac:dyDescent="0.25">
      <c r="A107" s="3">
        <v>45016</v>
      </c>
      <c r="B107" s="9">
        <v>185.71641303857498</v>
      </c>
    </row>
    <row r="108" spans="1:2" x14ac:dyDescent="0.25">
      <c r="A108" s="3">
        <v>45046</v>
      </c>
      <c r="B108" s="9">
        <v>186.57537435016451</v>
      </c>
    </row>
    <row r="109" spans="1:2" x14ac:dyDescent="0.25">
      <c r="A109" s="3">
        <v>45077</v>
      </c>
      <c r="B109" s="9">
        <v>187.1807521934372</v>
      </c>
    </row>
    <row r="110" spans="1:2" x14ac:dyDescent="0.25">
      <c r="A110" s="3">
        <v>45107</v>
      </c>
      <c r="B110" s="9">
        <v>188.91721037434851</v>
      </c>
    </row>
    <row r="111" spans="1:2" x14ac:dyDescent="0.25">
      <c r="A111" s="3">
        <v>45138</v>
      </c>
      <c r="B111" s="9">
        <v>190.93758457633626</v>
      </c>
    </row>
    <row r="112" spans="1:2" x14ac:dyDescent="0.25">
      <c r="A112" s="3">
        <v>45169</v>
      </c>
      <c r="B112" s="9">
        <v>192.06365397656936</v>
      </c>
    </row>
    <row r="113" spans="1:2" x14ac:dyDescent="0.25">
      <c r="A113" s="3">
        <v>45199</v>
      </c>
      <c r="B113" s="9">
        <v>192.64030337187026</v>
      </c>
    </row>
    <row r="114" spans="1:2" x14ac:dyDescent="0.25">
      <c r="A114" s="3">
        <v>45230</v>
      </c>
      <c r="B114" s="9">
        <v>192.04588072097189</v>
      </c>
    </row>
    <row r="115" spans="1:2" x14ac:dyDescent="0.25">
      <c r="A115" s="3">
        <v>45260</v>
      </c>
      <c r="B115" s="9">
        <v>192.23834802311819</v>
      </c>
    </row>
    <row r="116" spans="1:2" x14ac:dyDescent="0.25">
      <c r="A116" s="3">
        <v>45291</v>
      </c>
      <c r="B116" s="9">
        <v>192.62788230966876</v>
      </c>
    </row>
    <row r="117" spans="1:2" x14ac:dyDescent="0.25">
      <c r="A117" s="3">
        <v>45322</v>
      </c>
      <c r="B117" s="9">
        <v>193.62700680471312</v>
      </c>
    </row>
    <row r="118" spans="1:2" x14ac:dyDescent="0.25">
      <c r="A118" s="3">
        <v>45351</v>
      </c>
      <c r="B118" s="9">
        <v>194.71933019104347</v>
      </c>
    </row>
    <row r="119" spans="1:2" x14ac:dyDescent="0.25">
      <c r="A119" s="3">
        <v>45382</v>
      </c>
      <c r="B119" s="9">
        <v>196.49935168749766</v>
      </c>
    </row>
    <row r="120" spans="1:2" x14ac:dyDescent="0.25">
      <c r="A120" s="3">
        <v>45412</v>
      </c>
      <c r="B120" s="9">
        <v>197.25602497458658</v>
      </c>
    </row>
    <row r="121" spans="1:2" x14ac:dyDescent="0.25">
      <c r="A121" s="3">
        <v>45443</v>
      </c>
      <c r="B121" s="9">
        <v>198.33976209904247</v>
      </c>
    </row>
    <row r="122" spans="1:2" x14ac:dyDescent="0.25">
      <c r="A122" s="3">
        <v>45473</v>
      </c>
      <c r="B122" s="9">
        <v>199.52886125760358</v>
      </c>
    </row>
    <row r="123" spans="1:2" x14ac:dyDescent="0.25">
      <c r="A123" s="3">
        <v>45504</v>
      </c>
      <c r="B123" s="9">
        <v>200.66016311037077</v>
      </c>
    </row>
    <row r="124" spans="1:2" x14ac:dyDescent="0.25">
      <c r="A124" s="3">
        <v>45535</v>
      </c>
      <c r="B124" s="9">
        <v>201.84928761815419</v>
      </c>
    </row>
    <row r="125" spans="1:2" x14ac:dyDescent="0.25">
      <c r="A125" s="3">
        <v>45565</v>
      </c>
      <c r="B125" s="9">
        <v>203.33050148827385</v>
      </c>
    </row>
    <row r="126" spans="1:2" x14ac:dyDescent="0.25">
      <c r="A126" s="3">
        <v>45596</v>
      </c>
      <c r="B126" s="9">
        <v>204.3196479240988</v>
      </c>
    </row>
    <row r="127" spans="1:2" x14ac:dyDescent="0.25">
      <c r="A127" s="3">
        <v>45626</v>
      </c>
      <c r="B127" s="9">
        <v>205.47602840346494</v>
      </c>
    </row>
    <row r="128" spans="1:2" x14ac:dyDescent="0.25">
      <c r="A128" s="3">
        <v>45657</v>
      </c>
      <c r="B128" s="9">
        <v>205.9842722112372</v>
      </c>
    </row>
    <row r="129" spans="1:2" x14ac:dyDescent="0.25">
      <c r="A129" s="3">
        <v>45688</v>
      </c>
      <c r="B129" s="9">
        <v>207.54527977599975</v>
      </c>
    </row>
    <row r="130" spans="1:2" x14ac:dyDescent="0.25">
      <c r="A130" s="3">
        <v>45716</v>
      </c>
      <c r="B130" s="9">
        <v>208.62829085762647</v>
      </c>
    </row>
    <row r="131" spans="1:2" x14ac:dyDescent="0.25">
      <c r="A131" s="3">
        <v>45747</v>
      </c>
      <c r="B131" s="9">
        <v>209.27380489731419</v>
      </c>
    </row>
    <row r="132" spans="1:2" x14ac:dyDescent="0.25">
      <c r="A132" s="3">
        <v>45777</v>
      </c>
      <c r="B132" s="9">
        <v>209.83356988479085</v>
      </c>
    </row>
    <row r="133" spans="1:2" x14ac:dyDescent="0.25">
      <c r="A133" s="3">
        <v>45808</v>
      </c>
      <c r="B133" s="9">
        <v>211.82398714467973</v>
      </c>
    </row>
    <row r="134" spans="1:2" x14ac:dyDescent="0.25">
      <c r="A134" s="3">
        <v>45838</v>
      </c>
      <c r="B134" s="9">
        <v>213.69796613480759</v>
      </c>
    </row>
    <row r="135" spans="1:2" x14ac:dyDescent="0.25">
      <c r="A135" s="3">
        <v>45869</v>
      </c>
      <c r="B135" s="9">
        <v>214.99838022350576</v>
      </c>
    </row>
    <row r="136" spans="1:2" x14ac:dyDescent="0.25">
      <c r="A136" s="3">
        <v>45900</v>
      </c>
      <c r="B136" s="9">
        <v>216.25123261410727</v>
      </c>
    </row>
    <row r="137" spans="1:2" x14ac:dyDescent="0.25">
      <c r="A137" s="3">
        <v>45930</v>
      </c>
      <c r="B137" s="9">
        <v>218.02347894988594</v>
      </c>
    </row>
    <row r="138" spans="1:2" x14ac:dyDescent="0.25">
      <c r="A138" s="3">
        <v>45961</v>
      </c>
      <c r="B138" s="9">
        <v>219.24039715984085</v>
      </c>
    </row>
    <row r="139" spans="1:2" x14ac:dyDescent="0.25">
      <c r="A139" s="3">
        <v>45991</v>
      </c>
      <c r="B139" s="9">
        <v>219.95068205041181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c4b767-81a9-4964-9cba-5e0dcfc5f91d">
      <Terms xmlns="http://schemas.microsoft.com/office/infopath/2007/PartnerControls"/>
    </lcf76f155ced4ddcb4097134ff3c332f>
    <TaxCatchAll xmlns="bcb6379d-5402-4ed7-9167-0c02804ceeec" xsi:nil="true"/>
  </documentManagement>
</p:properties>
</file>

<file path=customXml/itemProps1.xml><?xml version="1.0" encoding="utf-8"?>
<ds:datastoreItem xmlns:ds="http://schemas.openxmlformats.org/officeDocument/2006/customXml" ds:itemID="{9F40DFB4-A111-4BCB-91CD-8A65E045A7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84E25A-4AEE-4B55-8676-B7A7EFAE0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77906C-862B-468D-BB2E-9DEFB5DF6BA4}">
  <ds:schemaRefs>
    <ds:schemaRef ds:uri="http://purl.org/dc/elements/1.1/"/>
    <ds:schemaRef ds:uri="http://schemas.openxmlformats.org/package/2006/metadata/core-properties"/>
    <ds:schemaRef ds:uri="http://purl.org/dc/terms/"/>
    <ds:schemaRef ds:uri="bcb6379d-5402-4ed7-9167-0c02804ceeec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6c4b767-81a9-4964-9cba-5e0dcfc5f91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fund_performance</vt:lpstr>
      <vt:lpstr>pivot</vt:lpstr>
      <vt:lpstr>fund_metadata</vt:lpstr>
      <vt:lpstr>pitchbook_tri_index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Cai</dc:creator>
  <cp:lastModifiedBy>Kathy Cai</cp:lastModifiedBy>
  <dcterms:created xsi:type="dcterms:W3CDTF">2015-06-05T18:17:20Z</dcterms:created>
  <dcterms:modified xsi:type="dcterms:W3CDTF">2026-06-08T23:25:19Z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0x01010035B04DF9C75CAB4DAB32342A81611457</vt:lpwstr>
  </property>
</Properties>
</file>